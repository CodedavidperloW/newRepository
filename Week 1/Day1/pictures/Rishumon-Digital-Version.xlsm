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comments12.xml" ContentType="application/vnd.openxmlformats-officedocument.spreadsheetml.comments+xml"/>
  <Override PartName="/xl/drawings/drawing15.xml" ContentType="application/vnd.openxmlformats-officedocument.drawing+xml"/>
  <Override PartName="/xl/comments13.xml" ContentType="application/vnd.openxmlformats-officedocument.spreadsheetml.comment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5" yWindow="210" windowWidth="9195" windowHeight="7935" tabRatio="865"/>
  </bookViews>
  <sheets>
    <sheet name="Instructions" sheetId="20" r:id="rId1"/>
    <sheet name="Current Status ('Shikuf')" sheetId="24" r:id="rId2"/>
    <sheet name="Month A" sheetId="4" r:id="rId3"/>
    <sheet name="B" sheetId="5" r:id="rId4"/>
    <sheet name="C" sheetId="8" r:id="rId5"/>
    <sheet name="D" sheetId="9" r:id="rId6"/>
    <sheet name="E" sheetId="10" r:id="rId7"/>
    <sheet name="F" sheetId="11" r:id="rId8"/>
    <sheet name="G" sheetId="12" r:id="rId9"/>
    <sheet name="H" sheetId="13" r:id="rId10"/>
    <sheet name="I" sheetId="14" r:id="rId11"/>
    <sheet name="J" sheetId="15" r:id="rId12"/>
    <sheet name="K" sheetId="16" r:id="rId13"/>
    <sheet name="L" sheetId="17" r:id="rId14"/>
    <sheet name="Yearly Sum" sheetId="19" r:id="rId15"/>
    <sheet name="Budgets List" sheetId="22" r:id="rId16"/>
    <sheet name="All Months Actuals" sheetId="21" r:id="rId17"/>
    <sheet name="Import preparation" sheetId="26" state="hidden" r:id="rId18"/>
    <sheet name="Next Year" sheetId="25" r:id="rId19"/>
  </sheets>
  <definedNames>
    <definedName name="_xlnm.Print_Area" localSheetId="1">'Current Status (''Shikuf'')'!$A$1:$BC$51</definedName>
    <definedName name="טבלת_ימי_החודש" localSheetId="1">#REF!</definedName>
    <definedName name="טבלת_ימי_החודש">#REF!</definedName>
    <definedName name="טבלת_נתוני_מקור" localSheetId="1">OFFSET(#REF!,0,0,COUNTA(#REF!))</definedName>
    <definedName name="טבלת_נתוני_מקור">OFFSET(#REF!,0,0,COUNTA(#REF!))</definedName>
    <definedName name="טבלת_נתוני_מקור_להכנסות" localSheetId="1">#REF!</definedName>
    <definedName name="טבלת_נתוני_מקור_להכנסות">#REF!</definedName>
    <definedName name="טבלת_קטגוריות" localSheetId="1">#REF!</definedName>
    <definedName name="טבלת_קטגוריות">#REF!</definedName>
    <definedName name="טבלת_שמות_החודשים" localSheetId="1">#REF!</definedName>
    <definedName name="טבלת_שמות_החודשים">#REF!</definedName>
    <definedName name="ללא_בחירה" localSheetId="1">OFFSET(#REF!,0,0,COUNTA(#REF!))</definedName>
    <definedName name="ללא_בחירה">OFFSET(#REF!,0,0,COUNTA(#REF!))</definedName>
    <definedName name="סעיפי_הכנסות" localSheetId="1">OFFSET(#REF!,0,0,COUNTA(#REF!))</definedName>
    <definedName name="סעיפי_הכנסות">OFFSET(#REF!,0,0,COUNTA(#REF!))</definedName>
    <definedName name="סעיפי_חובות" localSheetId="1">OFFSET(#REF!,0,0,COUNTA(#REF!))</definedName>
    <definedName name="סעיפי_חובות">OFFSET(#REF!,0,0,COUNTA(#REF!))</definedName>
    <definedName name="סעיפי_חודשיות_קבועות" localSheetId="1">OFFSET(#REF!,0,0,COUNTA(#REF!))</definedName>
    <definedName name="סעיפי_חודשיות_קבועות">OFFSET(#REF!,0,0,COUNTA(#REF!))</definedName>
    <definedName name="סעיפי_שוטפות" localSheetId="1">OFFSET(#REF!,0,0,COUNTA(#REF!))</definedName>
    <definedName name="סעיפי_שוטפות">OFFSET(#REF!,0,0,COUNTA(#REF!))</definedName>
    <definedName name="סעיפי_תקופתיות" localSheetId="1">OFFSET(#REF!,0,0,COUNTA(#REF!))</definedName>
    <definedName name="סעיפי_תקופתיות">OFFSET(#REF!,0,0,COUNTA(#REF!))</definedName>
    <definedName name="ריקה" localSheetId="1">#REF!</definedName>
    <definedName name="ריקה">#REF!</definedName>
    <definedName name="תשלום_שלא_כובד" localSheetId="1">#REF!</definedName>
    <definedName name="תשלום_שלא_כובד">#REF!</definedName>
  </definedNames>
  <calcPr calcId="145621"/>
  <fileRecoveryPr autoRecover="0"/>
</workbook>
</file>

<file path=xl/calcChain.xml><?xml version="1.0" encoding="utf-8"?>
<calcChain xmlns="http://schemas.openxmlformats.org/spreadsheetml/2006/main">
  <c r="G1" i="26" l="1"/>
  <c r="Z6" i="5"/>
  <c r="Z6" i="8"/>
  <c r="Z6" i="4"/>
  <c r="N2" i="8"/>
  <c r="N2" i="9"/>
  <c r="N2" i="10"/>
  <c r="N2" i="11"/>
  <c r="N2" i="12"/>
  <c r="M2" i="5"/>
  <c r="M2" i="8"/>
  <c r="M2" i="9"/>
  <c r="M2" i="10"/>
  <c r="M2" i="11"/>
  <c r="M2" i="12"/>
  <c r="M2" i="13"/>
  <c r="N2" i="5"/>
  <c r="B45" i="4"/>
  <c r="B45" i="5"/>
  <c r="B45" i="8"/>
  <c r="B45" i="9"/>
  <c r="B45" i="10"/>
  <c r="B45" i="11"/>
  <c r="B45" i="12"/>
  <c r="B45" i="13"/>
  <c r="B45" i="14"/>
  <c r="B45" i="15"/>
  <c r="B45" i="16"/>
  <c r="B45" i="17"/>
  <c r="F1" i="26"/>
  <c r="S58" i="5"/>
  <c r="S58" i="8"/>
  <c r="S58" i="9"/>
  <c r="S58" i="10"/>
  <c r="S58" i="11"/>
  <c r="S58" i="12"/>
  <c r="S58" i="13"/>
  <c r="S58" i="14"/>
  <c r="S58" i="15"/>
  <c r="S58" i="16"/>
  <c r="S58" i="17"/>
  <c r="S58" i="4"/>
  <c r="Q58" i="5"/>
  <c r="Q58" i="8"/>
  <c r="Q58" i="9"/>
  <c r="Q58" i="10"/>
  <c r="Q58" i="11"/>
  <c r="Q58" i="12"/>
  <c r="Q58" i="13"/>
  <c r="Q58" i="14"/>
  <c r="Q58" i="15"/>
  <c r="Q58" i="16"/>
  <c r="Q58" i="17"/>
  <c r="Q58" i="4"/>
  <c r="Y39" i="4"/>
  <c r="Y38" i="4"/>
  <c r="Y37" i="4"/>
  <c r="B50" i="4"/>
  <c r="B10" i="4"/>
  <c r="R7" i="4"/>
  <c r="V7" i="5"/>
  <c r="P7" i="5"/>
  <c r="S7" i="5"/>
  <c r="U7" i="5"/>
  <c r="T7" i="5"/>
  <c r="CX1" i="26"/>
  <c r="CY1" i="26"/>
  <c r="AJ2" i="26"/>
  <c r="AG4" i="26"/>
  <c r="AC6" i="26"/>
  <c r="AC7" i="26"/>
  <c r="E2" i="26"/>
  <c r="BE58" i="26"/>
  <c r="BE57" i="26"/>
  <c r="BE56" i="26"/>
  <c r="BE55" i="26"/>
  <c r="BE54" i="26"/>
  <c r="BE53" i="26"/>
  <c r="BE52" i="26"/>
  <c r="BE51" i="26"/>
  <c r="BE50" i="26"/>
  <c r="BE49" i="26"/>
  <c r="BE48" i="26"/>
  <c r="BE13" i="26"/>
  <c r="BE12" i="26"/>
  <c r="BE11" i="26"/>
  <c r="BE10" i="26"/>
  <c r="BE9" i="26"/>
  <c r="BE8" i="26"/>
  <c r="BE7" i="26"/>
  <c r="BE6" i="26"/>
  <c r="AQ6" i="26"/>
  <c r="BE5" i="26"/>
  <c r="BE4" i="26"/>
  <c r="BE3" i="26"/>
  <c r="BP58" i="26"/>
  <c r="BP57" i="26"/>
  <c r="BP56" i="26"/>
  <c r="BP55" i="26"/>
  <c r="BP54" i="26"/>
  <c r="BP53" i="26"/>
  <c r="BP52" i="26"/>
  <c r="BP51" i="26"/>
  <c r="BP50" i="26"/>
  <c r="BP49" i="26"/>
  <c r="BP48" i="26"/>
  <c r="BP13" i="26"/>
  <c r="BP12" i="26"/>
  <c r="BP11" i="26"/>
  <c r="BP10" i="26"/>
  <c r="BP9" i="26"/>
  <c r="BP8" i="26"/>
  <c r="BP7" i="26"/>
  <c r="BP6" i="26"/>
  <c r="BP5" i="26"/>
  <c r="BP4" i="26"/>
  <c r="BP3" i="26"/>
  <c r="BO58" i="26"/>
  <c r="BO57" i="26"/>
  <c r="BO56" i="26"/>
  <c r="BO55" i="26"/>
  <c r="BO54" i="26"/>
  <c r="BO53" i="26"/>
  <c r="BO52" i="26"/>
  <c r="BO51" i="26"/>
  <c r="BO50" i="26"/>
  <c r="BO49" i="26"/>
  <c r="BO48" i="26"/>
  <c r="BO13" i="26"/>
  <c r="BO12" i="26"/>
  <c r="BO11" i="26"/>
  <c r="BO10" i="26"/>
  <c r="BO9" i="26"/>
  <c r="BO8" i="26"/>
  <c r="BO7" i="26"/>
  <c r="BO6" i="26"/>
  <c r="BO5" i="26"/>
  <c r="BO4" i="26"/>
  <c r="BO3" i="26"/>
  <c r="BN58" i="26"/>
  <c r="BN57" i="26"/>
  <c r="BN56" i="26"/>
  <c r="BN55" i="26"/>
  <c r="BN54" i="26"/>
  <c r="BN53" i="26"/>
  <c r="BN52" i="26"/>
  <c r="BN51" i="26"/>
  <c r="BN50" i="26"/>
  <c r="BN49" i="26"/>
  <c r="BN48" i="26"/>
  <c r="BN13" i="26"/>
  <c r="BN12" i="26"/>
  <c r="BN11" i="26"/>
  <c r="BN10" i="26"/>
  <c r="BN9" i="26"/>
  <c r="BN8" i="26"/>
  <c r="BN7" i="26"/>
  <c r="BN6" i="26"/>
  <c r="BN5" i="26"/>
  <c r="BN4" i="26"/>
  <c r="BN3" i="26"/>
  <c r="BM58" i="26"/>
  <c r="BM57" i="26"/>
  <c r="BM56" i="26"/>
  <c r="BM55" i="26"/>
  <c r="BM54" i="26"/>
  <c r="BM53" i="26"/>
  <c r="BM52" i="26"/>
  <c r="BM51" i="26"/>
  <c r="BM50" i="26"/>
  <c r="BM49" i="26"/>
  <c r="BM48" i="26"/>
  <c r="BM13" i="26"/>
  <c r="BM12" i="26"/>
  <c r="BM11" i="26"/>
  <c r="BM10" i="26"/>
  <c r="BM9" i="26"/>
  <c r="BM8" i="26"/>
  <c r="BM7" i="26"/>
  <c r="BM6" i="26"/>
  <c r="BM5" i="26"/>
  <c r="BM4" i="26"/>
  <c r="BM3" i="26"/>
  <c r="BL58" i="26"/>
  <c r="BL57" i="26"/>
  <c r="BL56" i="26"/>
  <c r="BL55" i="26"/>
  <c r="BL54" i="26"/>
  <c r="BL53" i="26"/>
  <c r="BL52" i="26"/>
  <c r="BL51" i="26"/>
  <c r="BL50" i="26"/>
  <c r="BL49" i="26"/>
  <c r="BL48" i="26"/>
  <c r="BL13" i="26"/>
  <c r="BL12" i="26"/>
  <c r="BL11" i="26"/>
  <c r="BL10" i="26"/>
  <c r="BL9" i="26"/>
  <c r="BL8" i="26"/>
  <c r="BL7" i="26"/>
  <c r="BL6" i="26"/>
  <c r="BL5" i="26"/>
  <c r="BL4" i="26"/>
  <c r="BL3" i="26"/>
  <c r="BK58" i="26"/>
  <c r="BK57" i="26"/>
  <c r="BK56" i="26"/>
  <c r="BK55" i="26"/>
  <c r="BK54" i="26"/>
  <c r="BK53" i="26"/>
  <c r="BK52" i="26"/>
  <c r="BK51" i="26"/>
  <c r="BK50" i="26"/>
  <c r="BK49" i="26"/>
  <c r="BK48" i="26"/>
  <c r="BK13" i="26"/>
  <c r="BK12" i="26"/>
  <c r="BK11" i="26"/>
  <c r="BK10" i="26"/>
  <c r="BK9" i="26"/>
  <c r="BK8" i="26"/>
  <c r="BK7" i="26"/>
  <c r="BK6" i="26"/>
  <c r="BK5" i="26"/>
  <c r="BK4" i="26"/>
  <c r="BK3" i="26"/>
  <c r="BJ58" i="26"/>
  <c r="BJ57" i="26"/>
  <c r="BJ56" i="26"/>
  <c r="BJ55" i="26"/>
  <c r="BJ54" i="26"/>
  <c r="BJ53" i="26"/>
  <c r="BJ52" i="26"/>
  <c r="BJ51" i="26"/>
  <c r="BJ50" i="26"/>
  <c r="BJ49" i="26"/>
  <c r="BJ48" i="26"/>
  <c r="BJ13" i="26"/>
  <c r="BJ12" i="26"/>
  <c r="BJ11" i="26"/>
  <c r="BJ10" i="26"/>
  <c r="BJ9" i="26"/>
  <c r="BJ8" i="26"/>
  <c r="BJ7" i="26"/>
  <c r="BJ6" i="26"/>
  <c r="BJ5" i="26"/>
  <c r="BJ4" i="26"/>
  <c r="BJ3" i="26"/>
  <c r="BI58" i="26"/>
  <c r="BI57" i="26"/>
  <c r="BI56" i="26"/>
  <c r="BI55" i="26"/>
  <c r="BI54" i="26"/>
  <c r="BI53" i="26"/>
  <c r="BI52" i="26"/>
  <c r="BI51" i="26"/>
  <c r="BI50" i="26"/>
  <c r="BI49" i="26"/>
  <c r="BI48" i="26"/>
  <c r="BI13" i="26"/>
  <c r="BI12" i="26"/>
  <c r="BI11" i="26"/>
  <c r="BI10" i="26"/>
  <c r="BI9" i="26"/>
  <c r="BI8" i="26"/>
  <c r="BI7" i="26"/>
  <c r="BI6" i="26"/>
  <c r="BI5" i="26"/>
  <c r="BI4" i="26"/>
  <c r="BI3" i="26"/>
  <c r="BH58" i="26"/>
  <c r="BH57" i="26"/>
  <c r="BH56" i="26"/>
  <c r="BH55" i="26"/>
  <c r="BH54" i="26"/>
  <c r="BH53" i="26"/>
  <c r="BH52" i="26"/>
  <c r="BH51" i="26"/>
  <c r="BH50" i="26"/>
  <c r="BH49" i="26"/>
  <c r="BH48" i="26"/>
  <c r="BH13" i="26"/>
  <c r="BH12" i="26"/>
  <c r="BH11" i="26"/>
  <c r="BH10" i="26"/>
  <c r="BH9" i="26"/>
  <c r="BH8" i="26"/>
  <c r="BH7" i="26"/>
  <c r="BH6" i="26"/>
  <c r="BH5" i="26"/>
  <c r="BH4" i="26"/>
  <c r="BH3" i="26"/>
  <c r="BG58" i="26"/>
  <c r="BG57" i="26"/>
  <c r="BG56" i="26"/>
  <c r="BG55" i="26"/>
  <c r="BG54" i="26"/>
  <c r="BG53" i="26"/>
  <c r="BG52" i="26"/>
  <c r="BG51" i="26"/>
  <c r="BG50" i="26"/>
  <c r="BG49" i="26"/>
  <c r="BG48" i="26"/>
  <c r="BG13" i="26"/>
  <c r="BG12" i="26"/>
  <c r="BG11" i="26"/>
  <c r="BG10" i="26"/>
  <c r="BG9" i="26"/>
  <c r="BG8" i="26"/>
  <c r="BG7" i="26"/>
  <c r="BG6" i="26"/>
  <c r="BG5" i="26"/>
  <c r="BG4" i="26"/>
  <c r="BG3" i="26"/>
  <c r="BF58" i="26"/>
  <c r="BF57" i="26"/>
  <c r="BF56" i="26"/>
  <c r="BF55" i="26"/>
  <c r="BF54" i="26"/>
  <c r="BF53" i="26"/>
  <c r="BF52" i="26"/>
  <c r="BF51" i="26"/>
  <c r="BF50" i="26"/>
  <c r="BF49" i="26"/>
  <c r="BF48" i="26"/>
  <c r="BF13" i="26"/>
  <c r="BF12" i="26"/>
  <c r="BF11" i="26"/>
  <c r="BF10" i="26"/>
  <c r="BF9" i="26"/>
  <c r="BF8" i="26"/>
  <c r="BF7" i="26"/>
  <c r="BF6" i="26"/>
  <c r="BF5" i="26"/>
  <c r="BF4" i="26"/>
  <c r="BF3" i="26"/>
  <c r="BD61" i="26"/>
  <c r="BD49" i="26"/>
  <c r="BD50" i="26"/>
  <c r="BD51" i="26"/>
  <c r="BD52" i="26"/>
  <c r="BD53" i="26"/>
  <c r="BD54" i="26"/>
  <c r="BD55" i="26"/>
  <c r="BD56" i="26"/>
  <c r="BD57" i="26"/>
  <c r="BD58" i="26"/>
  <c r="BD48" i="26"/>
  <c r="BD4" i="26"/>
  <c r="BD5" i="26"/>
  <c r="BD6" i="26"/>
  <c r="BD7" i="26"/>
  <c r="BD8" i="26"/>
  <c r="BD9" i="26"/>
  <c r="BD10" i="26"/>
  <c r="BD11" i="26"/>
  <c r="BD12" i="26"/>
  <c r="BD13" i="26"/>
  <c r="BD14" i="26"/>
  <c r="BD15" i="26"/>
  <c r="BD16" i="26"/>
  <c r="BD17" i="26"/>
  <c r="BD18" i="26"/>
  <c r="BD20" i="26"/>
  <c r="BD21" i="26"/>
  <c r="BD22" i="26"/>
  <c r="BD23" i="26"/>
  <c r="BD24" i="26"/>
  <c r="BD25" i="26"/>
  <c r="BD26" i="26"/>
  <c r="BD27" i="26"/>
  <c r="BD28" i="26"/>
  <c r="BD29" i="26"/>
  <c r="BD30" i="26"/>
  <c r="BD31" i="26"/>
  <c r="BD32" i="26"/>
  <c r="BD33" i="26"/>
  <c r="BD34" i="26"/>
  <c r="BD35" i="26"/>
  <c r="BD36" i="26"/>
  <c r="BD37" i="26"/>
  <c r="BD38" i="26"/>
  <c r="BD39" i="26"/>
  <c r="BD40" i="26"/>
  <c r="BD41" i="26"/>
  <c r="BD42" i="26"/>
  <c r="BD43" i="26"/>
  <c r="BD44" i="26"/>
  <c r="BD45" i="26"/>
  <c r="BD46" i="26"/>
  <c r="BD47" i="26"/>
  <c r="BD3" i="26"/>
  <c r="Y15" i="4"/>
  <c r="AQ57" i="26"/>
  <c r="AP49" i="26"/>
  <c r="AP50" i="26"/>
  <c r="AP51" i="26"/>
  <c r="AP52" i="26"/>
  <c r="AP53" i="26"/>
  <c r="AP54" i="26"/>
  <c r="AP55" i="26"/>
  <c r="AP56" i="26"/>
  <c r="AP57" i="26"/>
  <c r="AP58" i="26"/>
  <c r="AP48" i="26"/>
  <c r="Y42" i="4"/>
  <c r="AQ33" i="26"/>
  <c r="Y40" i="4"/>
  <c r="AQ31" i="26"/>
  <c r="Y30" i="4"/>
  <c r="AQ21" i="26"/>
  <c r="Y27" i="4"/>
  <c r="AQ18" i="26"/>
  <c r="AP4" i="26"/>
  <c r="AP5" i="26"/>
  <c r="AP6" i="26"/>
  <c r="AP7" i="26"/>
  <c r="AP8" i="26"/>
  <c r="AP9" i="26"/>
  <c r="AP10" i="26"/>
  <c r="AP11" i="26"/>
  <c r="AP12" i="26"/>
  <c r="AP13" i="26"/>
  <c r="AP14" i="26"/>
  <c r="AP15" i="26"/>
  <c r="AP16" i="26"/>
  <c r="AP17" i="26"/>
  <c r="AP18" i="26"/>
  <c r="AP19" i="26"/>
  <c r="AP20" i="26"/>
  <c r="AP21" i="26"/>
  <c r="AP22" i="26"/>
  <c r="AP23" i="26"/>
  <c r="AP24" i="26"/>
  <c r="AP25" i="26"/>
  <c r="AP26" i="26"/>
  <c r="AP27" i="26"/>
  <c r="AP28" i="26"/>
  <c r="AP29" i="26"/>
  <c r="AP30" i="26"/>
  <c r="AP31" i="26"/>
  <c r="AP32" i="26"/>
  <c r="AP33" i="26"/>
  <c r="AP34" i="26"/>
  <c r="AP35" i="26"/>
  <c r="AP36" i="26"/>
  <c r="AP37" i="26"/>
  <c r="AP38" i="26"/>
  <c r="AP39" i="26"/>
  <c r="AP40" i="26"/>
  <c r="AP41" i="26"/>
  <c r="AP42" i="26"/>
  <c r="AP43" i="26"/>
  <c r="AP44" i="26"/>
  <c r="AP45" i="26"/>
  <c r="AP46" i="26"/>
  <c r="AP47" i="26"/>
  <c r="AP3" i="26"/>
  <c r="N58" i="12"/>
  <c r="N58" i="8"/>
  <c r="N58" i="9"/>
  <c r="N58" i="10"/>
  <c r="N58" i="11"/>
  <c r="N58" i="13"/>
  <c r="N58" i="14"/>
  <c r="N58" i="15"/>
  <c r="N58" i="16"/>
  <c r="N58" i="17"/>
  <c r="Z25" i="4"/>
  <c r="BR16" i="26"/>
  <c r="Z23" i="4"/>
  <c r="BR14" i="26"/>
  <c r="BL5" i="24"/>
  <c r="BJ5" i="24"/>
  <c r="BH5" i="24"/>
  <c r="BG5" i="24"/>
  <c r="BM5" i="24"/>
  <c r="AT40" i="24"/>
  <c r="BA40" i="24"/>
  <c r="B27" i="4"/>
  <c r="BD39" i="24"/>
  <c r="BD38" i="24"/>
  <c r="BD37" i="24"/>
  <c r="BD36" i="24"/>
  <c r="BD35" i="24"/>
  <c r="BD34" i="24"/>
  <c r="BD33" i="24"/>
  <c r="BD32" i="24"/>
  <c r="BD31" i="24"/>
  <c r="BD30" i="24"/>
  <c r="BD29" i="24"/>
  <c r="BD28" i="24"/>
  <c r="BD27" i="24"/>
  <c r="BD26" i="24"/>
  <c r="BD25" i="24"/>
  <c r="BD24" i="24"/>
  <c r="BD23" i="24"/>
  <c r="BD22" i="24"/>
  <c r="BD21" i="24"/>
  <c r="BD20" i="24"/>
  <c r="BD19" i="24"/>
  <c r="BD18" i="24"/>
  <c r="BD17" i="24"/>
  <c r="BD15" i="24"/>
  <c r="BD14" i="24"/>
  <c r="BD13" i="24"/>
  <c r="BD12" i="24"/>
  <c r="BD11" i="24"/>
  <c r="BD10" i="24"/>
  <c r="BD9" i="24"/>
  <c r="BD7" i="24"/>
  <c r="AT39" i="24"/>
  <c r="AT38" i="24"/>
  <c r="AT37" i="24"/>
  <c r="AT36" i="24"/>
  <c r="AT35" i="24"/>
  <c r="AT34" i="24"/>
  <c r="AT33" i="24"/>
  <c r="AT32" i="24"/>
  <c r="AT31" i="24"/>
  <c r="AT30" i="24"/>
  <c r="AT29" i="24"/>
  <c r="AT28" i="24"/>
  <c r="AT27" i="24"/>
  <c r="AT26" i="24"/>
  <c r="AT25" i="24"/>
  <c r="AT24" i="24"/>
  <c r="AT23" i="24"/>
  <c r="AT22" i="24"/>
  <c r="AT21" i="24"/>
  <c r="AT20" i="24"/>
  <c r="AT19" i="24"/>
  <c r="AT18" i="24"/>
  <c r="AT17" i="24"/>
  <c r="AT16" i="24"/>
  <c r="AT15" i="24"/>
  <c r="AT14" i="24"/>
  <c r="AT13" i="24"/>
  <c r="AT12" i="24"/>
  <c r="AT11" i="24"/>
  <c r="AT10" i="24"/>
  <c r="AT9" i="24"/>
  <c r="AT8" i="24"/>
  <c r="AT7" i="24"/>
  <c r="AT6" i="24"/>
  <c r="S59" i="4"/>
  <c r="Q59" i="4"/>
  <c r="D10" i="25"/>
  <c r="AN38" i="24"/>
  <c r="AI38" i="24"/>
  <c r="AD38" i="24"/>
  <c r="AN15" i="24"/>
  <c r="AI15" i="24"/>
  <c r="AD15" i="24"/>
  <c r="AN3" i="24"/>
  <c r="AI3" i="24"/>
  <c r="AD3" i="24"/>
  <c r="T40" i="24"/>
  <c r="O40" i="24"/>
  <c r="O27" i="24"/>
  <c r="S13" i="24"/>
  <c r="O13" i="24"/>
  <c r="O3" i="24"/>
  <c r="AQ28" i="26"/>
  <c r="Z10" i="4"/>
  <c r="BR52" i="26"/>
  <c r="AQ34" i="24"/>
  <c r="C7" i="4"/>
  <c r="D40" i="5"/>
  <c r="BF61" i="26"/>
  <c r="D40" i="8"/>
  <c r="BG61" i="26"/>
  <c r="D40" i="9"/>
  <c r="BH61" i="26"/>
  <c r="D40" i="10"/>
  <c r="BI61" i="26"/>
  <c r="D40" i="11"/>
  <c r="BJ61" i="26"/>
  <c r="D40" i="12"/>
  <c r="BK61" i="26"/>
  <c r="D40" i="13"/>
  <c r="BL61" i="26"/>
  <c r="D40" i="14"/>
  <c r="BM61" i="26"/>
  <c r="D40" i="15"/>
  <c r="BN61" i="26"/>
  <c r="D40" i="16"/>
  <c r="BO61" i="26"/>
  <c r="D40" i="17"/>
  <c r="BP61" i="26"/>
  <c r="D40" i="4"/>
  <c r="BE61" i="26"/>
  <c r="W64" i="4"/>
  <c r="M110" i="8"/>
  <c r="M109" i="8"/>
  <c r="M108" i="8"/>
  <c r="M107" i="8"/>
  <c r="M106" i="8"/>
  <c r="M105" i="8"/>
  <c r="M104" i="8"/>
  <c r="M103" i="8"/>
  <c r="M102" i="8"/>
  <c r="M101" i="8"/>
  <c r="M100" i="8"/>
  <c r="M99" i="8"/>
  <c r="M98" i="8"/>
  <c r="M97" i="8"/>
  <c r="M96" i="8"/>
  <c r="M95" i="8"/>
  <c r="M94" i="8"/>
  <c r="M93" i="8"/>
  <c r="M92" i="8"/>
  <c r="M91" i="8"/>
  <c r="M90" i="8"/>
  <c r="M89" i="8"/>
  <c r="M88" i="8"/>
  <c r="M87" i="8"/>
  <c r="M86" i="8"/>
  <c r="M85" i="8"/>
  <c r="M84" i="8"/>
  <c r="M83" i="8"/>
  <c r="M82" i="8"/>
  <c r="M81" i="8"/>
  <c r="M80" i="8"/>
  <c r="M79" i="8"/>
  <c r="M78" i="8"/>
  <c r="M77" i="8"/>
  <c r="M76" i="8"/>
  <c r="M75" i="8"/>
  <c r="M74" i="8"/>
  <c r="M73" i="8"/>
  <c r="M72" i="8"/>
  <c r="M71" i="8"/>
  <c r="M70" i="8"/>
  <c r="M69" i="8"/>
  <c r="M68" i="8"/>
  <c r="M67" i="8"/>
  <c r="M66" i="8"/>
  <c r="M65" i="8"/>
  <c r="M64" i="8"/>
  <c r="M110" i="9"/>
  <c r="M109" i="9"/>
  <c r="M108" i="9"/>
  <c r="M107" i="9"/>
  <c r="M106" i="9"/>
  <c r="M105" i="9"/>
  <c r="M104" i="9"/>
  <c r="M103" i="9"/>
  <c r="M102" i="9"/>
  <c r="M101" i="9"/>
  <c r="M100" i="9"/>
  <c r="M99" i="9"/>
  <c r="M98" i="9"/>
  <c r="M97" i="9"/>
  <c r="M96" i="9"/>
  <c r="M95" i="9"/>
  <c r="M94" i="9"/>
  <c r="M93" i="9"/>
  <c r="M92" i="9"/>
  <c r="M91" i="9"/>
  <c r="M90" i="9"/>
  <c r="M89" i="9"/>
  <c r="M88" i="9"/>
  <c r="M87" i="9"/>
  <c r="M86" i="9"/>
  <c r="M85" i="9"/>
  <c r="M84" i="9"/>
  <c r="M83" i="9"/>
  <c r="M82" i="9"/>
  <c r="M81" i="9"/>
  <c r="M80" i="9"/>
  <c r="M79" i="9"/>
  <c r="M78" i="9"/>
  <c r="M77" i="9"/>
  <c r="M76" i="9"/>
  <c r="M75" i="9"/>
  <c r="M74" i="9"/>
  <c r="M73" i="9"/>
  <c r="M72" i="9"/>
  <c r="M71" i="9"/>
  <c r="M70" i="9"/>
  <c r="M69" i="9"/>
  <c r="M68" i="9"/>
  <c r="M67" i="9"/>
  <c r="M66" i="9"/>
  <c r="M65" i="9"/>
  <c r="M64" i="9"/>
  <c r="M110" i="10"/>
  <c r="M109" i="10"/>
  <c r="M108" i="10"/>
  <c r="M107" i="10"/>
  <c r="M106" i="10"/>
  <c r="M105" i="10"/>
  <c r="M104" i="10"/>
  <c r="M103" i="10"/>
  <c r="M102" i="10"/>
  <c r="M101" i="10"/>
  <c r="M100" i="10"/>
  <c r="M99" i="10"/>
  <c r="M98" i="10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110" i="11"/>
  <c r="M109" i="11"/>
  <c r="M108" i="11"/>
  <c r="M107" i="11"/>
  <c r="M106" i="11"/>
  <c r="M105" i="11"/>
  <c r="M104" i="11"/>
  <c r="M103" i="11"/>
  <c r="M102" i="11"/>
  <c r="M101" i="11"/>
  <c r="M100" i="11"/>
  <c r="M99" i="11"/>
  <c r="M98" i="11"/>
  <c r="M97" i="11"/>
  <c r="M96" i="11"/>
  <c r="M95" i="11"/>
  <c r="M94" i="11"/>
  <c r="M93" i="11"/>
  <c r="M92" i="11"/>
  <c r="M91" i="11"/>
  <c r="M90" i="11"/>
  <c r="M89" i="1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110" i="12"/>
  <c r="M109" i="12"/>
  <c r="M108" i="12"/>
  <c r="M107" i="12"/>
  <c r="M106" i="12"/>
  <c r="M105" i="12"/>
  <c r="M104" i="12"/>
  <c r="M103" i="12"/>
  <c r="M102" i="12"/>
  <c r="M101" i="12"/>
  <c r="M100" i="12"/>
  <c r="M99" i="12"/>
  <c r="M98" i="12"/>
  <c r="M97" i="12"/>
  <c r="M96" i="12"/>
  <c r="M95" i="12"/>
  <c r="M94" i="12"/>
  <c r="M93" i="12"/>
  <c r="M92" i="12"/>
  <c r="M91" i="12"/>
  <c r="M90" i="12"/>
  <c r="M89" i="12"/>
  <c r="M88" i="12"/>
  <c r="M87" i="12"/>
  <c r="M86" i="12"/>
  <c r="M85" i="12"/>
  <c r="M84" i="12"/>
  <c r="M83" i="12"/>
  <c r="M82" i="12"/>
  <c r="M81" i="12"/>
  <c r="M80" i="12"/>
  <c r="M79" i="12"/>
  <c r="M78" i="12"/>
  <c r="M77" i="12"/>
  <c r="M76" i="12"/>
  <c r="M75" i="12"/>
  <c r="M74" i="12"/>
  <c r="M73" i="12"/>
  <c r="M72" i="12"/>
  <c r="M71" i="12"/>
  <c r="M70" i="12"/>
  <c r="M69" i="12"/>
  <c r="M68" i="12"/>
  <c r="M67" i="12"/>
  <c r="M66" i="12"/>
  <c r="M65" i="12"/>
  <c r="M64" i="12"/>
  <c r="M110" i="13"/>
  <c r="M109" i="13"/>
  <c r="M108" i="13"/>
  <c r="M107" i="13"/>
  <c r="M106" i="13"/>
  <c r="M105" i="13"/>
  <c r="M104" i="13"/>
  <c r="M103" i="13"/>
  <c r="M102" i="13"/>
  <c r="M101" i="13"/>
  <c r="M100" i="13"/>
  <c r="M99" i="13"/>
  <c r="M98" i="13"/>
  <c r="M97" i="13"/>
  <c r="M96" i="13"/>
  <c r="M95" i="13"/>
  <c r="M94" i="13"/>
  <c r="M93" i="13"/>
  <c r="M92" i="13"/>
  <c r="M91" i="13"/>
  <c r="M90" i="13"/>
  <c r="M89" i="13"/>
  <c r="M88" i="13"/>
  <c r="M87" i="13"/>
  <c r="M86" i="13"/>
  <c r="M85" i="13"/>
  <c r="M84" i="13"/>
  <c r="M83" i="13"/>
  <c r="M82" i="13"/>
  <c r="M81" i="13"/>
  <c r="M80" i="13"/>
  <c r="M79" i="13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110" i="14"/>
  <c r="M109" i="14"/>
  <c r="M108" i="14"/>
  <c r="M107" i="14"/>
  <c r="M106" i="14"/>
  <c r="M105" i="14"/>
  <c r="M104" i="14"/>
  <c r="M103" i="14"/>
  <c r="M102" i="14"/>
  <c r="M101" i="14"/>
  <c r="M100" i="14"/>
  <c r="M99" i="14"/>
  <c r="M98" i="14"/>
  <c r="M97" i="14"/>
  <c r="M96" i="14"/>
  <c r="M95" i="14"/>
  <c r="M94" i="14"/>
  <c r="M93" i="14"/>
  <c r="M92" i="14"/>
  <c r="M91" i="14"/>
  <c r="M90" i="14"/>
  <c r="M89" i="14"/>
  <c r="M88" i="14"/>
  <c r="M87" i="14"/>
  <c r="M86" i="14"/>
  <c r="M85" i="14"/>
  <c r="M84" i="14"/>
  <c r="M83" i="14"/>
  <c r="M82" i="14"/>
  <c r="M81" i="14"/>
  <c r="M80" i="14"/>
  <c r="M79" i="14"/>
  <c r="M78" i="14"/>
  <c r="M77" i="14"/>
  <c r="M76" i="14"/>
  <c r="M75" i="14"/>
  <c r="M74" i="14"/>
  <c r="M73" i="14"/>
  <c r="M72" i="14"/>
  <c r="M71" i="14"/>
  <c r="M70" i="14"/>
  <c r="M69" i="14"/>
  <c r="M68" i="14"/>
  <c r="M67" i="14"/>
  <c r="M66" i="14"/>
  <c r="M65" i="14"/>
  <c r="M64" i="14"/>
  <c r="M110" i="15"/>
  <c r="M109" i="15"/>
  <c r="M108" i="15"/>
  <c r="M107" i="15"/>
  <c r="M106" i="15"/>
  <c r="M105" i="15"/>
  <c r="M104" i="15"/>
  <c r="M103" i="15"/>
  <c r="M102" i="15"/>
  <c r="M101" i="15"/>
  <c r="M100" i="15"/>
  <c r="M99" i="15"/>
  <c r="M98" i="15"/>
  <c r="M97" i="15"/>
  <c r="M96" i="15"/>
  <c r="M95" i="15"/>
  <c r="M94" i="15"/>
  <c r="M93" i="15"/>
  <c r="M92" i="15"/>
  <c r="M91" i="15"/>
  <c r="M90" i="15"/>
  <c r="M89" i="15"/>
  <c r="M88" i="15"/>
  <c r="M87" i="15"/>
  <c r="M86" i="15"/>
  <c r="M85" i="15"/>
  <c r="M84" i="15"/>
  <c r="M83" i="15"/>
  <c r="M82" i="15"/>
  <c r="M81" i="15"/>
  <c r="M80" i="15"/>
  <c r="M79" i="15"/>
  <c r="M78" i="15"/>
  <c r="M77" i="15"/>
  <c r="M76" i="15"/>
  <c r="M75" i="15"/>
  <c r="M74" i="15"/>
  <c r="M73" i="15"/>
  <c r="M72" i="15"/>
  <c r="M71" i="15"/>
  <c r="M70" i="15"/>
  <c r="M69" i="15"/>
  <c r="M68" i="15"/>
  <c r="M67" i="15"/>
  <c r="M66" i="15"/>
  <c r="M65" i="15"/>
  <c r="M64" i="15"/>
  <c r="M110" i="16"/>
  <c r="M109" i="16"/>
  <c r="M108" i="16"/>
  <c r="M107" i="16"/>
  <c r="M106" i="16"/>
  <c r="M105" i="16"/>
  <c r="M104" i="16"/>
  <c r="M103" i="16"/>
  <c r="M102" i="16"/>
  <c r="M101" i="16"/>
  <c r="M100" i="16"/>
  <c r="M99" i="16"/>
  <c r="M98" i="16"/>
  <c r="M97" i="16"/>
  <c r="M96" i="16"/>
  <c r="M95" i="16"/>
  <c r="M94" i="16"/>
  <c r="M93" i="16"/>
  <c r="M92" i="16"/>
  <c r="M91" i="16"/>
  <c r="M90" i="16"/>
  <c r="M89" i="16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110" i="17"/>
  <c r="M109" i="17"/>
  <c r="M108" i="17"/>
  <c r="M107" i="17"/>
  <c r="M106" i="17"/>
  <c r="M105" i="17"/>
  <c r="M104" i="17"/>
  <c r="M103" i="17"/>
  <c r="M102" i="17"/>
  <c r="M101" i="17"/>
  <c r="M100" i="17"/>
  <c r="M99" i="17"/>
  <c r="M98" i="17"/>
  <c r="M97" i="17"/>
  <c r="M96" i="17"/>
  <c r="M95" i="17"/>
  <c r="M94" i="17"/>
  <c r="M93" i="17"/>
  <c r="M92" i="17"/>
  <c r="M91" i="17"/>
  <c r="M90" i="17"/>
  <c r="M89" i="17"/>
  <c r="M88" i="17"/>
  <c r="M87" i="17"/>
  <c r="M86" i="17"/>
  <c r="M85" i="17"/>
  <c r="M84" i="17"/>
  <c r="M83" i="17"/>
  <c r="M82" i="17"/>
  <c r="M81" i="17"/>
  <c r="M80" i="17"/>
  <c r="M79" i="17"/>
  <c r="M78" i="17"/>
  <c r="M77" i="17"/>
  <c r="M76" i="17"/>
  <c r="M75" i="17"/>
  <c r="M74" i="17"/>
  <c r="M73" i="17"/>
  <c r="M72" i="17"/>
  <c r="M71" i="17"/>
  <c r="M70" i="17"/>
  <c r="M69" i="17"/>
  <c r="M68" i="17"/>
  <c r="M67" i="17"/>
  <c r="M66" i="17"/>
  <c r="M65" i="17"/>
  <c r="M64" i="17"/>
  <c r="M110" i="5"/>
  <c r="M109" i="5"/>
  <c r="M108" i="5"/>
  <c r="M107" i="5"/>
  <c r="M106" i="5"/>
  <c r="M105" i="5"/>
  <c r="M104" i="5"/>
  <c r="M103" i="5"/>
  <c r="M102" i="5"/>
  <c r="M101" i="5"/>
  <c r="M100" i="5"/>
  <c r="M99" i="5"/>
  <c r="M98" i="5"/>
  <c r="M97" i="5"/>
  <c r="M96" i="5"/>
  <c r="M95" i="5"/>
  <c r="M94" i="5"/>
  <c r="M93" i="5"/>
  <c r="M92" i="5"/>
  <c r="M91" i="5"/>
  <c r="M90" i="5"/>
  <c r="M89" i="5"/>
  <c r="M88" i="5"/>
  <c r="M87" i="5"/>
  <c r="M86" i="5"/>
  <c r="M85" i="5"/>
  <c r="M84" i="5"/>
  <c r="M83" i="5"/>
  <c r="M82" i="5"/>
  <c r="M81" i="5"/>
  <c r="M80" i="5"/>
  <c r="M79" i="5"/>
  <c r="M78" i="5"/>
  <c r="M77" i="5"/>
  <c r="M76" i="5"/>
  <c r="M75" i="5"/>
  <c r="M74" i="5"/>
  <c r="M73" i="5"/>
  <c r="M72" i="5"/>
  <c r="M71" i="5"/>
  <c r="M70" i="5"/>
  <c r="M69" i="5"/>
  <c r="M68" i="5"/>
  <c r="M67" i="5"/>
  <c r="M66" i="5"/>
  <c r="M65" i="5"/>
  <c r="M64" i="5"/>
  <c r="W110" i="4"/>
  <c r="W109" i="4"/>
  <c r="W108" i="4"/>
  <c r="W107" i="4"/>
  <c r="W106" i="4"/>
  <c r="W105" i="4"/>
  <c r="W104" i="4"/>
  <c r="W103" i="4"/>
  <c r="W102" i="4"/>
  <c r="W101" i="4"/>
  <c r="W100" i="4"/>
  <c r="W99" i="4"/>
  <c r="W98" i="4"/>
  <c r="W97" i="4"/>
  <c r="W96" i="4"/>
  <c r="W95" i="4"/>
  <c r="W94" i="4"/>
  <c r="W93" i="4"/>
  <c r="W92" i="4"/>
  <c r="W91" i="4"/>
  <c r="W90" i="4"/>
  <c r="W89" i="4"/>
  <c r="W88" i="4"/>
  <c r="W87" i="4"/>
  <c r="W86" i="4"/>
  <c r="W85" i="4"/>
  <c r="W84" i="4"/>
  <c r="W83" i="4"/>
  <c r="W82" i="4"/>
  <c r="W81" i="4"/>
  <c r="W80" i="4"/>
  <c r="W79" i="4"/>
  <c r="W78" i="4"/>
  <c r="W77" i="4"/>
  <c r="W76" i="4"/>
  <c r="W75" i="4"/>
  <c r="W74" i="4"/>
  <c r="W73" i="4"/>
  <c r="W72" i="4"/>
  <c r="W71" i="4"/>
  <c r="W70" i="4"/>
  <c r="W69" i="4"/>
  <c r="W68" i="4"/>
  <c r="W67" i="4"/>
  <c r="W66" i="4"/>
  <c r="W65" i="4"/>
  <c r="R110" i="4"/>
  <c r="R109" i="4"/>
  <c r="R108" i="4"/>
  <c r="R107" i="4"/>
  <c r="R106" i="4"/>
  <c r="R105" i="4"/>
  <c r="R104" i="4"/>
  <c r="R103" i="4"/>
  <c r="R102" i="4"/>
  <c r="R101" i="4"/>
  <c r="R100" i="4"/>
  <c r="R99" i="4"/>
  <c r="R98" i="4"/>
  <c r="R97" i="4"/>
  <c r="R96" i="4"/>
  <c r="R95" i="4"/>
  <c r="R94" i="4"/>
  <c r="R93" i="4"/>
  <c r="R92" i="4"/>
  <c r="R91" i="4"/>
  <c r="R90" i="4"/>
  <c r="R89" i="4"/>
  <c r="R88" i="4"/>
  <c r="R87" i="4"/>
  <c r="R86" i="4"/>
  <c r="R85" i="4"/>
  <c r="R84" i="4"/>
  <c r="R83" i="4"/>
  <c r="R82" i="4"/>
  <c r="R81" i="4"/>
  <c r="R80" i="4"/>
  <c r="R79" i="4"/>
  <c r="R78" i="4"/>
  <c r="R77" i="4"/>
  <c r="R76" i="4"/>
  <c r="R75" i="4"/>
  <c r="R74" i="4"/>
  <c r="R73" i="4"/>
  <c r="R72" i="4"/>
  <c r="R71" i="4"/>
  <c r="R70" i="4"/>
  <c r="R69" i="4"/>
  <c r="R68" i="4"/>
  <c r="R67" i="4"/>
  <c r="R66" i="4"/>
  <c r="R65" i="4"/>
  <c r="R64" i="4"/>
  <c r="M110" i="4"/>
  <c r="M109" i="4"/>
  <c r="M108" i="4"/>
  <c r="M107" i="4"/>
  <c r="M106" i="4"/>
  <c r="M105" i="4"/>
  <c r="M104" i="4"/>
  <c r="M103" i="4"/>
  <c r="M102" i="4"/>
  <c r="M101" i="4"/>
  <c r="M100" i="4"/>
  <c r="M99" i="4"/>
  <c r="M98" i="4"/>
  <c r="M97" i="4"/>
  <c r="M96" i="4"/>
  <c r="M95" i="4"/>
  <c r="M94" i="4"/>
  <c r="M93" i="4"/>
  <c r="M92" i="4"/>
  <c r="M91" i="4"/>
  <c r="M90" i="4"/>
  <c r="M89" i="4"/>
  <c r="M88" i="4"/>
  <c r="M87" i="4"/>
  <c r="M86" i="4"/>
  <c r="M85" i="4"/>
  <c r="M84" i="4"/>
  <c r="M83" i="4"/>
  <c r="M82" i="4"/>
  <c r="M81" i="4"/>
  <c r="M80" i="4"/>
  <c r="M79" i="4"/>
  <c r="M78" i="4"/>
  <c r="M77" i="4"/>
  <c r="M76" i="4"/>
  <c r="M75" i="4"/>
  <c r="M74" i="4"/>
  <c r="M73" i="4"/>
  <c r="M72" i="4"/>
  <c r="M71" i="4"/>
  <c r="M70" i="4"/>
  <c r="M69" i="4"/>
  <c r="M68" i="4"/>
  <c r="M67" i="4"/>
  <c r="M66" i="4"/>
  <c r="M65" i="4"/>
  <c r="M64" i="4"/>
  <c r="S71" i="5"/>
  <c r="V71" i="5"/>
  <c r="U71" i="5"/>
  <c r="Q71" i="5"/>
  <c r="R71" i="5"/>
  <c r="T71" i="5"/>
  <c r="P71" i="5"/>
  <c r="T79" i="5"/>
  <c r="P79" i="5"/>
  <c r="S79" i="5"/>
  <c r="V79" i="5"/>
  <c r="U79" i="5"/>
  <c r="Q79" i="5"/>
  <c r="R79" i="5"/>
  <c r="U87" i="5"/>
  <c r="Q87" i="5"/>
  <c r="R87" i="5"/>
  <c r="T87" i="5"/>
  <c r="P87" i="5"/>
  <c r="S87" i="5"/>
  <c r="V87" i="5"/>
  <c r="S99" i="5"/>
  <c r="V99" i="5"/>
  <c r="U99" i="5"/>
  <c r="Q99" i="5"/>
  <c r="R99" i="5"/>
  <c r="T99" i="5"/>
  <c r="P99" i="5"/>
  <c r="U67" i="5"/>
  <c r="Q67" i="5"/>
  <c r="R67" i="5"/>
  <c r="T67" i="5"/>
  <c r="P67" i="5"/>
  <c r="S67" i="5"/>
  <c r="V67" i="5"/>
  <c r="U75" i="5"/>
  <c r="Q75" i="5"/>
  <c r="R75" i="5"/>
  <c r="T75" i="5"/>
  <c r="P75" i="5"/>
  <c r="S75" i="5"/>
  <c r="V75" i="5"/>
  <c r="S83" i="5"/>
  <c r="V83" i="5"/>
  <c r="U83" i="5"/>
  <c r="Q83" i="5"/>
  <c r="R83" i="5"/>
  <c r="T83" i="5"/>
  <c r="P83" i="5"/>
  <c r="T91" i="5"/>
  <c r="P91" i="5"/>
  <c r="S91" i="5"/>
  <c r="V91" i="5"/>
  <c r="U91" i="5"/>
  <c r="Q91" i="5"/>
  <c r="R91" i="5"/>
  <c r="V95" i="5"/>
  <c r="U95" i="5"/>
  <c r="Q95" i="5"/>
  <c r="R95" i="5"/>
  <c r="T95" i="5"/>
  <c r="P95" i="5"/>
  <c r="S95" i="5"/>
  <c r="S103" i="5"/>
  <c r="V103" i="5"/>
  <c r="Q103" i="5"/>
  <c r="U103" i="5"/>
  <c r="P103" i="5"/>
  <c r="T103" i="5"/>
  <c r="U107" i="5"/>
  <c r="Q107" i="5"/>
  <c r="R107" i="5"/>
  <c r="T107" i="5"/>
  <c r="P107" i="5"/>
  <c r="S107" i="5"/>
  <c r="V107" i="5"/>
  <c r="T64" i="5"/>
  <c r="S64" i="5"/>
  <c r="V64" i="5"/>
  <c r="Q64" i="5"/>
  <c r="U64" i="5"/>
  <c r="P64" i="5"/>
  <c r="S68" i="5"/>
  <c r="V68" i="5"/>
  <c r="Q68" i="5"/>
  <c r="U68" i="5"/>
  <c r="P68" i="5"/>
  <c r="T68" i="5"/>
  <c r="U72" i="5"/>
  <c r="P72" i="5"/>
  <c r="T72" i="5"/>
  <c r="S72" i="5"/>
  <c r="V72" i="5"/>
  <c r="Q72" i="5"/>
  <c r="S76" i="5"/>
  <c r="V76" i="5"/>
  <c r="Q76" i="5"/>
  <c r="U76" i="5"/>
  <c r="P76" i="5"/>
  <c r="T76" i="5"/>
  <c r="V80" i="5"/>
  <c r="Q80" i="5"/>
  <c r="U80" i="5"/>
  <c r="P80" i="5"/>
  <c r="T80" i="5"/>
  <c r="S80" i="5"/>
  <c r="U84" i="5"/>
  <c r="P84" i="5"/>
  <c r="T84" i="5"/>
  <c r="S84" i="5"/>
  <c r="V84" i="5"/>
  <c r="Q84" i="5"/>
  <c r="S88" i="5"/>
  <c r="V88" i="5"/>
  <c r="Q88" i="5"/>
  <c r="U88" i="5"/>
  <c r="P88" i="5"/>
  <c r="T88" i="5"/>
  <c r="U92" i="5"/>
  <c r="Q92" i="5"/>
  <c r="R92" i="5"/>
  <c r="T92" i="5"/>
  <c r="P92" i="5"/>
  <c r="S92" i="5"/>
  <c r="V92" i="5"/>
  <c r="S96" i="5"/>
  <c r="V96" i="5"/>
  <c r="U96" i="5"/>
  <c r="Q96" i="5"/>
  <c r="R96" i="5"/>
  <c r="T96" i="5"/>
  <c r="P96" i="5"/>
  <c r="U100" i="5"/>
  <c r="P100" i="5"/>
  <c r="T100" i="5"/>
  <c r="S100" i="5"/>
  <c r="V100" i="5"/>
  <c r="Q100" i="5"/>
  <c r="U104" i="5"/>
  <c r="P104" i="5"/>
  <c r="T104" i="5"/>
  <c r="S104" i="5"/>
  <c r="V104" i="5"/>
  <c r="Q104" i="5"/>
  <c r="S108" i="5"/>
  <c r="V108" i="5"/>
  <c r="Q108" i="5"/>
  <c r="U108" i="5"/>
  <c r="P108" i="5"/>
  <c r="T108" i="5"/>
  <c r="V65" i="5"/>
  <c r="Q65" i="5"/>
  <c r="U65" i="5"/>
  <c r="P65" i="5"/>
  <c r="T65" i="5"/>
  <c r="S65" i="5"/>
  <c r="S73" i="5"/>
  <c r="V73" i="5"/>
  <c r="Q73" i="5"/>
  <c r="U73" i="5"/>
  <c r="P73" i="5"/>
  <c r="T73" i="5"/>
  <c r="S85" i="5"/>
  <c r="V85" i="5"/>
  <c r="Q85" i="5"/>
  <c r="U85" i="5"/>
  <c r="P85" i="5"/>
  <c r="T85" i="5"/>
  <c r="S101" i="5"/>
  <c r="V101" i="5"/>
  <c r="Q101" i="5"/>
  <c r="U101" i="5"/>
  <c r="P101" i="5"/>
  <c r="T101" i="5"/>
  <c r="U69" i="5"/>
  <c r="P69" i="5"/>
  <c r="T69" i="5"/>
  <c r="S69" i="5"/>
  <c r="V69" i="5"/>
  <c r="Q69" i="5"/>
  <c r="U77" i="5"/>
  <c r="P77" i="5"/>
  <c r="T77" i="5"/>
  <c r="S77" i="5"/>
  <c r="V77" i="5"/>
  <c r="Q77" i="5"/>
  <c r="T81" i="5"/>
  <c r="S81" i="5"/>
  <c r="V81" i="5"/>
  <c r="Q81" i="5"/>
  <c r="U81" i="5"/>
  <c r="P81" i="5"/>
  <c r="U89" i="5"/>
  <c r="P89" i="5"/>
  <c r="T89" i="5"/>
  <c r="S89" i="5"/>
  <c r="V89" i="5"/>
  <c r="Q89" i="5"/>
  <c r="S93" i="5"/>
  <c r="V93" i="5"/>
  <c r="Q93" i="5"/>
  <c r="U93" i="5"/>
  <c r="P93" i="5"/>
  <c r="T93" i="5"/>
  <c r="U97" i="5"/>
  <c r="P97" i="5"/>
  <c r="T97" i="5"/>
  <c r="S97" i="5"/>
  <c r="V97" i="5"/>
  <c r="Q97" i="5"/>
  <c r="S105" i="5"/>
  <c r="V105" i="5"/>
  <c r="Q105" i="5"/>
  <c r="U105" i="5"/>
  <c r="P105" i="5"/>
  <c r="T105" i="5"/>
  <c r="U109" i="5"/>
  <c r="P109" i="5"/>
  <c r="T109" i="5"/>
  <c r="S109" i="5"/>
  <c r="V109" i="5"/>
  <c r="Q109" i="5"/>
  <c r="T66" i="5"/>
  <c r="S66" i="5"/>
  <c r="V66" i="5"/>
  <c r="Q66" i="5"/>
  <c r="U66" i="5"/>
  <c r="P66" i="5"/>
  <c r="V70" i="5"/>
  <c r="U70" i="5"/>
  <c r="Q70" i="5"/>
  <c r="T70" i="5"/>
  <c r="P70" i="5"/>
  <c r="S70" i="5"/>
  <c r="T74" i="5"/>
  <c r="P74" i="5"/>
  <c r="S74" i="5"/>
  <c r="V74" i="5"/>
  <c r="U74" i="5"/>
  <c r="Q74" i="5"/>
  <c r="R74" i="5"/>
  <c r="S78" i="5"/>
  <c r="V78" i="5"/>
  <c r="Q78" i="5"/>
  <c r="U78" i="5"/>
  <c r="P78" i="5"/>
  <c r="T78" i="5"/>
  <c r="V82" i="5"/>
  <c r="Q82" i="5"/>
  <c r="U82" i="5"/>
  <c r="P82" i="5"/>
  <c r="T82" i="5"/>
  <c r="S82" i="5"/>
  <c r="T86" i="5"/>
  <c r="P86" i="5"/>
  <c r="S86" i="5"/>
  <c r="V86" i="5"/>
  <c r="U86" i="5"/>
  <c r="Q86" i="5"/>
  <c r="R86" i="5"/>
  <c r="S90" i="5"/>
  <c r="V90" i="5"/>
  <c r="Q90" i="5"/>
  <c r="U90" i="5"/>
  <c r="P90" i="5"/>
  <c r="T90" i="5"/>
  <c r="U94" i="5"/>
  <c r="P94" i="5"/>
  <c r="T94" i="5"/>
  <c r="S94" i="5"/>
  <c r="V94" i="5"/>
  <c r="Q94" i="5"/>
  <c r="V98" i="5"/>
  <c r="U98" i="5"/>
  <c r="Q98" i="5"/>
  <c r="R98" i="5"/>
  <c r="T98" i="5"/>
  <c r="P98" i="5"/>
  <c r="S98" i="5"/>
  <c r="U102" i="5"/>
  <c r="P102" i="5"/>
  <c r="T102" i="5"/>
  <c r="S102" i="5"/>
  <c r="V102" i="5"/>
  <c r="Q102" i="5"/>
  <c r="T106" i="5"/>
  <c r="P106" i="5"/>
  <c r="S106" i="5"/>
  <c r="V106" i="5"/>
  <c r="U106" i="5"/>
  <c r="Q106" i="5"/>
  <c r="V110" i="5"/>
  <c r="U110" i="5"/>
  <c r="Q110" i="5"/>
  <c r="R110" i="5"/>
  <c r="T110" i="5"/>
  <c r="P110" i="5"/>
  <c r="S110" i="5"/>
  <c r="C7" i="5"/>
  <c r="BR3" i="26"/>
  <c r="BI5" i="24"/>
  <c r="BK5" i="24"/>
  <c r="C27" i="4"/>
  <c r="Z16" i="4"/>
  <c r="BR58" i="26"/>
  <c r="Z44" i="4"/>
  <c r="BR35" i="26"/>
  <c r="Z43" i="4"/>
  <c r="BR34" i="26"/>
  <c r="C56" i="4"/>
  <c r="BR47" i="26"/>
  <c r="C55" i="4"/>
  <c r="BR46" i="26"/>
  <c r="C54" i="4"/>
  <c r="BR45" i="26"/>
  <c r="C17" i="4"/>
  <c r="BR13" i="26"/>
  <c r="C16" i="4"/>
  <c r="C15" i="4"/>
  <c r="C14" i="4"/>
  <c r="BR10" i="26"/>
  <c r="AG26" i="24"/>
  <c r="AG25" i="24"/>
  <c r="AG24" i="24"/>
  <c r="AG23" i="24"/>
  <c r="AG22" i="24"/>
  <c r="AG21" i="24"/>
  <c r="AG20" i="24"/>
  <c r="Y14" i="4"/>
  <c r="AQ56" i="26"/>
  <c r="Y13" i="4"/>
  <c r="AQ55" i="26"/>
  <c r="Y12" i="4"/>
  <c r="AQ54" i="26"/>
  <c r="Y11" i="4"/>
  <c r="AQ53" i="26"/>
  <c r="Y10" i="4"/>
  <c r="AQ52" i="26"/>
  <c r="Y9" i="4"/>
  <c r="AQ51" i="26"/>
  <c r="Y8" i="4"/>
  <c r="AQ50" i="26"/>
  <c r="Y7" i="4"/>
  <c r="AQ49" i="26"/>
  <c r="Y6" i="4"/>
  <c r="AQ48" i="26"/>
  <c r="Y16" i="4"/>
  <c r="AQ58" i="26"/>
  <c r="Y41" i="4"/>
  <c r="AQ32" i="26"/>
  <c r="AQ30" i="26"/>
  <c r="AQ29" i="26"/>
  <c r="Y36" i="4"/>
  <c r="AQ27" i="26"/>
  <c r="Y35" i="4"/>
  <c r="AQ26" i="26"/>
  <c r="Y34" i="4"/>
  <c r="AQ25" i="26"/>
  <c r="Y33" i="4"/>
  <c r="AQ24" i="26"/>
  <c r="Y32" i="4"/>
  <c r="AQ23" i="26"/>
  <c r="Y31" i="4"/>
  <c r="AQ22" i="26"/>
  <c r="Y29" i="4"/>
  <c r="AQ20" i="26"/>
  <c r="Y28" i="4"/>
  <c r="AQ19" i="26"/>
  <c r="Y26" i="4"/>
  <c r="AQ17" i="26"/>
  <c r="Y25" i="4"/>
  <c r="AQ16" i="26"/>
  <c r="Y24" i="4"/>
  <c r="AQ15" i="26"/>
  <c r="Y23" i="4"/>
  <c r="AQ14" i="26"/>
  <c r="Y44" i="4"/>
  <c r="AQ35" i="26"/>
  <c r="Y43" i="4"/>
  <c r="AQ34" i="26"/>
  <c r="G16" i="24"/>
  <c r="B53" i="4"/>
  <c r="AQ44" i="26"/>
  <c r="B52" i="4"/>
  <c r="AQ43" i="26"/>
  <c r="B51" i="4"/>
  <c r="AQ42" i="26"/>
  <c r="AQ41" i="26"/>
  <c r="B49" i="4"/>
  <c r="AQ40" i="26"/>
  <c r="B48" i="4"/>
  <c r="AQ39" i="26"/>
  <c r="B47" i="4"/>
  <c r="AQ38" i="26"/>
  <c r="AQ36" i="26"/>
  <c r="B46" i="4"/>
  <c r="AQ37" i="26"/>
  <c r="B56" i="4"/>
  <c r="AQ47" i="26"/>
  <c r="B55" i="4"/>
  <c r="AQ46" i="26"/>
  <c r="B54" i="4"/>
  <c r="AQ45" i="26"/>
  <c r="B17" i="4"/>
  <c r="AQ13" i="26"/>
  <c r="B16" i="4"/>
  <c r="AQ12" i="26"/>
  <c r="B15" i="4"/>
  <c r="AQ11" i="26"/>
  <c r="B14" i="4"/>
  <c r="AQ10" i="26"/>
  <c r="B13" i="4"/>
  <c r="AQ9" i="26"/>
  <c r="B12" i="4"/>
  <c r="AQ8" i="26"/>
  <c r="B11" i="4"/>
  <c r="AQ7" i="26"/>
  <c r="B9" i="4"/>
  <c r="AQ5" i="26"/>
  <c r="B8" i="4"/>
  <c r="AQ4" i="26"/>
  <c r="T110" i="8"/>
  <c r="V110" i="8"/>
  <c r="P110" i="8"/>
  <c r="Q110" i="8"/>
  <c r="S110" i="8"/>
  <c r="U110" i="8"/>
  <c r="Q98" i="8"/>
  <c r="R94" i="5"/>
  <c r="U94" i="8"/>
  <c r="Q86" i="8"/>
  <c r="T86" i="8"/>
  <c r="U86" i="8"/>
  <c r="R78" i="5"/>
  <c r="Q78" i="8"/>
  <c r="R105" i="5"/>
  <c r="S105" i="8"/>
  <c r="R93" i="5"/>
  <c r="P93" i="8"/>
  <c r="R85" i="5"/>
  <c r="P85" i="8"/>
  <c r="R76" i="5"/>
  <c r="U76" i="8"/>
  <c r="R68" i="5"/>
  <c r="Q68" i="8"/>
  <c r="U75" i="8"/>
  <c r="S75" i="8"/>
  <c r="P75" i="8"/>
  <c r="V75" i="8"/>
  <c r="T75" i="8"/>
  <c r="Q75" i="8"/>
  <c r="V87" i="8"/>
  <c r="T87" i="8"/>
  <c r="Q87" i="8"/>
  <c r="U87" i="8"/>
  <c r="S87" i="8"/>
  <c r="P87" i="8"/>
  <c r="R90" i="5"/>
  <c r="P90" i="8"/>
  <c r="R69" i="5"/>
  <c r="V69" i="8"/>
  <c r="R65" i="5"/>
  <c r="U65" i="8"/>
  <c r="R104" i="5"/>
  <c r="T104" i="8"/>
  <c r="S92" i="8"/>
  <c r="P92" i="8"/>
  <c r="V92" i="8"/>
  <c r="Q92" i="8"/>
  <c r="T92" i="8"/>
  <c r="U92" i="8"/>
  <c r="R84" i="5"/>
  <c r="V84" i="8"/>
  <c r="R64" i="5"/>
  <c r="V64" i="8"/>
  <c r="S95" i="8"/>
  <c r="U95" i="8"/>
  <c r="V95" i="8"/>
  <c r="P95" i="8"/>
  <c r="T95" i="8"/>
  <c r="Q95" i="8"/>
  <c r="U91" i="8"/>
  <c r="P91" i="8"/>
  <c r="V91" i="8"/>
  <c r="T91" i="8"/>
  <c r="Q91" i="8"/>
  <c r="S91" i="8"/>
  <c r="R106" i="5"/>
  <c r="V106" i="8"/>
  <c r="R101" i="5"/>
  <c r="T101" i="8"/>
  <c r="R73" i="5"/>
  <c r="S73" i="8"/>
  <c r="R108" i="5"/>
  <c r="S108" i="8"/>
  <c r="R88" i="5"/>
  <c r="V88" i="8"/>
  <c r="T107" i="8"/>
  <c r="S107" i="8"/>
  <c r="P107" i="8"/>
  <c r="V107" i="8"/>
  <c r="Q107" i="8"/>
  <c r="U107" i="8"/>
  <c r="Q83" i="8"/>
  <c r="T83" i="8"/>
  <c r="U83" i="8"/>
  <c r="S83" i="8"/>
  <c r="P83" i="8"/>
  <c r="V83" i="8"/>
  <c r="R102" i="5"/>
  <c r="V102" i="8"/>
  <c r="R82" i="5"/>
  <c r="U82" i="8"/>
  <c r="P74" i="8"/>
  <c r="U74" i="8"/>
  <c r="S74" i="8"/>
  <c r="Q74" i="8"/>
  <c r="V74" i="8"/>
  <c r="T74" i="8"/>
  <c r="R70" i="5"/>
  <c r="P70" i="8"/>
  <c r="R66" i="5"/>
  <c r="U66" i="8"/>
  <c r="R109" i="5"/>
  <c r="V109" i="8"/>
  <c r="R97" i="5"/>
  <c r="P97" i="8"/>
  <c r="R89" i="5"/>
  <c r="U89" i="8"/>
  <c r="R81" i="5"/>
  <c r="U81" i="8"/>
  <c r="R77" i="5"/>
  <c r="T77" i="8"/>
  <c r="R100" i="5"/>
  <c r="V100" i="8"/>
  <c r="R80" i="5"/>
  <c r="S80" i="8"/>
  <c r="R72" i="5"/>
  <c r="S72" i="8"/>
  <c r="R103" i="5"/>
  <c r="P103" i="8"/>
  <c r="U67" i="8"/>
  <c r="S67" i="8"/>
  <c r="Q67" i="8"/>
  <c r="R67" i="8"/>
  <c r="V67" i="8"/>
  <c r="T67" i="8"/>
  <c r="P67" i="8"/>
  <c r="T71" i="8"/>
  <c r="P71" i="8"/>
  <c r="U71" i="8"/>
  <c r="S71" i="8"/>
  <c r="Q71" i="8"/>
  <c r="V71" i="8"/>
  <c r="C16" i="5"/>
  <c r="BS12" i="26"/>
  <c r="BR12" i="26"/>
  <c r="C7" i="8"/>
  <c r="BS3" i="26"/>
  <c r="C15" i="5"/>
  <c r="BS11" i="26"/>
  <c r="BR11" i="26"/>
  <c r="D54" i="4"/>
  <c r="BE45" i="26"/>
  <c r="D56" i="4"/>
  <c r="BE47" i="26"/>
  <c r="D48" i="4"/>
  <c r="BE39" i="26"/>
  <c r="D52" i="4"/>
  <c r="BE43" i="26"/>
  <c r="D55" i="4"/>
  <c r="BE46" i="26"/>
  <c r="D46" i="4"/>
  <c r="BE37" i="26"/>
  <c r="D47" i="4"/>
  <c r="BE38" i="26"/>
  <c r="D49" i="4"/>
  <c r="BE40" i="26"/>
  <c r="D51" i="4"/>
  <c r="BE42" i="26"/>
  <c r="D53" i="4"/>
  <c r="BE44" i="26"/>
  <c r="D45" i="4"/>
  <c r="BE36" i="26"/>
  <c r="D50" i="4"/>
  <c r="BE41" i="26"/>
  <c r="B7" i="4"/>
  <c r="AQ3" i="26"/>
  <c r="G49" i="24"/>
  <c r="G48" i="24"/>
  <c r="G47" i="24"/>
  <c r="G36" i="24"/>
  <c r="G12" i="24"/>
  <c r="G14" i="24"/>
  <c r="Q11" i="24"/>
  <c r="F5" i="24"/>
  <c r="Z9" i="4"/>
  <c r="BR51" i="26"/>
  <c r="BA39" i="24"/>
  <c r="BE39" i="24"/>
  <c r="BA38" i="24"/>
  <c r="BE38" i="24"/>
  <c r="BA37" i="24"/>
  <c r="BE37" i="24"/>
  <c r="BA36" i="24"/>
  <c r="BE36" i="24"/>
  <c r="BA35" i="24"/>
  <c r="BE35" i="24"/>
  <c r="BA34" i="24"/>
  <c r="BE34" i="24"/>
  <c r="BA33" i="24"/>
  <c r="BE33" i="24"/>
  <c r="BA32" i="24"/>
  <c r="BE32" i="24"/>
  <c r="BA31" i="24"/>
  <c r="BE31" i="24"/>
  <c r="BA30" i="24"/>
  <c r="BE30" i="24"/>
  <c r="BA29" i="24"/>
  <c r="BE29" i="24"/>
  <c r="BA28" i="24"/>
  <c r="BE28" i="24"/>
  <c r="BA27" i="24"/>
  <c r="BE27" i="24"/>
  <c r="BA26" i="24"/>
  <c r="BE26" i="24"/>
  <c r="BA25" i="24"/>
  <c r="BE25" i="24"/>
  <c r="BA24" i="24"/>
  <c r="BE24" i="24"/>
  <c r="BA23" i="24"/>
  <c r="BE23" i="24"/>
  <c r="BA22" i="24"/>
  <c r="BE22" i="24"/>
  <c r="BA21" i="24"/>
  <c r="BE21" i="24"/>
  <c r="BA20" i="24"/>
  <c r="BE20" i="24"/>
  <c r="BA19" i="24"/>
  <c r="BE19" i="24"/>
  <c r="BA18" i="24"/>
  <c r="BE18" i="24"/>
  <c r="BA17" i="24"/>
  <c r="BE17" i="24"/>
  <c r="BA16" i="24"/>
  <c r="BA15" i="24"/>
  <c r="BE15" i="24"/>
  <c r="BA14" i="24"/>
  <c r="BE14" i="24"/>
  <c r="BA13" i="24"/>
  <c r="BE13" i="24"/>
  <c r="BA12" i="24"/>
  <c r="BE12" i="24"/>
  <c r="BA11" i="24"/>
  <c r="BE11" i="24"/>
  <c r="BA10" i="24"/>
  <c r="BE10" i="24"/>
  <c r="BA9" i="24"/>
  <c r="BE9" i="24"/>
  <c r="BA8" i="24"/>
  <c r="BA7" i="24"/>
  <c r="BE7" i="24"/>
  <c r="BA6" i="24"/>
  <c r="BA5" i="24"/>
  <c r="AA4" i="21"/>
  <c r="AA5" i="21"/>
  <c r="AA6" i="21"/>
  <c r="AA7" i="21"/>
  <c r="AA8" i="21"/>
  <c r="AA9" i="21"/>
  <c r="AA10" i="21"/>
  <c r="AA11" i="21"/>
  <c r="AA12" i="21"/>
  <c r="AA13" i="21"/>
  <c r="AA14" i="21"/>
  <c r="AA15" i="21"/>
  <c r="AA16" i="21"/>
  <c r="AA17" i="21"/>
  <c r="AA18" i="21"/>
  <c r="AA19" i="21"/>
  <c r="AA20" i="21"/>
  <c r="AA21" i="21"/>
  <c r="AA22" i="21"/>
  <c r="AA23" i="21"/>
  <c r="AA24" i="21"/>
  <c r="AA25" i="21"/>
  <c r="AA26" i="21"/>
  <c r="AA27" i="21"/>
  <c r="AA28" i="21"/>
  <c r="AA29" i="21"/>
  <c r="AA30" i="21"/>
  <c r="AA31" i="21"/>
  <c r="AA32" i="21"/>
  <c r="AA33" i="21"/>
  <c r="AA34" i="21"/>
  <c r="AA35" i="21"/>
  <c r="AA36" i="21"/>
  <c r="AA37" i="21"/>
  <c r="AA38" i="21"/>
  <c r="AA39" i="21"/>
  <c r="AA40" i="21"/>
  <c r="AA41" i="21"/>
  <c r="AA42" i="21"/>
  <c r="AA43" i="21"/>
  <c r="AA44" i="21"/>
  <c r="AA45" i="21"/>
  <c r="AA46" i="21"/>
  <c r="AA47" i="21"/>
  <c r="AA48" i="21"/>
  <c r="AA49" i="21"/>
  <c r="AA50" i="21"/>
  <c r="AA51" i="21"/>
  <c r="AA52" i="21"/>
  <c r="AA53" i="21"/>
  <c r="AA54" i="21"/>
  <c r="AA55" i="21"/>
  <c r="AA56" i="21"/>
  <c r="AA57" i="21"/>
  <c r="AA58" i="21"/>
  <c r="AA59" i="21"/>
  <c r="AA60" i="21"/>
  <c r="AA61" i="21"/>
  <c r="AA62" i="21"/>
  <c r="AA63" i="21"/>
  <c r="AA64" i="21"/>
  <c r="AA65" i="21"/>
  <c r="AA66" i="21"/>
  <c r="AA67" i="21"/>
  <c r="C9" i="4"/>
  <c r="BR5" i="26"/>
  <c r="G6" i="24"/>
  <c r="AV41" i="24"/>
  <c r="L9" i="24"/>
  <c r="N67" i="21"/>
  <c r="M67" i="21"/>
  <c r="L67" i="21"/>
  <c r="K67" i="21"/>
  <c r="J67" i="21"/>
  <c r="I67" i="21"/>
  <c r="H67" i="21"/>
  <c r="G67" i="21"/>
  <c r="F67" i="21"/>
  <c r="E67" i="21"/>
  <c r="D67" i="21"/>
  <c r="C67" i="21"/>
  <c r="G7" i="24"/>
  <c r="G27" i="24"/>
  <c r="Z15" i="4"/>
  <c r="BR57" i="26"/>
  <c r="Z14" i="4"/>
  <c r="BR56" i="26"/>
  <c r="Z13" i="4"/>
  <c r="BR55" i="26"/>
  <c r="Z12" i="4"/>
  <c r="BR54" i="26"/>
  <c r="Z11" i="4"/>
  <c r="BR53" i="26"/>
  <c r="Z8" i="4"/>
  <c r="BR50" i="26"/>
  <c r="Z7" i="4"/>
  <c r="BR49" i="26"/>
  <c r="BR48" i="26"/>
  <c r="C53" i="4"/>
  <c r="BR44" i="26"/>
  <c r="C52" i="4"/>
  <c r="BR43" i="26"/>
  <c r="C51" i="4"/>
  <c r="BR42" i="26"/>
  <c r="C50" i="4"/>
  <c r="BR41" i="26"/>
  <c r="C49" i="4"/>
  <c r="BR40" i="26"/>
  <c r="C48" i="4"/>
  <c r="BR39" i="26"/>
  <c r="C47" i="4"/>
  <c r="BR38" i="26"/>
  <c r="C46" i="4"/>
  <c r="BR37" i="26"/>
  <c r="C45" i="4"/>
  <c r="BR36" i="26"/>
  <c r="C13" i="4"/>
  <c r="BR9" i="26"/>
  <c r="C12" i="4"/>
  <c r="BR8" i="26"/>
  <c r="C11" i="4"/>
  <c r="BR7" i="26"/>
  <c r="C10" i="4"/>
  <c r="BR6" i="26"/>
  <c r="C8" i="4"/>
  <c r="BR4" i="26"/>
  <c r="Z42" i="4"/>
  <c r="BR33" i="26"/>
  <c r="Z41" i="4"/>
  <c r="BR32" i="26"/>
  <c r="Z40" i="4"/>
  <c r="BR31" i="26"/>
  <c r="Z39" i="4"/>
  <c r="BR30" i="26"/>
  <c r="Z38" i="4"/>
  <c r="BR29" i="26"/>
  <c r="Z37" i="4"/>
  <c r="BR28" i="26"/>
  <c r="Z36" i="4"/>
  <c r="BR27" i="26"/>
  <c r="Z35" i="4"/>
  <c r="BR26" i="26"/>
  <c r="Z34" i="4"/>
  <c r="BR25" i="26"/>
  <c r="Z33" i="4"/>
  <c r="BR24" i="26"/>
  <c r="Z32" i="4"/>
  <c r="BR23" i="26"/>
  <c r="Z31" i="4"/>
  <c r="BR22" i="26"/>
  <c r="Z30" i="4"/>
  <c r="BR21" i="26"/>
  <c r="Z29" i="4"/>
  <c r="BR20" i="26"/>
  <c r="Z28" i="4"/>
  <c r="BR19" i="26"/>
  <c r="Z27" i="4"/>
  <c r="BR18" i="26"/>
  <c r="Z26" i="4"/>
  <c r="BR17" i="26"/>
  <c r="Z24" i="4"/>
  <c r="BR15" i="26"/>
  <c r="L15" i="24"/>
  <c r="L14" i="24"/>
  <c r="L13" i="24"/>
  <c r="L12" i="24"/>
  <c r="L11" i="24"/>
  <c r="L10" i="24"/>
  <c r="L8" i="24"/>
  <c r="L7" i="24"/>
  <c r="L6" i="24"/>
  <c r="L5" i="24"/>
  <c r="G45" i="24"/>
  <c r="G44" i="24"/>
  <c r="G43" i="24"/>
  <c r="G42" i="24"/>
  <c r="G41" i="24"/>
  <c r="G39" i="24"/>
  <c r="G37" i="24"/>
  <c r="G35" i="24"/>
  <c r="G34" i="24"/>
  <c r="G30" i="24"/>
  <c r="G29" i="24"/>
  <c r="G28" i="24"/>
  <c r="G20" i="24"/>
  <c r="G19" i="24"/>
  <c r="G18" i="24"/>
  <c r="G17" i="24"/>
  <c r="G15" i="24"/>
  <c r="G13" i="24"/>
  <c r="G10" i="24"/>
  <c r="G8" i="24"/>
  <c r="M7" i="5"/>
  <c r="AG51" i="24"/>
  <c r="K50" i="24"/>
  <c r="J50" i="24"/>
  <c r="AQ50" i="24"/>
  <c r="F46" i="24"/>
  <c r="R49" i="24"/>
  <c r="R48" i="24"/>
  <c r="R47" i="24"/>
  <c r="R46" i="24"/>
  <c r="R45" i="24"/>
  <c r="AL45" i="24"/>
  <c r="F40" i="24"/>
  <c r="G40" i="24"/>
  <c r="W44" i="24"/>
  <c r="R44" i="24"/>
  <c r="W43" i="24"/>
  <c r="R43" i="24"/>
  <c r="W42" i="24"/>
  <c r="R42" i="24"/>
  <c r="Z36" i="24"/>
  <c r="X36" i="24"/>
  <c r="V36" i="24"/>
  <c r="T36" i="24"/>
  <c r="R36" i="24"/>
  <c r="P36" i="24"/>
  <c r="AA35" i="24"/>
  <c r="Y35" i="24"/>
  <c r="W35" i="24"/>
  <c r="U35" i="24"/>
  <c r="S35" i="24"/>
  <c r="Q35" i="24"/>
  <c r="F38" i="24"/>
  <c r="G38" i="24"/>
  <c r="AQ35" i="24"/>
  <c r="AA34" i="24"/>
  <c r="Y34" i="24"/>
  <c r="W34" i="24"/>
  <c r="U34" i="24"/>
  <c r="S34" i="24"/>
  <c r="Q34" i="24"/>
  <c r="AQ33" i="24"/>
  <c r="AA33" i="24"/>
  <c r="Y33" i="24"/>
  <c r="W33" i="24"/>
  <c r="U33" i="24"/>
  <c r="S33" i="24"/>
  <c r="Q33" i="24"/>
  <c r="AQ32" i="24"/>
  <c r="AA32" i="24"/>
  <c r="Y32" i="24"/>
  <c r="W32" i="24"/>
  <c r="U32" i="24"/>
  <c r="S32" i="24"/>
  <c r="Q32" i="24"/>
  <c r="AQ31" i="24"/>
  <c r="AA31" i="24"/>
  <c r="Y31" i="24"/>
  <c r="W31" i="24"/>
  <c r="U31" i="24"/>
  <c r="S31" i="24"/>
  <c r="Q31" i="24"/>
  <c r="AQ30" i="24"/>
  <c r="AA30" i="24"/>
  <c r="Y30" i="24"/>
  <c r="W30" i="24"/>
  <c r="U30" i="24"/>
  <c r="S30" i="24"/>
  <c r="Q30" i="24"/>
  <c r="AQ29" i="24"/>
  <c r="AQ28" i="24"/>
  <c r="AQ27" i="24"/>
  <c r="AQ26" i="24"/>
  <c r="AQ25" i="24"/>
  <c r="AZ41" i="24"/>
  <c r="AV48" i="24"/>
  <c r="K30" i="24"/>
  <c r="AQ24" i="24"/>
  <c r="AL24" i="24"/>
  <c r="AQ23" i="24"/>
  <c r="AL23" i="24"/>
  <c r="AQ22" i="24"/>
  <c r="AL22" i="24"/>
  <c r="U24" i="24"/>
  <c r="F11" i="24"/>
  <c r="G11" i="24"/>
  <c r="AQ21" i="24"/>
  <c r="AL21" i="24"/>
  <c r="AQ20" i="24"/>
  <c r="AL20" i="24"/>
  <c r="AQ19" i="24"/>
  <c r="AL19" i="24"/>
  <c r="AG19" i="24"/>
  <c r="Q21" i="24"/>
  <c r="F9" i="24"/>
  <c r="G9" i="24"/>
  <c r="AQ18" i="24"/>
  <c r="AL18" i="24"/>
  <c r="K16" i="24"/>
  <c r="I36" i="24"/>
  <c r="AQ17" i="24"/>
  <c r="AL17" i="24"/>
  <c r="AG17" i="24"/>
  <c r="AQ12" i="24"/>
  <c r="AQ11" i="24"/>
  <c r="AQ10" i="24"/>
  <c r="AL10" i="24"/>
  <c r="AQ9" i="24"/>
  <c r="AL9" i="24"/>
  <c r="AQ8" i="24"/>
  <c r="AL8" i="24"/>
  <c r="AG8" i="24"/>
  <c r="AQ7" i="24"/>
  <c r="AL7" i="24"/>
  <c r="AG7" i="24"/>
  <c r="AQ6" i="24"/>
  <c r="AL6" i="24"/>
  <c r="AG6" i="24"/>
  <c r="AQ5" i="24"/>
  <c r="AL5" i="24"/>
  <c r="AG5" i="24"/>
  <c r="U93" i="8"/>
  <c r="V80" i="8"/>
  <c r="V97" i="8"/>
  <c r="V93" i="8"/>
  <c r="T108" i="8"/>
  <c r="V105" i="8"/>
  <c r="U90" i="8"/>
  <c r="S84" i="8"/>
  <c r="Q90" i="8"/>
  <c r="U85" i="8"/>
  <c r="P77" i="8"/>
  <c r="T97" i="8"/>
  <c r="P108" i="8"/>
  <c r="T84" i="8"/>
  <c r="Q85" i="8"/>
  <c r="U77" i="8"/>
  <c r="U97" i="8"/>
  <c r="T82" i="8"/>
  <c r="Q108" i="8"/>
  <c r="U108" i="8"/>
  <c r="S101" i="8"/>
  <c r="P84" i="8"/>
  <c r="Q104" i="8"/>
  <c r="S85" i="8"/>
  <c r="Q103" i="8"/>
  <c r="U80" i="8"/>
  <c r="P81" i="8"/>
  <c r="S97" i="8"/>
  <c r="T109" i="8"/>
  <c r="V108" i="8"/>
  <c r="Q73" i="8"/>
  <c r="Q84" i="8"/>
  <c r="R84" i="8"/>
  <c r="T85" i="8"/>
  <c r="V103" i="8"/>
  <c r="P82" i="8"/>
  <c r="P88" i="8"/>
  <c r="U104" i="8"/>
  <c r="Q69" i="8"/>
  <c r="V85" i="8"/>
  <c r="Q93" i="8"/>
  <c r="R93" i="8"/>
  <c r="U105" i="8"/>
  <c r="S100" i="8"/>
  <c r="Q66" i="8"/>
  <c r="R66" i="8"/>
  <c r="S68" i="8"/>
  <c r="U103" i="8"/>
  <c r="V72" i="8"/>
  <c r="P100" i="8"/>
  <c r="P102" i="8"/>
  <c r="V65" i="8"/>
  <c r="T68" i="8"/>
  <c r="V94" i="8"/>
  <c r="Q72" i="8"/>
  <c r="R72" i="8"/>
  <c r="U72" i="9"/>
  <c r="Q100" i="8"/>
  <c r="R100" i="8"/>
  <c r="Q81" i="8"/>
  <c r="S81" i="8"/>
  <c r="S89" i="8"/>
  <c r="Q109" i="8"/>
  <c r="R109" i="8"/>
  <c r="T102" i="8"/>
  <c r="T88" i="8"/>
  <c r="V101" i="8"/>
  <c r="S64" i="8"/>
  <c r="T65" i="8"/>
  <c r="V68" i="8"/>
  <c r="P105" i="8"/>
  <c r="V78" i="8"/>
  <c r="Q94" i="8"/>
  <c r="Q102" i="8"/>
  <c r="P94" i="8"/>
  <c r="S94" i="8"/>
  <c r="P72" i="8"/>
  <c r="U100" i="8"/>
  <c r="V81" i="8"/>
  <c r="Q89" i="8"/>
  <c r="R89" i="8"/>
  <c r="S102" i="8"/>
  <c r="U88" i="8"/>
  <c r="U101" i="8"/>
  <c r="P104" i="8"/>
  <c r="P65" i="8"/>
  <c r="U69" i="8"/>
  <c r="V90" i="8"/>
  <c r="U68" i="8"/>
  <c r="P76" i="8"/>
  <c r="Q105" i="8"/>
  <c r="R105" i="8"/>
  <c r="Q105" i="9"/>
  <c r="T94" i="8"/>
  <c r="U72" i="8"/>
  <c r="T81" i="8"/>
  <c r="V89" i="8"/>
  <c r="Q101" i="8"/>
  <c r="R101" i="8"/>
  <c r="S65" i="8"/>
  <c r="T103" i="8"/>
  <c r="T72" i="8"/>
  <c r="P80" i="8"/>
  <c r="Q80" i="8"/>
  <c r="T100" i="8"/>
  <c r="S77" i="8"/>
  <c r="V77" i="8"/>
  <c r="P89" i="8"/>
  <c r="Q97" i="8"/>
  <c r="S109" i="8"/>
  <c r="U109" i="8"/>
  <c r="S66" i="8"/>
  <c r="T66" i="8"/>
  <c r="Q82" i="8"/>
  <c r="U102" i="8"/>
  <c r="R83" i="8"/>
  <c r="S83" i="9"/>
  <c r="Q88" i="8"/>
  <c r="S88" i="8"/>
  <c r="V73" i="8"/>
  <c r="P101" i="8"/>
  <c r="Q64" i="8"/>
  <c r="U84" i="8"/>
  <c r="S104" i="8"/>
  <c r="Q65" i="8"/>
  <c r="S69" i="8"/>
  <c r="P69" i="8"/>
  <c r="Q70" i="8"/>
  <c r="R70" i="8"/>
  <c r="T70" i="9"/>
  <c r="S90" i="8"/>
  <c r="P68" i="8"/>
  <c r="Q76" i="8"/>
  <c r="S76" i="8"/>
  <c r="R85" i="8"/>
  <c r="V85" i="9"/>
  <c r="T93" i="8"/>
  <c r="T105" i="8"/>
  <c r="T78" i="8"/>
  <c r="P78" i="8"/>
  <c r="R98" i="8"/>
  <c r="U98" i="9"/>
  <c r="P106" i="8"/>
  <c r="Q106" i="8"/>
  <c r="R106" i="8"/>
  <c r="R110" i="8"/>
  <c r="S110" i="9"/>
  <c r="R74" i="8"/>
  <c r="S74" i="9"/>
  <c r="S82" i="8"/>
  <c r="U73" i="8"/>
  <c r="P73" i="8"/>
  <c r="P64" i="8"/>
  <c r="T64" i="8"/>
  <c r="R92" i="8"/>
  <c r="T92" i="9"/>
  <c r="R104" i="8"/>
  <c r="Q104" i="9"/>
  <c r="R69" i="8"/>
  <c r="Q69" i="9"/>
  <c r="V70" i="8"/>
  <c r="R90" i="8"/>
  <c r="V90" i="9"/>
  <c r="S106" i="8"/>
  <c r="S103" i="8"/>
  <c r="T80" i="8"/>
  <c r="Q77" i="8"/>
  <c r="T89" i="8"/>
  <c r="P109" i="8"/>
  <c r="V66" i="8"/>
  <c r="P66" i="8"/>
  <c r="V82" i="8"/>
  <c r="R107" i="8"/>
  <c r="S107" i="9"/>
  <c r="R108" i="8"/>
  <c r="T108" i="9"/>
  <c r="T73" i="8"/>
  <c r="R91" i="8"/>
  <c r="U91" i="9"/>
  <c r="U64" i="8"/>
  <c r="V104" i="8"/>
  <c r="T69" i="8"/>
  <c r="S70" i="8"/>
  <c r="U70" i="8"/>
  <c r="T90" i="8"/>
  <c r="R75" i="8"/>
  <c r="V75" i="9"/>
  <c r="V76" i="8"/>
  <c r="S93" i="8"/>
  <c r="S78" i="8"/>
  <c r="R94" i="8"/>
  <c r="S94" i="9"/>
  <c r="T106" i="8"/>
  <c r="R71" i="8"/>
  <c r="T71" i="9"/>
  <c r="R103" i="8"/>
  <c r="U103" i="9"/>
  <c r="R81" i="8"/>
  <c r="T81" i="9"/>
  <c r="R73" i="8"/>
  <c r="S73" i="9"/>
  <c r="R95" i="8"/>
  <c r="U95" i="9"/>
  <c r="T70" i="8"/>
  <c r="R87" i="8"/>
  <c r="U87" i="9"/>
  <c r="T76" i="8"/>
  <c r="U78" i="8"/>
  <c r="U106" i="8"/>
  <c r="C7" i="9"/>
  <c r="BT3" i="26"/>
  <c r="D57" i="4"/>
  <c r="BE8" i="24"/>
  <c r="BD8" i="24"/>
  <c r="BE6" i="24"/>
  <c r="BD6" i="24"/>
  <c r="BE16" i="24"/>
  <c r="BD16" i="24"/>
  <c r="BE5" i="24"/>
  <c r="BD5" i="24"/>
  <c r="C57" i="4"/>
  <c r="M5" i="4"/>
  <c r="G46" i="24"/>
  <c r="K24" i="24"/>
  <c r="J24" i="24"/>
  <c r="BA41" i="24"/>
  <c r="J22" i="24"/>
  <c r="AL11" i="24"/>
  <c r="F25" i="24"/>
  <c r="G25" i="24"/>
  <c r="S36" i="24"/>
  <c r="W36" i="24"/>
  <c r="AA36" i="24"/>
  <c r="R50" i="24"/>
  <c r="L16" i="24"/>
  <c r="AG27" i="24"/>
  <c r="F31" i="24"/>
  <c r="G31" i="24"/>
  <c r="AQ36" i="24"/>
  <c r="F33" i="24"/>
  <c r="G33" i="24"/>
  <c r="G5" i="24"/>
  <c r="K22" i="24"/>
  <c r="AG9" i="24"/>
  <c r="F24" i="24"/>
  <c r="G24" i="24"/>
  <c r="AQ13" i="24"/>
  <c r="F26" i="24"/>
  <c r="G26" i="24"/>
  <c r="AL25" i="24"/>
  <c r="F32" i="24"/>
  <c r="G32" i="24"/>
  <c r="Q36" i="24"/>
  <c r="U36" i="24"/>
  <c r="Y36" i="24"/>
  <c r="W45" i="24"/>
  <c r="S95" i="9"/>
  <c r="V108" i="9"/>
  <c r="P95" i="9"/>
  <c r="Q95" i="9"/>
  <c r="V95" i="9"/>
  <c r="V73" i="9"/>
  <c r="T95" i="9"/>
  <c r="V91" i="9"/>
  <c r="S66" i="9"/>
  <c r="Q66" i="9"/>
  <c r="U66" i="9"/>
  <c r="P66" i="9"/>
  <c r="V66" i="9"/>
  <c r="T66" i="9"/>
  <c r="P92" i="9"/>
  <c r="T91" i="9"/>
  <c r="P81" i="9"/>
  <c r="U108" i="9"/>
  <c r="T90" i="9"/>
  <c r="U104" i="9"/>
  <c r="Q83" i="9"/>
  <c r="P103" i="9"/>
  <c r="P83" i="9"/>
  <c r="T103" i="9"/>
  <c r="U71" i="9"/>
  <c r="Q103" i="9"/>
  <c r="P74" i="9"/>
  <c r="V72" i="9"/>
  <c r="P98" i="9"/>
  <c r="Q85" i="9"/>
  <c r="U83" i="9"/>
  <c r="V103" i="9"/>
  <c r="S71" i="9"/>
  <c r="Q91" i="9"/>
  <c r="R91" i="9"/>
  <c r="U74" i="9"/>
  <c r="U110" i="9"/>
  <c r="V98" i="9"/>
  <c r="V83" i="9"/>
  <c r="T83" i="9"/>
  <c r="Q74" i="9"/>
  <c r="R74" i="9"/>
  <c r="P72" i="9"/>
  <c r="Q98" i="9"/>
  <c r="R98" i="9"/>
  <c r="Q98" i="10"/>
  <c r="T73" i="9"/>
  <c r="V71" i="9"/>
  <c r="P108" i="9"/>
  <c r="V107" i="9"/>
  <c r="T94" i="9"/>
  <c r="P90" i="9"/>
  <c r="U90" i="9"/>
  <c r="T69" i="9"/>
  <c r="P104" i="9"/>
  <c r="T110" i="9"/>
  <c r="T98" i="9"/>
  <c r="V87" i="9"/>
  <c r="Q73" i="9"/>
  <c r="R73" i="9"/>
  <c r="V81" i="9"/>
  <c r="S108" i="9"/>
  <c r="Q108" i="9"/>
  <c r="R108" i="9"/>
  <c r="S90" i="9"/>
  <c r="P69" i="9"/>
  <c r="T104" i="9"/>
  <c r="S104" i="9"/>
  <c r="V92" i="9"/>
  <c r="P110" i="9"/>
  <c r="S98" i="9"/>
  <c r="P85" i="9"/>
  <c r="U73" i="9"/>
  <c r="V94" i="9"/>
  <c r="Q90" i="9"/>
  <c r="R90" i="9"/>
  <c r="S69" i="9"/>
  <c r="Q110" i="9"/>
  <c r="Q101" i="9"/>
  <c r="Q81" i="9"/>
  <c r="U81" i="9"/>
  <c r="P107" i="9"/>
  <c r="U94" i="9"/>
  <c r="P94" i="9"/>
  <c r="U92" i="9"/>
  <c r="T74" i="9"/>
  <c r="U89" i="9"/>
  <c r="S72" i="9"/>
  <c r="V110" i="9"/>
  <c r="U85" i="9"/>
  <c r="S85" i="9"/>
  <c r="Q107" i="9"/>
  <c r="R107" i="9"/>
  <c r="R77" i="8"/>
  <c r="V77" i="9"/>
  <c r="R64" i="8"/>
  <c r="T64" i="9"/>
  <c r="R88" i="8"/>
  <c r="V88" i="9"/>
  <c r="R82" i="8"/>
  <c r="T82" i="9"/>
  <c r="U101" i="9"/>
  <c r="P73" i="9"/>
  <c r="R66" i="9"/>
  <c r="S66" i="10"/>
  <c r="S81" i="9"/>
  <c r="R103" i="9"/>
  <c r="S103" i="9"/>
  <c r="Q71" i="9"/>
  <c r="U75" i="9"/>
  <c r="V84" i="9"/>
  <c r="U91" i="10"/>
  <c r="P91" i="9"/>
  <c r="U107" i="9"/>
  <c r="T107" i="9"/>
  <c r="Q94" i="9"/>
  <c r="R104" i="9"/>
  <c r="V104" i="10"/>
  <c r="Q92" i="9"/>
  <c r="V74" i="9"/>
  <c r="S89" i="9"/>
  <c r="Q72" i="9"/>
  <c r="T72" i="9"/>
  <c r="T85" i="9"/>
  <c r="R65" i="8"/>
  <c r="V65" i="9"/>
  <c r="R97" i="8"/>
  <c r="T97" i="9"/>
  <c r="P101" i="9"/>
  <c r="Q74" i="10"/>
  <c r="R74" i="10"/>
  <c r="R110" i="9"/>
  <c r="T110" i="10"/>
  <c r="T106" i="9"/>
  <c r="Q106" i="9"/>
  <c r="P106" i="9"/>
  <c r="R76" i="8"/>
  <c r="T76" i="9"/>
  <c r="R80" i="8"/>
  <c r="T80" i="9"/>
  <c r="C7" i="10"/>
  <c r="BU3" i="26"/>
  <c r="BD40" i="24"/>
  <c r="BE40" i="24"/>
  <c r="AV50" i="24"/>
  <c r="J29" i="24"/>
  <c r="F22" i="24"/>
  <c r="G22" i="24"/>
  <c r="F23" i="24"/>
  <c r="G23" i="24"/>
  <c r="AV47" i="24"/>
  <c r="J30" i="24"/>
  <c r="Q37" i="24"/>
  <c r="S82" i="9"/>
  <c r="R85" i="9"/>
  <c r="V98" i="10"/>
  <c r="U82" i="9"/>
  <c r="T98" i="10"/>
  <c r="P76" i="9"/>
  <c r="S64" i="9"/>
  <c r="U98" i="10"/>
  <c r="P88" i="9"/>
  <c r="S90" i="10"/>
  <c r="V90" i="10"/>
  <c r="U74" i="10"/>
  <c r="V74" i="10"/>
  <c r="Q82" i="9"/>
  <c r="R82" i="9"/>
  <c r="Q82" i="10"/>
  <c r="P77" i="9"/>
  <c r="S74" i="10"/>
  <c r="P74" i="10"/>
  <c r="T65" i="9"/>
  <c r="P82" i="9"/>
  <c r="T74" i="10"/>
  <c r="U97" i="9"/>
  <c r="U104" i="10"/>
  <c r="U90" i="10"/>
  <c r="V110" i="10"/>
  <c r="S80" i="9"/>
  <c r="P80" i="9"/>
  <c r="Q76" i="9"/>
  <c r="R76" i="9"/>
  <c r="P76" i="10"/>
  <c r="U76" i="9"/>
  <c r="S104" i="10"/>
  <c r="V82" i="9"/>
  <c r="U77" i="9"/>
  <c r="S77" i="9"/>
  <c r="U107" i="10"/>
  <c r="V107" i="10"/>
  <c r="P107" i="10"/>
  <c r="Q107" i="10"/>
  <c r="R107" i="10"/>
  <c r="T107" i="10"/>
  <c r="S107" i="10"/>
  <c r="P91" i="10"/>
  <c r="P90" i="10"/>
  <c r="Q90" i="10"/>
  <c r="V103" i="10"/>
  <c r="R81" i="9"/>
  <c r="V81" i="10"/>
  <c r="P66" i="10"/>
  <c r="R106" i="9"/>
  <c r="S106" i="10"/>
  <c r="Q91" i="10"/>
  <c r="R91" i="10"/>
  <c r="U103" i="10"/>
  <c r="V66" i="10"/>
  <c r="S76" i="9"/>
  <c r="P110" i="10"/>
  <c r="U65" i="9"/>
  <c r="S65" i="9"/>
  <c r="R72" i="9"/>
  <c r="S72" i="10"/>
  <c r="R92" i="9"/>
  <c r="V92" i="10"/>
  <c r="R71" i="9"/>
  <c r="V71" i="10"/>
  <c r="U88" i="9"/>
  <c r="S88" i="9"/>
  <c r="Q77" i="9"/>
  <c r="R77" i="9"/>
  <c r="T77" i="10"/>
  <c r="S91" i="10"/>
  <c r="T90" i="10"/>
  <c r="P103" i="10"/>
  <c r="T103" i="10"/>
  <c r="Q66" i="10"/>
  <c r="R66" i="10"/>
  <c r="P66" i="11"/>
  <c r="T66" i="10"/>
  <c r="U80" i="9"/>
  <c r="V76" i="9"/>
  <c r="R94" i="9"/>
  <c r="U94" i="10"/>
  <c r="T77" i="9"/>
  <c r="V91" i="10"/>
  <c r="T91" i="10"/>
  <c r="Q103" i="10"/>
  <c r="R103" i="10"/>
  <c r="T103" i="11"/>
  <c r="U66" i="10"/>
  <c r="R101" i="9"/>
  <c r="T101" i="10"/>
  <c r="C7" i="11"/>
  <c r="BV3" i="26"/>
  <c r="J31" i="24"/>
  <c r="F21" i="24"/>
  <c r="AP44" i="5"/>
  <c r="AP43" i="5"/>
  <c r="AP42" i="5"/>
  <c r="AP41" i="5"/>
  <c r="AP40" i="5"/>
  <c r="AP39" i="5"/>
  <c r="AP38" i="5"/>
  <c r="AP37" i="5"/>
  <c r="AP36" i="5"/>
  <c r="AP35" i="5"/>
  <c r="AP34" i="5"/>
  <c r="AP33" i="5"/>
  <c r="AP32" i="5"/>
  <c r="AP31" i="5"/>
  <c r="AP30" i="5"/>
  <c r="AP29" i="5"/>
  <c r="AP28" i="5"/>
  <c r="AP27" i="5"/>
  <c r="AP26" i="5"/>
  <c r="AP25" i="5"/>
  <c r="AP24" i="5"/>
  <c r="AP23" i="5"/>
  <c r="AP44" i="8"/>
  <c r="AP43" i="8"/>
  <c r="AP42" i="8"/>
  <c r="AP41" i="8"/>
  <c r="AP40" i="8"/>
  <c r="AP39" i="8"/>
  <c r="AP38" i="8"/>
  <c r="AP37" i="8"/>
  <c r="AP36" i="8"/>
  <c r="AP35" i="8"/>
  <c r="AP34" i="8"/>
  <c r="AP33" i="8"/>
  <c r="AP32" i="8"/>
  <c r="AP31" i="8"/>
  <c r="AP30" i="8"/>
  <c r="AP29" i="8"/>
  <c r="AP28" i="8"/>
  <c r="AP27" i="8"/>
  <c r="AP26" i="8"/>
  <c r="AP25" i="8"/>
  <c r="AP24" i="8"/>
  <c r="AP23" i="8"/>
  <c r="AP44" i="9"/>
  <c r="AP43" i="9"/>
  <c r="AP42" i="9"/>
  <c r="AP41" i="9"/>
  <c r="AP40" i="9"/>
  <c r="AP39" i="9"/>
  <c r="AP38" i="9"/>
  <c r="AP37" i="9"/>
  <c r="AP36" i="9"/>
  <c r="AP35" i="9"/>
  <c r="AP34" i="9"/>
  <c r="AP33" i="9"/>
  <c r="AP32" i="9"/>
  <c r="AP31" i="9"/>
  <c r="AP30" i="9"/>
  <c r="AP29" i="9"/>
  <c r="AP28" i="9"/>
  <c r="AP27" i="9"/>
  <c r="AP26" i="9"/>
  <c r="AP25" i="9"/>
  <c r="AP24" i="9"/>
  <c r="AP23" i="9"/>
  <c r="AP44" i="10"/>
  <c r="AP43" i="10"/>
  <c r="AP42" i="10"/>
  <c r="AP41" i="10"/>
  <c r="AP40" i="10"/>
  <c r="AP39" i="10"/>
  <c r="AP38" i="10"/>
  <c r="AP37" i="10"/>
  <c r="AP36" i="10"/>
  <c r="AP35" i="10"/>
  <c r="AP34" i="10"/>
  <c r="AP33" i="10"/>
  <c r="AP32" i="10"/>
  <c r="AP31" i="10"/>
  <c r="AP30" i="10"/>
  <c r="AP29" i="10"/>
  <c r="AP28" i="10"/>
  <c r="AP27" i="10"/>
  <c r="AP26" i="10"/>
  <c r="AP25" i="10"/>
  <c r="AP24" i="10"/>
  <c r="AP23" i="10"/>
  <c r="AP44" i="11"/>
  <c r="AP43" i="11"/>
  <c r="AP42" i="11"/>
  <c r="AP41" i="11"/>
  <c r="AP40" i="11"/>
  <c r="AP39" i="11"/>
  <c r="AP38" i="11"/>
  <c r="AP37" i="11"/>
  <c r="AP36" i="11"/>
  <c r="AP35" i="11"/>
  <c r="AP34" i="11"/>
  <c r="AP33" i="11"/>
  <c r="AP32" i="11"/>
  <c r="AP31" i="11"/>
  <c r="AP30" i="11"/>
  <c r="AP29" i="11"/>
  <c r="AP28" i="11"/>
  <c r="AP27" i="11"/>
  <c r="AP26" i="11"/>
  <c r="AP25" i="11"/>
  <c r="AP24" i="11"/>
  <c r="AP23" i="11"/>
  <c r="AP44" i="12"/>
  <c r="AP43" i="12"/>
  <c r="AP42" i="12"/>
  <c r="AP41" i="12"/>
  <c r="AP40" i="12"/>
  <c r="AP39" i="12"/>
  <c r="AP38" i="12"/>
  <c r="AP37" i="12"/>
  <c r="AP36" i="12"/>
  <c r="AP35" i="12"/>
  <c r="AP34" i="12"/>
  <c r="AP33" i="12"/>
  <c r="AP32" i="12"/>
  <c r="AP31" i="12"/>
  <c r="AP30" i="12"/>
  <c r="AP29" i="12"/>
  <c r="AP28" i="12"/>
  <c r="AP27" i="12"/>
  <c r="AP26" i="12"/>
  <c r="AP25" i="12"/>
  <c r="AP24" i="12"/>
  <c r="AP23" i="12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44" i="14"/>
  <c r="AP43" i="14"/>
  <c r="AP42" i="14"/>
  <c r="AP41" i="14"/>
  <c r="AP40" i="14"/>
  <c r="AP39" i="14"/>
  <c r="AP38" i="14"/>
  <c r="AP37" i="14"/>
  <c r="AP36" i="14"/>
  <c r="AP35" i="14"/>
  <c r="AP34" i="14"/>
  <c r="AP33" i="14"/>
  <c r="AP32" i="14"/>
  <c r="AP31" i="14"/>
  <c r="AP30" i="14"/>
  <c r="AP29" i="14"/>
  <c r="AP28" i="14"/>
  <c r="AP27" i="14"/>
  <c r="AP26" i="14"/>
  <c r="AP25" i="14"/>
  <c r="AP24" i="14"/>
  <c r="AP23" i="14"/>
  <c r="AP44" i="15"/>
  <c r="AP43" i="15"/>
  <c r="AP42" i="15"/>
  <c r="AP41" i="15"/>
  <c r="AP40" i="15"/>
  <c r="AP39" i="15"/>
  <c r="AP38" i="15"/>
  <c r="AP37" i="15"/>
  <c r="AP36" i="15"/>
  <c r="AP35" i="15"/>
  <c r="AP34" i="15"/>
  <c r="AP33" i="15"/>
  <c r="AP32" i="15"/>
  <c r="AP31" i="15"/>
  <c r="AP30" i="15"/>
  <c r="AP29" i="15"/>
  <c r="AP28" i="15"/>
  <c r="AP27" i="15"/>
  <c r="AP26" i="15"/>
  <c r="AP25" i="15"/>
  <c r="AP24" i="15"/>
  <c r="AP23" i="15"/>
  <c r="AP44" i="16"/>
  <c r="AP43" i="16"/>
  <c r="AP42" i="16"/>
  <c r="AP41" i="16"/>
  <c r="AP40" i="16"/>
  <c r="AP39" i="16"/>
  <c r="AP38" i="16"/>
  <c r="AP37" i="16"/>
  <c r="AP36" i="16"/>
  <c r="AP35" i="16"/>
  <c r="AP34" i="16"/>
  <c r="AP33" i="16"/>
  <c r="AP32" i="16"/>
  <c r="AP31" i="16"/>
  <c r="AP30" i="16"/>
  <c r="AP29" i="16"/>
  <c r="AP28" i="16"/>
  <c r="AP27" i="16"/>
  <c r="AP26" i="16"/>
  <c r="AP25" i="16"/>
  <c r="AP24" i="16"/>
  <c r="AP23" i="16"/>
  <c r="AP44" i="17"/>
  <c r="AP43" i="17"/>
  <c r="AP42" i="17"/>
  <c r="AP41" i="17"/>
  <c r="AP40" i="17"/>
  <c r="AP39" i="17"/>
  <c r="AP38" i="17"/>
  <c r="AP37" i="17"/>
  <c r="AP36" i="17"/>
  <c r="AP35" i="17"/>
  <c r="AP34" i="17"/>
  <c r="AP33" i="17"/>
  <c r="AP32" i="17"/>
  <c r="AP31" i="17"/>
  <c r="AP30" i="17"/>
  <c r="AP29" i="17"/>
  <c r="AP28" i="17"/>
  <c r="AP27" i="17"/>
  <c r="AP26" i="17"/>
  <c r="AP25" i="17"/>
  <c r="AP24" i="17"/>
  <c r="AP23" i="17"/>
  <c r="AP44" i="4"/>
  <c r="AP43" i="4"/>
  <c r="AP42" i="4"/>
  <c r="AP41" i="4"/>
  <c r="AQ41" i="5"/>
  <c r="AP40" i="4"/>
  <c r="AQ40" i="5"/>
  <c r="AQ40" i="8"/>
  <c r="AQ40" i="9"/>
  <c r="AQ40" i="10"/>
  <c r="AQ40" i="11"/>
  <c r="AQ40" i="12"/>
  <c r="AQ40" i="13"/>
  <c r="AQ40" i="14"/>
  <c r="AQ40" i="15"/>
  <c r="AQ40" i="16"/>
  <c r="AQ40" i="17"/>
  <c r="AP39" i="4"/>
  <c r="AP38" i="4"/>
  <c r="AQ38" i="5"/>
  <c r="AQ38" i="8"/>
  <c r="AQ38" i="9"/>
  <c r="AQ38" i="10"/>
  <c r="AQ38" i="11"/>
  <c r="AQ38" i="12"/>
  <c r="AQ38" i="13"/>
  <c r="AQ38" i="14"/>
  <c r="AQ38" i="15"/>
  <c r="AQ38" i="16"/>
  <c r="AQ38" i="17"/>
  <c r="AP37" i="4"/>
  <c r="AQ37" i="5"/>
  <c r="AP36" i="4"/>
  <c r="AQ36" i="5"/>
  <c r="AQ36" i="8"/>
  <c r="AQ36" i="9"/>
  <c r="AQ36" i="10"/>
  <c r="AQ36" i="11"/>
  <c r="AQ36" i="12"/>
  <c r="AQ36" i="13"/>
  <c r="AQ36" i="14"/>
  <c r="AQ36" i="15"/>
  <c r="AQ36" i="16"/>
  <c r="AQ36" i="17"/>
  <c r="AP35" i="4"/>
  <c r="AP34" i="4"/>
  <c r="AQ34" i="5"/>
  <c r="AQ34" i="8"/>
  <c r="AQ34" i="9"/>
  <c r="AQ34" i="10"/>
  <c r="AQ34" i="11"/>
  <c r="AQ34" i="12"/>
  <c r="AQ34" i="13"/>
  <c r="AQ34" i="14"/>
  <c r="AQ34" i="15"/>
  <c r="AQ34" i="16"/>
  <c r="AQ34" i="17"/>
  <c r="AP33" i="4"/>
  <c r="AQ33" i="5"/>
  <c r="AP32" i="4"/>
  <c r="AQ32" i="5"/>
  <c r="AQ32" i="8"/>
  <c r="AQ32" i="9"/>
  <c r="AQ32" i="10"/>
  <c r="AQ32" i="11"/>
  <c r="AQ32" i="12"/>
  <c r="AQ32" i="13"/>
  <c r="AQ32" i="14"/>
  <c r="AQ32" i="15"/>
  <c r="AQ32" i="16"/>
  <c r="AQ32" i="17"/>
  <c r="AP31" i="4"/>
  <c r="AP30" i="4"/>
  <c r="AQ30" i="5"/>
  <c r="AQ30" i="8"/>
  <c r="AQ30" i="9"/>
  <c r="AQ30" i="10"/>
  <c r="AQ30" i="11"/>
  <c r="AQ30" i="12"/>
  <c r="AQ30" i="13"/>
  <c r="AQ30" i="14"/>
  <c r="AQ30" i="15"/>
  <c r="AQ30" i="16"/>
  <c r="AQ30" i="17"/>
  <c r="AP29" i="4"/>
  <c r="AQ29" i="5"/>
  <c r="AP28" i="4"/>
  <c r="AQ28" i="5"/>
  <c r="AQ28" i="8"/>
  <c r="AQ28" i="9"/>
  <c r="AQ28" i="10"/>
  <c r="AQ28" i="11"/>
  <c r="AQ28" i="12"/>
  <c r="AQ28" i="13"/>
  <c r="AQ28" i="14"/>
  <c r="AQ28" i="15"/>
  <c r="AQ28" i="16"/>
  <c r="AQ28" i="17"/>
  <c r="AP27" i="4"/>
  <c r="AP26" i="4"/>
  <c r="AQ26" i="5"/>
  <c r="AP25" i="4"/>
  <c r="AQ25" i="5"/>
  <c r="AP24" i="4"/>
  <c r="AQ24" i="5"/>
  <c r="AQ24" i="8"/>
  <c r="AQ24" i="9"/>
  <c r="AQ24" i="10"/>
  <c r="AQ24" i="11"/>
  <c r="AQ24" i="12"/>
  <c r="AQ24" i="13"/>
  <c r="AQ24" i="14"/>
  <c r="AQ24" i="15"/>
  <c r="AQ24" i="16"/>
  <c r="AQ24" i="17"/>
  <c r="AP23" i="4"/>
  <c r="T81" i="10"/>
  <c r="U82" i="10"/>
  <c r="U106" i="10"/>
  <c r="Q85" i="10"/>
  <c r="R85" i="10"/>
  <c r="T85" i="11"/>
  <c r="V85" i="10"/>
  <c r="T85" i="10"/>
  <c r="P85" i="10"/>
  <c r="U85" i="10"/>
  <c r="S85" i="10"/>
  <c r="T82" i="10"/>
  <c r="V82" i="10"/>
  <c r="P82" i="10"/>
  <c r="S82" i="10"/>
  <c r="P106" i="10"/>
  <c r="V106" i="10"/>
  <c r="Q106" i="10"/>
  <c r="R106" i="10"/>
  <c r="J23" i="24"/>
  <c r="J25" i="24"/>
  <c r="J36" i="24"/>
  <c r="K36" i="24"/>
  <c r="L36" i="24"/>
  <c r="I38" i="24"/>
  <c r="BD19" i="26"/>
  <c r="V94" i="10"/>
  <c r="T94" i="10"/>
  <c r="T106" i="10"/>
  <c r="S81" i="10"/>
  <c r="Q94" i="10"/>
  <c r="R94" i="10"/>
  <c r="S94" i="10"/>
  <c r="P94" i="10"/>
  <c r="S101" i="10"/>
  <c r="R82" i="10"/>
  <c r="T82" i="11"/>
  <c r="T71" i="10"/>
  <c r="Q72" i="10"/>
  <c r="S92" i="10"/>
  <c r="T92" i="10"/>
  <c r="Q76" i="10"/>
  <c r="R76" i="10"/>
  <c r="V101" i="10"/>
  <c r="P101" i="10"/>
  <c r="U103" i="11"/>
  <c r="P103" i="11"/>
  <c r="U71" i="10"/>
  <c r="Q71" i="10"/>
  <c r="R71" i="10"/>
  <c r="U72" i="10"/>
  <c r="U92" i="10"/>
  <c r="Q92" i="10"/>
  <c r="U81" i="10"/>
  <c r="P81" i="10"/>
  <c r="Q101" i="10"/>
  <c r="S77" i="10"/>
  <c r="P77" i="10"/>
  <c r="U77" i="10"/>
  <c r="Q77" i="10"/>
  <c r="V77" i="10"/>
  <c r="P71" i="10"/>
  <c r="V72" i="10"/>
  <c r="T72" i="10"/>
  <c r="P92" i="10"/>
  <c r="U101" i="10"/>
  <c r="V66" i="11"/>
  <c r="Q66" i="11"/>
  <c r="R66" i="11"/>
  <c r="S71" i="10"/>
  <c r="P72" i="10"/>
  <c r="Q91" i="11"/>
  <c r="R91" i="11"/>
  <c r="U91" i="11"/>
  <c r="T91" i="11"/>
  <c r="V91" i="11"/>
  <c r="P91" i="11"/>
  <c r="R92" i="10"/>
  <c r="V92" i="11"/>
  <c r="Q81" i="10"/>
  <c r="R90" i="10"/>
  <c r="P90" i="11"/>
  <c r="Q107" i="11"/>
  <c r="V107" i="11"/>
  <c r="S107" i="11"/>
  <c r="T107" i="11"/>
  <c r="R107" i="11"/>
  <c r="U107" i="11"/>
  <c r="C7" i="12"/>
  <c r="BW3" i="26"/>
  <c r="F50" i="24"/>
  <c r="G21" i="24"/>
  <c r="AV24" i="4"/>
  <c r="AV25" i="4"/>
  <c r="AV26" i="4"/>
  <c r="AV27" i="4"/>
  <c r="AV28" i="4"/>
  <c r="AV29" i="4"/>
  <c r="AV30" i="4"/>
  <c r="AV31" i="4"/>
  <c r="AV32" i="4"/>
  <c r="AV33" i="4"/>
  <c r="AV34" i="4"/>
  <c r="AV35" i="4"/>
  <c r="AV36" i="4"/>
  <c r="AV37" i="4"/>
  <c r="AV38" i="4"/>
  <c r="AV39" i="4"/>
  <c r="AV40" i="4"/>
  <c r="AV41" i="4"/>
  <c r="AV42" i="4"/>
  <c r="AV43" i="4"/>
  <c r="AV44" i="4"/>
  <c r="AV23" i="4"/>
  <c r="AW16" i="5"/>
  <c r="AW16" i="8"/>
  <c r="AW16" i="9"/>
  <c r="AW16" i="10"/>
  <c r="AW16" i="11"/>
  <c r="AW16" i="12"/>
  <c r="AW16" i="13"/>
  <c r="AW16" i="14"/>
  <c r="AW16" i="15"/>
  <c r="AW16" i="16"/>
  <c r="AW16" i="17"/>
  <c r="AW16" i="4"/>
  <c r="R48" i="4"/>
  <c r="Q48" i="4"/>
  <c r="AQ45" i="4"/>
  <c r="AQ27" i="5"/>
  <c r="AQ31" i="5"/>
  <c r="AQ31" i="8"/>
  <c r="AQ31" i="9"/>
  <c r="AQ31" i="10"/>
  <c r="AQ31" i="11"/>
  <c r="AQ31" i="12"/>
  <c r="AQ31" i="13"/>
  <c r="AQ31" i="14"/>
  <c r="AQ31" i="15"/>
  <c r="AQ31" i="16"/>
  <c r="AQ31" i="17"/>
  <c r="AQ35" i="5"/>
  <c r="AQ39" i="5"/>
  <c r="AQ39" i="8"/>
  <c r="AQ39" i="9"/>
  <c r="AQ39" i="10"/>
  <c r="AQ39" i="11"/>
  <c r="AQ39" i="12"/>
  <c r="AQ39" i="13"/>
  <c r="AQ39" i="14"/>
  <c r="AQ39" i="15"/>
  <c r="AQ39" i="16"/>
  <c r="AQ39" i="17"/>
  <c r="AQ42" i="5"/>
  <c r="AQ43" i="5"/>
  <c r="AQ44" i="5"/>
  <c r="AQ23" i="5"/>
  <c r="B27" i="5"/>
  <c r="B27" i="8"/>
  <c r="B27" i="9"/>
  <c r="B27" i="10"/>
  <c r="B27" i="11"/>
  <c r="B27" i="12"/>
  <c r="B27" i="13"/>
  <c r="B27" i="14"/>
  <c r="B27" i="15"/>
  <c r="B27" i="16"/>
  <c r="B27" i="17"/>
  <c r="Y16" i="5"/>
  <c r="AR58" i="26"/>
  <c r="Y15" i="5"/>
  <c r="AR57" i="26"/>
  <c r="Y14" i="5"/>
  <c r="AR56" i="26"/>
  <c r="Y13" i="5"/>
  <c r="AR55" i="26"/>
  <c r="Y12" i="5"/>
  <c r="AR54" i="26"/>
  <c r="Y11" i="5"/>
  <c r="AR53" i="26"/>
  <c r="Y10" i="5"/>
  <c r="AR52" i="26"/>
  <c r="Y9" i="5"/>
  <c r="AR51" i="26"/>
  <c r="Y8" i="5"/>
  <c r="AR50" i="26"/>
  <c r="Y7" i="5"/>
  <c r="AR49" i="26"/>
  <c r="Y6" i="5"/>
  <c r="AR48" i="26"/>
  <c r="B17" i="5"/>
  <c r="AR13" i="26"/>
  <c r="B16" i="5"/>
  <c r="AR12" i="26"/>
  <c r="B15" i="5"/>
  <c r="AR11" i="26"/>
  <c r="B14" i="5"/>
  <c r="AR10" i="26"/>
  <c r="B13" i="5"/>
  <c r="AR9" i="26"/>
  <c r="B12" i="5"/>
  <c r="AR8" i="26"/>
  <c r="B11" i="5"/>
  <c r="AR7" i="26"/>
  <c r="B10" i="5"/>
  <c r="AR6" i="26"/>
  <c r="B9" i="5"/>
  <c r="AR5" i="26"/>
  <c r="B8" i="5"/>
  <c r="AR4" i="26"/>
  <c r="B7" i="5"/>
  <c r="AR3" i="26"/>
  <c r="Y44" i="5"/>
  <c r="AR35" i="26"/>
  <c r="Y43" i="5"/>
  <c r="AR34" i="26"/>
  <c r="Y42" i="5"/>
  <c r="AR33" i="26"/>
  <c r="Y41" i="5"/>
  <c r="AR32" i="26"/>
  <c r="Y40" i="5"/>
  <c r="AR31" i="26"/>
  <c r="Y39" i="5"/>
  <c r="AR30" i="26"/>
  <c r="Y38" i="5"/>
  <c r="AR29" i="26"/>
  <c r="Y37" i="5"/>
  <c r="AR28" i="26"/>
  <c r="Y36" i="5"/>
  <c r="AR27" i="26"/>
  <c r="Y35" i="5"/>
  <c r="AR26" i="26"/>
  <c r="Y34" i="5"/>
  <c r="AR25" i="26"/>
  <c r="Y33" i="5"/>
  <c r="AR24" i="26"/>
  <c r="Y32" i="5"/>
  <c r="AR23" i="26"/>
  <c r="Y31" i="5"/>
  <c r="AR22" i="26"/>
  <c r="Y30" i="5"/>
  <c r="AR21" i="26"/>
  <c r="Y29" i="5"/>
  <c r="AR20" i="26"/>
  <c r="Y28" i="5"/>
  <c r="AR19" i="26"/>
  <c r="Y27" i="5"/>
  <c r="AR18" i="26"/>
  <c r="Y26" i="5"/>
  <c r="AR17" i="26"/>
  <c r="Y25" i="5"/>
  <c r="AR16" i="26"/>
  <c r="Y24" i="5"/>
  <c r="AR15" i="26"/>
  <c r="Y23" i="5"/>
  <c r="AR14" i="26"/>
  <c r="B56" i="5"/>
  <c r="AR47" i="26"/>
  <c r="B55" i="5"/>
  <c r="AR46" i="26"/>
  <c r="B54" i="5"/>
  <c r="AR45" i="26"/>
  <c r="B53" i="5"/>
  <c r="AR44" i="26"/>
  <c r="B52" i="5"/>
  <c r="AR43" i="26"/>
  <c r="B51" i="5"/>
  <c r="AR42" i="26"/>
  <c r="B50" i="5"/>
  <c r="AR41" i="26"/>
  <c r="B49" i="5"/>
  <c r="AR40" i="26"/>
  <c r="B48" i="5"/>
  <c r="AR39" i="26"/>
  <c r="B47" i="5"/>
  <c r="AR38" i="26"/>
  <c r="B46" i="5"/>
  <c r="AR37" i="26"/>
  <c r="AR36" i="26"/>
  <c r="W45" i="4"/>
  <c r="W44" i="4"/>
  <c r="W43" i="4"/>
  <c r="W42" i="4"/>
  <c r="W41" i="4"/>
  <c r="W40" i="4"/>
  <c r="W39" i="4"/>
  <c r="W38" i="4"/>
  <c r="W37" i="4"/>
  <c r="W36" i="4"/>
  <c r="W35" i="4"/>
  <c r="W34" i="4"/>
  <c r="W33" i="4"/>
  <c r="W32" i="4"/>
  <c r="W31" i="4"/>
  <c r="W30" i="4"/>
  <c r="W29" i="4"/>
  <c r="W28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53" i="14"/>
  <c r="M52" i="14"/>
  <c r="M51" i="14"/>
  <c r="M50" i="14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53" i="17"/>
  <c r="M52" i="17"/>
  <c r="M51" i="17"/>
  <c r="M50" i="17"/>
  <c r="M49" i="17"/>
  <c r="M48" i="17"/>
  <c r="M47" i="17"/>
  <c r="M46" i="17"/>
  <c r="M45" i="17"/>
  <c r="M44" i="17"/>
  <c r="M43" i="17"/>
  <c r="M42" i="17"/>
  <c r="M41" i="17"/>
  <c r="M40" i="17"/>
  <c r="M39" i="17"/>
  <c r="M38" i="17"/>
  <c r="M37" i="17"/>
  <c r="M36" i="17"/>
  <c r="M35" i="17"/>
  <c r="M34" i="17"/>
  <c r="M33" i="17"/>
  <c r="M32" i="17"/>
  <c r="M31" i="17"/>
  <c r="M30" i="17"/>
  <c r="M29" i="17"/>
  <c r="M28" i="17"/>
  <c r="M27" i="17"/>
  <c r="M26" i="17"/>
  <c r="M25" i="17"/>
  <c r="M24" i="17"/>
  <c r="M23" i="17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8"/>
  <c r="M7" i="9"/>
  <c r="M7" i="10"/>
  <c r="M7" i="11"/>
  <c r="M7" i="12"/>
  <c r="M7" i="13"/>
  <c r="M7" i="14"/>
  <c r="M7" i="15"/>
  <c r="M7" i="16"/>
  <c r="M7" i="17"/>
  <c r="M7" i="4"/>
  <c r="P85" i="11"/>
  <c r="S85" i="11"/>
  <c r="V85" i="11"/>
  <c r="Q85" i="11"/>
  <c r="U85" i="11"/>
  <c r="S106" i="11"/>
  <c r="Q106" i="11"/>
  <c r="R106" i="11"/>
  <c r="P106" i="11"/>
  <c r="V106" i="11"/>
  <c r="T106" i="11"/>
  <c r="U106" i="11"/>
  <c r="U82" i="11"/>
  <c r="V90" i="11"/>
  <c r="S90" i="11"/>
  <c r="T90" i="11"/>
  <c r="Q90" i="11"/>
  <c r="R90" i="11"/>
  <c r="U90" i="11"/>
  <c r="S82" i="11"/>
  <c r="P82" i="11"/>
  <c r="Q82" i="11"/>
  <c r="V82" i="11"/>
  <c r="P107" i="12"/>
  <c r="Q107" i="12"/>
  <c r="R107" i="12"/>
  <c r="T107" i="12"/>
  <c r="S107" i="12"/>
  <c r="U107" i="12"/>
  <c r="V107" i="12"/>
  <c r="R101" i="10"/>
  <c r="Q101" i="11"/>
  <c r="R81" i="10"/>
  <c r="V81" i="11"/>
  <c r="R77" i="10"/>
  <c r="T77" i="11"/>
  <c r="P92" i="11"/>
  <c r="Q92" i="11"/>
  <c r="R92" i="11"/>
  <c r="T92" i="11"/>
  <c r="S92" i="11"/>
  <c r="U92" i="11"/>
  <c r="C7" i="13"/>
  <c r="BX3" i="26"/>
  <c r="B8" i="8"/>
  <c r="B10" i="8"/>
  <c r="B12" i="8"/>
  <c r="B14" i="8"/>
  <c r="B16" i="8"/>
  <c r="Y6" i="8"/>
  <c r="Y8" i="8"/>
  <c r="Y10" i="8"/>
  <c r="Y12" i="8"/>
  <c r="Y14" i="8"/>
  <c r="Y16" i="8"/>
  <c r="B7" i="8"/>
  <c r="B9" i="8"/>
  <c r="B11" i="8"/>
  <c r="B13" i="8"/>
  <c r="B15" i="8"/>
  <c r="B17" i="8"/>
  <c r="Y7" i="8"/>
  <c r="Y9" i="8"/>
  <c r="Y11" i="8"/>
  <c r="Y13" i="8"/>
  <c r="Y15" i="8"/>
  <c r="AD44" i="4"/>
  <c r="AD24" i="4"/>
  <c r="AS24" i="4"/>
  <c r="AR24" i="4"/>
  <c r="AD26" i="4"/>
  <c r="AD28" i="4"/>
  <c r="AD30" i="4"/>
  <c r="AD32" i="4"/>
  <c r="AX32" i="4"/>
  <c r="AE32" i="4"/>
  <c r="AD34" i="4"/>
  <c r="AD36" i="4"/>
  <c r="AD40" i="4"/>
  <c r="AD42" i="4"/>
  <c r="AX42" i="4"/>
  <c r="AE42" i="4"/>
  <c r="AD43" i="4"/>
  <c r="AD27" i="4"/>
  <c r="AD29" i="4"/>
  <c r="AD31" i="4"/>
  <c r="E12" i="19"/>
  <c r="AD33" i="4"/>
  <c r="AD35" i="4"/>
  <c r="AD37" i="4"/>
  <c r="AD39" i="4"/>
  <c r="AS39" i="4"/>
  <c r="AR39" i="4"/>
  <c r="AD41" i="4"/>
  <c r="AA44" i="4"/>
  <c r="BE35" i="26"/>
  <c r="AA24" i="4"/>
  <c r="BE15" i="26"/>
  <c r="AA26" i="4"/>
  <c r="BE17" i="26"/>
  <c r="AA28" i="4"/>
  <c r="BE19" i="26"/>
  <c r="AA30" i="4"/>
  <c r="BE21" i="26"/>
  <c r="AA32" i="4"/>
  <c r="BE23" i="26"/>
  <c r="AA34" i="4"/>
  <c r="BE25" i="26"/>
  <c r="AA36" i="4"/>
  <c r="BE27" i="26"/>
  <c r="AA38" i="4"/>
  <c r="BE29" i="26"/>
  <c r="AA40" i="4"/>
  <c r="BE31" i="26"/>
  <c r="AA42" i="4"/>
  <c r="BE33" i="26"/>
  <c r="AA43" i="4"/>
  <c r="BE34" i="26"/>
  <c r="AA23" i="4"/>
  <c r="BE14" i="26"/>
  <c r="AA25" i="4"/>
  <c r="BE16" i="26"/>
  <c r="AA27" i="4"/>
  <c r="BE18" i="26"/>
  <c r="AA29" i="4"/>
  <c r="BE20" i="26"/>
  <c r="AA31" i="4"/>
  <c r="BE22" i="26"/>
  <c r="AA33" i="4"/>
  <c r="BE24" i="26"/>
  <c r="AA35" i="4"/>
  <c r="BE26" i="26"/>
  <c r="AA37" i="4"/>
  <c r="BE28" i="26"/>
  <c r="AA39" i="4"/>
  <c r="BE30" i="26"/>
  <c r="AA41" i="4"/>
  <c r="BE32" i="26"/>
  <c r="B46" i="8"/>
  <c r="AS37" i="26"/>
  <c r="D46" i="5"/>
  <c r="BF37" i="26"/>
  <c r="B48" i="8"/>
  <c r="AS39" i="26"/>
  <c r="D48" i="5"/>
  <c r="BF39" i="26"/>
  <c r="B50" i="8"/>
  <c r="AS41" i="26"/>
  <c r="D50" i="5"/>
  <c r="BF41" i="26"/>
  <c r="B52" i="8"/>
  <c r="AS43" i="26"/>
  <c r="D52" i="5"/>
  <c r="BF43" i="26"/>
  <c r="B54" i="8"/>
  <c r="AS45" i="26"/>
  <c r="D54" i="5"/>
  <c r="BF45" i="26"/>
  <c r="B56" i="8"/>
  <c r="AS47" i="26"/>
  <c r="D56" i="5"/>
  <c r="BF47" i="26"/>
  <c r="Y24" i="8"/>
  <c r="AS15" i="26"/>
  <c r="Y26" i="8"/>
  <c r="AS17" i="26"/>
  <c r="Y28" i="8"/>
  <c r="AS19" i="26"/>
  <c r="Y30" i="8"/>
  <c r="AS21" i="26"/>
  <c r="Y32" i="8"/>
  <c r="AS23" i="26"/>
  <c r="Y34" i="8"/>
  <c r="AS25" i="26"/>
  <c r="Y36" i="8"/>
  <c r="AS27" i="26"/>
  <c r="Y38" i="8"/>
  <c r="AS29" i="26"/>
  <c r="Y40" i="8"/>
  <c r="AS31" i="26"/>
  <c r="Y42" i="8"/>
  <c r="AS33" i="26"/>
  <c r="Y44" i="8"/>
  <c r="AS35" i="26"/>
  <c r="AS36" i="26"/>
  <c r="D45" i="5"/>
  <c r="BF36" i="26"/>
  <c r="B47" i="8"/>
  <c r="AS38" i="26"/>
  <c r="D47" i="5"/>
  <c r="BF38" i="26"/>
  <c r="B49" i="8"/>
  <c r="AS40" i="26"/>
  <c r="D49" i="5"/>
  <c r="BF40" i="26"/>
  <c r="B51" i="8"/>
  <c r="AS42" i="26"/>
  <c r="D51" i="5"/>
  <c r="BF42" i="26"/>
  <c r="B53" i="8"/>
  <c r="AS44" i="26"/>
  <c r="D53" i="5"/>
  <c r="BF44" i="26"/>
  <c r="B55" i="8"/>
  <c r="AS46" i="26"/>
  <c r="D55" i="5"/>
  <c r="BF46" i="26"/>
  <c r="Y23" i="8"/>
  <c r="AS14" i="26"/>
  <c r="Y25" i="8"/>
  <c r="AS16" i="26"/>
  <c r="Y27" i="8"/>
  <c r="AS18" i="26"/>
  <c r="Y29" i="8"/>
  <c r="AS20" i="26"/>
  <c r="Y31" i="8"/>
  <c r="AS22" i="26"/>
  <c r="Y33" i="8"/>
  <c r="AS24" i="26"/>
  <c r="Y35" i="8"/>
  <c r="AS26" i="26"/>
  <c r="Y37" i="8"/>
  <c r="AS28" i="26"/>
  <c r="Y39" i="8"/>
  <c r="AS30" i="26"/>
  <c r="Y41" i="8"/>
  <c r="AS32" i="26"/>
  <c r="Y43" i="8"/>
  <c r="AS34" i="26"/>
  <c r="G50" i="24"/>
  <c r="K23" i="24"/>
  <c r="K25" i="24"/>
  <c r="AV45" i="4"/>
  <c r="AQ44" i="8"/>
  <c r="AQ44" i="9"/>
  <c r="AQ44" i="10"/>
  <c r="AQ44" i="11"/>
  <c r="AQ44" i="12"/>
  <c r="AQ44" i="13"/>
  <c r="AQ44" i="14"/>
  <c r="AQ44" i="15"/>
  <c r="AQ44" i="16"/>
  <c r="AQ44" i="17"/>
  <c r="AQ42" i="8"/>
  <c r="AQ42" i="9"/>
  <c r="AQ43" i="8"/>
  <c r="AQ43" i="9"/>
  <c r="AQ43" i="10"/>
  <c r="AQ43" i="11"/>
  <c r="AQ43" i="12"/>
  <c r="AQ43" i="13"/>
  <c r="AQ43" i="14"/>
  <c r="AQ43" i="15"/>
  <c r="AQ43" i="16"/>
  <c r="AQ43" i="17"/>
  <c r="AQ35" i="8"/>
  <c r="AQ35" i="9"/>
  <c r="AQ35" i="10"/>
  <c r="AQ35" i="11"/>
  <c r="AQ35" i="12"/>
  <c r="AQ35" i="13"/>
  <c r="AQ35" i="14"/>
  <c r="AQ35" i="15"/>
  <c r="AQ35" i="16"/>
  <c r="AQ35" i="17"/>
  <c r="AQ27" i="8"/>
  <c r="AQ27" i="9"/>
  <c r="AQ27" i="10"/>
  <c r="AQ27" i="11"/>
  <c r="AQ27" i="12"/>
  <c r="AQ27" i="13"/>
  <c r="AQ27" i="14"/>
  <c r="AQ27" i="15"/>
  <c r="AQ27" i="16"/>
  <c r="AQ27" i="17"/>
  <c r="N60" i="21"/>
  <c r="M60" i="21"/>
  <c r="L60" i="21"/>
  <c r="K60" i="21"/>
  <c r="J60" i="21"/>
  <c r="I60" i="21"/>
  <c r="H60" i="21"/>
  <c r="G60" i="21"/>
  <c r="F60" i="21"/>
  <c r="E60" i="21"/>
  <c r="D60" i="21"/>
  <c r="C60" i="21"/>
  <c r="N59" i="21"/>
  <c r="M59" i="21"/>
  <c r="L59" i="21"/>
  <c r="K59" i="21"/>
  <c r="J59" i="21"/>
  <c r="I59" i="21"/>
  <c r="H59" i="21"/>
  <c r="G59" i="21"/>
  <c r="F59" i="21"/>
  <c r="E59" i="21"/>
  <c r="D59" i="21"/>
  <c r="C59" i="21"/>
  <c r="N58" i="21"/>
  <c r="M58" i="21"/>
  <c r="L58" i="21"/>
  <c r="K58" i="21"/>
  <c r="J58" i="21"/>
  <c r="I58" i="21"/>
  <c r="H58" i="21"/>
  <c r="G58" i="21"/>
  <c r="F58" i="21"/>
  <c r="E58" i="21"/>
  <c r="D58" i="21"/>
  <c r="C58" i="21"/>
  <c r="N57" i="21"/>
  <c r="M57" i="21"/>
  <c r="L57" i="21"/>
  <c r="K57" i="21"/>
  <c r="J57" i="21"/>
  <c r="I57" i="21"/>
  <c r="H57" i="21"/>
  <c r="G57" i="21"/>
  <c r="F57" i="21"/>
  <c r="E57" i="21"/>
  <c r="D57" i="21"/>
  <c r="C57" i="21"/>
  <c r="N56" i="21"/>
  <c r="M56" i="21"/>
  <c r="L56" i="21"/>
  <c r="K56" i="21"/>
  <c r="J56" i="21"/>
  <c r="I56" i="21"/>
  <c r="H56" i="21"/>
  <c r="G56" i="21"/>
  <c r="F56" i="21"/>
  <c r="E56" i="21"/>
  <c r="D56" i="21"/>
  <c r="C56" i="21"/>
  <c r="N55" i="21"/>
  <c r="M55" i="21"/>
  <c r="L55" i="21"/>
  <c r="K55" i="21"/>
  <c r="J55" i="21"/>
  <c r="I55" i="21"/>
  <c r="H55" i="21"/>
  <c r="G55" i="21"/>
  <c r="F55" i="21"/>
  <c r="E55" i="21"/>
  <c r="D55" i="21"/>
  <c r="C55" i="21"/>
  <c r="N54" i="21"/>
  <c r="M54" i="21"/>
  <c r="L54" i="21"/>
  <c r="K54" i="21"/>
  <c r="J54" i="21"/>
  <c r="I54" i="21"/>
  <c r="H54" i="21"/>
  <c r="G54" i="21"/>
  <c r="F54" i="21"/>
  <c r="E54" i="21"/>
  <c r="D54" i="21"/>
  <c r="C54" i="21"/>
  <c r="N53" i="21"/>
  <c r="M53" i="21"/>
  <c r="L53" i="21"/>
  <c r="K53" i="21"/>
  <c r="J53" i="21"/>
  <c r="I53" i="21"/>
  <c r="H53" i="21"/>
  <c r="G53" i="21"/>
  <c r="F53" i="21"/>
  <c r="E53" i="21"/>
  <c r="D53" i="21"/>
  <c r="C53" i="21"/>
  <c r="N52" i="21"/>
  <c r="M52" i="21"/>
  <c r="L52" i="21"/>
  <c r="K52" i="21"/>
  <c r="J52" i="21"/>
  <c r="I52" i="21"/>
  <c r="H52" i="21"/>
  <c r="G52" i="21"/>
  <c r="F52" i="21"/>
  <c r="E52" i="21"/>
  <c r="D52" i="21"/>
  <c r="C52" i="21"/>
  <c r="N51" i="21"/>
  <c r="M51" i="21"/>
  <c r="L51" i="21"/>
  <c r="K51" i="21"/>
  <c r="J51" i="21"/>
  <c r="I51" i="21"/>
  <c r="H51" i="21"/>
  <c r="G51" i="21"/>
  <c r="F51" i="21"/>
  <c r="E51" i="21"/>
  <c r="D51" i="21"/>
  <c r="C51" i="21"/>
  <c r="C60" i="22"/>
  <c r="C59" i="22"/>
  <c r="C58" i="22"/>
  <c r="C57" i="22"/>
  <c r="C56" i="22"/>
  <c r="C55" i="22"/>
  <c r="C54" i="22"/>
  <c r="C53" i="22"/>
  <c r="C52" i="22"/>
  <c r="C51" i="22"/>
  <c r="C35" i="22"/>
  <c r="C34" i="22"/>
  <c r="C33" i="22"/>
  <c r="C32" i="22"/>
  <c r="R41" i="4"/>
  <c r="T41" i="5"/>
  <c r="R40" i="4"/>
  <c r="Z42" i="5"/>
  <c r="BS33" i="26"/>
  <c r="Z14" i="5"/>
  <c r="Z14" i="8"/>
  <c r="Z13" i="5"/>
  <c r="Z12" i="5"/>
  <c r="Z11" i="5"/>
  <c r="P55" i="22"/>
  <c r="R85" i="11"/>
  <c r="U85" i="12"/>
  <c r="S106" i="12"/>
  <c r="T106" i="12"/>
  <c r="V106" i="12"/>
  <c r="U106" i="12"/>
  <c r="Q106" i="12"/>
  <c r="R106" i="12"/>
  <c r="P106" i="12"/>
  <c r="V90" i="12"/>
  <c r="U90" i="12"/>
  <c r="T90" i="12"/>
  <c r="P90" i="12"/>
  <c r="T81" i="11"/>
  <c r="Q90" i="12"/>
  <c r="R90" i="12"/>
  <c r="S81" i="11"/>
  <c r="P81" i="11"/>
  <c r="T101" i="11"/>
  <c r="Q77" i="11"/>
  <c r="R77" i="11"/>
  <c r="U92" i="12"/>
  <c r="S92" i="12"/>
  <c r="Q92" i="12"/>
  <c r="T92" i="12"/>
  <c r="V92" i="12"/>
  <c r="P92" i="12"/>
  <c r="U81" i="11"/>
  <c r="Q81" i="11"/>
  <c r="V101" i="11"/>
  <c r="R82" i="11"/>
  <c r="S82" i="12"/>
  <c r="V77" i="11"/>
  <c r="S77" i="11"/>
  <c r="U40" i="5"/>
  <c r="P40" i="5"/>
  <c r="S40" i="5"/>
  <c r="V40" i="5"/>
  <c r="T40" i="5"/>
  <c r="Q40" i="5"/>
  <c r="Q107" i="13"/>
  <c r="R107" i="13"/>
  <c r="P107" i="13"/>
  <c r="S107" i="13"/>
  <c r="V107" i="13"/>
  <c r="U107" i="13"/>
  <c r="P101" i="11"/>
  <c r="S101" i="11"/>
  <c r="P77" i="11"/>
  <c r="V41" i="5"/>
  <c r="U41" i="5"/>
  <c r="U101" i="11"/>
  <c r="U77" i="11"/>
  <c r="Z12" i="8"/>
  <c r="BT54" i="26"/>
  <c r="BS54" i="26"/>
  <c r="BS53" i="26"/>
  <c r="Y11" i="9"/>
  <c r="AS53" i="26"/>
  <c r="B15" i="9"/>
  <c r="AS11" i="26"/>
  <c r="B7" i="9"/>
  <c r="AS3" i="26"/>
  <c r="Y10" i="9"/>
  <c r="AS52" i="26"/>
  <c r="B14" i="9"/>
  <c r="AS10" i="26"/>
  <c r="Y9" i="9"/>
  <c r="AS51" i="26"/>
  <c r="B13" i="9"/>
  <c r="AS9" i="26"/>
  <c r="Y16" i="9"/>
  <c r="AS58" i="26"/>
  <c r="Y8" i="9"/>
  <c r="AS50" i="26"/>
  <c r="B12" i="9"/>
  <c r="AS8" i="26"/>
  <c r="Y15" i="9"/>
  <c r="AS57" i="26"/>
  <c r="Y7" i="9"/>
  <c r="AS49" i="26"/>
  <c r="B11" i="9"/>
  <c r="AS7" i="26"/>
  <c r="Y14" i="9"/>
  <c r="AS56" i="26"/>
  <c r="Y6" i="9"/>
  <c r="AS48" i="26"/>
  <c r="B10" i="9"/>
  <c r="AS6" i="26"/>
  <c r="P57" i="22"/>
  <c r="BS55" i="26"/>
  <c r="BS56" i="26"/>
  <c r="Y13" i="9"/>
  <c r="AS55" i="26"/>
  <c r="B17" i="9"/>
  <c r="AS13" i="26"/>
  <c r="B9" i="9"/>
  <c r="AS5" i="26"/>
  <c r="Y12" i="9"/>
  <c r="AS54" i="26"/>
  <c r="B16" i="9"/>
  <c r="AS12" i="26"/>
  <c r="B8" i="9"/>
  <c r="AS4" i="26"/>
  <c r="C7" i="14"/>
  <c r="BY3" i="26"/>
  <c r="D57" i="5"/>
  <c r="Y41" i="9"/>
  <c r="AT32" i="26"/>
  <c r="Y37" i="9"/>
  <c r="AT28" i="26"/>
  <c r="Y33" i="9"/>
  <c r="AT24" i="26"/>
  <c r="Y29" i="9"/>
  <c r="AT20" i="26"/>
  <c r="Y25" i="9"/>
  <c r="AT16" i="26"/>
  <c r="Y44" i="9"/>
  <c r="AT35" i="26"/>
  <c r="Y40" i="9"/>
  <c r="AT31" i="26"/>
  <c r="Y36" i="9"/>
  <c r="AT27" i="26"/>
  <c r="Y32" i="9"/>
  <c r="AT23" i="26"/>
  <c r="Y28" i="9"/>
  <c r="AT19" i="26"/>
  <c r="Y24" i="9"/>
  <c r="AT15" i="26"/>
  <c r="B56" i="9"/>
  <c r="AT47" i="26"/>
  <c r="D56" i="8"/>
  <c r="BG47" i="26"/>
  <c r="B54" i="9"/>
  <c r="AT45" i="26"/>
  <c r="D54" i="8"/>
  <c r="BG45" i="26"/>
  <c r="B52" i="9"/>
  <c r="AT43" i="26"/>
  <c r="D52" i="8"/>
  <c r="BG43" i="26"/>
  <c r="B50" i="9"/>
  <c r="AT41" i="26"/>
  <c r="D50" i="8"/>
  <c r="BG41" i="26"/>
  <c r="B48" i="9"/>
  <c r="AT39" i="26"/>
  <c r="D48" i="8"/>
  <c r="BG39" i="26"/>
  <c r="B46" i="9"/>
  <c r="AT37" i="26"/>
  <c r="D46" i="8"/>
  <c r="BG37" i="26"/>
  <c r="Y43" i="9"/>
  <c r="AT34" i="26"/>
  <c r="Y39" i="9"/>
  <c r="AT30" i="26"/>
  <c r="Y35" i="9"/>
  <c r="AT26" i="26"/>
  <c r="Y31" i="9"/>
  <c r="AT22" i="26"/>
  <c r="Y27" i="9"/>
  <c r="AT18" i="26"/>
  <c r="Y23" i="9"/>
  <c r="AT14" i="26"/>
  <c r="B55" i="9"/>
  <c r="AT46" i="26"/>
  <c r="D55" i="8"/>
  <c r="BG46" i="26"/>
  <c r="B53" i="9"/>
  <c r="AT44" i="26"/>
  <c r="D53" i="8"/>
  <c r="BG44" i="26"/>
  <c r="B51" i="9"/>
  <c r="AT42" i="26"/>
  <c r="D51" i="8"/>
  <c r="BG42" i="26"/>
  <c r="B49" i="9"/>
  <c r="AT40" i="26"/>
  <c r="D49" i="8"/>
  <c r="BG40" i="26"/>
  <c r="B47" i="9"/>
  <c r="AT38" i="26"/>
  <c r="D47" i="8"/>
  <c r="BG38" i="26"/>
  <c r="AT36" i="26"/>
  <c r="D45" i="8"/>
  <c r="BG36" i="26"/>
  <c r="Y42" i="9"/>
  <c r="AT33" i="26"/>
  <c r="Y38" i="9"/>
  <c r="AT29" i="26"/>
  <c r="Y34" i="9"/>
  <c r="AT25" i="26"/>
  <c r="Y30" i="9"/>
  <c r="AT21" i="26"/>
  <c r="Y26" i="9"/>
  <c r="AT17" i="26"/>
  <c r="Z42" i="8"/>
  <c r="BT33" i="26"/>
  <c r="P33" i="22"/>
  <c r="BA23" i="19"/>
  <c r="Z11" i="8"/>
  <c r="BT53" i="26"/>
  <c r="Z13" i="8"/>
  <c r="BT55" i="26"/>
  <c r="P56" i="22"/>
  <c r="P58" i="22"/>
  <c r="C50" i="22"/>
  <c r="C61" i="22"/>
  <c r="Z16" i="5"/>
  <c r="BS58" i="26"/>
  <c r="Z15" i="5"/>
  <c r="BS57" i="26"/>
  <c r="Z10" i="5"/>
  <c r="Z9" i="5"/>
  <c r="P53" i="22"/>
  <c r="Z8" i="5"/>
  <c r="Z7" i="5"/>
  <c r="P51" i="22"/>
  <c r="BS48" i="26"/>
  <c r="Z17" i="4"/>
  <c r="AA4" i="4"/>
  <c r="Q56" i="22"/>
  <c r="Z12" i="9"/>
  <c r="R56" i="22"/>
  <c r="T85" i="12"/>
  <c r="V85" i="12"/>
  <c r="S85" i="12"/>
  <c r="Q85" i="12"/>
  <c r="P85" i="12"/>
  <c r="Q82" i="12"/>
  <c r="R82" i="12"/>
  <c r="U82" i="12"/>
  <c r="T82" i="12"/>
  <c r="V82" i="12"/>
  <c r="P82" i="12"/>
  <c r="R92" i="12"/>
  <c r="T92" i="13"/>
  <c r="R40" i="5"/>
  <c r="T40" i="8"/>
  <c r="R81" i="11"/>
  <c r="S81" i="12"/>
  <c r="P52" i="22"/>
  <c r="BS50" i="26"/>
  <c r="B8" i="10"/>
  <c r="AT4" i="26"/>
  <c r="Y12" i="10"/>
  <c r="AT54" i="26"/>
  <c r="B17" i="10"/>
  <c r="AT13" i="26"/>
  <c r="B10" i="10"/>
  <c r="AT6" i="26"/>
  <c r="Y14" i="10"/>
  <c r="AT56" i="26"/>
  <c r="Y7" i="10"/>
  <c r="AT49" i="26"/>
  <c r="B12" i="10"/>
  <c r="AT8" i="26"/>
  <c r="Y16" i="10"/>
  <c r="AT58" i="26"/>
  <c r="Y9" i="10"/>
  <c r="AT51" i="26"/>
  <c r="Y10" i="10"/>
  <c r="AT52" i="26"/>
  <c r="B15" i="10"/>
  <c r="AT11" i="26"/>
  <c r="BS51" i="26"/>
  <c r="P54" i="22"/>
  <c r="BS52" i="26"/>
  <c r="C7" i="15"/>
  <c r="BZ3" i="26"/>
  <c r="B16" i="10"/>
  <c r="AT12" i="26"/>
  <c r="B9" i="10"/>
  <c r="AT5" i="26"/>
  <c r="Y13" i="10"/>
  <c r="AT55" i="26"/>
  <c r="Y6" i="10"/>
  <c r="AT48" i="26"/>
  <c r="B11" i="10"/>
  <c r="AT7" i="26"/>
  <c r="Y15" i="10"/>
  <c r="AT57" i="26"/>
  <c r="Y8" i="10"/>
  <c r="AT50" i="26"/>
  <c r="B13" i="10"/>
  <c r="AT9" i="26"/>
  <c r="B14" i="10"/>
  <c r="AT10" i="26"/>
  <c r="B7" i="10"/>
  <c r="AT3" i="26"/>
  <c r="Y11" i="10"/>
  <c r="AT53" i="26"/>
  <c r="D57" i="8"/>
  <c r="Y23" i="10"/>
  <c r="AU14" i="26"/>
  <c r="Y39" i="10"/>
  <c r="AU30" i="26"/>
  <c r="Y24" i="10"/>
  <c r="AU15" i="26"/>
  <c r="Y32" i="10"/>
  <c r="AU23" i="26"/>
  <c r="Y40" i="10"/>
  <c r="AU31" i="26"/>
  <c r="Y25" i="10"/>
  <c r="AU16" i="26"/>
  <c r="Y33" i="10"/>
  <c r="AU24" i="26"/>
  <c r="Y41" i="10"/>
  <c r="AU32" i="26"/>
  <c r="Y26" i="10"/>
  <c r="AU17" i="26"/>
  <c r="Y34" i="10"/>
  <c r="AU25" i="26"/>
  <c r="Y42" i="10"/>
  <c r="AU33" i="26"/>
  <c r="AU36" i="26"/>
  <c r="D45" i="9"/>
  <c r="BH36" i="26"/>
  <c r="B47" i="10"/>
  <c r="AU38" i="26"/>
  <c r="D47" i="9"/>
  <c r="BH38" i="26"/>
  <c r="B49" i="10"/>
  <c r="AU40" i="26"/>
  <c r="D49" i="9"/>
  <c r="BH40" i="26"/>
  <c r="B51" i="10"/>
  <c r="AU42" i="26"/>
  <c r="D51" i="9"/>
  <c r="BH42" i="26"/>
  <c r="B53" i="10"/>
  <c r="AU44" i="26"/>
  <c r="D53" i="9"/>
  <c r="BH44" i="26"/>
  <c r="B55" i="10"/>
  <c r="AU46" i="26"/>
  <c r="D55" i="9"/>
  <c r="BH46" i="26"/>
  <c r="Y27" i="10"/>
  <c r="AU18" i="26"/>
  <c r="Y35" i="10"/>
  <c r="AU26" i="26"/>
  <c r="Y43" i="10"/>
  <c r="AU34" i="26"/>
  <c r="B46" i="10"/>
  <c r="AU37" i="26"/>
  <c r="D46" i="9"/>
  <c r="BH37" i="26"/>
  <c r="B48" i="10"/>
  <c r="AU39" i="26"/>
  <c r="D48" i="9"/>
  <c r="BH39" i="26"/>
  <c r="B50" i="10"/>
  <c r="AU41" i="26"/>
  <c r="D50" i="9"/>
  <c r="BH41" i="26"/>
  <c r="B52" i="10"/>
  <c r="AU43" i="26"/>
  <c r="D52" i="9"/>
  <c r="BH43" i="26"/>
  <c r="B54" i="10"/>
  <c r="AU45" i="26"/>
  <c r="D54" i="9"/>
  <c r="BH45" i="26"/>
  <c r="B56" i="10"/>
  <c r="AU47" i="26"/>
  <c r="D56" i="9"/>
  <c r="BH47" i="26"/>
  <c r="Y28" i="10"/>
  <c r="AU19" i="26"/>
  <c r="Y36" i="10"/>
  <c r="AU27" i="26"/>
  <c r="Y44" i="10"/>
  <c r="AU35" i="26"/>
  <c r="Y29" i="10"/>
  <c r="AU20" i="26"/>
  <c r="Y37" i="10"/>
  <c r="AU28" i="26"/>
  <c r="Q33" i="22"/>
  <c r="BB23" i="19"/>
  <c r="Z42" i="9"/>
  <c r="BU33" i="26"/>
  <c r="Z15" i="8"/>
  <c r="BT57" i="26"/>
  <c r="P59" i="22"/>
  <c r="Z13" i="9"/>
  <c r="R57" i="22"/>
  <c r="Q57" i="22"/>
  <c r="Z16" i="8"/>
  <c r="BT58" i="26"/>
  <c r="P60" i="22"/>
  <c r="Z11" i="9"/>
  <c r="Z11" i="10"/>
  <c r="Q55" i="22"/>
  <c r="Z17" i="5"/>
  <c r="Z8" i="8"/>
  <c r="P50" i="22"/>
  <c r="Z10" i="8"/>
  <c r="BT52" i="26"/>
  <c r="Z7" i="8"/>
  <c r="Z9" i="8"/>
  <c r="C47" i="22"/>
  <c r="C46" i="22"/>
  <c r="C45" i="22"/>
  <c r="C44" i="22"/>
  <c r="C43" i="22"/>
  <c r="C42" i="22"/>
  <c r="C41" i="22"/>
  <c r="C40" i="22"/>
  <c r="C39" i="22"/>
  <c r="C38" i="22"/>
  <c r="C37" i="22"/>
  <c r="C36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Z24" i="5"/>
  <c r="BS15" i="26"/>
  <c r="C2" i="22"/>
  <c r="C2" i="21"/>
  <c r="R85" i="12"/>
  <c r="T85" i="13"/>
  <c r="U40" i="8"/>
  <c r="U92" i="13"/>
  <c r="P40" i="8"/>
  <c r="Q92" i="13"/>
  <c r="R92" i="13"/>
  <c r="P92" i="13"/>
  <c r="V92" i="13"/>
  <c r="S92" i="13"/>
  <c r="Q40" i="8"/>
  <c r="S40" i="8"/>
  <c r="T81" i="12"/>
  <c r="P81" i="12"/>
  <c r="U81" i="12"/>
  <c r="V40" i="8"/>
  <c r="V81" i="12"/>
  <c r="Q81" i="12"/>
  <c r="R55" i="22"/>
  <c r="Q52" i="22"/>
  <c r="BT50" i="26"/>
  <c r="Z13" i="10"/>
  <c r="B7" i="11"/>
  <c r="AB3" i="21"/>
  <c r="AU3" i="26"/>
  <c r="B13" i="11"/>
  <c r="AB9" i="21"/>
  <c r="AU9" i="26"/>
  <c r="Y15" i="11"/>
  <c r="AU57" i="26"/>
  <c r="Y6" i="11"/>
  <c r="AB50" i="21"/>
  <c r="AU48" i="26"/>
  <c r="B9" i="11"/>
  <c r="AB5" i="21"/>
  <c r="AU5" i="26"/>
  <c r="C7" i="16"/>
  <c r="CA3" i="26"/>
  <c r="Q51" i="22"/>
  <c r="BT49" i="26"/>
  <c r="Q54" i="22"/>
  <c r="B15" i="11"/>
  <c r="AB11" i="21"/>
  <c r="AU11" i="26"/>
  <c r="Y9" i="11"/>
  <c r="AB53" i="21"/>
  <c r="AU51" i="26"/>
  <c r="B12" i="11"/>
  <c r="AB8" i="21"/>
  <c r="AU8" i="26"/>
  <c r="Y14" i="11"/>
  <c r="AU56" i="26"/>
  <c r="B17" i="11"/>
  <c r="AB13" i="21"/>
  <c r="AU13" i="26"/>
  <c r="B8" i="11"/>
  <c r="AB4" i="21"/>
  <c r="AU4" i="26"/>
  <c r="Q53" i="22"/>
  <c r="BT51" i="26"/>
  <c r="Y11" i="11"/>
  <c r="AB55" i="21"/>
  <c r="AU53" i="26"/>
  <c r="B14" i="11"/>
  <c r="AU10" i="26"/>
  <c r="Y8" i="11"/>
  <c r="AB52" i="21"/>
  <c r="AU50" i="26"/>
  <c r="B11" i="11"/>
  <c r="AB7" i="21"/>
  <c r="AU7" i="26"/>
  <c r="Y13" i="11"/>
  <c r="AB57" i="21"/>
  <c r="AU55" i="26"/>
  <c r="B16" i="11"/>
  <c r="AU12" i="26"/>
  <c r="Y10" i="11"/>
  <c r="AB54" i="21"/>
  <c r="AU52" i="26"/>
  <c r="Y16" i="11"/>
  <c r="AU58" i="26"/>
  <c r="Y7" i="11"/>
  <c r="AB51" i="21"/>
  <c r="AU49" i="26"/>
  <c r="B10" i="11"/>
  <c r="AB6" i="21"/>
  <c r="AU6" i="26"/>
  <c r="Y12" i="11"/>
  <c r="AB56" i="21"/>
  <c r="AU54" i="26"/>
  <c r="D57" i="9"/>
  <c r="Y29" i="11"/>
  <c r="AV20" i="26"/>
  <c r="Y36" i="11"/>
  <c r="AV27" i="26"/>
  <c r="Y43" i="11"/>
  <c r="AV34" i="26"/>
  <c r="Y27" i="11"/>
  <c r="AV18" i="26"/>
  <c r="B55" i="11"/>
  <c r="AV46" i="26"/>
  <c r="D55" i="10"/>
  <c r="BI46" i="26"/>
  <c r="B53" i="11"/>
  <c r="D53" i="10"/>
  <c r="BI44" i="26"/>
  <c r="B51" i="11"/>
  <c r="AV42" i="26"/>
  <c r="D51" i="10"/>
  <c r="BI42" i="26"/>
  <c r="B49" i="11"/>
  <c r="D49" i="10"/>
  <c r="BI40" i="26"/>
  <c r="B47" i="11"/>
  <c r="AV38" i="26"/>
  <c r="D47" i="10"/>
  <c r="BI38" i="26"/>
  <c r="D45" i="10"/>
  <c r="BI36" i="26"/>
  <c r="Y34" i="11"/>
  <c r="AB25" i="21"/>
  <c r="Y41" i="11"/>
  <c r="Y25" i="11"/>
  <c r="AV16" i="26"/>
  <c r="Y32" i="11"/>
  <c r="AB23" i="21"/>
  <c r="Y39" i="11"/>
  <c r="AV30" i="26"/>
  <c r="Y23" i="11"/>
  <c r="AV14" i="26"/>
  <c r="Y37" i="11"/>
  <c r="AB28" i="21"/>
  <c r="Y44" i="11"/>
  <c r="AV35" i="26"/>
  <c r="Y28" i="11"/>
  <c r="AV19" i="26"/>
  <c r="B56" i="11"/>
  <c r="AV47" i="26"/>
  <c r="D56" i="10"/>
  <c r="BI47" i="26"/>
  <c r="B54" i="11"/>
  <c r="D54" i="10"/>
  <c r="BI45" i="26"/>
  <c r="B52" i="11"/>
  <c r="AV43" i="26"/>
  <c r="D52" i="10"/>
  <c r="BI43" i="26"/>
  <c r="B50" i="11"/>
  <c r="D50" i="10"/>
  <c r="BI41" i="26"/>
  <c r="B48" i="11"/>
  <c r="AV39" i="26"/>
  <c r="D48" i="10"/>
  <c r="BI39" i="26"/>
  <c r="B46" i="11"/>
  <c r="AB37" i="21"/>
  <c r="D46" i="10"/>
  <c r="BI37" i="26"/>
  <c r="Y35" i="11"/>
  <c r="AV26" i="26"/>
  <c r="Y42" i="11"/>
  <c r="AV33" i="26"/>
  <c r="Y26" i="11"/>
  <c r="AV17" i="26"/>
  <c r="Y33" i="11"/>
  <c r="AB24" i="21"/>
  <c r="Y40" i="11"/>
  <c r="AV31" i="26"/>
  <c r="Y24" i="11"/>
  <c r="AB15" i="21"/>
  <c r="Z24" i="8"/>
  <c r="BT15" i="26"/>
  <c r="P15" i="22"/>
  <c r="BA5" i="19"/>
  <c r="R33" i="22"/>
  <c r="BC23" i="19"/>
  <c r="Z42" i="10"/>
  <c r="BV33" i="26"/>
  <c r="Q59" i="22"/>
  <c r="Z15" i="9"/>
  <c r="Z16" i="9"/>
  <c r="R60" i="22"/>
  <c r="Q60" i="22"/>
  <c r="Z10" i="9"/>
  <c r="BU52" i="26"/>
  <c r="AA4" i="5"/>
  <c r="Z8" i="9"/>
  <c r="R52" i="22"/>
  <c r="Z9" i="9"/>
  <c r="BU51" i="26"/>
  <c r="Z7" i="9"/>
  <c r="BU49" i="26"/>
  <c r="C48" i="22"/>
  <c r="C63" i="22"/>
  <c r="AJ3" i="26"/>
  <c r="P85" i="13"/>
  <c r="S85" i="13"/>
  <c r="V85" i="13"/>
  <c r="U85" i="13"/>
  <c r="Q85" i="13"/>
  <c r="R81" i="12"/>
  <c r="V81" i="13"/>
  <c r="R40" i="8"/>
  <c r="T40" i="9"/>
  <c r="R51" i="22"/>
  <c r="AV24" i="26"/>
  <c r="R54" i="22"/>
  <c r="AV37" i="26"/>
  <c r="AB45" i="21"/>
  <c r="AV45" i="26"/>
  <c r="AV54" i="26"/>
  <c r="Y12" i="12"/>
  <c r="AV52" i="26"/>
  <c r="Y10" i="12"/>
  <c r="AV55" i="26"/>
  <c r="Y13" i="12"/>
  <c r="Y11" i="12"/>
  <c r="AV8" i="26"/>
  <c r="B12" i="12"/>
  <c r="C7" i="17"/>
  <c r="CC3" i="26"/>
  <c r="CB3" i="26"/>
  <c r="AV9" i="26"/>
  <c r="B13" i="12"/>
  <c r="AV23" i="26"/>
  <c r="AV58" i="26"/>
  <c r="Y16" i="12"/>
  <c r="AV12" i="26"/>
  <c r="B16" i="12"/>
  <c r="AV10" i="26"/>
  <c r="B14" i="12"/>
  <c r="AV56" i="26"/>
  <c r="Y14" i="12"/>
  <c r="AV57" i="26"/>
  <c r="Y15" i="12"/>
  <c r="BU58" i="26"/>
  <c r="BU50" i="26"/>
  <c r="Z15" i="10"/>
  <c r="R59" i="22"/>
  <c r="BU57" i="26"/>
  <c r="AB36" i="21"/>
  <c r="AV36" i="26"/>
  <c r="AB40" i="21"/>
  <c r="AV40" i="26"/>
  <c r="AB44" i="21"/>
  <c r="AV44" i="26"/>
  <c r="AV49" i="26"/>
  <c r="Y7" i="12"/>
  <c r="AV50" i="26"/>
  <c r="Y8" i="12"/>
  <c r="AV13" i="26"/>
  <c r="B17" i="12"/>
  <c r="AV11" i="26"/>
  <c r="B15" i="12"/>
  <c r="AV48" i="26"/>
  <c r="Y6" i="12"/>
  <c r="Z13" i="11"/>
  <c r="BV55" i="26"/>
  <c r="AB19" i="21"/>
  <c r="AB14" i="21"/>
  <c r="AV6" i="26"/>
  <c r="B10" i="12"/>
  <c r="AB60" i="21"/>
  <c r="AB12" i="21"/>
  <c r="AV7" i="26"/>
  <c r="B11" i="12"/>
  <c r="AB10" i="21"/>
  <c r="AV4" i="26"/>
  <c r="B8" i="12"/>
  <c r="AB58" i="21"/>
  <c r="AV51" i="26"/>
  <c r="Y9" i="12"/>
  <c r="AV5" i="26"/>
  <c r="B9" i="12"/>
  <c r="AB59" i="21"/>
  <c r="AV3" i="26"/>
  <c r="B7" i="12"/>
  <c r="AV28" i="26"/>
  <c r="AB41" i="21"/>
  <c r="AV41" i="26"/>
  <c r="AB32" i="21"/>
  <c r="AV32" i="26"/>
  <c r="AB18" i="21"/>
  <c r="AB27" i="21"/>
  <c r="AB30" i="21"/>
  <c r="AB16" i="21"/>
  <c r="AB38" i="21"/>
  <c r="AB42" i="21"/>
  <c r="AB46" i="21"/>
  <c r="AB34" i="21"/>
  <c r="AB20" i="21"/>
  <c r="AB31" i="21"/>
  <c r="AB17" i="21"/>
  <c r="AB26" i="21"/>
  <c r="AB39" i="21"/>
  <c r="AB43" i="21"/>
  <c r="AB47" i="21"/>
  <c r="AB35" i="21"/>
  <c r="Y40" i="12"/>
  <c r="AW31" i="26"/>
  <c r="Y26" i="12"/>
  <c r="AW17" i="26"/>
  <c r="Y35" i="12"/>
  <c r="AW26" i="26"/>
  <c r="B46" i="12"/>
  <c r="AW37" i="26"/>
  <c r="D46" i="11"/>
  <c r="BJ37" i="26"/>
  <c r="B48" i="12"/>
  <c r="AW39" i="26"/>
  <c r="D48" i="11"/>
  <c r="BJ39" i="26"/>
  <c r="B50" i="12"/>
  <c r="AW41" i="26"/>
  <c r="D50" i="11"/>
  <c r="BJ41" i="26"/>
  <c r="B52" i="12"/>
  <c r="AW43" i="26"/>
  <c r="D52" i="11"/>
  <c r="BJ43" i="26"/>
  <c r="B54" i="12"/>
  <c r="AW45" i="26"/>
  <c r="D54" i="11"/>
  <c r="BJ45" i="26"/>
  <c r="B56" i="12"/>
  <c r="AW47" i="26"/>
  <c r="D56" i="11"/>
  <c r="BJ47" i="26"/>
  <c r="Y44" i="12"/>
  <c r="AW35" i="26"/>
  <c r="Y39" i="12"/>
  <c r="AW30" i="26"/>
  <c r="Y25" i="12"/>
  <c r="AW16" i="26"/>
  <c r="Y34" i="12"/>
  <c r="AW25" i="26"/>
  <c r="AW36" i="26"/>
  <c r="D45" i="11"/>
  <c r="BJ36" i="26"/>
  <c r="B47" i="12"/>
  <c r="AW38" i="26"/>
  <c r="D47" i="11"/>
  <c r="BJ38" i="26"/>
  <c r="B49" i="12"/>
  <c r="AW40" i="26"/>
  <c r="D49" i="11"/>
  <c r="BJ40" i="26"/>
  <c r="B51" i="12"/>
  <c r="AW42" i="26"/>
  <c r="D51" i="11"/>
  <c r="BJ42" i="26"/>
  <c r="B53" i="12"/>
  <c r="AW44" i="26"/>
  <c r="D53" i="11"/>
  <c r="BJ44" i="26"/>
  <c r="B55" i="12"/>
  <c r="AW46" i="26"/>
  <c r="D55" i="11"/>
  <c r="BJ46" i="26"/>
  <c r="Y43" i="12"/>
  <c r="AW34" i="26"/>
  <c r="Y29" i="12"/>
  <c r="AW20" i="26"/>
  <c r="Y24" i="12"/>
  <c r="AW15" i="26"/>
  <c r="Y33" i="12"/>
  <c r="AW24" i="26"/>
  <c r="Y42" i="12"/>
  <c r="AW33" i="26"/>
  <c r="Y28" i="12"/>
  <c r="AW19" i="26"/>
  <c r="Y37" i="12"/>
  <c r="AW28" i="26"/>
  <c r="Y23" i="12"/>
  <c r="AW14" i="26"/>
  <c r="Y32" i="12"/>
  <c r="AW23" i="26"/>
  <c r="Y41" i="12"/>
  <c r="AW32" i="26"/>
  <c r="Y27" i="12"/>
  <c r="AW18" i="26"/>
  <c r="Y36" i="12"/>
  <c r="AW27" i="26"/>
  <c r="D2" i="22"/>
  <c r="Q48" i="5"/>
  <c r="S33" i="22"/>
  <c r="BD23" i="19"/>
  <c r="Z42" i="11"/>
  <c r="BW33" i="26"/>
  <c r="Z10" i="10"/>
  <c r="BV52" i="26"/>
  <c r="Z8" i="10"/>
  <c r="BV50" i="26"/>
  <c r="Z7" i="10"/>
  <c r="S51" i="22"/>
  <c r="Z9" i="10"/>
  <c r="BV51" i="26"/>
  <c r="S57" i="22"/>
  <c r="N50" i="21"/>
  <c r="N13" i="21"/>
  <c r="N12" i="21"/>
  <c r="N11" i="21"/>
  <c r="N10" i="21"/>
  <c r="N9" i="21"/>
  <c r="N8" i="21"/>
  <c r="N7" i="21"/>
  <c r="N6" i="21"/>
  <c r="N5" i="21"/>
  <c r="N4" i="21"/>
  <c r="N3" i="21"/>
  <c r="M50" i="21"/>
  <c r="M13" i="21"/>
  <c r="M12" i="21"/>
  <c r="M11" i="21"/>
  <c r="M10" i="21"/>
  <c r="M9" i="21"/>
  <c r="M8" i="21"/>
  <c r="M7" i="21"/>
  <c r="M6" i="21"/>
  <c r="M5" i="21"/>
  <c r="M4" i="21"/>
  <c r="M3" i="21"/>
  <c r="L50" i="21"/>
  <c r="L13" i="21"/>
  <c r="L12" i="21"/>
  <c r="L11" i="21"/>
  <c r="L10" i="21"/>
  <c r="L9" i="21"/>
  <c r="L8" i="21"/>
  <c r="L7" i="21"/>
  <c r="L6" i="21"/>
  <c r="L5" i="21"/>
  <c r="L4" i="21"/>
  <c r="L3" i="21"/>
  <c r="K50" i="21"/>
  <c r="K13" i="21"/>
  <c r="K12" i="21"/>
  <c r="K11" i="21"/>
  <c r="K10" i="21"/>
  <c r="K9" i="21"/>
  <c r="K8" i="21"/>
  <c r="K7" i="21"/>
  <c r="K6" i="21"/>
  <c r="K5" i="21"/>
  <c r="K4" i="21"/>
  <c r="K3" i="21"/>
  <c r="J50" i="21"/>
  <c r="J13" i="21"/>
  <c r="J12" i="21"/>
  <c r="J11" i="21"/>
  <c r="J10" i="21"/>
  <c r="J9" i="21"/>
  <c r="J8" i="21"/>
  <c r="J7" i="21"/>
  <c r="J6" i="21"/>
  <c r="J5" i="21"/>
  <c r="J4" i="21"/>
  <c r="J3" i="21"/>
  <c r="I50" i="21"/>
  <c r="I13" i="21"/>
  <c r="I12" i="21"/>
  <c r="I11" i="21"/>
  <c r="I10" i="21"/>
  <c r="I9" i="21"/>
  <c r="I8" i="21"/>
  <c r="I7" i="21"/>
  <c r="I6" i="21"/>
  <c r="I5" i="21"/>
  <c r="I4" i="21"/>
  <c r="I3" i="21"/>
  <c r="H50" i="21"/>
  <c r="H13" i="21"/>
  <c r="H12" i="21"/>
  <c r="H11" i="21"/>
  <c r="H10" i="21"/>
  <c r="H9" i="21"/>
  <c r="H8" i="21"/>
  <c r="H7" i="21"/>
  <c r="H6" i="21"/>
  <c r="H5" i="21"/>
  <c r="H4" i="21"/>
  <c r="H3" i="21"/>
  <c r="G50" i="21"/>
  <c r="G13" i="21"/>
  <c r="G12" i="21"/>
  <c r="G11" i="21"/>
  <c r="G10" i="21"/>
  <c r="G9" i="21"/>
  <c r="G8" i="21"/>
  <c r="G7" i="21"/>
  <c r="G6" i="21"/>
  <c r="G5" i="21"/>
  <c r="G4" i="21"/>
  <c r="G3" i="21"/>
  <c r="F50" i="21"/>
  <c r="F13" i="21"/>
  <c r="F12" i="21"/>
  <c r="F11" i="21"/>
  <c r="F10" i="21"/>
  <c r="F9" i="21"/>
  <c r="F8" i="21"/>
  <c r="F7" i="21"/>
  <c r="F6" i="21"/>
  <c r="F5" i="21"/>
  <c r="F4" i="21"/>
  <c r="F3" i="21"/>
  <c r="E50" i="21"/>
  <c r="E61" i="21"/>
  <c r="E13" i="21"/>
  <c r="E12" i="21"/>
  <c r="E11" i="21"/>
  <c r="E10" i="21"/>
  <c r="E9" i="21"/>
  <c r="E8" i="21"/>
  <c r="E7" i="21"/>
  <c r="E6" i="21"/>
  <c r="E5" i="21"/>
  <c r="E4" i="21"/>
  <c r="E3" i="21"/>
  <c r="D50" i="21"/>
  <c r="C50" i="21"/>
  <c r="D4" i="21"/>
  <c r="D5" i="21"/>
  <c r="D6" i="21"/>
  <c r="D7" i="21"/>
  <c r="D8" i="21"/>
  <c r="D9" i="21"/>
  <c r="D10" i="21"/>
  <c r="D11" i="21"/>
  <c r="D12" i="21"/>
  <c r="D13" i="21"/>
  <c r="D3" i="21"/>
  <c r="C4" i="21"/>
  <c r="C5" i="21"/>
  <c r="C6" i="21"/>
  <c r="C7" i="21"/>
  <c r="C8" i="21"/>
  <c r="C9" i="21"/>
  <c r="C10" i="21"/>
  <c r="C11" i="21"/>
  <c r="C12" i="21"/>
  <c r="C13" i="21"/>
  <c r="C3" i="21"/>
  <c r="Z23" i="5"/>
  <c r="BS14" i="26"/>
  <c r="C8" i="5"/>
  <c r="P3" i="22"/>
  <c r="R85" i="13"/>
  <c r="Q85" i="14"/>
  <c r="P40" i="9"/>
  <c r="V40" i="9"/>
  <c r="U40" i="9"/>
  <c r="Q40" i="9"/>
  <c r="R40" i="9"/>
  <c r="T81" i="13"/>
  <c r="Q81" i="13"/>
  <c r="R81" i="13"/>
  <c r="S40" i="9"/>
  <c r="P81" i="13"/>
  <c r="U81" i="13"/>
  <c r="S81" i="13"/>
  <c r="S52" i="22"/>
  <c r="Y6" i="13"/>
  <c r="AW48" i="26"/>
  <c r="Z15" i="11"/>
  <c r="BV57" i="26"/>
  <c r="Y15" i="13"/>
  <c r="AW57" i="26"/>
  <c r="Y16" i="13"/>
  <c r="AW58" i="26"/>
  <c r="Y13" i="13"/>
  <c r="AW55" i="26"/>
  <c r="Y8" i="13"/>
  <c r="AX50" i="26"/>
  <c r="AW50" i="26"/>
  <c r="B16" i="13"/>
  <c r="AX12" i="26"/>
  <c r="AW12" i="26"/>
  <c r="B13" i="13"/>
  <c r="AX9" i="26"/>
  <c r="AW9" i="26"/>
  <c r="Y11" i="13"/>
  <c r="AX53" i="26"/>
  <c r="AW53" i="26"/>
  <c r="S54" i="22"/>
  <c r="BV49" i="26"/>
  <c r="Y9" i="13"/>
  <c r="AW51" i="26"/>
  <c r="B8" i="13"/>
  <c r="AW4" i="26"/>
  <c r="B11" i="13"/>
  <c r="AW7" i="26"/>
  <c r="Z13" i="12"/>
  <c r="BW55" i="26"/>
  <c r="B17" i="13"/>
  <c r="AW13" i="26"/>
  <c r="Y7" i="13"/>
  <c r="AW49" i="26"/>
  <c r="B14" i="13"/>
  <c r="AW10" i="26"/>
  <c r="B12" i="13"/>
  <c r="AW8" i="26"/>
  <c r="Y12" i="13"/>
  <c r="AW54" i="26"/>
  <c r="P4" i="22"/>
  <c r="BS4" i="26"/>
  <c r="B7" i="13"/>
  <c r="AW3" i="26"/>
  <c r="B9" i="13"/>
  <c r="AW5" i="26"/>
  <c r="B10" i="13"/>
  <c r="AW6" i="26"/>
  <c r="B15" i="13"/>
  <c r="AW11" i="26"/>
  <c r="Y14" i="13"/>
  <c r="AW56" i="26"/>
  <c r="Y10" i="13"/>
  <c r="AW52" i="26"/>
  <c r="Y27" i="13"/>
  <c r="AX18" i="26"/>
  <c r="Y32" i="13"/>
  <c r="AX23" i="26"/>
  <c r="Y37" i="13"/>
  <c r="AX28" i="26"/>
  <c r="Y42" i="13"/>
  <c r="AX33" i="26"/>
  <c r="Y24" i="13"/>
  <c r="AX15" i="26"/>
  <c r="Y29" i="13"/>
  <c r="AX20" i="26"/>
  <c r="Y39" i="13"/>
  <c r="AX30" i="26"/>
  <c r="B56" i="13"/>
  <c r="AX47" i="26"/>
  <c r="D56" i="12"/>
  <c r="BK47" i="26"/>
  <c r="B54" i="13"/>
  <c r="AX45" i="26"/>
  <c r="D54" i="12"/>
  <c r="BK45" i="26"/>
  <c r="B52" i="13"/>
  <c r="AX43" i="26"/>
  <c r="D52" i="12"/>
  <c r="BK43" i="26"/>
  <c r="B50" i="13"/>
  <c r="AX41" i="26"/>
  <c r="D50" i="12"/>
  <c r="BK41" i="26"/>
  <c r="B48" i="13"/>
  <c r="AX39" i="26"/>
  <c r="D48" i="12"/>
  <c r="BK39" i="26"/>
  <c r="B46" i="13"/>
  <c r="AX37" i="26"/>
  <c r="D46" i="12"/>
  <c r="BK37" i="26"/>
  <c r="Y26" i="13"/>
  <c r="AX17" i="26"/>
  <c r="Y41" i="13"/>
  <c r="AX32" i="26"/>
  <c r="Y28" i="13"/>
  <c r="AX19" i="26"/>
  <c r="Y43" i="13"/>
  <c r="AX34" i="26"/>
  <c r="B55" i="13"/>
  <c r="AX46" i="26"/>
  <c r="D55" i="12"/>
  <c r="BK46" i="26"/>
  <c r="B53" i="13"/>
  <c r="AX44" i="26"/>
  <c r="D53" i="12"/>
  <c r="BK44" i="26"/>
  <c r="B51" i="13"/>
  <c r="AX42" i="26"/>
  <c r="D51" i="12"/>
  <c r="BK42" i="26"/>
  <c r="B49" i="13"/>
  <c r="AX40" i="26"/>
  <c r="D49" i="12"/>
  <c r="BK40" i="26"/>
  <c r="B47" i="13"/>
  <c r="AX38" i="26"/>
  <c r="D47" i="12"/>
  <c r="BK38" i="26"/>
  <c r="AX36" i="26"/>
  <c r="D45" i="12"/>
  <c r="BK36" i="26"/>
  <c r="Y25" i="13"/>
  <c r="AX16" i="26"/>
  <c r="Y35" i="13"/>
  <c r="AX26" i="26"/>
  <c r="Y40" i="13"/>
  <c r="AX31" i="26"/>
  <c r="Z10" i="11"/>
  <c r="BW52" i="26"/>
  <c r="T33" i="22"/>
  <c r="BE23" i="19"/>
  <c r="P14" i="22"/>
  <c r="BA4" i="19"/>
  <c r="S59" i="22"/>
  <c r="D61" i="21"/>
  <c r="T57" i="22"/>
  <c r="L61" i="21"/>
  <c r="N61" i="21"/>
  <c r="Z9" i="11"/>
  <c r="T53" i="22"/>
  <c r="Z7" i="11"/>
  <c r="BW49" i="26"/>
  <c r="Z23" i="8"/>
  <c r="BT14" i="26"/>
  <c r="I61" i="21"/>
  <c r="F61" i="21"/>
  <c r="H61" i="21"/>
  <c r="J61" i="21"/>
  <c r="G61" i="21"/>
  <c r="K61" i="21"/>
  <c r="M61" i="21"/>
  <c r="C61" i="21"/>
  <c r="E2" i="19"/>
  <c r="F28" i="19"/>
  <c r="T85" i="14"/>
  <c r="U85" i="14"/>
  <c r="V85" i="14"/>
  <c r="P85" i="14"/>
  <c r="S85" i="14"/>
  <c r="V81" i="14"/>
  <c r="T81" i="14"/>
  <c r="U81" i="14"/>
  <c r="P81" i="14"/>
  <c r="S81" i="14"/>
  <c r="Y14" i="14"/>
  <c r="AY56" i="26"/>
  <c r="AX56" i="26"/>
  <c r="B15" i="14"/>
  <c r="AY11" i="26"/>
  <c r="AX11" i="26"/>
  <c r="B9" i="14"/>
  <c r="AY5" i="26"/>
  <c r="AX5" i="26"/>
  <c r="B12" i="14"/>
  <c r="AY8" i="26"/>
  <c r="AX8" i="26"/>
  <c r="Y7" i="14"/>
  <c r="AY49" i="26"/>
  <c r="AX49" i="26"/>
  <c r="Z13" i="13"/>
  <c r="BY55" i="26"/>
  <c r="BX55" i="26"/>
  <c r="B8" i="14"/>
  <c r="AY4" i="26"/>
  <c r="AX4" i="26"/>
  <c r="Y11" i="14"/>
  <c r="AY53" i="26"/>
  <c r="B16" i="14"/>
  <c r="B16" i="15"/>
  <c r="AZ12" i="26"/>
  <c r="Y13" i="14"/>
  <c r="Y13" i="15"/>
  <c r="AX55" i="26"/>
  <c r="Y15" i="14"/>
  <c r="AY57" i="26"/>
  <c r="AX57" i="26"/>
  <c r="T54" i="22"/>
  <c r="Y10" i="14"/>
  <c r="AY52" i="26"/>
  <c r="AX52" i="26"/>
  <c r="B10" i="14"/>
  <c r="AY6" i="26"/>
  <c r="AX6" i="26"/>
  <c r="B7" i="14"/>
  <c r="AY3" i="26"/>
  <c r="AX3" i="26"/>
  <c r="Y12" i="14"/>
  <c r="AY54" i="26"/>
  <c r="AX54" i="26"/>
  <c r="B14" i="14"/>
  <c r="AY10" i="26"/>
  <c r="AX10" i="26"/>
  <c r="B17" i="14"/>
  <c r="AY13" i="26"/>
  <c r="AX13" i="26"/>
  <c r="B11" i="14"/>
  <c r="B11" i="15"/>
  <c r="AX7" i="26"/>
  <c r="Y9" i="14"/>
  <c r="AY51" i="26"/>
  <c r="AX51" i="26"/>
  <c r="B13" i="14"/>
  <c r="AY9" i="26"/>
  <c r="Y8" i="14"/>
  <c r="Y8" i="15"/>
  <c r="AZ50" i="26"/>
  <c r="Y16" i="14"/>
  <c r="AY58" i="26"/>
  <c r="AX58" i="26"/>
  <c r="Z15" i="12"/>
  <c r="BX57" i="26"/>
  <c r="BW57" i="26"/>
  <c r="Y6" i="14"/>
  <c r="AY48" i="26"/>
  <c r="AX48" i="26"/>
  <c r="Y25" i="14"/>
  <c r="AY16" i="26"/>
  <c r="AY36" i="26"/>
  <c r="D45" i="13"/>
  <c r="BL36" i="26"/>
  <c r="B47" i="14"/>
  <c r="AY38" i="26"/>
  <c r="D47" i="13"/>
  <c r="BL38" i="26"/>
  <c r="B49" i="14"/>
  <c r="AY40" i="26"/>
  <c r="D49" i="13"/>
  <c r="BL40" i="26"/>
  <c r="B51" i="14"/>
  <c r="AY42" i="26"/>
  <c r="D51" i="13"/>
  <c r="BL42" i="26"/>
  <c r="B53" i="14"/>
  <c r="AY44" i="26"/>
  <c r="D53" i="13"/>
  <c r="BL44" i="26"/>
  <c r="B55" i="14"/>
  <c r="AY46" i="26"/>
  <c r="D55" i="13"/>
  <c r="BL46" i="26"/>
  <c r="Y24" i="14"/>
  <c r="AY15" i="26"/>
  <c r="Y37" i="14"/>
  <c r="AY28" i="26"/>
  <c r="Y27" i="14"/>
  <c r="AY18" i="26"/>
  <c r="Y26" i="14"/>
  <c r="AY17" i="26"/>
  <c r="B46" i="14"/>
  <c r="D46" i="13"/>
  <c r="BL37" i="26"/>
  <c r="B48" i="14"/>
  <c r="AY39" i="26"/>
  <c r="D48" i="13"/>
  <c r="BL39" i="26"/>
  <c r="B50" i="14"/>
  <c r="B52" i="14"/>
  <c r="AY43" i="26"/>
  <c r="D52" i="13"/>
  <c r="BL43" i="26"/>
  <c r="B54" i="14"/>
  <c r="D54" i="14"/>
  <c r="B56" i="14"/>
  <c r="AY47" i="26"/>
  <c r="D56" i="13"/>
  <c r="BL47" i="26"/>
  <c r="Y39" i="14"/>
  <c r="AY30" i="26"/>
  <c r="Y29" i="14"/>
  <c r="AY20" i="26"/>
  <c r="Y42" i="14"/>
  <c r="AY33" i="26"/>
  <c r="Y32" i="14"/>
  <c r="AY23" i="26"/>
  <c r="Z10" i="12"/>
  <c r="AS27" i="4"/>
  <c r="AR27" i="4"/>
  <c r="AX27" i="4"/>
  <c r="AE27" i="4"/>
  <c r="AS29" i="4"/>
  <c r="AR29" i="4"/>
  <c r="AX29" i="4"/>
  <c r="AE29" i="4"/>
  <c r="AS31" i="4"/>
  <c r="AR31" i="4"/>
  <c r="AS33" i="4"/>
  <c r="AR33" i="4"/>
  <c r="AX33" i="4"/>
  <c r="AE33" i="4"/>
  <c r="AS35" i="4"/>
  <c r="AR35" i="4"/>
  <c r="AX35" i="4"/>
  <c r="AE35" i="4"/>
  <c r="AX39" i="4"/>
  <c r="AE39" i="4"/>
  <c r="AS41" i="4"/>
  <c r="AR41" i="4"/>
  <c r="AX41" i="4"/>
  <c r="AE41" i="4"/>
  <c r="AS44" i="4"/>
  <c r="AR44" i="4"/>
  <c r="AX44" i="4"/>
  <c r="AE44" i="4"/>
  <c r="AX24" i="4"/>
  <c r="AE24" i="4"/>
  <c r="AV24" i="5"/>
  <c r="AS28" i="4"/>
  <c r="AR28" i="4"/>
  <c r="AX28" i="4"/>
  <c r="AE28" i="4"/>
  <c r="AS30" i="4"/>
  <c r="AR30" i="4"/>
  <c r="AX30" i="4"/>
  <c r="AE30" i="4"/>
  <c r="AS32" i="4"/>
  <c r="AR32" i="4"/>
  <c r="AS34" i="4"/>
  <c r="AR34" i="4"/>
  <c r="AX34" i="4"/>
  <c r="AE34" i="4"/>
  <c r="AS36" i="4"/>
  <c r="AR36" i="4"/>
  <c r="AX36" i="4"/>
  <c r="AE36" i="4"/>
  <c r="AS40" i="4"/>
  <c r="AR40" i="4"/>
  <c r="AX40" i="4"/>
  <c r="AE40" i="4"/>
  <c r="AZ40" i="4"/>
  <c r="AG40" i="4"/>
  <c r="AS43" i="4"/>
  <c r="AR43" i="4"/>
  <c r="AX43" i="4"/>
  <c r="AE43" i="4"/>
  <c r="Q14" i="22"/>
  <c r="BB4" i="19"/>
  <c r="T59" i="22"/>
  <c r="Z7" i="12"/>
  <c r="U51" i="22"/>
  <c r="U57" i="22"/>
  <c r="Z23" i="9"/>
  <c r="BU14" i="26"/>
  <c r="E8" i="19"/>
  <c r="E10" i="19"/>
  <c r="E14" i="19"/>
  <c r="E16" i="19"/>
  <c r="E20" i="19"/>
  <c r="E22" i="19"/>
  <c r="E25" i="19"/>
  <c r="E5" i="19"/>
  <c r="E9" i="19"/>
  <c r="E11" i="19"/>
  <c r="E13" i="19"/>
  <c r="E15" i="19"/>
  <c r="E17" i="19"/>
  <c r="E21" i="19"/>
  <c r="E24" i="19"/>
  <c r="AY50" i="26"/>
  <c r="AY7" i="26"/>
  <c r="AY55" i="26"/>
  <c r="AY12" i="26"/>
  <c r="Y6" i="15"/>
  <c r="Y6" i="16"/>
  <c r="Y6" i="17"/>
  <c r="Y9" i="15"/>
  <c r="Y9" i="16"/>
  <c r="BA51" i="26"/>
  <c r="Y12" i="15"/>
  <c r="AZ54" i="26"/>
  <c r="B10" i="15"/>
  <c r="Y10" i="15"/>
  <c r="Y10" i="16"/>
  <c r="BA52" i="26"/>
  <c r="B8" i="15"/>
  <c r="B8" i="16"/>
  <c r="B8" i="17"/>
  <c r="BB4" i="26"/>
  <c r="B12" i="15"/>
  <c r="B15" i="15"/>
  <c r="Y16" i="15"/>
  <c r="Y16" i="16"/>
  <c r="B13" i="15"/>
  <c r="B14" i="15"/>
  <c r="Y11" i="15"/>
  <c r="AZ53" i="26"/>
  <c r="Y7" i="15"/>
  <c r="Y7" i="16"/>
  <c r="BA49" i="26"/>
  <c r="Z15" i="13"/>
  <c r="V59" i="22"/>
  <c r="B17" i="15"/>
  <c r="AZ13" i="26"/>
  <c r="B7" i="15"/>
  <c r="B7" i="16"/>
  <c r="B7" i="17"/>
  <c r="BB3" i="26"/>
  <c r="Z13" i="14"/>
  <c r="B9" i="15"/>
  <c r="AZ5" i="26"/>
  <c r="Y14" i="15"/>
  <c r="AZ56" i="26"/>
  <c r="Y39" i="15"/>
  <c r="D52" i="14"/>
  <c r="BM43" i="26"/>
  <c r="D50" i="14"/>
  <c r="BM41" i="26"/>
  <c r="D46" i="14"/>
  <c r="B55" i="15"/>
  <c r="AZ46" i="26"/>
  <c r="D55" i="14"/>
  <c r="BM46" i="26"/>
  <c r="B53" i="15"/>
  <c r="AZ44" i="26"/>
  <c r="D53" i="14"/>
  <c r="BM44" i="26"/>
  <c r="B51" i="15"/>
  <c r="AZ42" i="26"/>
  <c r="D51" i="14"/>
  <c r="BM42" i="26"/>
  <c r="B49" i="15"/>
  <c r="AZ40" i="26"/>
  <c r="D49" i="14"/>
  <c r="BM40" i="26"/>
  <c r="B47" i="15"/>
  <c r="AZ38" i="26"/>
  <c r="D47" i="14"/>
  <c r="BM38" i="26"/>
  <c r="AZ36" i="26"/>
  <c r="D45" i="14"/>
  <c r="BM36" i="26"/>
  <c r="Y29" i="15"/>
  <c r="Y26" i="15"/>
  <c r="AZ17" i="26"/>
  <c r="Y37" i="15"/>
  <c r="AZ28" i="26"/>
  <c r="R14" i="22"/>
  <c r="BC4" i="19"/>
  <c r="U59" i="22"/>
  <c r="V57" i="22"/>
  <c r="Z23" i="10"/>
  <c r="BV14" i="26"/>
  <c r="C47" i="21"/>
  <c r="C46" i="21"/>
  <c r="C45" i="21"/>
  <c r="C44" i="21"/>
  <c r="C43" i="21"/>
  <c r="C42" i="21"/>
  <c r="C41" i="21"/>
  <c r="C40" i="21"/>
  <c r="C38" i="21"/>
  <c r="C37" i="21"/>
  <c r="Y12" i="16"/>
  <c r="BA54" i="26"/>
  <c r="Y14" i="16"/>
  <c r="Z13" i="15"/>
  <c r="AZ3" i="26"/>
  <c r="AZ49" i="26"/>
  <c r="AZ58" i="26"/>
  <c r="Y8" i="16"/>
  <c r="Y8" i="17"/>
  <c r="BB50" i="26"/>
  <c r="AZ51" i="26"/>
  <c r="B17" i="16"/>
  <c r="B17" i="17"/>
  <c r="B16" i="16"/>
  <c r="BA36" i="26"/>
  <c r="D45" i="15"/>
  <c r="C39" i="21"/>
  <c r="Z23" i="11"/>
  <c r="BW14" i="26"/>
  <c r="C55" i="5"/>
  <c r="P12" i="22"/>
  <c r="Y9" i="17"/>
  <c r="AC53" i="21"/>
  <c r="B53" i="21"/>
  <c r="B53" i="22"/>
  <c r="Y7" i="17"/>
  <c r="AC51" i="21"/>
  <c r="B51" i="21"/>
  <c r="B51" i="22"/>
  <c r="P46" i="22"/>
  <c r="BS46" i="26"/>
  <c r="BA48" i="26"/>
  <c r="BA4" i="26"/>
  <c r="BB36" i="26"/>
  <c r="D45" i="16"/>
  <c r="BO36" i="26"/>
  <c r="T14" i="22"/>
  <c r="BE4" i="19"/>
  <c r="G36" i="21"/>
  <c r="I36" i="21"/>
  <c r="J36" i="21"/>
  <c r="K36" i="21"/>
  <c r="E36" i="21"/>
  <c r="H36" i="21"/>
  <c r="D36" i="21"/>
  <c r="F36" i="21"/>
  <c r="D38" i="21"/>
  <c r="D40" i="21"/>
  <c r="D42" i="21"/>
  <c r="D44" i="21"/>
  <c r="D46" i="21"/>
  <c r="D37" i="21"/>
  <c r="D41" i="21"/>
  <c r="D43" i="21"/>
  <c r="D45" i="21"/>
  <c r="D47" i="21"/>
  <c r="Z23" i="12"/>
  <c r="BX14" i="26"/>
  <c r="C55" i="8"/>
  <c r="R13" i="4"/>
  <c r="R45" i="4"/>
  <c r="T45" i="5"/>
  <c r="R44" i="4"/>
  <c r="R43" i="4"/>
  <c r="Q43" i="5"/>
  <c r="R43" i="5"/>
  <c r="R42" i="4"/>
  <c r="R39" i="4"/>
  <c r="T39" i="5"/>
  <c r="R38" i="4"/>
  <c r="R37" i="4"/>
  <c r="V37" i="5"/>
  <c r="R36" i="4"/>
  <c r="R35" i="4"/>
  <c r="Q35" i="5"/>
  <c r="R34" i="4"/>
  <c r="R33" i="4"/>
  <c r="U33" i="5"/>
  <c r="R32" i="4"/>
  <c r="R31" i="4"/>
  <c r="V31" i="5"/>
  <c r="R30" i="4"/>
  <c r="R29" i="4"/>
  <c r="U29" i="5"/>
  <c r="R28" i="4"/>
  <c r="R27" i="4"/>
  <c r="T27" i="5"/>
  <c r="R26" i="4"/>
  <c r="R25" i="4"/>
  <c r="S25" i="5"/>
  <c r="R24" i="4"/>
  <c r="AD38" i="4"/>
  <c r="R23" i="4"/>
  <c r="Q23" i="5"/>
  <c r="R22" i="4"/>
  <c r="R21" i="4"/>
  <c r="Q21" i="5"/>
  <c r="R20" i="4"/>
  <c r="Q20" i="5"/>
  <c r="R19" i="4"/>
  <c r="U19" i="5"/>
  <c r="R18" i="4"/>
  <c r="R17" i="4"/>
  <c r="S17" i="5"/>
  <c r="R16" i="4"/>
  <c r="R15" i="4"/>
  <c r="S15" i="5"/>
  <c r="R14" i="4"/>
  <c r="R12" i="4"/>
  <c r="S12" i="5"/>
  <c r="R11" i="4"/>
  <c r="R10" i="4"/>
  <c r="T10" i="5"/>
  <c r="R9" i="4"/>
  <c r="R8" i="4"/>
  <c r="Q8" i="5"/>
  <c r="AC52" i="21"/>
  <c r="P10" i="5"/>
  <c r="S10" i="5"/>
  <c r="Q10" i="5"/>
  <c r="S27" i="5"/>
  <c r="Q27" i="5"/>
  <c r="P27" i="5"/>
  <c r="AX26" i="4"/>
  <c r="AE26" i="4"/>
  <c r="V8" i="5"/>
  <c r="U12" i="5"/>
  <c r="U17" i="5"/>
  <c r="T25" i="5"/>
  <c r="S29" i="5"/>
  <c r="T33" i="5"/>
  <c r="S43" i="5"/>
  <c r="S9" i="5"/>
  <c r="V9" i="5"/>
  <c r="U9" i="5"/>
  <c r="Q9" i="5"/>
  <c r="R9" i="5"/>
  <c r="S9" i="8"/>
  <c r="T9" i="5"/>
  <c r="P9" i="5"/>
  <c r="S14" i="5"/>
  <c r="V14" i="5"/>
  <c r="Q14" i="5"/>
  <c r="U14" i="5"/>
  <c r="P14" i="5"/>
  <c r="T14" i="5"/>
  <c r="U18" i="5"/>
  <c r="P18" i="5"/>
  <c r="T18" i="5"/>
  <c r="S18" i="5"/>
  <c r="V18" i="5"/>
  <c r="Q18" i="5"/>
  <c r="T22" i="5"/>
  <c r="S22" i="5"/>
  <c r="V22" i="5"/>
  <c r="Q22" i="5"/>
  <c r="U22" i="5"/>
  <c r="P22" i="5"/>
  <c r="V26" i="5"/>
  <c r="Q26" i="5"/>
  <c r="U26" i="5"/>
  <c r="P26" i="5"/>
  <c r="T26" i="5"/>
  <c r="S26" i="5"/>
  <c r="U30" i="5"/>
  <c r="P30" i="5"/>
  <c r="T30" i="5"/>
  <c r="S30" i="5"/>
  <c r="V30" i="5"/>
  <c r="Q30" i="5"/>
  <c r="T34" i="5"/>
  <c r="S34" i="5"/>
  <c r="V34" i="5"/>
  <c r="Q34" i="5"/>
  <c r="U34" i="5"/>
  <c r="P34" i="5"/>
  <c r="S38" i="5"/>
  <c r="V38" i="5"/>
  <c r="U38" i="5"/>
  <c r="Q38" i="5"/>
  <c r="R38" i="5"/>
  <c r="T38" i="5"/>
  <c r="P38" i="5"/>
  <c r="U44" i="5"/>
  <c r="P44" i="5"/>
  <c r="T44" i="5"/>
  <c r="S44" i="5"/>
  <c r="V44" i="5"/>
  <c r="Q44" i="5"/>
  <c r="S19" i="5"/>
  <c r="Q19" i="5"/>
  <c r="P19" i="5"/>
  <c r="V35" i="5"/>
  <c r="U35" i="5"/>
  <c r="T35" i="5"/>
  <c r="U15" i="5"/>
  <c r="T15" i="5"/>
  <c r="V15" i="5"/>
  <c r="S31" i="5"/>
  <c r="Q31" i="5"/>
  <c r="P31" i="5"/>
  <c r="U39" i="5"/>
  <c r="P39" i="5"/>
  <c r="S39" i="5"/>
  <c r="S11" i="5"/>
  <c r="V11" i="5"/>
  <c r="Q11" i="5"/>
  <c r="U11" i="5"/>
  <c r="P11" i="5"/>
  <c r="T11" i="5"/>
  <c r="V16" i="5"/>
  <c r="U16" i="5"/>
  <c r="Q16" i="5"/>
  <c r="R16" i="5"/>
  <c r="T16" i="5"/>
  <c r="P16" i="5"/>
  <c r="S16" i="5"/>
  <c r="U20" i="5"/>
  <c r="P20" i="5"/>
  <c r="T20" i="5"/>
  <c r="S20" i="5"/>
  <c r="V20" i="5"/>
  <c r="AD25" i="4"/>
  <c r="AX25" i="4"/>
  <c r="AE25" i="4"/>
  <c r="S24" i="5"/>
  <c r="V24" i="5"/>
  <c r="U24" i="5"/>
  <c r="Q24" i="5"/>
  <c r="R24" i="5"/>
  <c r="T24" i="5"/>
  <c r="P24" i="5"/>
  <c r="V28" i="5"/>
  <c r="Q28" i="5"/>
  <c r="U28" i="5"/>
  <c r="P28" i="5"/>
  <c r="T28" i="5"/>
  <c r="S28" i="5"/>
  <c r="T32" i="5"/>
  <c r="P32" i="5"/>
  <c r="S32" i="5"/>
  <c r="V32" i="5"/>
  <c r="U32" i="5"/>
  <c r="Q32" i="5"/>
  <c r="R32" i="5"/>
  <c r="T36" i="5"/>
  <c r="S36" i="5"/>
  <c r="V36" i="5"/>
  <c r="Q36" i="5"/>
  <c r="U36" i="5"/>
  <c r="P36" i="5"/>
  <c r="U42" i="5"/>
  <c r="Q42" i="5"/>
  <c r="R42" i="5"/>
  <c r="T42" i="5"/>
  <c r="P42" i="5"/>
  <c r="S42" i="5"/>
  <c r="V42" i="5"/>
  <c r="U13" i="5"/>
  <c r="Q13" i="5"/>
  <c r="R13" i="5"/>
  <c r="T13" i="5"/>
  <c r="P13" i="5"/>
  <c r="S13" i="5"/>
  <c r="V13" i="5"/>
  <c r="AD23" i="4"/>
  <c r="V23" i="5"/>
  <c r="U23" i="5"/>
  <c r="P23" i="5"/>
  <c r="T23" i="5"/>
  <c r="V45" i="5"/>
  <c r="U45" i="5"/>
  <c r="Q45" i="5"/>
  <c r="R45" i="5"/>
  <c r="P45" i="5"/>
  <c r="S45" i="5"/>
  <c r="AC4" i="21"/>
  <c r="B4" i="21"/>
  <c r="B4" i="22"/>
  <c r="BB48" i="26"/>
  <c r="AC50" i="21"/>
  <c r="B50" i="21"/>
  <c r="B50" i="22"/>
  <c r="AC3" i="21"/>
  <c r="B3" i="21"/>
  <c r="B3" i="22"/>
  <c r="Q46" i="22"/>
  <c r="BT46" i="26"/>
  <c r="BB49" i="26"/>
  <c r="BB51" i="26"/>
  <c r="AC36" i="21"/>
  <c r="B36" i="21"/>
  <c r="B36" i="22"/>
  <c r="D45" i="17"/>
  <c r="BP36" i="26"/>
  <c r="AS37" i="4"/>
  <c r="AR37" i="4"/>
  <c r="AX37" i="4"/>
  <c r="AE37" i="4"/>
  <c r="F18" i="19"/>
  <c r="E18" i="19"/>
  <c r="AS26" i="4"/>
  <c r="AR26" i="4"/>
  <c r="E7" i="19"/>
  <c r="U14" i="22"/>
  <c r="BF4" i="19"/>
  <c r="D39" i="21"/>
  <c r="E47" i="21"/>
  <c r="E45" i="21"/>
  <c r="E43" i="21"/>
  <c r="E41" i="21"/>
  <c r="E46" i="21"/>
  <c r="E44" i="21"/>
  <c r="E42" i="21"/>
  <c r="E40" i="21"/>
  <c r="E38" i="21"/>
  <c r="C55" i="9"/>
  <c r="R46" i="22"/>
  <c r="Z23" i="13"/>
  <c r="BY14" i="26"/>
  <c r="D2" i="21"/>
  <c r="Q3" i="22"/>
  <c r="Z44" i="5"/>
  <c r="BS35" i="26"/>
  <c r="Z43" i="5"/>
  <c r="BS34" i="26"/>
  <c r="Z41" i="5"/>
  <c r="BS32" i="26"/>
  <c r="Z40" i="5"/>
  <c r="BS31" i="26"/>
  <c r="Z39" i="5"/>
  <c r="BS30" i="26"/>
  <c r="Z38" i="5"/>
  <c r="BS29" i="26"/>
  <c r="Z37" i="5"/>
  <c r="BS28" i="26"/>
  <c r="Z36" i="5"/>
  <c r="AV36" i="5"/>
  <c r="BS27" i="26"/>
  <c r="Z35" i="5"/>
  <c r="BS26" i="26"/>
  <c r="Z34" i="5"/>
  <c r="AV34" i="5"/>
  <c r="BS25" i="26"/>
  <c r="Z33" i="5"/>
  <c r="BS24" i="26"/>
  <c r="Z32" i="5"/>
  <c r="BS23" i="26"/>
  <c r="Z31" i="5"/>
  <c r="BS22" i="26"/>
  <c r="Z30" i="5"/>
  <c r="BS21" i="26"/>
  <c r="Z29" i="5"/>
  <c r="BS20" i="26"/>
  <c r="Z28" i="5"/>
  <c r="AV28" i="5"/>
  <c r="BS19" i="26"/>
  <c r="Z27" i="5"/>
  <c r="BS18" i="26"/>
  <c r="Z26" i="5"/>
  <c r="BS17" i="26"/>
  <c r="Z25" i="5"/>
  <c r="BS16" i="26"/>
  <c r="C56" i="5"/>
  <c r="P47" i="22"/>
  <c r="C54" i="5"/>
  <c r="C53" i="5"/>
  <c r="C52" i="5"/>
  <c r="C51" i="5"/>
  <c r="P42" i="22"/>
  <c r="C50" i="5"/>
  <c r="C49" i="5"/>
  <c r="C48" i="5"/>
  <c r="BS39" i="26"/>
  <c r="C47" i="5"/>
  <c r="P38" i="22"/>
  <c r="C46" i="5"/>
  <c r="P37" i="22"/>
  <c r="C45" i="5"/>
  <c r="BS36" i="26"/>
  <c r="C27" i="5"/>
  <c r="C27" i="8"/>
  <c r="C27" i="9"/>
  <c r="C17" i="5"/>
  <c r="C16" i="8"/>
  <c r="Q12" i="22"/>
  <c r="P11" i="22"/>
  <c r="C14" i="5"/>
  <c r="BS10" i="26"/>
  <c r="C13" i="5"/>
  <c r="C12" i="5"/>
  <c r="C11" i="5"/>
  <c r="BS7" i="26"/>
  <c r="C10" i="5"/>
  <c r="C9" i="5"/>
  <c r="C8" i="8"/>
  <c r="R55" i="17"/>
  <c r="D18" i="17"/>
  <c r="AA17" i="17"/>
  <c r="R54" i="17"/>
  <c r="AA29" i="19"/>
  <c r="R55" i="16"/>
  <c r="Y34" i="19"/>
  <c r="D18" i="16"/>
  <c r="AA17" i="16"/>
  <c r="R54" i="16"/>
  <c r="Y29" i="19"/>
  <c r="R55" i="15"/>
  <c r="D18" i="15"/>
  <c r="R50" i="15"/>
  <c r="W30" i="19"/>
  <c r="AA17" i="15"/>
  <c r="R55" i="14"/>
  <c r="U34" i="19"/>
  <c r="D18" i="14"/>
  <c r="AA17" i="14"/>
  <c r="R55" i="13"/>
  <c r="J64" i="21"/>
  <c r="D18" i="13"/>
  <c r="AA17" i="13"/>
  <c r="AE8" i="15"/>
  <c r="R55" i="12"/>
  <c r="D18" i="12"/>
  <c r="R50" i="12"/>
  <c r="Q30" i="19"/>
  <c r="AA17" i="12"/>
  <c r="R55" i="11"/>
  <c r="D18" i="11"/>
  <c r="AA17" i="11"/>
  <c r="AE8" i="13"/>
  <c r="R55" i="10"/>
  <c r="D18" i="10"/>
  <c r="AA17" i="10"/>
  <c r="R55" i="9"/>
  <c r="F64" i="21"/>
  <c r="D18" i="9"/>
  <c r="AA17" i="9"/>
  <c r="R55" i="8"/>
  <c r="D18" i="8"/>
  <c r="AA17" i="8"/>
  <c r="R55" i="5"/>
  <c r="G34" i="19"/>
  <c r="D18" i="5"/>
  <c r="AA17" i="5"/>
  <c r="AT23" i="4"/>
  <c r="AA17" i="4"/>
  <c r="AE8" i="5"/>
  <c r="AS25" i="4"/>
  <c r="AR25" i="4"/>
  <c r="S13" i="8"/>
  <c r="T13" i="8"/>
  <c r="U13" i="8"/>
  <c r="P13" i="8"/>
  <c r="Q13" i="8"/>
  <c r="R20" i="5"/>
  <c r="U20" i="8"/>
  <c r="R11" i="5"/>
  <c r="S11" i="8"/>
  <c r="R31" i="5"/>
  <c r="U31" i="8"/>
  <c r="R26" i="5"/>
  <c r="T26" i="8"/>
  <c r="R22" i="5"/>
  <c r="U22" i="8"/>
  <c r="R18" i="5"/>
  <c r="V18" i="8"/>
  <c r="R14" i="5"/>
  <c r="S14" i="8"/>
  <c r="R28" i="5"/>
  <c r="S28" i="8"/>
  <c r="R19" i="5"/>
  <c r="T19" i="8"/>
  <c r="R34" i="5"/>
  <c r="V34" i="8"/>
  <c r="R30" i="5"/>
  <c r="S30" i="8"/>
  <c r="P9" i="8"/>
  <c r="Q9" i="8"/>
  <c r="T9" i="8"/>
  <c r="U9" i="8"/>
  <c r="V9" i="8"/>
  <c r="U43" i="8"/>
  <c r="R27" i="5"/>
  <c r="V27" i="8"/>
  <c r="R10" i="5"/>
  <c r="U10" i="8"/>
  <c r="P45" i="8"/>
  <c r="T45" i="8"/>
  <c r="P42" i="8"/>
  <c r="V42" i="8"/>
  <c r="R36" i="5"/>
  <c r="Q36" i="8"/>
  <c r="R44" i="5"/>
  <c r="P44" i="8"/>
  <c r="P40" i="22"/>
  <c r="BS40" i="26"/>
  <c r="P8" i="22"/>
  <c r="BS8" i="26"/>
  <c r="P45" i="22"/>
  <c r="P44" i="22"/>
  <c r="BS44" i="26"/>
  <c r="P5" i="22"/>
  <c r="BS5" i="26"/>
  <c r="P13" i="22"/>
  <c r="P7" i="22"/>
  <c r="Q4" i="22"/>
  <c r="BT4" i="26"/>
  <c r="BT12" i="26"/>
  <c r="BS38" i="26"/>
  <c r="BS6" i="26"/>
  <c r="P10" i="22"/>
  <c r="P39" i="22"/>
  <c r="P43" i="22"/>
  <c r="BS43" i="26"/>
  <c r="BS42" i="26"/>
  <c r="C57" i="5"/>
  <c r="R54" i="4"/>
  <c r="AE8" i="4"/>
  <c r="P9" i="22"/>
  <c r="AV30" i="5"/>
  <c r="AV32" i="5"/>
  <c r="AV40" i="5"/>
  <c r="AV43" i="5"/>
  <c r="AV27" i="5"/>
  <c r="AV29" i="5"/>
  <c r="AV31" i="5"/>
  <c r="AV33" i="5"/>
  <c r="AV35" i="5"/>
  <c r="AV37" i="5"/>
  <c r="AV39" i="5"/>
  <c r="AV41" i="5"/>
  <c r="AV44" i="5"/>
  <c r="R54" i="8"/>
  <c r="I29" i="19"/>
  <c r="AE8" i="8"/>
  <c r="R54" i="11"/>
  <c r="O29" i="19"/>
  <c r="R54" i="13"/>
  <c r="S29" i="19"/>
  <c r="AE8" i="9"/>
  <c r="R54" i="10"/>
  <c r="M29" i="19"/>
  <c r="AE8" i="10"/>
  <c r="R54" i="14"/>
  <c r="U29" i="19"/>
  <c r="AE8" i="14"/>
  <c r="AE8" i="12"/>
  <c r="AS23" i="4"/>
  <c r="AX23" i="4"/>
  <c r="AV23" i="5"/>
  <c r="AV26" i="5"/>
  <c r="P16" i="22"/>
  <c r="BA6" i="19"/>
  <c r="P18" i="22"/>
  <c r="BA8" i="19"/>
  <c r="P20" i="22"/>
  <c r="BA10" i="19"/>
  <c r="P22" i="22"/>
  <c r="BA12" i="19"/>
  <c r="P24" i="22"/>
  <c r="BA14" i="19"/>
  <c r="P26" i="22"/>
  <c r="BA16" i="19"/>
  <c r="P28" i="22"/>
  <c r="BA18" i="19"/>
  <c r="P30" i="22"/>
  <c r="BA20" i="19"/>
  <c r="P32" i="22"/>
  <c r="BA22" i="19"/>
  <c r="P35" i="22"/>
  <c r="BA25" i="19"/>
  <c r="P17" i="22"/>
  <c r="BA7" i="19"/>
  <c r="P19" i="22"/>
  <c r="BA9" i="19"/>
  <c r="P21" i="22"/>
  <c r="BA11" i="19"/>
  <c r="P23" i="22"/>
  <c r="BA13" i="19"/>
  <c r="P25" i="22"/>
  <c r="BA15" i="19"/>
  <c r="P27" i="22"/>
  <c r="BA17" i="19"/>
  <c r="P29" i="22"/>
  <c r="BA19" i="19"/>
  <c r="P31" i="22"/>
  <c r="BA21" i="19"/>
  <c r="P34" i="22"/>
  <c r="BA24" i="19"/>
  <c r="C18" i="21"/>
  <c r="AT27" i="4"/>
  <c r="C22" i="21"/>
  <c r="AT31" i="4"/>
  <c r="C26" i="21"/>
  <c r="C30" i="21"/>
  <c r="AT39" i="4"/>
  <c r="C35" i="21"/>
  <c r="AT44" i="4"/>
  <c r="C16" i="21"/>
  <c r="AT25" i="4"/>
  <c r="C20" i="21"/>
  <c r="AT29" i="4"/>
  <c r="C24" i="21"/>
  <c r="AT33" i="4"/>
  <c r="C28" i="21"/>
  <c r="AT37" i="4"/>
  <c r="C32" i="21"/>
  <c r="AT41" i="4"/>
  <c r="C15" i="21"/>
  <c r="AT24" i="4"/>
  <c r="C17" i="21"/>
  <c r="AT26" i="4"/>
  <c r="C19" i="21"/>
  <c r="AT28" i="4"/>
  <c r="C21" i="21"/>
  <c r="AT30" i="4"/>
  <c r="C23" i="21"/>
  <c r="AT32" i="4"/>
  <c r="C25" i="21"/>
  <c r="AT34" i="4"/>
  <c r="C27" i="21"/>
  <c r="AT36" i="4"/>
  <c r="C29" i="21"/>
  <c r="AT38" i="4"/>
  <c r="C31" i="21"/>
  <c r="AT40" i="4"/>
  <c r="C34" i="21"/>
  <c r="AT43" i="4"/>
  <c r="R50" i="5"/>
  <c r="G30" i="19"/>
  <c r="R50" i="9"/>
  <c r="K30" i="19"/>
  <c r="R50" i="11"/>
  <c r="O30" i="19"/>
  <c r="R50" i="13"/>
  <c r="S30" i="19"/>
  <c r="R50" i="17"/>
  <c r="AA30" i="19"/>
  <c r="R50" i="8"/>
  <c r="I30" i="19"/>
  <c r="R50" i="10"/>
  <c r="M30" i="19"/>
  <c r="R50" i="14"/>
  <c r="U30" i="19"/>
  <c r="R50" i="16"/>
  <c r="Y30" i="19"/>
  <c r="P36" i="22"/>
  <c r="E39" i="21"/>
  <c r="R52" i="8"/>
  <c r="I32" i="19"/>
  <c r="E37" i="21"/>
  <c r="C14" i="21"/>
  <c r="AA45" i="4"/>
  <c r="D64" i="21"/>
  <c r="E64" i="21"/>
  <c r="I34" i="19"/>
  <c r="K34" i="19"/>
  <c r="G64" i="21"/>
  <c r="M34" i="19"/>
  <c r="H64" i="21"/>
  <c r="O34" i="19"/>
  <c r="I64" i="21"/>
  <c r="Q34" i="19"/>
  <c r="K64" i="21"/>
  <c r="L64" i="21"/>
  <c r="W34" i="19"/>
  <c r="M64" i="21"/>
  <c r="N64" i="21"/>
  <c r="AA34" i="19"/>
  <c r="F38" i="21"/>
  <c r="F40" i="21"/>
  <c r="F42" i="21"/>
  <c r="F44" i="21"/>
  <c r="F46" i="21"/>
  <c r="F41" i="21"/>
  <c r="F43" i="21"/>
  <c r="F45" i="21"/>
  <c r="F47" i="21"/>
  <c r="C8" i="9"/>
  <c r="BU4" i="26"/>
  <c r="C10" i="8"/>
  <c r="BT6" i="26"/>
  <c r="C12" i="8"/>
  <c r="C14" i="8"/>
  <c r="Q10" i="22"/>
  <c r="C16" i="9"/>
  <c r="BU12" i="26"/>
  <c r="C48" i="8"/>
  <c r="C50" i="8"/>
  <c r="C52" i="8"/>
  <c r="BT43" i="26"/>
  <c r="Q54" i="5"/>
  <c r="C9" i="8"/>
  <c r="C11" i="8"/>
  <c r="BT7" i="26"/>
  <c r="C15" i="8"/>
  <c r="Q11" i="22"/>
  <c r="C45" i="8"/>
  <c r="BT36" i="26"/>
  <c r="C47" i="8"/>
  <c r="Q38" i="22"/>
  <c r="C49" i="8"/>
  <c r="C51" i="8"/>
  <c r="Q42" i="22"/>
  <c r="C53" i="8"/>
  <c r="C56" i="8"/>
  <c r="E4" i="19"/>
  <c r="Z26" i="8"/>
  <c r="BT17" i="26"/>
  <c r="Z28" i="8"/>
  <c r="BT19" i="26"/>
  <c r="Z30" i="8"/>
  <c r="BT21" i="26"/>
  <c r="Z32" i="8"/>
  <c r="BT23" i="26"/>
  <c r="Z34" i="8"/>
  <c r="BT25" i="26"/>
  <c r="Z36" i="8"/>
  <c r="BT27" i="26"/>
  <c r="Z38" i="8"/>
  <c r="BT29" i="26"/>
  <c r="Z40" i="8"/>
  <c r="BT31" i="26"/>
  <c r="Z43" i="8"/>
  <c r="BT34" i="26"/>
  <c r="Z25" i="8"/>
  <c r="BT16" i="26"/>
  <c r="Z27" i="8"/>
  <c r="BT18" i="26"/>
  <c r="Z29" i="8"/>
  <c r="BT20" i="26"/>
  <c r="Z31" i="8"/>
  <c r="BT22" i="26"/>
  <c r="Z33" i="8"/>
  <c r="BT24" i="26"/>
  <c r="Z35" i="8"/>
  <c r="Q26" i="22"/>
  <c r="BB16" i="19"/>
  <c r="BT26" i="26"/>
  <c r="Z37" i="8"/>
  <c r="BT28" i="26"/>
  <c r="Z39" i="8"/>
  <c r="BT30" i="26"/>
  <c r="Z41" i="8"/>
  <c r="BT32" i="26"/>
  <c r="Z44" i="8"/>
  <c r="BT35" i="26"/>
  <c r="G2" i="19"/>
  <c r="H28" i="19"/>
  <c r="Z45" i="5"/>
  <c r="R52" i="5"/>
  <c r="G32" i="19"/>
  <c r="R3" i="22"/>
  <c r="AA18" i="5"/>
  <c r="R54" i="15"/>
  <c r="W29" i="19"/>
  <c r="R54" i="12"/>
  <c r="Q29" i="19"/>
  <c r="R54" i="9"/>
  <c r="K29" i="19"/>
  <c r="R54" i="5"/>
  <c r="G29" i="19"/>
  <c r="U18" i="8"/>
  <c r="P14" i="8"/>
  <c r="U26" i="8"/>
  <c r="Q44" i="8"/>
  <c r="V30" i="8"/>
  <c r="S34" i="8"/>
  <c r="Q28" i="8"/>
  <c r="R28" i="8"/>
  <c r="S44" i="8"/>
  <c r="P36" i="8"/>
  <c r="P30" i="8"/>
  <c r="T30" i="8"/>
  <c r="T31" i="8"/>
  <c r="Q10" i="8"/>
  <c r="R10" i="8"/>
  <c r="Q43" i="8"/>
  <c r="U30" i="8"/>
  <c r="U34" i="8"/>
  <c r="U19" i="8"/>
  <c r="Q26" i="8"/>
  <c r="R26" i="8"/>
  <c r="V31" i="8"/>
  <c r="P10" i="8"/>
  <c r="T11" i="8"/>
  <c r="S10" i="8"/>
  <c r="V19" i="8"/>
  <c r="V36" i="8"/>
  <c r="T10" i="8"/>
  <c r="U27" i="8"/>
  <c r="Q30" i="8"/>
  <c r="R30" i="8"/>
  <c r="S30" i="9"/>
  <c r="Q34" i="8"/>
  <c r="R34" i="8"/>
  <c r="S19" i="8"/>
  <c r="P19" i="8"/>
  <c r="V14" i="8"/>
  <c r="T22" i="8"/>
  <c r="P20" i="8"/>
  <c r="U14" i="8"/>
  <c r="P18" i="8"/>
  <c r="V22" i="8"/>
  <c r="Q11" i="8"/>
  <c r="T20" i="8"/>
  <c r="S36" i="8"/>
  <c r="Q19" i="8"/>
  <c r="R19" i="8"/>
  <c r="R36" i="8"/>
  <c r="U36" i="9"/>
  <c r="P27" i="8"/>
  <c r="P43" i="8"/>
  <c r="V28" i="8"/>
  <c r="Q14" i="8"/>
  <c r="Q18" i="8"/>
  <c r="S18" i="8"/>
  <c r="S22" i="8"/>
  <c r="S26" i="8"/>
  <c r="P26" i="8"/>
  <c r="S31" i="8"/>
  <c r="V11" i="8"/>
  <c r="P11" i="8"/>
  <c r="S20" i="8"/>
  <c r="R13" i="8"/>
  <c r="T13" i="9"/>
  <c r="T44" i="8"/>
  <c r="U44" i="8"/>
  <c r="T27" i="8"/>
  <c r="S43" i="8"/>
  <c r="V43" i="8"/>
  <c r="P34" i="8"/>
  <c r="P28" i="8"/>
  <c r="R11" i="8"/>
  <c r="U11" i="9"/>
  <c r="V44" i="8"/>
  <c r="T36" i="8"/>
  <c r="V10" i="8"/>
  <c r="Q27" i="8"/>
  <c r="S27" i="8"/>
  <c r="T43" i="8"/>
  <c r="T34" i="8"/>
  <c r="U28" i="8"/>
  <c r="T28" i="8"/>
  <c r="T18" i="8"/>
  <c r="P22" i="8"/>
  <c r="Q22" i="8"/>
  <c r="V26" i="8"/>
  <c r="P31" i="8"/>
  <c r="Q31" i="8"/>
  <c r="U11" i="8"/>
  <c r="V20" i="8"/>
  <c r="R44" i="8"/>
  <c r="U44" i="9"/>
  <c r="R9" i="8"/>
  <c r="U9" i="9"/>
  <c r="Q39" i="22"/>
  <c r="BT39" i="26"/>
  <c r="Q8" i="22"/>
  <c r="BT8" i="26"/>
  <c r="Q44" i="22"/>
  <c r="BT44" i="26"/>
  <c r="Q5" i="22"/>
  <c r="BT5" i="26"/>
  <c r="Q40" i="22"/>
  <c r="BT40" i="26"/>
  <c r="Q47" i="22"/>
  <c r="BT47" i="26"/>
  <c r="BT42" i="26"/>
  <c r="Q41" i="22"/>
  <c r="BT41" i="26"/>
  <c r="BT11" i="26"/>
  <c r="AR23" i="4"/>
  <c r="Q6" i="22"/>
  <c r="C10" i="9"/>
  <c r="AE23" i="4"/>
  <c r="AZ23" i="4"/>
  <c r="AG23" i="4"/>
  <c r="Q35" i="22"/>
  <c r="BB25" i="19"/>
  <c r="Q30" i="22"/>
  <c r="BB20" i="19"/>
  <c r="Q22" i="22"/>
  <c r="BB12" i="19"/>
  <c r="Q18" i="22"/>
  <c r="BB8" i="19"/>
  <c r="Q34" i="22"/>
  <c r="BB24" i="19"/>
  <c r="Q29" i="22"/>
  <c r="BB19" i="19"/>
  <c r="Q25" i="22"/>
  <c r="BB15" i="19"/>
  <c r="Q21" i="22"/>
  <c r="BB11" i="19"/>
  <c r="Q32" i="22"/>
  <c r="BB22" i="19"/>
  <c r="Q28" i="22"/>
  <c r="BB18" i="19"/>
  <c r="Q24" i="22"/>
  <c r="BB14" i="19"/>
  <c r="Q16" i="22"/>
  <c r="BB6" i="19"/>
  <c r="Q31" i="22"/>
  <c r="BB21" i="19"/>
  <c r="Q19" i="22"/>
  <c r="BB9" i="19"/>
  <c r="Q15" i="22"/>
  <c r="BB5" i="19"/>
  <c r="C36" i="21"/>
  <c r="Q36" i="22"/>
  <c r="F39" i="21"/>
  <c r="R52" i="9"/>
  <c r="K32" i="19"/>
  <c r="F37" i="21"/>
  <c r="Z43" i="9"/>
  <c r="Z39" i="9"/>
  <c r="BU30" i="26"/>
  <c r="Z30" i="9"/>
  <c r="BU21" i="26"/>
  <c r="AP45" i="4"/>
  <c r="G47" i="21"/>
  <c r="G45" i="21"/>
  <c r="G43" i="21"/>
  <c r="G41" i="21"/>
  <c r="G46" i="21"/>
  <c r="G44" i="21"/>
  <c r="G42" i="21"/>
  <c r="G40" i="21"/>
  <c r="G38" i="21"/>
  <c r="Q23" i="22"/>
  <c r="BB13" i="19"/>
  <c r="Z32" i="9"/>
  <c r="BU23" i="26"/>
  <c r="Z45" i="8"/>
  <c r="Q51" i="8"/>
  <c r="Z31" i="9"/>
  <c r="BU22" i="26"/>
  <c r="Z34" i="9"/>
  <c r="BU25" i="26"/>
  <c r="Z26" i="9"/>
  <c r="BU17" i="26"/>
  <c r="Z24" i="9"/>
  <c r="BU15" i="26"/>
  <c r="C56" i="9"/>
  <c r="R47" i="22"/>
  <c r="C53" i="9"/>
  <c r="BU44" i="26"/>
  <c r="C51" i="9"/>
  <c r="C51" i="10"/>
  <c r="S42" i="22"/>
  <c r="C49" i="9"/>
  <c r="R40" i="22"/>
  <c r="C47" i="9"/>
  <c r="C45" i="9"/>
  <c r="BU36" i="26"/>
  <c r="C15" i="9"/>
  <c r="C15" i="10"/>
  <c r="S11" i="22"/>
  <c r="C11" i="9"/>
  <c r="R7" i="22"/>
  <c r="C9" i="9"/>
  <c r="C52" i="9"/>
  <c r="BU43" i="26"/>
  <c r="C50" i="9"/>
  <c r="R41" i="22"/>
  <c r="C48" i="9"/>
  <c r="R39" i="22"/>
  <c r="C16" i="10"/>
  <c r="S12" i="22"/>
  <c r="C14" i="9"/>
  <c r="R10" i="22"/>
  <c r="C12" i="9"/>
  <c r="C8" i="10"/>
  <c r="Z44" i="9"/>
  <c r="BU35" i="26"/>
  <c r="Z35" i="9"/>
  <c r="BU26" i="26"/>
  <c r="Z27" i="9"/>
  <c r="BU18" i="26"/>
  <c r="Z38" i="9"/>
  <c r="BU29" i="26"/>
  <c r="Z41" i="9"/>
  <c r="BU32" i="26"/>
  <c r="Z37" i="9"/>
  <c r="BU28" i="26"/>
  <c r="Z33" i="9"/>
  <c r="BU24" i="26"/>
  <c r="Z29" i="9"/>
  <c r="Z29" i="10"/>
  <c r="BV20" i="26"/>
  <c r="Z25" i="9"/>
  <c r="BU16" i="26"/>
  <c r="Z40" i="9"/>
  <c r="BU31" i="26"/>
  <c r="Z36" i="9"/>
  <c r="BU27" i="26"/>
  <c r="Z28" i="9"/>
  <c r="BU19" i="26"/>
  <c r="Q52" i="5"/>
  <c r="S52" i="5"/>
  <c r="Q51" i="5"/>
  <c r="C58" i="5"/>
  <c r="C27" i="10"/>
  <c r="C27" i="11"/>
  <c r="S3" i="22"/>
  <c r="S54" i="5"/>
  <c r="E29" i="19"/>
  <c r="Z45" i="4"/>
  <c r="R55" i="4"/>
  <c r="C18" i="4"/>
  <c r="C4" i="4"/>
  <c r="D18" i="4"/>
  <c r="P9" i="9"/>
  <c r="U30" i="9"/>
  <c r="T11" i="9"/>
  <c r="V11" i="9"/>
  <c r="P30" i="9"/>
  <c r="Q11" i="9"/>
  <c r="R11" i="9"/>
  <c r="V13" i="9"/>
  <c r="S36" i="9"/>
  <c r="Q36" i="9"/>
  <c r="T30" i="9"/>
  <c r="S11" i="9"/>
  <c r="T36" i="9"/>
  <c r="P36" i="9"/>
  <c r="P44" i="9"/>
  <c r="V44" i="9"/>
  <c r="R31" i="8"/>
  <c r="U31" i="9"/>
  <c r="S13" i="9"/>
  <c r="R14" i="8"/>
  <c r="V14" i="9"/>
  <c r="V30" i="9"/>
  <c r="S44" i="9"/>
  <c r="U19" i="9"/>
  <c r="Q30" i="9"/>
  <c r="Q44" i="9"/>
  <c r="R44" i="9"/>
  <c r="S44" i="10"/>
  <c r="U13" i="9"/>
  <c r="R18" i="8"/>
  <c r="V18" i="9"/>
  <c r="P19" i="9"/>
  <c r="T44" i="9"/>
  <c r="R22" i="8"/>
  <c r="U22" i="9"/>
  <c r="R27" i="8"/>
  <c r="S27" i="9"/>
  <c r="S4" i="22"/>
  <c r="BV4" i="26"/>
  <c r="BU39" i="26"/>
  <c r="R38" i="22"/>
  <c r="BU38" i="26"/>
  <c r="BU47" i="26"/>
  <c r="R8" i="22"/>
  <c r="BU8" i="26"/>
  <c r="BU40" i="26"/>
  <c r="R5" i="22"/>
  <c r="BU5" i="26"/>
  <c r="BU10" i="26"/>
  <c r="R6" i="22"/>
  <c r="BU6" i="26"/>
  <c r="BU7" i="26"/>
  <c r="R42" i="22"/>
  <c r="BU41" i="26"/>
  <c r="R11" i="22"/>
  <c r="BU11" i="26"/>
  <c r="Q51" i="4"/>
  <c r="W5" i="4"/>
  <c r="Z44" i="10"/>
  <c r="BV35" i="26"/>
  <c r="F4" i="19"/>
  <c r="R19" i="22"/>
  <c r="BC9" i="19"/>
  <c r="R31" i="22"/>
  <c r="BC21" i="19"/>
  <c r="R28" i="22"/>
  <c r="BC18" i="19"/>
  <c r="R29" i="22"/>
  <c r="BC19" i="19"/>
  <c r="R15" i="22"/>
  <c r="BC5" i="19"/>
  <c r="R17" i="22"/>
  <c r="BC7" i="19"/>
  <c r="R22" i="22"/>
  <c r="BC12" i="19"/>
  <c r="R21" i="22"/>
  <c r="BC11" i="19"/>
  <c r="R34" i="22"/>
  <c r="BC24" i="19"/>
  <c r="R27" i="22"/>
  <c r="BC17" i="19"/>
  <c r="R24" i="22"/>
  <c r="BC14" i="19"/>
  <c r="R32" i="22"/>
  <c r="BC22" i="19"/>
  <c r="R18" i="22"/>
  <c r="BC8" i="19"/>
  <c r="R25" i="22"/>
  <c r="BC15" i="19"/>
  <c r="R23" i="22"/>
  <c r="BC13" i="19"/>
  <c r="AP45" i="5"/>
  <c r="Z31" i="10"/>
  <c r="Z37" i="10"/>
  <c r="R36" i="22"/>
  <c r="G39" i="21"/>
  <c r="Z26" i="10"/>
  <c r="Z24" i="10"/>
  <c r="Z27" i="10"/>
  <c r="BV18" i="26"/>
  <c r="Z40" i="10"/>
  <c r="Z38" i="10"/>
  <c r="BV29" i="26"/>
  <c r="C64" i="21"/>
  <c r="E34" i="19"/>
  <c r="G37" i="21"/>
  <c r="H38" i="21"/>
  <c r="H40" i="21"/>
  <c r="H42" i="21"/>
  <c r="H44" i="21"/>
  <c r="H46" i="21"/>
  <c r="H41" i="21"/>
  <c r="H43" i="21"/>
  <c r="H45" i="21"/>
  <c r="H47" i="21"/>
  <c r="C8" i="11"/>
  <c r="T4" i="22"/>
  <c r="C10" i="10"/>
  <c r="BV6" i="26"/>
  <c r="C12" i="10"/>
  <c r="BV8" i="26"/>
  <c r="C16" i="11"/>
  <c r="C48" i="10"/>
  <c r="C50" i="10"/>
  <c r="C9" i="10"/>
  <c r="C11" i="10"/>
  <c r="C45" i="10"/>
  <c r="BV36" i="26"/>
  <c r="C47" i="10"/>
  <c r="S38" i="22"/>
  <c r="C49" i="10"/>
  <c r="C53" i="10"/>
  <c r="S44" i="22"/>
  <c r="C56" i="10"/>
  <c r="Z36" i="10"/>
  <c r="BV27" i="26"/>
  <c r="Z25" i="10"/>
  <c r="Z33" i="10"/>
  <c r="BV24" i="26"/>
  <c r="D19" i="4"/>
  <c r="T3" i="22"/>
  <c r="R51" i="4"/>
  <c r="S51" i="4"/>
  <c r="W8" i="4"/>
  <c r="Q50" i="4"/>
  <c r="Q52" i="4"/>
  <c r="R50" i="4"/>
  <c r="Z46" i="4"/>
  <c r="C58" i="4"/>
  <c r="M54" i="4"/>
  <c r="R52" i="4"/>
  <c r="E32" i="19"/>
  <c r="N55" i="4"/>
  <c r="S22" i="9"/>
  <c r="P31" i="9"/>
  <c r="P18" i="9"/>
  <c r="U27" i="9"/>
  <c r="V27" i="9"/>
  <c r="Q18" i="9"/>
  <c r="R18" i="9"/>
  <c r="T18" i="9"/>
  <c r="T27" i="9"/>
  <c r="S18" i="9"/>
  <c r="U18" i="9"/>
  <c r="Q22" i="9"/>
  <c r="R22" i="9"/>
  <c r="R30" i="9"/>
  <c r="V30" i="10"/>
  <c r="S14" i="9"/>
  <c r="T14" i="9"/>
  <c r="BV39" i="26"/>
  <c r="S6" i="22"/>
  <c r="BV47" i="26"/>
  <c r="S7" i="22"/>
  <c r="BV7" i="26"/>
  <c r="BW4" i="26"/>
  <c r="S5" i="22"/>
  <c r="S40" i="22"/>
  <c r="BV40" i="26"/>
  <c r="S8" i="22"/>
  <c r="BV42" i="26"/>
  <c r="S41" i="22"/>
  <c r="BV41" i="26"/>
  <c r="BV11" i="26"/>
  <c r="Z44" i="11"/>
  <c r="BW35" i="26"/>
  <c r="Z36" i="11"/>
  <c r="BW27" i="26"/>
  <c r="Z29" i="11"/>
  <c r="BW20" i="26"/>
  <c r="Z37" i="11"/>
  <c r="BW28" i="26"/>
  <c r="R53" i="4"/>
  <c r="R56" i="4"/>
  <c r="Q53" i="4"/>
  <c r="W46" i="4"/>
  <c r="W7" i="4"/>
  <c r="S24" i="22"/>
  <c r="BD14" i="19"/>
  <c r="S27" i="22"/>
  <c r="BD17" i="19"/>
  <c r="S29" i="22"/>
  <c r="BD19" i="19"/>
  <c r="S20" i="22"/>
  <c r="BD10" i="19"/>
  <c r="S18" i="22"/>
  <c r="BD8" i="19"/>
  <c r="S17" i="22"/>
  <c r="BD7" i="19"/>
  <c r="AP45" i="8"/>
  <c r="Z31" i="11"/>
  <c r="BW22" i="26"/>
  <c r="Z27" i="11"/>
  <c r="BW18" i="26"/>
  <c r="Z24" i="11"/>
  <c r="BW15" i="26"/>
  <c r="S36" i="22"/>
  <c r="H39" i="21"/>
  <c r="Z33" i="11"/>
  <c r="BW24" i="26"/>
  <c r="Z38" i="11"/>
  <c r="BW29" i="26"/>
  <c r="S50" i="4"/>
  <c r="E30" i="19"/>
  <c r="AP45" i="9"/>
  <c r="H37" i="21"/>
  <c r="I47" i="21"/>
  <c r="I45" i="21"/>
  <c r="I43" i="21"/>
  <c r="I41" i="21"/>
  <c r="I46" i="21"/>
  <c r="I44" i="21"/>
  <c r="I42" i="21"/>
  <c r="I40" i="21"/>
  <c r="I38" i="21"/>
  <c r="Z25" i="11"/>
  <c r="BW16" i="26"/>
  <c r="C53" i="11"/>
  <c r="BW44" i="26"/>
  <c r="C51" i="11"/>
  <c r="C49" i="11"/>
  <c r="C45" i="11"/>
  <c r="BW36" i="26"/>
  <c r="C15" i="11"/>
  <c r="C11" i="11"/>
  <c r="C50" i="11"/>
  <c r="BW41" i="26"/>
  <c r="C16" i="12"/>
  <c r="BX12" i="26"/>
  <c r="C12" i="11"/>
  <c r="C10" i="11"/>
  <c r="C8" i="12"/>
  <c r="U4" i="22"/>
  <c r="E31" i="19"/>
  <c r="U3" i="22"/>
  <c r="C27" i="12"/>
  <c r="S52" i="4"/>
  <c r="Q30" i="10"/>
  <c r="R30" i="10"/>
  <c r="T30" i="11"/>
  <c r="Q44" i="10"/>
  <c r="R44" i="10"/>
  <c r="P44" i="10"/>
  <c r="V44" i="10"/>
  <c r="S30" i="10"/>
  <c r="T44" i="10"/>
  <c r="U44" i="10"/>
  <c r="T30" i="10"/>
  <c r="U30" i="10"/>
  <c r="P30" i="10"/>
  <c r="T7" i="22"/>
  <c r="BW7" i="26"/>
  <c r="T6" i="22"/>
  <c r="BW6" i="26"/>
  <c r="T40" i="22"/>
  <c r="BW40" i="26"/>
  <c r="T8" i="22"/>
  <c r="BW8" i="26"/>
  <c r="T42" i="22"/>
  <c r="BW42" i="26"/>
  <c r="T41" i="22"/>
  <c r="T11" i="22"/>
  <c r="BW11" i="26"/>
  <c r="Z44" i="12"/>
  <c r="BX35" i="26"/>
  <c r="T27" i="22"/>
  <c r="BE17" i="19"/>
  <c r="T35" i="22"/>
  <c r="BE25" i="19"/>
  <c r="T20" i="22"/>
  <c r="BE10" i="19"/>
  <c r="Z36" i="12"/>
  <c r="BX27" i="26"/>
  <c r="Z29" i="12"/>
  <c r="BX20" i="26"/>
  <c r="Z37" i="12"/>
  <c r="BX28" i="26"/>
  <c r="T28" i="22"/>
  <c r="BE18" i="19"/>
  <c r="Z27" i="12"/>
  <c r="BX18" i="26"/>
  <c r="Z38" i="12"/>
  <c r="BX29" i="26"/>
  <c r="Z33" i="12"/>
  <c r="BX24" i="26"/>
  <c r="Z31" i="12"/>
  <c r="BX22" i="26"/>
  <c r="S53" i="4"/>
  <c r="T16" i="22"/>
  <c r="BE6" i="19"/>
  <c r="T29" i="22"/>
  <c r="BE19" i="19"/>
  <c r="T15" i="22"/>
  <c r="BE5" i="19"/>
  <c r="T22" i="22"/>
  <c r="BE12" i="19"/>
  <c r="T24" i="22"/>
  <c r="BE14" i="19"/>
  <c r="T18" i="22"/>
  <c r="BE8" i="19"/>
  <c r="Z24" i="12"/>
  <c r="BX15" i="26"/>
  <c r="T36" i="22"/>
  <c r="I39" i="21"/>
  <c r="Z25" i="12"/>
  <c r="BX16" i="26"/>
  <c r="AP45" i="10"/>
  <c r="I37" i="21"/>
  <c r="J38" i="21"/>
  <c r="J40" i="21"/>
  <c r="J42" i="21"/>
  <c r="J44" i="21"/>
  <c r="J46" i="21"/>
  <c r="J43" i="21"/>
  <c r="J47" i="21"/>
  <c r="C8" i="13"/>
  <c r="V4" i="22"/>
  <c r="C10" i="12"/>
  <c r="C12" i="12"/>
  <c r="C16" i="13"/>
  <c r="V12" i="22"/>
  <c r="C50" i="12"/>
  <c r="BX41" i="26"/>
  <c r="C11" i="12"/>
  <c r="U7" i="22"/>
  <c r="C15" i="12"/>
  <c r="BX11" i="26"/>
  <c r="C45" i="12"/>
  <c r="BX36" i="26"/>
  <c r="C49" i="12"/>
  <c r="BX40" i="26"/>
  <c r="C51" i="12"/>
  <c r="BX42" i="26"/>
  <c r="C53" i="12"/>
  <c r="V3" i="22"/>
  <c r="C27" i="13"/>
  <c r="C27" i="14"/>
  <c r="C27" i="15"/>
  <c r="C27" i="16"/>
  <c r="C27" i="17"/>
  <c r="U44" i="22"/>
  <c r="BX44" i="26"/>
  <c r="BX7" i="26"/>
  <c r="U8" i="22"/>
  <c r="BX8" i="26"/>
  <c r="U6" i="22"/>
  <c r="BX6" i="26"/>
  <c r="BY12" i="26"/>
  <c r="U41" i="22"/>
  <c r="AL15" i="26"/>
  <c r="AA7" i="26"/>
  <c r="AD7" i="26"/>
  <c r="AE7" i="26"/>
  <c r="U20" i="22"/>
  <c r="BF10" i="19"/>
  <c r="U35" i="22"/>
  <c r="BF25" i="19"/>
  <c r="Z31" i="13"/>
  <c r="V22" i="22"/>
  <c r="BG12" i="19"/>
  <c r="U27" i="22"/>
  <c r="BF17" i="19"/>
  <c r="Z44" i="13"/>
  <c r="Z27" i="13"/>
  <c r="BY18" i="26"/>
  <c r="Z29" i="13"/>
  <c r="BY20" i="26"/>
  <c r="U18" i="22"/>
  <c r="BF8" i="19"/>
  <c r="U24" i="22"/>
  <c r="BF14" i="19"/>
  <c r="U22" i="22"/>
  <c r="BF12" i="19"/>
  <c r="U28" i="22"/>
  <c r="BF18" i="19"/>
  <c r="U29" i="22"/>
  <c r="BF19" i="19"/>
  <c r="Z37" i="13"/>
  <c r="BY28" i="26"/>
  <c r="Z33" i="13"/>
  <c r="BY24" i="26"/>
  <c r="Z38" i="13"/>
  <c r="Z38" i="14"/>
  <c r="Z24" i="13"/>
  <c r="BY15" i="26"/>
  <c r="Z25" i="13"/>
  <c r="BY16" i="26"/>
  <c r="U16" i="22"/>
  <c r="BF6" i="19"/>
  <c r="U15" i="22"/>
  <c r="BF5" i="19"/>
  <c r="U36" i="22"/>
  <c r="J39" i="21"/>
  <c r="AP45" i="11"/>
  <c r="J37" i="21"/>
  <c r="K43" i="21"/>
  <c r="K41" i="21"/>
  <c r="K46" i="21"/>
  <c r="K44" i="21"/>
  <c r="K42" i="21"/>
  <c r="K40" i="21"/>
  <c r="K38" i="21"/>
  <c r="C53" i="13"/>
  <c r="V44" i="22"/>
  <c r="C51" i="13"/>
  <c r="BY42" i="26"/>
  <c r="C45" i="13"/>
  <c r="BY36" i="26"/>
  <c r="C15" i="13"/>
  <c r="BY11" i="26"/>
  <c r="C11" i="13"/>
  <c r="BY7" i="26"/>
  <c r="C50" i="13"/>
  <c r="V41" i="22"/>
  <c r="C16" i="14"/>
  <c r="W12" i="22"/>
  <c r="C12" i="13"/>
  <c r="V8" i="22"/>
  <c r="C10" i="13"/>
  <c r="V6" i="22"/>
  <c r="C8" i="14"/>
  <c r="BZ4" i="26"/>
  <c r="W3" i="22"/>
  <c r="V35" i="22"/>
  <c r="BG25" i="19"/>
  <c r="BY35" i="26"/>
  <c r="BY8" i="26"/>
  <c r="BY29" i="26"/>
  <c r="BY22" i="26"/>
  <c r="V11" i="22"/>
  <c r="Z44" i="14"/>
  <c r="BZ35" i="26"/>
  <c r="Z31" i="14"/>
  <c r="BZ22" i="26"/>
  <c r="Z29" i="14"/>
  <c r="W20" i="22"/>
  <c r="BH10" i="19"/>
  <c r="V29" i="22"/>
  <c r="BG19" i="19"/>
  <c r="Z37" i="14"/>
  <c r="BZ28" i="26"/>
  <c r="V20" i="22"/>
  <c r="BG10" i="19"/>
  <c r="Z24" i="14"/>
  <c r="W15" i="22"/>
  <c r="BH5" i="19"/>
  <c r="V36" i="22"/>
  <c r="K37" i="21"/>
  <c r="C50" i="14"/>
  <c r="BZ41" i="26"/>
  <c r="C45" i="14"/>
  <c r="BZ36" i="26"/>
  <c r="C53" i="14"/>
  <c r="W44" i="22"/>
  <c r="X3" i="22"/>
  <c r="BZ44" i="26"/>
  <c r="Y3" i="22"/>
  <c r="AP45" i="13"/>
  <c r="Z3" i="22"/>
  <c r="AP45" i="15"/>
  <c r="AK2" i="26"/>
  <c r="M36" i="21"/>
  <c r="Y26" i="16"/>
  <c r="BA17" i="26"/>
  <c r="BM45" i="26"/>
  <c r="K45" i="21"/>
  <c r="S34" i="19"/>
  <c r="Y11" i="16"/>
  <c r="Y11" i="17"/>
  <c r="BB53" i="26"/>
  <c r="W35" i="22"/>
  <c r="BH25" i="19"/>
  <c r="Y32" i="15"/>
  <c r="AZ23" i="26"/>
  <c r="C15" i="14"/>
  <c r="W11" i="22"/>
  <c r="V24" i="22"/>
  <c r="BG14" i="19"/>
  <c r="V42" i="22"/>
  <c r="AZ48" i="26"/>
  <c r="Y27" i="15"/>
  <c r="Y35" i="14"/>
  <c r="T107" i="13"/>
  <c r="W36" i="22"/>
  <c r="C8" i="15"/>
  <c r="CA4" i="26"/>
  <c r="Z33" i="14"/>
  <c r="BZ24" i="26"/>
  <c r="Y12" i="17"/>
  <c r="BB54" i="26"/>
  <c r="BA3" i="26"/>
  <c r="AZ4" i="26"/>
  <c r="D48" i="14"/>
  <c r="D56" i="14"/>
  <c r="Y15" i="15"/>
  <c r="Y41" i="14"/>
  <c r="AY32" i="26"/>
  <c r="Z23" i="14"/>
  <c r="AE8" i="11"/>
  <c r="C49" i="13"/>
  <c r="Z36" i="13"/>
  <c r="V27" i="22"/>
  <c r="BG17" i="19"/>
  <c r="BY4" i="26"/>
  <c r="U12" i="22"/>
  <c r="Z29" i="15"/>
  <c r="C53" i="15"/>
  <c r="CA44" i="26"/>
  <c r="C45" i="15"/>
  <c r="C45" i="16"/>
  <c r="C45" i="17"/>
  <c r="Z27" i="14"/>
  <c r="W18" i="22"/>
  <c r="BH8" i="19"/>
  <c r="BA50" i="26"/>
  <c r="C51" i="14"/>
  <c r="W42" i="22"/>
  <c r="C11" i="14"/>
  <c r="BZ7" i="26"/>
  <c r="V14" i="22"/>
  <c r="BG4" i="19"/>
  <c r="BA13" i="26"/>
  <c r="BZ11" i="26"/>
  <c r="Q104" i="10"/>
  <c r="Z44" i="15"/>
  <c r="CA35" i="26"/>
  <c r="V18" i="22"/>
  <c r="BG8" i="19"/>
  <c r="BX4" i="26"/>
  <c r="W22" i="22"/>
  <c r="BH12" i="19"/>
  <c r="BY44" i="26"/>
  <c r="AV15" i="26"/>
  <c r="Z33" i="15"/>
  <c r="Z33" i="16"/>
  <c r="C10" i="14"/>
  <c r="BY6" i="26"/>
  <c r="U40" i="22"/>
  <c r="BA58" i="26"/>
  <c r="Y16" i="17"/>
  <c r="AY41" i="26"/>
  <c r="B50" i="15"/>
  <c r="AY37" i="26"/>
  <c r="B46" i="15"/>
  <c r="AZ37" i="26"/>
  <c r="W24" i="22"/>
  <c r="BH14" i="19"/>
  <c r="V28" i="22"/>
  <c r="BG18" i="19"/>
  <c r="V7" i="22"/>
  <c r="B9" i="16"/>
  <c r="B15" i="16"/>
  <c r="AZ11" i="26"/>
  <c r="BX49" i="26"/>
  <c r="Z7" i="13"/>
  <c r="AY45" i="26"/>
  <c r="B54" i="15"/>
  <c r="AZ7" i="26"/>
  <c r="B11" i="16"/>
  <c r="BA7" i="26"/>
  <c r="BV12" i="26"/>
  <c r="BN36" i="26"/>
  <c r="L36" i="21"/>
  <c r="CA55" i="26"/>
  <c r="Z13" i="16"/>
  <c r="X57" i="22"/>
  <c r="AZ20" i="26"/>
  <c r="Y29" i="16"/>
  <c r="BZ55" i="26"/>
  <c r="W57" i="22"/>
  <c r="Z15" i="14"/>
  <c r="BY57" i="26"/>
  <c r="B14" i="16"/>
  <c r="AZ10" i="26"/>
  <c r="B12" i="16"/>
  <c r="AZ8" i="26"/>
  <c r="B10" i="16"/>
  <c r="AZ6" i="26"/>
  <c r="BX52" i="26"/>
  <c r="U54" i="22"/>
  <c r="S14" i="22"/>
  <c r="BD4" i="19"/>
  <c r="BA12" i="26"/>
  <c r="B16" i="17"/>
  <c r="Y14" i="17"/>
  <c r="BA56" i="26"/>
  <c r="AZ9" i="26"/>
  <c r="B13" i="16"/>
  <c r="Y13" i="16"/>
  <c r="AZ55" i="26"/>
  <c r="D57" i="12"/>
  <c r="R52" i="12"/>
  <c r="Q32" i="19"/>
  <c r="Z16" i="10"/>
  <c r="AZ52" i="26"/>
  <c r="Y24" i="15"/>
  <c r="AZ15" i="26"/>
  <c r="B48" i="15"/>
  <c r="AZ39" i="26"/>
  <c r="B52" i="15"/>
  <c r="B56" i="15"/>
  <c r="Z9" i="12"/>
  <c r="D54" i="13"/>
  <c r="D50" i="13"/>
  <c r="Y40" i="14"/>
  <c r="Y28" i="14"/>
  <c r="Z42" i="12"/>
  <c r="Y33" i="13"/>
  <c r="Y36" i="13"/>
  <c r="Y44" i="13"/>
  <c r="S53" i="22"/>
  <c r="D57" i="10"/>
  <c r="R52" i="10"/>
  <c r="M32" i="19"/>
  <c r="AV25" i="26"/>
  <c r="Y30" i="10"/>
  <c r="BU55" i="26"/>
  <c r="Y10" i="17"/>
  <c r="Y25" i="15"/>
  <c r="Y41" i="15"/>
  <c r="AZ32" i="26"/>
  <c r="Y42" i="15"/>
  <c r="Y43" i="14"/>
  <c r="BW51" i="26"/>
  <c r="Z8" i="11"/>
  <c r="Y23" i="13"/>
  <c r="Y34" i="13"/>
  <c r="D57" i="11"/>
  <c r="R52" i="11"/>
  <c r="O32" i="19"/>
  <c r="AB33" i="21"/>
  <c r="AV53" i="26"/>
  <c r="R53" i="22"/>
  <c r="BU53" i="26"/>
  <c r="Y31" i="10"/>
  <c r="S44" i="11"/>
  <c r="T44" i="11"/>
  <c r="V44" i="11"/>
  <c r="Q44" i="11"/>
  <c r="P44" i="11"/>
  <c r="R44" i="11"/>
  <c r="V44" i="12"/>
  <c r="U44" i="11"/>
  <c r="S47" i="22"/>
  <c r="C56" i="11"/>
  <c r="P92" i="14"/>
  <c r="Q92" i="14"/>
  <c r="U92" i="14"/>
  <c r="T92" i="14"/>
  <c r="S92" i="14"/>
  <c r="V92" i="14"/>
  <c r="Z11" i="11"/>
  <c r="BV53" i="26"/>
  <c r="S55" i="22"/>
  <c r="V16" i="22"/>
  <c r="BG6" i="19"/>
  <c r="V15" i="22"/>
  <c r="BG5" i="19"/>
  <c r="BV16" i="26"/>
  <c r="S16" i="22"/>
  <c r="BD6" i="19"/>
  <c r="S39" i="22"/>
  <c r="C48" i="11"/>
  <c r="S15" i="22"/>
  <c r="BD5" i="19"/>
  <c r="BV15" i="26"/>
  <c r="S10" i="9"/>
  <c r="U10" i="9"/>
  <c r="P10" i="9"/>
  <c r="V10" i="9"/>
  <c r="Q10" i="9"/>
  <c r="T10" i="9"/>
  <c r="BZ12" i="26"/>
  <c r="C9" i="11"/>
  <c r="BV5" i="26"/>
  <c r="BW12" i="26"/>
  <c r="T12" i="22"/>
  <c r="BV17" i="26"/>
  <c r="Z26" i="11"/>
  <c r="BV28" i="26"/>
  <c r="S28" i="22"/>
  <c r="BD18" i="19"/>
  <c r="Z44" i="16"/>
  <c r="Z44" i="17"/>
  <c r="Z24" i="15"/>
  <c r="C16" i="15"/>
  <c r="Z25" i="14"/>
  <c r="BZ16" i="26"/>
  <c r="W4" i="22"/>
  <c r="C47" i="11"/>
  <c r="BV38" i="26"/>
  <c r="BV31" i="26"/>
  <c r="Z40" i="11"/>
  <c r="S31" i="22"/>
  <c r="BD21" i="19"/>
  <c r="BV22" i="26"/>
  <c r="S22" i="22"/>
  <c r="BD12" i="19"/>
  <c r="T28" i="9"/>
  <c r="P28" i="9"/>
  <c r="Q28" i="9"/>
  <c r="R28" i="9"/>
  <c r="U28" i="9"/>
  <c r="V28" i="9"/>
  <c r="S35" i="22"/>
  <c r="BD25" i="19"/>
  <c r="Q14" i="9"/>
  <c r="R14" i="9"/>
  <c r="T31" i="9"/>
  <c r="P14" i="9"/>
  <c r="Q27" i="9"/>
  <c r="R27" i="9"/>
  <c r="P22" i="9"/>
  <c r="Z28" i="10"/>
  <c r="Z45" i="9"/>
  <c r="Q51" i="9"/>
  <c r="Z35" i="10"/>
  <c r="R30" i="22"/>
  <c r="BC20" i="19"/>
  <c r="R26" i="22"/>
  <c r="BC16" i="19"/>
  <c r="Z32" i="10"/>
  <c r="BU42" i="26"/>
  <c r="R43" i="22"/>
  <c r="Q9" i="9"/>
  <c r="BT10" i="26"/>
  <c r="R12" i="22"/>
  <c r="R4" i="22"/>
  <c r="Q43" i="22"/>
  <c r="N36" i="21"/>
  <c r="T14" i="8"/>
  <c r="T51" i="22"/>
  <c r="S31" i="9"/>
  <c r="Q31" i="9"/>
  <c r="V31" i="9"/>
  <c r="U14" i="9"/>
  <c r="P27" i="9"/>
  <c r="Z41" i="10"/>
  <c r="C52" i="10"/>
  <c r="C14" i="10"/>
  <c r="Z34" i="10"/>
  <c r="Z39" i="10"/>
  <c r="R35" i="22"/>
  <c r="BC25" i="19"/>
  <c r="R16" i="22"/>
  <c r="BC6" i="19"/>
  <c r="Z30" i="10"/>
  <c r="S9" i="9"/>
  <c r="P13" i="9"/>
  <c r="Q13" i="9"/>
  <c r="R13" i="9"/>
  <c r="V19" i="9"/>
  <c r="V36" i="9"/>
  <c r="Q17" i="22"/>
  <c r="BB7" i="19"/>
  <c r="Q7" i="22"/>
  <c r="U14" i="10"/>
  <c r="Q14" i="10"/>
  <c r="S14" i="10"/>
  <c r="P14" i="10"/>
  <c r="T14" i="10"/>
  <c r="M55" i="4"/>
  <c r="B20" i="4"/>
  <c r="V32" i="8"/>
  <c r="T32" i="8"/>
  <c r="Q32" i="8"/>
  <c r="S32" i="8"/>
  <c r="U32" i="8"/>
  <c r="P32" i="8"/>
  <c r="W28" i="22"/>
  <c r="BH18" i="19"/>
  <c r="C12" i="14"/>
  <c r="BZ8" i="26"/>
  <c r="BY41" i="26"/>
  <c r="R23" i="5"/>
  <c r="S23" i="8"/>
  <c r="R35" i="5"/>
  <c r="T35" i="8"/>
  <c r="Q35" i="8"/>
  <c r="R35" i="8"/>
  <c r="BB13" i="26"/>
  <c r="AC13" i="21"/>
  <c r="B13" i="21"/>
  <c r="B13" i="22"/>
  <c r="BU20" i="26"/>
  <c r="R20" i="22"/>
  <c r="BC10" i="19"/>
  <c r="T19" i="9"/>
  <c r="Q19" i="9"/>
  <c r="S19" i="9"/>
  <c r="BB56" i="26"/>
  <c r="AC58" i="21"/>
  <c r="B58" i="21"/>
  <c r="B58" i="22"/>
  <c r="BZ18" i="26"/>
  <c r="BU34" i="26"/>
  <c r="Z43" i="10"/>
  <c r="S16" i="8"/>
  <c r="P16" i="8"/>
  <c r="V16" i="8"/>
  <c r="Q16" i="8"/>
  <c r="T16" i="8"/>
  <c r="U16" i="8"/>
  <c r="T38" i="8"/>
  <c r="U38" i="8"/>
  <c r="Q38" i="8"/>
  <c r="R38" i="8"/>
  <c r="T38" i="9"/>
  <c r="V38" i="8"/>
  <c r="P38" i="8"/>
  <c r="S38" i="8"/>
  <c r="S28" i="9"/>
  <c r="S23" i="5"/>
  <c r="Q39" i="5"/>
  <c r="V39" i="5"/>
  <c r="U31" i="5"/>
  <c r="Q15" i="5"/>
  <c r="P15" i="5"/>
  <c r="P35" i="5"/>
  <c r="T19" i="5"/>
  <c r="V19" i="5"/>
  <c r="U37" i="5"/>
  <c r="U25" i="5"/>
  <c r="V27" i="5"/>
  <c r="V10" i="5"/>
  <c r="U10" i="5"/>
  <c r="BA53" i="26"/>
  <c r="Y37" i="16"/>
  <c r="Q96" i="8"/>
  <c r="R96" i="8"/>
  <c r="U96" i="8"/>
  <c r="V96" i="8"/>
  <c r="S96" i="8"/>
  <c r="T96" i="8"/>
  <c r="P96" i="8"/>
  <c r="Q79" i="8"/>
  <c r="R79" i="8"/>
  <c r="V79" i="8"/>
  <c r="S79" i="8"/>
  <c r="T79" i="8"/>
  <c r="U79" i="8"/>
  <c r="P79" i="8"/>
  <c r="V82" i="13"/>
  <c r="U82" i="13"/>
  <c r="T82" i="13"/>
  <c r="Q82" i="13"/>
  <c r="R82" i="13"/>
  <c r="P82" i="13"/>
  <c r="S82" i="13"/>
  <c r="V66" i="12"/>
  <c r="T66" i="12"/>
  <c r="U66" i="12"/>
  <c r="Q66" i="12"/>
  <c r="P66" i="12"/>
  <c r="S66" i="12"/>
  <c r="P71" i="11"/>
  <c r="V71" i="11"/>
  <c r="S71" i="11"/>
  <c r="U71" i="11"/>
  <c r="Q71" i="11"/>
  <c r="T71" i="11"/>
  <c r="T99" i="8"/>
  <c r="V99" i="8"/>
  <c r="Q99" i="8"/>
  <c r="P99" i="8"/>
  <c r="S99" i="8"/>
  <c r="U99" i="8"/>
  <c r="R99" i="8"/>
  <c r="P11" i="9"/>
  <c r="Q27" i="22"/>
  <c r="BB17" i="19"/>
  <c r="Q20" i="22"/>
  <c r="BB10" i="19"/>
  <c r="BT38" i="26"/>
  <c r="AE8" i="16"/>
  <c r="BS47" i="26"/>
  <c r="T31" i="5"/>
  <c r="S35" i="5"/>
  <c r="P43" i="5"/>
  <c r="V33" i="5"/>
  <c r="V21" i="5"/>
  <c r="T12" i="5"/>
  <c r="U27" i="5"/>
  <c r="Y26" i="17"/>
  <c r="BT56" i="26"/>
  <c r="Z14" i="9"/>
  <c r="Q58" i="22"/>
  <c r="V91" i="12"/>
  <c r="U91" i="12"/>
  <c r="Q91" i="12"/>
  <c r="R91" i="12"/>
  <c r="P91" i="13"/>
  <c r="S91" i="12"/>
  <c r="T91" i="12"/>
  <c r="BU54" i="26"/>
  <c r="BS49" i="26"/>
  <c r="Q41" i="5"/>
  <c r="S41" i="5"/>
  <c r="U53" i="22"/>
  <c r="Y38" i="10"/>
  <c r="Z12" i="10"/>
  <c r="P41" i="5"/>
  <c r="N2" i="13"/>
  <c r="N2" i="14"/>
  <c r="N2" i="15"/>
  <c r="N2" i="16"/>
  <c r="N2" i="17"/>
  <c r="M2" i="14"/>
  <c r="M2" i="15"/>
  <c r="M2" i="16"/>
  <c r="M2" i="17"/>
  <c r="AW23" i="4"/>
  <c r="AX31" i="4"/>
  <c r="AE31" i="4"/>
  <c r="E23" i="19"/>
  <c r="AV42" i="5"/>
  <c r="W5" i="5"/>
  <c r="C33" i="21"/>
  <c r="C48" i="21"/>
  <c r="C63" i="21"/>
  <c r="C65" i="21"/>
  <c r="AP45" i="17"/>
  <c r="AP45" i="16"/>
  <c r="AP45" i="14"/>
  <c r="AP45" i="12"/>
  <c r="AT35" i="4"/>
  <c r="AV25" i="5"/>
  <c r="E6" i="19"/>
  <c r="AS42" i="4"/>
  <c r="AR42" i="4"/>
  <c r="AB6" i="26"/>
  <c r="AB5" i="26"/>
  <c r="I2" i="19"/>
  <c r="J28" i="19"/>
  <c r="E2" i="22"/>
  <c r="E2" i="21"/>
  <c r="Q48" i="8"/>
  <c r="E33" i="19"/>
  <c r="E35" i="19"/>
  <c r="AE8" i="17"/>
  <c r="B52" i="21"/>
  <c r="B52" i="22"/>
  <c r="BZ29" i="26"/>
  <c r="Z38" i="15"/>
  <c r="X29" i="22"/>
  <c r="BI19" i="19"/>
  <c r="W29" i="22"/>
  <c r="BH19" i="19"/>
  <c r="Z37" i="15"/>
  <c r="Z27" i="15"/>
  <c r="X18" i="22"/>
  <c r="BI8" i="19"/>
  <c r="AA6" i="26"/>
  <c r="AD6" i="26"/>
  <c r="AE6" i="26"/>
  <c r="AA5" i="26"/>
  <c r="AD5" i="26"/>
  <c r="AE5" i="26"/>
  <c r="P22" i="10"/>
  <c r="S22" i="10"/>
  <c r="Q22" i="10"/>
  <c r="R22" i="10"/>
  <c r="V22" i="10"/>
  <c r="T22" i="10"/>
  <c r="U22" i="10"/>
  <c r="P13" i="10"/>
  <c r="S13" i="10"/>
  <c r="Q13" i="10"/>
  <c r="T13" i="10"/>
  <c r="U13" i="10"/>
  <c r="V13" i="10"/>
  <c r="R13" i="10"/>
  <c r="V13" i="11"/>
  <c r="U34" i="9"/>
  <c r="S34" i="9"/>
  <c r="T34" i="9"/>
  <c r="P34" i="9"/>
  <c r="V34" i="9"/>
  <c r="Q34" i="9"/>
  <c r="R34" i="9"/>
  <c r="T34" i="10"/>
  <c r="S35" i="9"/>
  <c r="Q35" i="9"/>
  <c r="P35" i="9"/>
  <c r="R35" i="9"/>
  <c r="V35" i="10"/>
  <c r="T35" i="9"/>
  <c r="V35" i="9"/>
  <c r="U35" i="9"/>
  <c r="Y36" i="22"/>
  <c r="X4" i="22"/>
  <c r="Z31" i="15"/>
  <c r="X22" i="22"/>
  <c r="BI12" i="19"/>
  <c r="S11" i="10"/>
  <c r="T11" i="10"/>
  <c r="Q11" i="10"/>
  <c r="R11" i="10"/>
  <c r="P11" i="10"/>
  <c r="U11" i="10"/>
  <c r="V11" i="10"/>
  <c r="P28" i="10"/>
  <c r="T28" i="10"/>
  <c r="V28" i="10"/>
  <c r="U28" i="10"/>
  <c r="Q28" i="10"/>
  <c r="R28" i="10"/>
  <c r="S28" i="10"/>
  <c r="Q30" i="11"/>
  <c r="R30" i="11"/>
  <c r="S30" i="11"/>
  <c r="V30" i="11"/>
  <c r="P30" i="11"/>
  <c r="U30" i="11"/>
  <c r="U11" i="22"/>
  <c r="U42" i="22"/>
  <c r="T44" i="22"/>
  <c r="T39" i="22"/>
  <c r="BV44" i="26"/>
  <c r="T22" i="9"/>
  <c r="R44" i="22"/>
  <c r="V9" i="9"/>
  <c r="T9" i="9"/>
  <c r="R43" i="8"/>
  <c r="U36" i="8"/>
  <c r="R36" i="9"/>
  <c r="P36" i="10"/>
  <c r="T40" i="10"/>
  <c r="P40" i="10"/>
  <c r="U40" i="10"/>
  <c r="Q40" i="10"/>
  <c r="R40" i="10"/>
  <c r="S40" i="10"/>
  <c r="R85" i="14"/>
  <c r="Q85" i="15"/>
  <c r="S32" i="22"/>
  <c r="BD22" i="19"/>
  <c r="V22" i="9"/>
  <c r="P107" i="14"/>
  <c r="V107" i="14"/>
  <c r="U107" i="14"/>
  <c r="Q107" i="14"/>
  <c r="R107" i="14"/>
  <c r="V107" i="15"/>
  <c r="T107" i="14"/>
  <c r="V76" i="11"/>
  <c r="U76" i="11"/>
  <c r="T76" i="11"/>
  <c r="S76" i="11"/>
  <c r="Q76" i="11"/>
  <c r="R76" i="11"/>
  <c r="S76" i="12"/>
  <c r="P76" i="11"/>
  <c r="Q108" i="10"/>
  <c r="R108" i="10"/>
  <c r="T108" i="10"/>
  <c r="P108" i="10"/>
  <c r="S108" i="10"/>
  <c r="U108" i="10"/>
  <c r="V108" i="10"/>
  <c r="V13" i="8"/>
  <c r="Q81" i="14"/>
  <c r="U77" i="12"/>
  <c r="V77" i="12"/>
  <c r="T77" i="12"/>
  <c r="P77" i="12"/>
  <c r="S77" i="12"/>
  <c r="Q77" i="12"/>
  <c r="R68" i="8"/>
  <c r="S68" i="9"/>
  <c r="T68" i="9"/>
  <c r="P94" i="11"/>
  <c r="T94" i="11"/>
  <c r="Q94" i="11"/>
  <c r="R94" i="11"/>
  <c r="U94" i="12"/>
  <c r="V94" i="11"/>
  <c r="S94" i="11"/>
  <c r="R101" i="11"/>
  <c r="T101" i="12"/>
  <c r="V73" i="10"/>
  <c r="T73" i="10"/>
  <c r="Q73" i="10"/>
  <c r="U73" i="10"/>
  <c r="S73" i="10"/>
  <c r="P73" i="10"/>
  <c r="R66" i="12"/>
  <c r="Q66" i="13"/>
  <c r="P91" i="12"/>
  <c r="R72" i="10"/>
  <c r="S107" i="14"/>
  <c r="P97" i="9"/>
  <c r="U69" i="9"/>
  <c r="CA36" i="26"/>
  <c r="X36" i="22"/>
  <c r="X44" i="22"/>
  <c r="C53" i="16"/>
  <c r="BZ42" i="26"/>
  <c r="C51" i="15"/>
  <c r="CC36" i="26"/>
  <c r="Z36" i="22"/>
  <c r="CA15" i="26"/>
  <c r="X15" i="22"/>
  <c r="BI5" i="19"/>
  <c r="Z24" i="16"/>
  <c r="C11" i="15"/>
  <c r="W7" i="22"/>
  <c r="Y24" i="22"/>
  <c r="BJ14" i="19"/>
  <c r="Z33" i="17"/>
  <c r="CB24" i="26"/>
  <c r="X24" i="22"/>
  <c r="BI14" i="19"/>
  <c r="CA24" i="26"/>
  <c r="CA22" i="26"/>
  <c r="Z31" i="16"/>
  <c r="CB36" i="26"/>
  <c r="Z27" i="16"/>
  <c r="CA18" i="26"/>
  <c r="CA20" i="26"/>
  <c r="Z29" i="16"/>
  <c r="X20" i="22"/>
  <c r="BI10" i="19"/>
  <c r="CA29" i="26"/>
  <c r="Z38" i="16"/>
  <c r="C50" i="15"/>
  <c r="W41" i="22"/>
  <c r="W8" i="22"/>
  <c r="C12" i="15"/>
  <c r="BZ15" i="26"/>
  <c r="Q26" i="9"/>
  <c r="R26" i="9"/>
  <c r="U26" i="9"/>
  <c r="T26" i="9"/>
  <c r="P26" i="9"/>
  <c r="S26" i="9"/>
  <c r="V26" i="9"/>
  <c r="C8" i="16"/>
  <c r="C16" i="16"/>
  <c r="C15" i="15"/>
  <c r="Z25" i="15"/>
  <c r="BZ20" i="26"/>
  <c r="S18" i="10"/>
  <c r="V18" i="10"/>
  <c r="U18" i="10"/>
  <c r="T18" i="10"/>
  <c r="P18" i="10"/>
  <c r="P30" i="12"/>
  <c r="Q30" i="12"/>
  <c r="R30" i="12"/>
  <c r="V30" i="12"/>
  <c r="S30" i="12"/>
  <c r="T30" i="12"/>
  <c r="Q27" i="10"/>
  <c r="R27" i="10"/>
  <c r="V27" i="10"/>
  <c r="S27" i="10"/>
  <c r="U27" i="10"/>
  <c r="P27" i="10"/>
  <c r="T27" i="10"/>
  <c r="W16" i="22"/>
  <c r="BH6" i="19"/>
  <c r="BS9" i="26"/>
  <c r="C13" i="8"/>
  <c r="BS13" i="26"/>
  <c r="C17" i="8"/>
  <c r="BS37" i="26"/>
  <c r="C46" i="8"/>
  <c r="BS41" i="26"/>
  <c r="P41" i="22"/>
  <c r="BS45" i="26"/>
  <c r="C54" i="8"/>
  <c r="BU46" i="26"/>
  <c r="C55" i="10"/>
  <c r="Q18" i="10"/>
  <c r="R18" i="10"/>
  <c r="P6" i="22"/>
  <c r="C18" i="5"/>
  <c r="Q23" i="8"/>
  <c r="T23" i="8"/>
  <c r="R16" i="8"/>
  <c r="V16" i="9"/>
  <c r="Q45" i="8"/>
  <c r="U45" i="8"/>
  <c r="V45" i="8"/>
  <c r="S45" i="8"/>
  <c r="S42" i="8"/>
  <c r="Q42" i="8"/>
  <c r="U42" i="8"/>
  <c r="T42" i="8"/>
  <c r="T43" i="5"/>
  <c r="V43" i="5"/>
  <c r="P37" i="5"/>
  <c r="S33" i="5"/>
  <c r="Q33" i="5"/>
  <c r="V29" i="5"/>
  <c r="Q25" i="5"/>
  <c r="P25" i="5"/>
  <c r="T21" i="5"/>
  <c r="U21" i="5"/>
  <c r="Q17" i="5"/>
  <c r="R17" i="5"/>
  <c r="V17" i="5"/>
  <c r="Q12" i="5"/>
  <c r="P12" i="5"/>
  <c r="T8" i="5"/>
  <c r="U8" i="5"/>
  <c r="Q20" i="8"/>
  <c r="B11" i="17"/>
  <c r="BB7" i="26"/>
  <c r="U43" i="5"/>
  <c r="S37" i="5"/>
  <c r="Q37" i="5"/>
  <c r="P33" i="5"/>
  <c r="P29" i="5"/>
  <c r="Q29" i="5"/>
  <c r="V25" i="5"/>
  <c r="S21" i="5"/>
  <c r="R21" i="5"/>
  <c r="U21" i="8"/>
  <c r="P17" i="5"/>
  <c r="V12" i="5"/>
  <c r="S8" i="5"/>
  <c r="R8" i="5"/>
  <c r="S8" i="8"/>
  <c r="T37" i="5"/>
  <c r="T29" i="5"/>
  <c r="R25" i="5"/>
  <c r="P21" i="5"/>
  <c r="T17" i="5"/>
  <c r="R12" i="5"/>
  <c r="P8" i="5"/>
  <c r="AZ18" i="26"/>
  <c r="Y27" i="16"/>
  <c r="BM37" i="26"/>
  <c r="D57" i="14"/>
  <c r="R52" i="14"/>
  <c r="U32" i="19"/>
  <c r="AZ30" i="26"/>
  <c r="Y39" i="16"/>
  <c r="D48" i="15"/>
  <c r="D46" i="15"/>
  <c r="Y24" i="16"/>
  <c r="D55" i="15"/>
  <c r="D53" i="15"/>
  <c r="D51" i="15"/>
  <c r="D49" i="15"/>
  <c r="D47" i="15"/>
  <c r="Z10" i="13"/>
  <c r="AJ4" i="26"/>
  <c r="AK4" i="26"/>
  <c r="U82" i="14"/>
  <c r="P82" i="14"/>
  <c r="T82" i="14"/>
  <c r="S82" i="14"/>
  <c r="V82" i="14"/>
  <c r="Y32" i="16"/>
  <c r="B48" i="16"/>
  <c r="B46" i="16"/>
  <c r="Y41" i="16"/>
  <c r="B55" i="16"/>
  <c r="B53" i="16"/>
  <c r="B51" i="16"/>
  <c r="B49" i="16"/>
  <c r="B47" i="16"/>
  <c r="V40" i="10"/>
  <c r="Q82" i="14"/>
  <c r="Q90" i="13"/>
  <c r="R90" i="13"/>
  <c r="S90" i="13"/>
  <c r="P90" i="13"/>
  <c r="V90" i="13"/>
  <c r="T90" i="13"/>
  <c r="U106" i="13"/>
  <c r="S106" i="13"/>
  <c r="T106" i="13"/>
  <c r="Q106" i="13"/>
  <c r="P106" i="13"/>
  <c r="U90" i="13"/>
  <c r="V106" i="13"/>
  <c r="S66" i="11"/>
  <c r="Q103" i="11"/>
  <c r="S76" i="10"/>
  <c r="S90" i="12"/>
  <c r="U66" i="11"/>
  <c r="V103" i="11"/>
  <c r="U94" i="11"/>
  <c r="V76" i="10"/>
  <c r="U76" i="10"/>
  <c r="T76" i="10"/>
  <c r="S74" i="11"/>
  <c r="T74" i="11"/>
  <c r="P74" i="11"/>
  <c r="V74" i="11"/>
  <c r="Q74" i="11"/>
  <c r="R74" i="11"/>
  <c r="S103" i="11"/>
  <c r="T66" i="11"/>
  <c r="U74" i="11"/>
  <c r="P64" i="9"/>
  <c r="P65" i="9"/>
  <c r="S110" i="10"/>
  <c r="V64" i="9"/>
  <c r="Q65" i="9"/>
  <c r="U70" i="9"/>
  <c r="T104" i="10"/>
  <c r="Q89" i="9"/>
  <c r="P89" i="9"/>
  <c r="V89" i="9"/>
  <c r="Q109" i="9"/>
  <c r="V109" i="9"/>
  <c r="T109" i="9"/>
  <c r="U109" i="9"/>
  <c r="S109" i="9"/>
  <c r="P109" i="9"/>
  <c r="S100" i="9"/>
  <c r="P100" i="9"/>
  <c r="Q100" i="9"/>
  <c r="R100" i="9"/>
  <c r="V100" i="9"/>
  <c r="T100" i="9"/>
  <c r="U100" i="9"/>
  <c r="V80" i="9"/>
  <c r="S91" i="11"/>
  <c r="P107" i="11"/>
  <c r="T88" i="9"/>
  <c r="V97" i="9"/>
  <c r="U110" i="10"/>
  <c r="P104" i="10"/>
  <c r="Q64" i="9"/>
  <c r="Q97" i="9"/>
  <c r="R97" i="9"/>
  <c r="U64" i="9"/>
  <c r="Q80" i="9"/>
  <c r="Q88" i="9"/>
  <c r="Q110" i="10"/>
  <c r="R110" i="10"/>
  <c r="P98" i="10"/>
  <c r="S97" i="9"/>
  <c r="V106" i="9"/>
  <c r="S106" i="9"/>
  <c r="S101" i="9"/>
  <c r="V101" i="9"/>
  <c r="T101" i="9"/>
  <c r="R78" i="8"/>
  <c r="V78" i="9"/>
  <c r="U105" i="9"/>
  <c r="P105" i="9"/>
  <c r="T105" i="9"/>
  <c r="V105" i="9"/>
  <c r="R105" i="9"/>
  <c r="P105" i="10"/>
  <c r="S105" i="9"/>
  <c r="Q67" i="9"/>
  <c r="R67" i="9"/>
  <c r="V67" i="9"/>
  <c r="U67" i="9"/>
  <c r="T67" i="9"/>
  <c r="P67" i="9"/>
  <c r="S67" i="9"/>
  <c r="R98" i="10"/>
  <c r="V98" i="11"/>
  <c r="S103" i="10"/>
  <c r="R69" i="9"/>
  <c r="U69" i="10"/>
  <c r="Q70" i="9"/>
  <c r="V70" i="9"/>
  <c r="S70" i="9"/>
  <c r="P70" i="9"/>
  <c r="S93" i="9"/>
  <c r="Q93" i="9"/>
  <c r="R93" i="9"/>
  <c r="P93" i="9"/>
  <c r="U93" i="9"/>
  <c r="V93" i="9"/>
  <c r="T93" i="9"/>
  <c r="P84" i="9"/>
  <c r="T84" i="9"/>
  <c r="Q84" i="9"/>
  <c r="S84" i="9"/>
  <c r="U84" i="9"/>
  <c r="S98" i="10"/>
  <c r="U106" i="9"/>
  <c r="T89" i="9"/>
  <c r="P71" i="9"/>
  <c r="S92" i="9"/>
  <c r="T87" i="9"/>
  <c r="P87" i="9"/>
  <c r="S87" i="9"/>
  <c r="Q75" i="9"/>
  <c r="R95" i="9"/>
  <c r="S95" i="10"/>
  <c r="R102" i="8"/>
  <c r="P102" i="9"/>
  <c r="S91" i="9"/>
  <c r="V104" i="9"/>
  <c r="V86" i="8"/>
  <c r="S86" i="8"/>
  <c r="R86" i="8"/>
  <c r="P86" i="8"/>
  <c r="V98" i="8"/>
  <c r="U98" i="8"/>
  <c r="T98" i="8"/>
  <c r="S98" i="8"/>
  <c r="P98" i="8"/>
  <c r="Q87" i="9"/>
  <c r="V69" i="9"/>
  <c r="T75" i="9"/>
  <c r="S75" i="9"/>
  <c r="R83" i="9"/>
  <c r="P75" i="9"/>
  <c r="Q7" i="5"/>
  <c r="R20" i="8"/>
  <c r="V20" i="9"/>
  <c r="AZ44" i="4"/>
  <c r="AG44" i="4"/>
  <c r="F25" i="19"/>
  <c r="AW44" i="4"/>
  <c r="AZ41" i="4"/>
  <c r="AG41" i="4"/>
  <c r="AW41" i="4"/>
  <c r="F22" i="19"/>
  <c r="AZ34" i="4"/>
  <c r="AG34" i="4"/>
  <c r="F15" i="19"/>
  <c r="AW34" i="4"/>
  <c r="AQ25" i="8"/>
  <c r="AQ25" i="9"/>
  <c r="AQ25" i="10"/>
  <c r="AQ25" i="11"/>
  <c r="AQ25" i="12"/>
  <c r="AQ25" i="13"/>
  <c r="AQ25" i="14"/>
  <c r="AQ25" i="15"/>
  <c r="AQ25" i="16"/>
  <c r="AQ25" i="17"/>
  <c r="AQ29" i="8"/>
  <c r="AQ29" i="9"/>
  <c r="AQ29" i="10"/>
  <c r="AQ29" i="11"/>
  <c r="AQ29" i="12"/>
  <c r="AQ29" i="13"/>
  <c r="AQ29" i="14"/>
  <c r="AQ29" i="15"/>
  <c r="AQ29" i="16"/>
  <c r="AQ29" i="17"/>
  <c r="AQ33" i="8"/>
  <c r="AQ33" i="9"/>
  <c r="AQ33" i="10"/>
  <c r="AQ33" i="11"/>
  <c r="AQ33" i="12"/>
  <c r="AQ33" i="13"/>
  <c r="AQ33" i="14"/>
  <c r="AQ33" i="15"/>
  <c r="AQ33" i="16"/>
  <c r="AQ33" i="17"/>
  <c r="AQ37" i="8"/>
  <c r="AQ37" i="9"/>
  <c r="AQ37" i="10"/>
  <c r="AQ37" i="11"/>
  <c r="AQ37" i="12"/>
  <c r="AQ37" i="13"/>
  <c r="AQ37" i="14"/>
  <c r="AQ37" i="15"/>
  <c r="AQ37" i="16"/>
  <c r="AQ37" i="17"/>
  <c r="AQ41" i="8"/>
  <c r="AQ41" i="9"/>
  <c r="AQ41" i="10"/>
  <c r="AQ41" i="11"/>
  <c r="AQ41" i="12"/>
  <c r="AQ41" i="13"/>
  <c r="AQ41" i="14"/>
  <c r="AQ41" i="15"/>
  <c r="AQ41" i="16"/>
  <c r="AQ41" i="17"/>
  <c r="AQ23" i="8"/>
  <c r="AQ23" i="9"/>
  <c r="AQ23" i="10"/>
  <c r="AQ23" i="11"/>
  <c r="AQ23" i="12"/>
  <c r="AQ23" i="13"/>
  <c r="AQ23" i="14"/>
  <c r="AQ23" i="15"/>
  <c r="AQ23" i="16"/>
  <c r="AQ23" i="17"/>
  <c r="AZ28" i="4"/>
  <c r="AG28" i="4"/>
  <c r="AW28" i="4"/>
  <c r="F9" i="19"/>
  <c r="AZ35" i="4"/>
  <c r="AG35" i="4"/>
  <c r="AW35" i="4"/>
  <c r="F16" i="19"/>
  <c r="AZ36" i="4"/>
  <c r="AG36" i="4"/>
  <c r="AW36" i="4"/>
  <c r="F17" i="19"/>
  <c r="AZ30" i="4"/>
  <c r="AG30" i="4"/>
  <c r="F11" i="19"/>
  <c r="AW30" i="4"/>
  <c r="W101" i="5"/>
  <c r="W85" i="5"/>
  <c r="W71" i="5"/>
  <c r="W99" i="5"/>
  <c r="W81" i="5"/>
  <c r="W65" i="5"/>
  <c r="W98" i="5"/>
  <c r="W82" i="5"/>
  <c r="W66" i="5"/>
  <c r="W96" i="5"/>
  <c r="W80" i="5"/>
  <c r="W64" i="5"/>
  <c r="W33" i="5"/>
  <c r="W17" i="5"/>
  <c r="W40" i="5"/>
  <c r="W24" i="5"/>
  <c r="W43" i="5"/>
  <c r="W27" i="5"/>
  <c r="W11" i="5"/>
  <c r="W30" i="5"/>
  <c r="W14" i="5"/>
  <c r="W7" i="5"/>
  <c r="W97" i="5"/>
  <c r="W83" i="5"/>
  <c r="W67" i="5"/>
  <c r="W95" i="5"/>
  <c r="W77" i="5"/>
  <c r="W108" i="5"/>
  <c r="W94" i="5"/>
  <c r="W78" i="5"/>
  <c r="W110" i="5"/>
  <c r="W92" i="5"/>
  <c r="W76" i="5"/>
  <c r="W45" i="5"/>
  <c r="W29" i="5"/>
  <c r="W13" i="5"/>
  <c r="W36" i="5"/>
  <c r="W20" i="5"/>
  <c r="W39" i="5"/>
  <c r="W23" i="5"/>
  <c r="W42" i="5"/>
  <c r="W26" i="5"/>
  <c r="W10" i="5"/>
  <c r="W8" i="5"/>
  <c r="W107" i="5"/>
  <c r="W93" i="5"/>
  <c r="W79" i="5"/>
  <c r="W109" i="5"/>
  <c r="W91" i="5"/>
  <c r="W73" i="5"/>
  <c r="W104" i="5"/>
  <c r="W90" i="5"/>
  <c r="W74" i="5"/>
  <c r="W106" i="5"/>
  <c r="W88" i="5"/>
  <c r="W72" i="5"/>
  <c r="W41" i="5"/>
  <c r="W25" i="5"/>
  <c r="W9" i="5"/>
  <c r="W32" i="5"/>
  <c r="W16" i="5"/>
  <c r="W35" i="5"/>
  <c r="W19" i="5"/>
  <c r="W38" i="5"/>
  <c r="W22" i="5"/>
  <c r="W103" i="5"/>
  <c r="W89" i="5"/>
  <c r="W75" i="5"/>
  <c r="W105" i="5"/>
  <c r="W87" i="5"/>
  <c r="W69" i="5"/>
  <c r="W100" i="5"/>
  <c r="W86" i="5"/>
  <c r="W70" i="5"/>
  <c r="W102" i="5"/>
  <c r="W84" i="5"/>
  <c r="W68" i="5"/>
  <c r="W37" i="5"/>
  <c r="W21" i="5"/>
  <c r="W44" i="5"/>
  <c r="W28" i="5"/>
  <c r="W12" i="5"/>
  <c r="W31" i="5"/>
  <c r="W15" i="5"/>
  <c r="W34" i="5"/>
  <c r="W18" i="5"/>
  <c r="AZ24" i="4"/>
  <c r="AG24" i="4"/>
  <c r="F5" i="19"/>
  <c r="AW24" i="4"/>
  <c r="AZ39" i="4"/>
  <c r="AG39" i="4"/>
  <c r="F20" i="19"/>
  <c r="AW39" i="4"/>
  <c r="AZ33" i="4"/>
  <c r="AG33" i="4"/>
  <c r="F14" i="19"/>
  <c r="AW33" i="4"/>
  <c r="AZ27" i="4"/>
  <c r="AG27" i="4"/>
  <c r="F8" i="19"/>
  <c r="AW27" i="4"/>
  <c r="AQ45" i="5"/>
  <c r="AQ26" i="8"/>
  <c r="S24" i="8"/>
  <c r="Q24" i="8"/>
  <c r="R24" i="8"/>
  <c r="P24" i="8"/>
  <c r="U24" i="8"/>
  <c r="V24" i="8"/>
  <c r="AS38" i="4"/>
  <c r="E19" i="19"/>
  <c r="AX38" i="4"/>
  <c r="AV38" i="5"/>
  <c r="T24" i="8"/>
  <c r="AW40" i="4"/>
  <c r="F21" i="19"/>
  <c r="F24" i="19"/>
  <c r="F7" i="19"/>
  <c r="AW26" i="4"/>
  <c r="AZ26" i="4"/>
  <c r="AG26" i="4"/>
  <c r="AW29" i="4"/>
  <c r="F10" i="19"/>
  <c r="AZ29" i="4"/>
  <c r="AG29" i="4"/>
  <c r="AZ37" i="4"/>
  <c r="AG37" i="4"/>
  <c r="AW37" i="4"/>
  <c r="AZ42" i="4"/>
  <c r="AG42" i="4"/>
  <c r="F23" i="19"/>
  <c r="AW42" i="4"/>
  <c r="AZ25" i="4"/>
  <c r="AG25" i="4"/>
  <c r="AT42" i="4"/>
  <c r="AC55" i="21"/>
  <c r="B55" i="21"/>
  <c r="B55" i="22"/>
  <c r="AC56" i="21"/>
  <c r="B56" i="21"/>
  <c r="B56" i="22"/>
  <c r="Y15" i="16"/>
  <c r="AZ57" i="26"/>
  <c r="AY26" i="26"/>
  <c r="Y35" i="15"/>
  <c r="BM47" i="26"/>
  <c r="K47" i="21"/>
  <c r="BM39" i="26"/>
  <c r="K39" i="21"/>
  <c r="BY27" i="26"/>
  <c r="Z36" i="14"/>
  <c r="BY40" i="26"/>
  <c r="C49" i="14"/>
  <c r="V40" i="22"/>
  <c r="BZ14" i="26"/>
  <c r="Z23" i="15"/>
  <c r="W14" i="22"/>
  <c r="BH4" i="19"/>
  <c r="U101" i="12"/>
  <c r="X35" i="22"/>
  <c r="BI25" i="19"/>
  <c r="Z35" i="22"/>
  <c r="BK25" i="19"/>
  <c r="C25" i="19"/>
  <c r="D25" i="19"/>
  <c r="CC35" i="26"/>
  <c r="P101" i="12"/>
  <c r="R104" i="10"/>
  <c r="S104" i="11"/>
  <c r="Q36" i="10"/>
  <c r="AX14" i="26"/>
  <c r="Y23" i="14"/>
  <c r="AZ33" i="26"/>
  <c r="Y42" i="16"/>
  <c r="BX33" i="26"/>
  <c r="Z42" i="13"/>
  <c r="U33" i="22"/>
  <c r="BF23" i="19"/>
  <c r="BL45" i="26"/>
  <c r="J45" i="21"/>
  <c r="V51" i="22"/>
  <c r="BY49" i="26"/>
  <c r="Z7" i="14"/>
  <c r="C10" i="15"/>
  <c r="W6" i="22"/>
  <c r="BZ6" i="26"/>
  <c r="AU22" i="26"/>
  <c r="Y31" i="11"/>
  <c r="AB22" i="21"/>
  <c r="BW50" i="26"/>
  <c r="T52" i="22"/>
  <c r="Z8" i="12"/>
  <c r="AU21" i="26"/>
  <c r="Y30" i="11"/>
  <c r="AB21" i="21"/>
  <c r="AX35" i="26"/>
  <c r="Y44" i="14"/>
  <c r="AY19" i="26"/>
  <c r="Y28" i="15"/>
  <c r="BX51" i="26"/>
  <c r="Z9" i="13"/>
  <c r="B10" i="17"/>
  <c r="BB6" i="26"/>
  <c r="BA6" i="26"/>
  <c r="B14" i="17"/>
  <c r="BB10" i="26"/>
  <c r="BA10" i="26"/>
  <c r="AC10" i="21"/>
  <c r="B10" i="21"/>
  <c r="B10" i="22"/>
  <c r="Z13" i="17"/>
  <c r="CB55" i="26"/>
  <c r="Y57" i="22"/>
  <c r="B9" i="17"/>
  <c r="BA5" i="26"/>
  <c r="AZ41" i="26"/>
  <c r="B50" i="16"/>
  <c r="D50" i="15"/>
  <c r="U30" i="12"/>
  <c r="V14" i="10"/>
  <c r="AZ16" i="26"/>
  <c r="Y25" i="16"/>
  <c r="AX27" i="26"/>
  <c r="Y36" i="14"/>
  <c r="AY31" i="26"/>
  <c r="Y40" i="15"/>
  <c r="AZ47" i="26"/>
  <c r="B56" i="16"/>
  <c r="D56" i="15"/>
  <c r="Y13" i="17"/>
  <c r="BB55" i="26"/>
  <c r="BA55" i="26"/>
  <c r="BA20" i="26"/>
  <c r="Y29" i="17"/>
  <c r="BB20" i="26"/>
  <c r="AZ45" i="26"/>
  <c r="B54" i="16"/>
  <c r="D54" i="15"/>
  <c r="AX25" i="26"/>
  <c r="Y34" i="14"/>
  <c r="AY34" i="26"/>
  <c r="Y43" i="15"/>
  <c r="BB52" i="26"/>
  <c r="AC54" i="21"/>
  <c r="B54" i="21"/>
  <c r="B54" i="22"/>
  <c r="AX24" i="26"/>
  <c r="Y33" i="14"/>
  <c r="BL41" i="26"/>
  <c r="D57" i="13"/>
  <c r="R52" i="13"/>
  <c r="S32" i="19"/>
  <c r="J41" i="21"/>
  <c r="AZ43" i="26"/>
  <c r="B52" i="16"/>
  <c r="D52" i="15"/>
  <c r="Z16" i="11"/>
  <c r="S60" i="22"/>
  <c r="BV58" i="26"/>
  <c r="B13" i="17"/>
  <c r="BB9" i="26"/>
  <c r="BA9" i="26"/>
  <c r="BB12" i="26"/>
  <c r="AC12" i="21"/>
  <c r="B12" i="21"/>
  <c r="B12" i="22"/>
  <c r="BA8" i="26"/>
  <c r="B12" i="17"/>
  <c r="BB8" i="26"/>
  <c r="BZ57" i="26"/>
  <c r="Z15" i="15"/>
  <c r="W59" i="22"/>
  <c r="B15" i="17"/>
  <c r="BB11" i="26"/>
  <c r="BA11" i="26"/>
  <c r="AC60" i="21"/>
  <c r="B60" i="21"/>
  <c r="B60" i="22"/>
  <c r="BB58" i="26"/>
  <c r="Q68" i="9"/>
  <c r="V35" i="8"/>
  <c r="BV21" i="26"/>
  <c r="Z30" i="11"/>
  <c r="S21" i="22"/>
  <c r="BD11" i="19"/>
  <c r="BV30" i="26"/>
  <c r="Z39" i="11"/>
  <c r="S30" i="22"/>
  <c r="BD20" i="19"/>
  <c r="BV32" i="26"/>
  <c r="Z41" i="11"/>
  <c r="R31" i="9"/>
  <c r="BV26" i="26"/>
  <c r="Z35" i="11"/>
  <c r="S26" i="22"/>
  <c r="BD16" i="19"/>
  <c r="C47" i="12"/>
  <c r="T38" i="22"/>
  <c r="BW38" i="26"/>
  <c r="BW17" i="26"/>
  <c r="T17" i="22"/>
  <c r="BE7" i="19"/>
  <c r="Z26" i="12"/>
  <c r="BW39" i="26"/>
  <c r="C48" i="12"/>
  <c r="Z11" i="12"/>
  <c r="T55" i="22"/>
  <c r="BW53" i="26"/>
  <c r="Q44" i="12"/>
  <c r="U44" i="12"/>
  <c r="T44" i="12"/>
  <c r="P44" i="12"/>
  <c r="S44" i="12"/>
  <c r="Q101" i="12"/>
  <c r="U68" i="9"/>
  <c r="S85" i="15"/>
  <c r="BV25" i="26"/>
  <c r="Z34" i="11"/>
  <c r="S25" i="22"/>
  <c r="BD15" i="19"/>
  <c r="BV23" i="26"/>
  <c r="S23" i="22"/>
  <c r="BD13" i="19"/>
  <c r="Z32" i="11"/>
  <c r="BW31" i="26"/>
  <c r="Z40" i="12"/>
  <c r="T31" i="22"/>
  <c r="BE21" i="19"/>
  <c r="CB35" i="26"/>
  <c r="Y35" i="22"/>
  <c r="BJ25" i="19"/>
  <c r="C9" i="12"/>
  <c r="T5" i="22"/>
  <c r="BW5" i="26"/>
  <c r="R92" i="14"/>
  <c r="Q92" i="15"/>
  <c r="AC7" i="21"/>
  <c r="B7" i="21"/>
  <c r="B7" i="22"/>
  <c r="P68" i="9"/>
  <c r="BV10" i="26"/>
  <c r="S10" i="22"/>
  <c r="C14" i="11"/>
  <c r="R9" i="9"/>
  <c r="Q9" i="10"/>
  <c r="U9" i="10"/>
  <c r="P9" i="10"/>
  <c r="BV19" i="26"/>
  <c r="Z28" i="11"/>
  <c r="S19" i="22"/>
  <c r="BD9" i="19"/>
  <c r="S35" i="8"/>
  <c r="S43" i="22"/>
  <c r="BV43" i="26"/>
  <c r="C52" i="11"/>
  <c r="CA12" i="26"/>
  <c r="X12" i="22"/>
  <c r="R10" i="9"/>
  <c r="S10" i="10"/>
  <c r="BW47" i="26"/>
  <c r="C56" i="12"/>
  <c r="T47" i="22"/>
  <c r="U79" i="9"/>
  <c r="S79" i="9"/>
  <c r="T85" i="15"/>
  <c r="AU29" i="26"/>
  <c r="Y38" i="11"/>
  <c r="AB29" i="21"/>
  <c r="BV34" i="26"/>
  <c r="S34" i="22"/>
  <c r="BD24" i="19"/>
  <c r="Z45" i="10"/>
  <c r="Q51" i="10"/>
  <c r="Z43" i="11"/>
  <c r="P23" i="8"/>
  <c r="V68" i="9"/>
  <c r="U85" i="15"/>
  <c r="U91" i="13"/>
  <c r="V91" i="13"/>
  <c r="Q91" i="13"/>
  <c r="R91" i="13"/>
  <c r="T91" i="13"/>
  <c r="S91" i="13"/>
  <c r="Z14" i="10"/>
  <c r="R58" i="22"/>
  <c r="BU56" i="26"/>
  <c r="U99" i="9"/>
  <c r="V99" i="9"/>
  <c r="S99" i="9"/>
  <c r="P99" i="9"/>
  <c r="Q99" i="9"/>
  <c r="T99" i="9"/>
  <c r="R71" i="11"/>
  <c r="V71" i="12"/>
  <c r="T96" i="9"/>
  <c r="U96" i="9"/>
  <c r="V96" i="9"/>
  <c r="S96" i="9"/>
  <c r="Q96" i="9"/>
  <c r="P96" i="9"/>
  <c r="R19" i="9"/>
  <c r="V19" i="10"/>
  <c r="R32" i="8"/>
  <c r="V32" i="9"/>
  <c r="P79" i="9"/>
  <c r="T79" i="9"/>
  <c r="Q79" i="9"/>
  <c r="R79" i="9"/>
  <c r="S79" i="10"/>
  <c r="V79" i="9"/>
  <c r="S39" i="8"/>
  <c r="U39" i="8"/>
  <c r="R39" i="5"/>
  <c r="V39" i="8"/>
  <c r="P35" i="8"/>
  <c r="U35" i="8"/>
  <c r="U23" i="8"/>
  <c r="R14" i="10"/>
  <c r="S14" i="11"/>
  <c r="S56" i="22"/>
  <c r="Z12" i="11"/>
  <c r="BV54" i="26"/>
  <c r="Q41" i="8"/>
  <c r="V41" i="8"/>
  <c r="R41" i="5"/>
  <c r="S41" i="8"/>
  <c r="T41" i="8"/>
  <c r="P41" i="8"/>
  <c r="AC17" i="21"/>
  <c r="B17" i="21"/>
  <c r="BB17" i="26"/>
  <c r="BA28" i="26"/>
  <c r="Y37" i="17"/>
  <c r="BB28" i="26"/>
  <c r="R15" i="5"/>
  <c r="U15" i="8"/>
  <c r="Q15" i="8"/>
  <c r="S15" i="8"/>
  <c r="T15" i="8"/>
  <c r="Q38" i="9"/>
  <c r="S38" i="9"/>
  <c r="P38" i="9"/>
  <c r="U38" i="9"/>
  <c r="V38" i="9"/>
  <c r="V23" i="8"/>
  <c r="AZ31" i="4"/>
  <c r="AG31" i="4"/>
  <c r="AW31" i="4"/>
  <c r="F12" i="19"/>
  <c r="AK3" i="26"/>
  <c r="R48" i="5"/>
  <c r="Q48" i="9"/>
  <c r="K2" i="19"/>
  <c r="L28" i="19"/>
  <c r="F2" i="22"/>
  <c r="F2" i="21"/>
  <c r="AJ5" i="26"/>
  <c r="R48" i="9"/>
  <c r="R48" i="8"/>
  <c r="R85" i="15"/>
  <c r="T85" i="16"/>
  <c r="T66" i="13"/>
  <c r="S66" i="13"/>
  <c r="V66" i="13"/>
  <c r="U66" i="13"/>
  <c r="P66" i="13"/>
  <c r="R66" i="13"/>
  <c r="R73" i="10"/>
  <c r="P73" i="11"/>
  <c r="S101" i="12"/>
  <c r="Q76" i="12"/>
  <c r="R76" i="12"/>
  <c r="V76" i="12"/>
  <c r="P76" i="12"/>
  <c r="U76" i="12"/>
  <c r="T76" i="12"/>
  <c r="V85" i="15"/>
  <c r="Q40" i="11"/>
  <c r="P40" i="11"/>
  <c r="S40" i="11"/>
  <c r="T40" i="11"/>
  <c r="V40" i="11"/>
  <c r="U40" i="11"/>
  <c r="T36" i="10"/>
  <c r="S36" i="10"/>
  <c r="R36" i="10"/>
  <c r="P36" i="11"/>
  <c r="U36" i="10"/>
  <c r="P95" i="10"/>
  <c r="V101" i="12"/>
  <c r="R68" i="9"/>
  <c r="V68" i="10"/>
  <c r="R81" i="14"/>
  <c r="V81" i="15"/>
  <c r="Q108" i="11"/>
  <c r="T108" i="11"/>
  <c r="P108" i="11"/>
  <c r="V108" i="11"/>
  <c r="R108" i="11"/>
  <c r="V108" i="12"/>
  <c r="S108" i="11"/>
  <c r="U108" i="11"/>
  <c r="P85" i="15"/>
  <c r="V36" i="10"/>
  <c r="U43" i="9"/>
  <c r="Q43" i="9"/>
  <c r="P43" i="9"/>
  <c r="V43" i="9"/>
  <c r="S43" i="9"/>
  <c r="P28" i="11"/>
  <c r="V28" i="11"/>
  <c r="Q28" i="11"/>
  <c r="R28" i="11"/>
  <c r="U28" i="11"/>
  <c r="T28" i="11"/>
  <c r="S28" i="11"/>
  <c r="T35" i="10"/>
  <c r="Q35" i="10"/>
  <c r="R35" i="10"/>
  <c r="S35" i="11"/>
  <c r="S35" i="10"/>
  <c r="P35" i="10"/>
  <c r="U35" i="10"/>
  <c r="Q22" i="11"/>
  <c r="R22" i="11"/>
  <c r="T22" i="11"/>
  <c r="U22" i="11"/>
  <c r="V22" i="11"/>
  <c r="S22" i="11"/>
  <c r="P22" i="11"/>
  <c r="S72" i="11"/>
  <c r="V72" i="11"/>
  <c r="T72" i="11"/>
  <c r="P72" i="11"/>
  <c r="U72" i="11"/>
  <c r="V66" i="14"/>
  <c r="T66" i="14"/>
  <c r="S66" i="14"/>
  <c r="P66" i="14"/>
  <c r="U66" i="14"/>
  <c r="Q66" i="14"/>
  <c r="V36" i="11"/>
  <c r="Q36" i="11"/>
  <c r="R36" i="11"/>
  <c r="Q36" i="12"/>
  <c r="S36" i="11"/>
  <c r="T36" i="11"/>
  <c r="U36" i="11"/>
  <c r="T13" i="11"/>
  <c r="P13" i="11"/>
  <c r="S13" i="11"/>
  <c r="U13" i="11"/>
  <c r="Q13" i="11"/>
  <c r="Q72" i="11"/>
  <c r="R101" i="12"/>
  <c r="P101" i="13"/>
  <c r="V94" i="12"/>
  <c r="S94" i="12"/>
  <c r="P94" i="12"/>
  <c r="Q94" i="12"/>
  <c r="R94" i="12"/>
  <c r="P94" i="13"/>
  <c r="T94" i="12"/>
  <c r="R77" i="12"/>
  <c r="S77" i="13"/>
  <c r="P107" i="15"/>
  <c r="Q107" i="15"/>
  <c r="U107" i="15"/>
  <c r="R107" i="15"/>
  <c r="T107" i="15"/>
  <c r="S107" i="15"/>
  <c r="P11" i="11"/>
  <c r="T11" i="11"/>
  <c r="S11" i="11"/>
  <c r="U11" i="11"/>
  <c r="V11" i="11"/>
  <c r="Q11" i="11"/>
  <c r="T43" i="9"/>
  <c r="S34" i="10"/>
  <c r="P34" i="10"/>
  <c r="Q34" i="10"/>
  <c r="R34" i="10"/>
  <c r="V34" i="10"/>
  <c r="U34" i="10"/>
  <c r="X28" i="22"/>
  <c r="BI18" i="19"/>
  <c r="CA28" i="26"/>
  <c r="Z37" i="16"/>
  <c r="P86" i="9"/>
  <c r="V86" i="9"/>
  <c r="U86" i="9"/>
  <c r="T86" i="9"/>
  <c r="Q86" i="9"/>
  <c r="S93" i="10"/>
  <c r="V93" i="10"/>
  <c r="P93" i="10"/>
  <c r="U93" i="10"/>
  <c r="T93" i="10"/>
  <c r="Q93" i="10"/>
  <c r="R93" i="10"/>
  <c r="V69" i="10"/>
  <c r="T78" i="9"/>
  <c r="S78" i="9"/>
  <c r="R64" i="9"/>
  <c r="T64" i="10"/>
  <c r="R88" i="9"/>
  <c r="S98" i="11"/>
  <c r="P98" i="11"/>
  <c r="S105" i="10"/>
  <c r="T105" i="10"/>
  <c r="R103" i="11"/>
  <c r="U103" i="12"/>
  <c r="B53" i="17"/>
  <c r="D53" i="16"/>
  <c r="BA44" i="26"/>
  <c r="B46" i="17"/>
  <c r="AC37" i="21"/>
  <c r="B37" i="21"/>
  <c r="B37" i="22"/>
  <c r="D46" i="16"/>
  <c r="BA37" i="26"/>
  <c r="Y32" i="17"/>
  <c r="BB23" i="26"/>
  <c r="BA23" i="26"/>
  <c r="BN44" i="26"/>
  <c r="L44" i="21"/>
  <c r="D57" i="15"/>
  <c r="R52" i="15"/>
  <c r="W32" i="19"/>
  <c r="BN37" i="26"/>
  <c r="L37" i="21"/>
  <c r="BA30" i="26"/>
  <c r="Y39" i="17"/>
  <c r="BB30" i="26"/>
  <c r="BA18" i="26"/>
  <c r="Y27" i="17"/>
  <c r="BB18" i="26"/>
  <c r="R37" i="5"/>
  <c r="Q37" i="8"/>
  <c r="T8" i="8"/>
  <c r="Y22" i="22"/>
  <c r="BJ12" i="19"/>
  <c r="Z31" i="17"/>
  <c r="CB22" i="26"/>
  <c r="CB15" i="26"/>
  <c r="Z24" i="17"/>
  <c r="Y15" i="22"/>
  <c r="BJ5" i="19"/>
  <c r="R7" i="5"/>
  <c r="V7" i="8"/>
  <c r="AA44" i="5"/>
  <c r="AA43" i="5"/>
  <c r="U102" i="9"/>
  <c r="S102" i="9"/>
  <c r="T102" i="9"/>
  <c r="Q102" i="9"/>
  <c r="R102" i="9"/>
  <c r="V102" i="9"/>
  <c r="R70" i="9"/>
  <c r="S70" i="10"/>
  <c r="Q78" i="9"/>
  <c r="R80" i="9"/>
  <c r="V80" i="10"/>
  <c r="U98" i="11"/>
  <c r="T98" i="11"/>
  <c r="V105" i="10"/>
  <c r="R106" i="13"/>
  <c r="S106" i="14"/>
  <c r="BA38" i="26"/>
  <c r="B47" i="17"/>
  <c r="AC38" i="21"/>
  <c r="B38" i="21"/>
  <c r="B38" i="22"/>
  <c r="D47" i="16"/>
  <c r="BA46" i="26"/>
  <c r="B55" i="17"/>
  <c r="AC46" i="21"/>
  <c r="B46" i="21"/>
  <c r="B46" i="22"/>
  <c r="D55" i="16"/>
  <c r="BA39" i="26"/>
  <c r="B48" i="17"/>
  <c r="AC39" i="21"/>
  <c r="B39" i="21"/>
  <c r="B39" i="22"/>
  <c r="D48" i="16"/>
  <c r="BN38" i="26"/>
  <c r="L38" i="21"/>
  <c r="BN46" i="26"/>
  <c r="L46" i="21"/>
  <c r="BN39" i="26"/>
  <c r="L39" i="21"/>
  <c r="R29" i="5"/>
  <c r="S29" i="8"/>
  <c r="T12" i="8"/>
  <c r="U12" i="8"/>
  <c r="Q12" i="8"/>
  <c r="R12" i="8"/>
  <c r="P12" i="8"/>
  <c r="S12" i="8"/>
  <c r="V12" i="8"/>
  <c r="R33" i="5"/>
  <c r="T33" i="8"/>
  <c r="V33" i="8"/>
  <c r="S33" i="8"/>
  <c r="P33" i="8"/>
  <c r="U33" i="8"/>
  <c r="P18" i="11"/>
  <c r="T18" i="11"/>
  <c r="S18" i="11"/>
  <c r="V18" i="11"/>
  <c r="Q18" i="11"/>
  <c r="R18" i="11"/>
  <c r="U18" i="11"/>
  <c r="S46" i="22"/>
  <c r="BV46" i="26"/>
  <c r="C55" i="11"/>
  <c r="Q13" i="22"/>
  <c r="C17" i="9"/>
  <c r="BT13" i="26"/>
  <c r="CA11" i="26"/>
  <c r="X11" i="22"/>
  <c r="C15" i="16"/>
  <c r="C50" i="16"/>
  <c r="CA41" i="26"/>
  <c r="X41" i="22"/>
  <c r="C14" i="19"/>
  <c r="D14" i="19"/>
  <c r="Z24" i="22"/>
  <c r="BK14" i="19"/>
  <c r="CC24" i="26"/>
  <c r="CA42" i="26"/>
  <c r="C51" i="16"/>
  <c r="X42" i="22"/>
  <c r="Q95" i="10"/>
  <c r="U95" i="10"/>
  <c r="T95" i="10"/>
  <c r="R84" i="9"/>
  <c r="Q84" i="10"/>
  <c r="P69" i="10"/>
  <c r="T69" i="10"/>
  <c r="R78" i="9"/>
  <c r="U78" i="9"/>
  <c r="S86" i="9"/>
  <c r="R109" i="9"/>
  <c r="S109" i="10"/>
  <c r="S69" i="10"/>
  <c r="Q98" i="11"/>
  <c r="Q105" i="10"/>
  <c r="D49" i="16"/>
  <c r="BA40" i="26"/>
  <c r="B49" i="17"/>
  <c r="AC40" i="21"/>
  <c r="B40" i="21"/>
  <c r="B40" i="22"/>
  <c r="Y41" i="17"/>
  <c r="BB32" i="26"/>
  <c r="BA32" i="26"/>
  <c r="BN40" i="26"/>
  <c r="L40" i="21"/>
  <c r="BA15" i="26"/>
  <c r="Y24" i="17"/>
  <c r="BB15" i="26"/>
  <c r="AD28" i="5"/>
  <c r="AA25" i="5"/>
  <c r="AA38" i="5"/>
  <c r="AD26" i="5"/>
  <c r="AD35" i="5"/>
  <c r="AD25" i="5"/>
  <c r="AA36" i="5"/>
  <c r="AA26" i="5"/>
  <c r="AA35" i="5"/>
  <c r="AD23" i="5"/>
  <c r="AD36" i="5"/>
  <c r="AA24" i="5"/>
  <c r="AA33" i="5"/>
  <c r="AA23" i="5"/>
  <c r="AD34" i="5"/>
  <c r="AD24" i="5"/>
  <c r="AD37" i="5"/>
  <c r="AA40" i="5"/>
  <c r="AA30" i="5"/>
  <c r="AA39" i="5"/>
  <c r="AD27" i="5"/>
  <c r="AD40" i="5"/>
  <c r="AA28" i="5"/>
  <c r="AA37" i="5"/>
  <c r="AA27" i="5"/>
  <c r="AD38" i="5"/>
  <c r="G19" i="19"/>
  <c r="AA31" i="5"/>
  <c r="AD41" i="5"/>
  <c r="AA42" i="5"/>
  <c r="AD39" i="5"/>
  <c r="AD29" i="5"/>
  <c r="AD42" i="5"/>
  <c r="AA32" i="5"/>
  <c r="AD32" i="5"/>
  <c r="AA29" i="5"/>
  <c r="AD30" i="5"/>
  <c r="AA41" i="5"/>
  <c r="AD33" i="5"/>
  <c r="AA34" i="5"/>
  <c r="AD31" i="5"/>
  <c r="P8" i="8"/>
  <c r="Q8" i="8"/>
  <c r="R8" i="8"/>
  <c r="T21" i="8"/>
  <c r="P21" i="8"/>
  <c r="Q21" i="8"/>
  <c r="R21" i="8"/>
  <c r="R42" i="8"/>
  <c r="U42" i="9"/>
  <c r="R45" i="8"/>
  <c r="U45" i="9"/>
  <c r="S21" i="8"/>
  <c r="V8" i="8"/>
  <c r="U27" i="11"/>
  <c r="T27" i="11"/>
  <c r="P27" i="11"/>
  <c r="Q27" i="11"/>
  <c r="V27" i="11"/>
  <c r="S27" i="11"/>
  <c r="P30" i="13"/>
  <c r="V30" i="13"/>
  <c r="Q30" i="13"/>
  <c r="S30" i="13"/>
  <c r="T30" i="13"/>
  <c r="U30" i="13"/>
  <c r="R30" i="13"/>
  <c r="CA16" i="26"/>
  <c r="Z25" i="16"/>
  <c r="X16" i="22"/>
  <c r="BI6" i="19"/>
  <c r="Y12" i="22"/>
  <c r="C16" i="17"/>
  <c r="CB12" i="26"/>
  <c r="T26" i="10"/>
  <c r="Q26" i="10"/>
  <c r="V26" i="10"/>
  <c r="U26" i="10"/>
  <c r="S26" i="10"/>
  <c r="P26" i="10"/>
  <c r="C12" i="16"/>
  <c r="X8" i="22"/>
  <c r="CA8" i="26"/>
  <c r="Z38" i="17"/>
  <c r="Y29" i="22"/>
  <c r="BJ19" i="19"/>
  <c r="CB29" i="26"/>
  <c r="Y18" i="22"/>
  <c r="BJ8" i="19"/>
  <c r="CB18" i="26"/>
  <c r="Z27" i="17"/>
  <c r="X7" i="22"/>
  <c r="CA7" i="26"/>
  <c r="C11" i="16"/>
  <c r="Y44" i="22"/>
  <c r="C53" i="17"/>
  <c r="CB44" i="26"/>
  <c r="T20" i="9"/>
  <c r="U83" i="10"/>
  <c r="S83" i="10"/>
  <c r="P83" i="10"/>
  <c r="Q83" i="10"/>
  <c r="R83" i="10"/>
  <c r="V83" i="10"/>
  <c r="T83" i="10"/>
  <c r="R87" i="9"/>
  <c r="T87" i="10"/>
  <c r="R75" i="9"/>
  <c r="P75" i="10"/>
  <c r="Q69" i="10"/>
  <c r="R69" i="10"/>
  <c r="V67" i="10"/>
  <c r="S67" i="10"/>
  <c r="P67" i="10"/>
  <c r="Q67" i="10"/>
  <c r="T67" i="10"/>
  <c r="U67" i="10"/>
  <c r="V95" i="10"/>
  <c r="P78" i="9"/>
  <c r="T110" i="11"/>
  <c r="S110" i="11"/>
  <c r="V110" i="11"/>
  <c r="U110" i="11"/>
  <c r="Q110" i="11"/>
  <c r="P110" i="11"/>
  <c r="P97" i="10"/>
  <c r="T97" i="10"/>
  <c r="S97" i="10"/>
  <c r="Q97" i="10"/>
  <c r="R97" i="10"/>
  <c r="V97" i="10"/>
  <c r="U97" i="10"/>
  <c r="V100" i="10"/>
  <c r="S100" i="10"/>
  <c r="T100" i="10"/>
  <c r="U100" i="10"/>
  <c r="P100" i="10"/>
  <c r="Q100" i="10"/>
  <c r="R89" i="9"/>
  <c r="V89" i="10"/>
  <c r="R65" i="9"/>
  <c r="P65" i="10"/>
  <c r="R98" i="11"/>
  <c r="V74" i="12"/>
  <c r="P74" i="12"/>
  <c r="Q74" i="12"/>
  <c r="U74" i="12"/>
  <c r="T74" i="12"/>
  <c r="S74" i="12"/>
  <c r="U105" i="10"/>
  <c r="S90" i="14"/>
  <c r="P90" i="14"/>
  <c r="U90" i="14"/>
  <c r="V90" i="14"/>
  <c r="T90" i="14"/>
  <c r="Q90" i="14"/>
  <c r="R90" i="14"/>
  <c r="B51" i="17"/>
  <c r="AC42" i="21"/>
  <c r="B42" i="21"/>
  <c r="B42" i="22"/>
  <c r="BA42" i="26"/>
  <c r="D51" i="16"/>
  <c r="R82" i="14"/>
  <c r="P82" i="15"/>
  <c r="V54" i="22"/>
  <c r="Z10" i="14"/>
  <c r="BY52" i="26"/>
  <c r="BN42" i="26"/>
  <c r="L42" i="21"/>
  <c r="P17" i="8"/>
  <c r="T17" i="8"/>
  <c r="Q17" i="8"/>
  <c r="R17" i="8"/>
  <c r="S17" i="8"/>
  <c r="U17" i="8"/>
  <c r="V17" i="8"/>
  <c r="U25" i="8"/>
  <c r="V25" i="8"/>
  <c r="S25" i="8"/>
  <c r="Q25" i="8"/>
  <c r="T25" i="8"/>
  <c r="P25" i="8"/>
  <c r="R25" i="8"/>
  <c r="T16" i="9"/>
  <c r="P16" i="9"/>
  <c r="U16" i="9"/>
  <c r="S16" i="9"/>
  <c r="Q16" i="9"/>
  <c r="R23" i="8"/>
  <c r="S23" i="9"/>
  <c r="D19" i="5"/>
  <c r="B20" i="5"/>
  <c r="C4" i="5"/>
  <c r="Q50" i="5"/>
  <c r="V21" i="8"/>
  <c r="U8" i="8"/>
  <c r="Q45" i="22"/>
  <c r="C54" i="9"/>
  <c r="BT45" i="26"/>
  <c r="BT37" i="26"/>
  <c r="C46" i="9"/>
  <c r="Q37" i="22"/>
  <c r="C57" i="8"/>
  <c r="BT9" i="26"/>
  <c r="C18" i="8"/>
  <c r="Q9" i="22"/>
  <c r="C13" i="9"/>
  <c r="CB4" i="26"/>
  <c r="C8" i="17"/>
  <c r="Y4" i="22"/>
  <c r="CB20" i="26"/>
  <c r="Z29" i="17"/>
  <c r="Y20" i="22"/>
  <c r="BJ10" i="19"/>
  <c r="U20" i="9"/>
  <c r="P20" i="9"/>
  <c r="S20" i="9"/>
  <c r="Q20" i="9"/>
  <c r="R20" i="9"/>
  <c r="S20" i="10"/>
  <c r="AR38" i="4"/>
  <c r="AR45" i="4"/>
  <c r="AS38" i="5"/>
  <c r="AR38" i="5"/>
  <c r="AS45" i="4"/>
  <c r="AV38" i="8"/>
  <c r="AV45" i="5"/>
  <c r="AQ26" i="9"/>
  <c r="AQ45" i="8"/>
  <c r="AE38" i="4"/>
  <c r="AE15" i="4"/>
  <c r="AX45" i="4"/>
  <c r="Q24" i="9"/>
  <c r="R24" i="9"/>
  <c r="P24" i="9"/>
  <c r="S24" i="9"/>
  <c r="U24" i="9"/>
  <c r="T24" i="9"/>
  <c r="V24" i="9"/>
  <c r="AT45" i="4"/>
  <c r="AT42" i="5"/>
  <c r="AZ26" i="26"/>
  <c r="Y35" i="16"/>
  <c r="Y15" i="17"/>
  <c r="BB57" i="26"/>
  <c r="BA57" i="26"/>
  <c r="W40" i="22"/>
  <c r="BZ40" i="26"/>
  <c r="C49" i="15"/>
  <c r="CA14" i="26"/>
  <c r="Z23" i="16"/>
  <c r="X14" i="22"/>
  <c r="BI4" i="19"/>
  <c r="BZ27" i="26"/>
  <c r="Z36" i="15"/>
  <c r="W27" i="22"/>
  <c r="BH17" i="19"/>
  <c r="Q104" i="11"/>
  <c r="AC20" i="21"/>
  <c r="B20" i="21"/>
  <c r="B10" i="19"/>
  <c r="AC57" i="21"/>
  <c r="B57" i="21"/>
  <c r="B57" i="22"/>
  <c r="V104" i="11"/>
  <c r="T104" i="11"/>
  <c r="R104" i="11"/>
  <c r="V104" i="12"/>
  <c r="P104" i="12"/>
  <c r="P104" i="11"/>
  <c r="U104" i="11"/>
  <c r="AC11" i="21"/>
  <c r="B11" i="21"/>
  <c r="B11" i="22"/>
  <c r="X59" i="22"/>
  <c r="Z15" i="16"/>
  <c r="CA57" i="26"/>
  <c r="AC9" i="21"/>
  <c r="B9" i="21"/>
  <c r="B9" i="22"/>
  <c r="Z16" i="12"/>
  <c r="BW58" i="26"/>
  <c r="T60" i="22"/>
  <c r="AY24" i="26"/>
  <c r="Y33" i="15"/>
  <c r="AZ34" i="26"/>
  <c r="Y43" i="16"/>
  <c r="CC55" i="26"/>
  <c r="Z57" i="22"/>
  <c r="AC6" i="21"/>
  <c r="B6" i="21"/>
  <c r="B6" i="22"/>
  <c r="AY35" i="26"/>
  <c r="Y44" i="15"/>
  <c r="Z42" i="14"/>
  <c r="V33" i="22"/>
  <c r="BG23" i="19"/>
  <c r="BY33" i="26"/>
  <c r="P87" i="10"/>
  <c r="BN43" i="26"/>
  <c r="L43" i="21"/>
  <c r="BA47" i="26"/>
  <c r="D56" i="16"/>
  <c r="B56" i="17"/>
  <c r="AY27" i="26"/>
  <c r="Y36" i="15"/>
  <c r="BN41" i="26"/>
  <c r="L41" i="21"/>
  <c r="BB5" i="26"/>
  <c r="AC5" i="21"/>
  <c r="B5" i="21"/>
  <c r="B5" i="22"/>
  <c r="AZ19" i="26"/>
  <c r="Y28" i="16"/>
  <c r="BX50" i="26"/>
  <c r="Z8" i="13"/>
  <c r="U52" i="22"/>
  <c r="AV22" i="26"/>
  <c r="Y31" i="12"/>
  <c r="CA6" i="26"/>
  <c r="C10" i="16"/>
  <c r="X6" i="22"/>
  <c r="AY14" i="26"/>
  <c r="Y23" i="15"/>
  <c r="S85" i="16"/>
  <c r="BN45" i="26"/>
  <c r="L45" i="21"/>
  <c r="BA41" i="26"/>
  <c r="D50" i="16"/>
  <c r="B50" i="17"/>
  <c r="BZ49" i="26"/>
  <c r="Z7" i="15"/>
  <c r="W51" i="22"/>
  <c r="U85" i="16"/>
  <c r="AC8" i="21"/>
  <c r="B8" i="21"/>
  <c r="B8" i="22"/>
  <c r="BA43" i="26"/>
  <c r="D52" i="16"/>
  <c r="B52" i="17"/>
  <c r="AY25" i="26"/>
  <c r="Y34" i="15"/>
  <c r="BA45" i="26"/>
  <c r="D54" i="16"/>
  <c r="B54" i="17"/>
  <c r="BN47" i="26"/>
  <c r="L47" i="21"/>
  <c r="AZ31" i="26"/>
  <c r="Y40" i="16"/>
  <c r="BA16" i="26"/>
  <c r="Y25" i="17"/>
  <c r="V53" i="22"/>
  <c r="BY51" i="26"/>
  <c r="Z9" i="14"/>
  <c r="AV21" i="26"/>
  <c r="Y30" i="12"/>
  <c r="BA33" i="26"/>
  <c r="Y42" i="17"/>
  <c r="U73" i="11"/>
  <c r="Q71" i="12"/>
  <c r="S9" i="10"/>
  <c r="V92" i="15"/>
  <c r="U55" i="22"/>
  <c r="Z11" i="13"/>
  <c r="BX53" i="26"/>
  <c r="V10" i="10"/>
  <c r="BW26" i="26"/>
  <c r="T26" i="22"/>
  <c r="BE16" i="19"/>
  <c r="Z35" i="12"/>
  <c r="U31" i="10"/>
  <c r="BW21" i="26"/>
  <c r="T21" i="22"/>
  <c r="BE11" i="19"/>
  <c r="Z30" i="12"/>
  <c r="P68" i="10"/>
  <c r="T73" i="11"/>
  <c r="T39" i="8"/>
  <c r="U19" i="10"/>
  <c r="U47" i="22"/>
  <c r="BX47" i="26"/>
  <c r="C56" i="13"/>
  <c r="T9" i="10"/>
  <c r="U5" i="22"/>
  <c r="BX5" i="26"/>
  <c r="C9" i="13"/>
  <c r="BX31" i="26"/>
  <c r="U31" i="22"/>
  <c r="BF21" i="19"/>
  <c r="Z40" i="13"/>
  <c r="R44" i="12"/>
  <c r="U44" i="13"/>
  <c r="U39" i="22"/>
  <c r="C48" i="13"/>
  <c r="BX39" i="26"/>
  <c r="P10" i="10"/>
  <c r="BX17" i="26"/>
  <c r="Z26" i="13"/>
  <c r="U17" i="22"/>
  <c r="BF7" i="19"/>
  <c r="S31" i="10"/>
  <c r="Q31" i="10"/>
  <c r="R31" i="10"/>
  <c r="T30" i="22"/>
  <c r="BE20" i="19"/>
  <c r="BW30" i="26"/>
  <c r="Z39" i="12"/>
  <c r="P64" i="10"/>
  <c r="AC28" i="21"/>
  <c r="B28" i="21"/>
  <c r="B28" i="22"/>
  <c r="BW43" i="26"/>
  <c r="T43" i="22"/>
  <c r="C52" i="12"/>
  <c r="V9" i="10"/>
  <c r="R9" i="10"/>
  <c r="U9" i="11"/>
  <c r="T92" i="15"/>
  <c r="R92" i="15"/>
  <c r="U92" i="16"/>
  <c r="S92" i="15"/>
  <c r="U92" i="15"/>
  <c r="P92" i="15"/>
  <c r="T10" i="10"/>
  <c r="U38" i="22"/>
  <c r="BX38" i="26"/>
  <c r="C47" i="13"/>
  <c r="T31" i="10"/>
  <c r="P31" i="10"/>
  <c r="BW32" i="26"/>
  <c r="T32" i="22"/>
  <c r="BE22" i="19"/>
  <c r="Z41" i="12"/>
  <c r="V75" i="10"/>
  <c r="Q80" i="10"/>
  <c r="R80" i="10"/>
  <c r="BW19" i="26"/>
  <c r="Z28" i="12"/>
  <c r="T19" i="22"/>
  <c r="BE9" i="19"/>
  <c r="BW10" i="26"/>
  <c r="T10" i="22"/>
  <c r="C14" i="12"/>
  <c r="BW23" i="26"/>
  <c r="Z32" i="12"/>
  <c r="T23" i="22"/>
  <c r="BE13" i="19"/>
  <c r="BW25" i="26"/>
  <c r="T25" i="22"/>
  <c r="BE15" i="19"/>
  <c r="Z34" i="12"/>
  <c r="U10" i="10"/>
  <c r="Q10" i="10"/>
  <c r="R10" i="10"/>
  <c r="S10" i="11"/>
  <c r="V31" i="10"/>
  <c r="T75" i="10"/>
  <c r="Q87" i="10"/>
  <c r="T29" i="8"/>
  <c r="S80" i="10"/>
  <c r="T70" i="10"/>
  <c r="S7" i="8"/>
  <c r="Q103" i="12"/>
  <c r="S101" i="13"/>
  <c r="S73" i="11"/>
  <c r="P85" i="16"/>
  <c r="R38" i="9"/>
  <c r="T38" i="10"/>
  <c r="U41" i="8"/>
  <c r="R41" i="8"/>
  <c r="U41" i="9"/>
  <c r="BW54" i="26"/>
  <c r="T56" i="22"/>
  <c r="Z12" i="12"/>
  <c r="Q39" i="8"/>
  <c r="T19" i="10"/>
  <c r="P19" i="10"/>
  <c r="R96" i="9"/>
  <c r="V96" i="10"/>
  <c r="U71" i="12"/>
  <c r="U32" i="9"/>
  <c r="P32" i="9"/>
  <c r="U75" i="10"/>
  <c r="Q33" i="8"/>
  <c r="Q29" i="8"/>
  <c r="P80" i="10"/>
  <c r="U70" i="10"/>
  <c r="S103" i="12"/>
  <c r="S71" i="12"/>
  <c r="R99" i="9"/>
  <c r="Q99" i="10"/>
  <c r="BV56" i="26"/>
  <c r="S58" i="22"/>
  <c r="Z14" i="11"/>
  <c r="T91" i="14"/>
  <c r="U91" i="14"/>
  <c r="S91" i="14"/>
  <c r="Q91" i="14"/>
  <c r="R91" i="14"/>
  <c r="P91" i="14"/>
  <c r="V91" i="14"/>
  <c r="S32" i="9"/>
  <c r="BW34" i="26"/>
  <c r="Z43" i="12"/>
  <c r="Z45" i="11"/>
  <c r="Q51" i="11"/>
  <c r="T34" i="22"/>
  <c r="BE24" i="19"/>
  <c r="Y38" i="12"/>
  <c r="AV29" i="26"/>
  <c r="P29" i="8"/>
  <c r="R37" i="8"/>
  <c r="V103" i="12"/>
  <c r="V73" i="11"/>
  <c r="Q73" i="11"/>
  <c r="R73" i="11"/>
  <c r="U73" i="12"/>
  <c r="Q85" i="16"/>
  <c r="R85" i="16"/>
  <c r="R15" i="8"/>
  <c r="T15" i="9"/>
  <c r="V15" i="8"/>
  <c r="P15" i="8"/>
  <c r="P41" i="9"/>
  <c r="T14" i="11"/>
  <c r="P14" i="11"/>
  <c r="U14" i="11"/>
  <c r="V14" i="11"/>
  <c r="Q14" i="11"/>
  <c r="R71" i="12"/>
  <c r="V71" i="13"/>
  <c r="B18" i="19"/>
  <c r="B7" i="19"/>
  <c r="B17" i="22"/>
  <c r="P39" i="8"/>
  <c r="T79" i="10"/>
  <c r="V79" i="10"/>
  <c r="P79" i="10"/>
  <c r="U79" i="10"/>
  <c r="Q79" i="10"/>
  <c r="S19" i="10"/>
  <c r="Q19" i="10"/>
  <c r="P71" i="12"/>
  <c r="T71" i="12"/>
  <c r="T32" i="9"/>
  <c r="Q32" i="9"/>
  <c r="AK5" i="26"/>
  <c r="Q48" i="10"/>
  <c r="M2" i="19"/>
  <c r="N28" i="19"/>
  <c r="G2" i="21"/>
  <c r="AJ6" i="26"/>
  <c r="G2" i="22"/>
  <c r="Q82" i="15"/>
  <c r="S75" i="10"/>
  <c r="R87" i="10"/>
  <c r="Q87" i="11"/>
  <c r="R87" i="11"/>
  <c r="V87" i="10"/>
  <c r="R33" i="8"/>
  <c r="Q33" i="9"/>
  <c r="R33" i="9"/>
  <c r="V29" i="8"/>
  <c r="U29" i="8"/>
  <c r="T80" i="10"/>
  <c r="P70" i="10"/>
  <c r="T37" i="8"/>
  <c r="V37" i="8"/>
  <c r="AC23" i="21"/>
  <c r="B23" i="21"/>
  <c r="Z37" i="17"/>
  <c r="CB28" i="26"/>
  <c r="Y28" i="22"/>
  <c r="BJ18" i="19"/>
  <c r="V101" i="13"/>
  <c r="T77" i="13"/>
  <c r="R72" i="11"/>
  <c r="S72" i="12"/>
  <c r="R43" i="9"/>
  <c r="U43" i="10"/>
  <c r="P108" i="12"/>
  <c r="S108" i="12"/>
  <c r="T108" i="12"/>
  <c r="U108" i="12"/>
  <c r="Q108" i="12"/>
  <c r="S81" i="15"/>
  <c r="Q68" i="10"/>
  <c r="S68" i="10"/>
  <c r="T68" i="10"/>
  <c r="U68" i="10"/>
  <c r="R40" i="11"/>
  <c r="S40" i="12"/>
  <c r="U89" i="10"/>
  <c r="Q45" i="9"/>
  <c r="Q7" i="8"/>
  <c r="R7" i="8"/>
  <c r="U37" i="8"/>
  <c r="S37" i="8"/>
  <c r="AC18" i="21"/>
  <c r="B18" i="21"/>
  <c r="AC30" i="21"/>
  <c r="B30" i="21"/>
  <c r="U34" i="11"/>
  <c r="P34" i="11"/>
  <c r="T34" i="11"/>
  <c r="V34" i="11"/>
  <c r="S34" i="11"/>
  <c r="Q34" i="11"/>
  <c r="R34" i="11"/>
  <c r="T107" i="16"/>
  <c r="S107" i="16"/>
  <c r="Q107" i="16"/>
  <c r="P107" i="16"/>
  <c r="U107" i="16"/>
  <c r="V107" i="16"/>
  <c r="U94" i="13"/>
  <c r="Q94" i="13"/>
  <c r="S94" i="13"/>
  <c r="T94" i="13"/>
  <c r="V94" i="13"/>
  <c r="R94" i="13"/>
  <c r="Q94" i="14"/>
  <c r="Q101" i="13"/>
  <c r="R13" i="11"/>
  <c r="T13" i="12"/>
  <c r="U77" i="13"/>
  <c r="R66" i="14"/>
  <c r="V66" i="15"/>
  <c r="Q81" i="15"/>
  <c r="T76" i="13"/>
  <c r="P76" i="13"/>
  <c r="Q76" i="13"/>
  <c r="R76" i="13"/>
  <c r="V76" i="13"/>
  <c r="U76" i="13"/>
  <c r="S76" i="13"/>
  <c r="V85" i="16"/>
  <c r="T82" i="15"/>
  <c r="P37" i="8"/>
  <c r="R11" i="11"/>
  <c r="T11" i="12"/>
  <c r="U101" i="13"/>
  <c r="T101" i="13"/>
  <c r="Q77" i="13"/>
  <c r="R77" i="13"/>
  <c r="S77" i="14"/>
  <c r="P77" i="13"/>
  <c r="Q28" i="12"/>
  <c r="R28" i="12"/>
  <c r="S28" i="12"/>
  <c r="P28" i="12"/>
  <c r="T28" i="12"/>
  <c r="V28" i="12"/>
  <c r="U28" i="12"/>
  <c r="T81" i="15"/>
  <c r="P81" i="15"/>
  <c r="V82" i="15"/>
  <c r="U87" i="10"/>
  <c r="V70" i="10"/>
  <c r="P36" i="12"/>
  <c r="S36" i="12"/>
  <c r="U36" i="12"/>
  <c r="T36" i="12"/>
  <c r="V36" i="12"/>
  <c r="R36" i="12"/>
  <c r="V77" i="13"/>
  <c r="P22" i="12"/>
  <c r="V22" i="12"/>
  <c r="U22" i="12"/>
  <c r="Q22" i="12"/>
  <c r="T22" i="12"/>
  <c r="S22" i="12"/>
  <c r="V35" i="11"/>
  <c r="T35" i="11"/>
  <c r="Q35" i="11"/>
  <c r="P35" i="11"/>
  <c r="U35" i="11"/>
  <c r="U81" i="15"/>
  <c r="BU9" i="26"/>
  <c r="C18" i="9"/>
  <c r="C13" i="10"/>
  <c r="R9" i="22"/>
  <c r="Q52" i="8"/>
  <c r="S52" i="8"/>
  <c r="C58" i="8"/>
  <c r="T65" i="10"/>
  <c r="Q65" i="10"/>
  <c r="T89" i="10"/>
  <c r="S89" i="10"/>
  <c r="Z44" i="22"/>
  <c r="CC44" i="26"/>
  <c r="CB7" i="26"/>
  <c r="C11" i="17"/>
  <c r="Y7" i="22"/>
  <c r="CC29" i="26"/>
  <c r="C19" i="19"/>
  <c r="D19" i="19"/>
  <c r="Z29" i="22"/>
  <c r="BK19" i="19"/>
  <c r="Z12" i="22"/>
  <c r="CC12" i="26"/>
  <c r="U23" i="9"/>
  <c r="T45" i="9"/>
  <c r="S45" i="9"/>
  <c r="S42" i="9"/>
  <c r="P42" i="9"/>
  <c r="S8" i="9"/>
  <c r="P8" i="9"/>
  <c r="U8" i="9"/>
  <c r="Q8" i="9"/>
  <c r="R8" i="9"/>
  <c r="V8" i="9"/>
  <c r="T8" i="9"/>
  <c r="BF25" i="26"/>
  <c r="D25" i="21"/>
  <c r="AT34" i="5"/>
  <c r="BF20" i="26"/>
  <c r="D20" i="21"/>
  <c r="AT29" i="5"/>
  <c r="AX29" i="5"/>
  <c r="AE29" i="5"/>
  <c r="AV29" i="8"/>
  <c r="AS29" i="5"/>
  <c r="G10" i="19"/>
  <c r="BF22" i="26"/>
  <c r="D22" i="21"/>
  <c r="AT31" i="5"/>
  <c r="BF19" i="26"/>
  <c r="D19" i="21"/>
  <c r="AT28" i="5"/>
  <c r="BF21" i="26"/>
  <c r="D21" i="21"/>
  <c r="AT30" i="5"/>
  <c r="AV34" i="8"/>
  <c r="G15" i="19"/>
  <c r="AS34" i="5"/>
  <c r="AR34" i="5"/>
  <c r="AX34" i="5"/>
  <c r="AE34" i="5"/>
  <c r="AW34" i="5"/>
  <c r="G17" i="19"/>
  <c r="AS36" i="5"/>
  <c r="AR36" i="5"/>
  <c r="AV36" i="8"/>
  <c r="AX36" i="5"/>
  <c r="AE36" i="5"/>
  <c r="BF27" i="26"/>
  <c r="D27" i="21"/>
  <c r="AT36" i="5"/>
  <c r="BF29" i="26"/>
  <c r="D29" i="21"/>
  <c r="AT38" i="5"/>
  <c r="BO40" i="26"/>
  <c r="M40" i="21"/>
  <c r="Y41" i="22"/>
  <c r="CB41" i="26"/>
  <c r="C50" i="17"/>
  <c r="BU13" i="26"/>
  <c r="R13" i="22"/>
  <c r="C17" i="10"/>
  <c r="Q106" i="14"/>
  <c r="P106" i="14"/>
  <c r="Q70" i="10"/>
  <c r="BF34" i="26"/>
  <c r="D34" i="21"/>
  <c r="AT43" i="5"/>
  <c r="U7" i="8"/>
  <c r="P7" i="8"/>
  <c r="C5" i="19"/>
  <c r="D5" i="19"/>
  <c r="CC15" i="26"/>
  <c r="Z15" i="22"/>
  <c r="BK5" i="19"/>
  <c r="BB37" i="26"/>
  <c r="D46" i="17"/>
  <c r="BB44" i="26"/>
  <c r="D53" i="17"/>
  <c r="U109" i="10"/>
  <c r="P109" i="10"/>
  <c r="Q88" i="10"/>
  <c r="T84" i="10"/>
  <c r="P84" i="10"/>
  <c r="CC20" i="26"/>
  <c r="C10" i="19"/>
  <c r="D10" i="19"/>
  <c r="Z20" i="22"/>
  <c r="BK10" i="19"/>
  <c r="BU45" i="26"/>
  <c r="R45" i="22"/>
  <c r="C54" i="10"/>
  <c r="S50" i="5"/>
  <c r="Q53" i="5"/>
  <c r="R16" i="9"/>
  <c r="V16" i="10"/>
  <c r="T17" i="9"/>
  <c r="P17" i="9"/>
  <c r="Q17" i="9"/>
  <c r="R17" i="9"/>
  <c r="V17" i="9"/>
  <c r="U17" i="9"/>
  <c r="S17" i="9"/>
  <c r="BO42" i="26"/>
  <c r="M42" i="21"/>
  <c r="U82" i="15"/>
  <c r="R82" i="15"/>
  <c r="Q82" i="16"/>
  <c r="R82" i="16"/>
  <c r="V90" i="15"/>
  <c r="T90" i="15"/>
  <c r="Q90" i="15"/>
  <c r="R90" i="15"/>
  <c r="S90" i="15"/>
  <c r="U90" i="15"/>
  <c r="P90" i="15"/>
  <c r="V65" i="10"/>
  <c r="S65" i="10"/>
  <c r="Q89" i="10"/>
  <c r="P89" i="10"/>
  <c r="U87" i="11"/>
  <c r="P87" i="11"/>
  <c r="R26" i="10"/>
  <c r="R27" i="11"/>
  <c r="U27" i="12"/>
  <c r="P23" i="9"/>
  <c r="R45" i="9"/>
  <c r="Q45" i="10"/>
  <c r="P45" i="9"/>
  <c r="Q42" i="9"/>
  <c r="T42" i="9"/>
  <c r="AS33" i="5"/>
  <c r="AR33" i="5"/>
  <c r="AV33" i="8"/>
  <c r="G14" i="19"/>
  <c r="AX33" i="5"/>
  <c r="AE33" i="5"/>
  <c r="AV32" i="8"/>
  <c r="G13" i="19"/>
  <c r="AS32" i="5"/>
  <c r="AR32" i="5"/>
  <c r="AX32" i="5"/>
  <c r="AE32" i="5"/>
  <c r="AV39" i="8"/>
  <c r="AS39" i="5"/>
  <c r="AR39" i="5"/>
  <c r="G20" i="19"/>
  <c r="AX39" i="5"/>
  <c r="AE39" i="5"/>
  <c r="H20" i="19"/>
  <c r="G21" i="19"/>
  <c r="AS40" i="5"/>
  <c r="AR40" i="5"/>
  <c r="AV40" i="8"/>
  <c r="AX40" i="5"/>
  <c r="AE40" i="5"/>
  <c r="BF31" i="26"/>
  <c r="D31" i="21"/>
  <c r="AT40" i="5"/>
  <c r="BF14" i="26"/>
  <c r="AT23" i="5"/>
  <c r="AA45" i="5"/>
  <c r="D14" i="21"/>
  <c r="D48" i="21"/>
  <c r="D63" i="21"/>
  <c r="D65" i="21"/>
  <c r="G4" i="19"/>
  <c r="AS23" i="5"/>
  <c r="AX23" i="5"/>
  <c r="AV23" i="8"/>
  <c r="G6" i="19"/>
  <c r="AV25" i="8"/>
  <c r="AS25" i="5"/>
  <c r="AR25" i="5"/>
  <c r="AX25" i="5"/>
  <c r="AE25" i="5"/>
  <c r="BF16" i="26"/>
  <c r="D16" i="21"/>
  <c r="AT25" i="5"/>
  <c r="BB40" i="26"/>
  <c r="D49" i="17"/>
  <c r="Y42" i="22"/>
  <c r="C51" i="17"/>
  <c r="CB42" i="26"/>
  <c r="Y11" i="22"/>
  <c r="C15" i="17"/>
  <c r="CB11" i="26"/>
  <c r="BB39" i="26"/>
  <c r="D48" i="17"/>
  <c r="BB46" i="26"/>
  <c r="D55" i="17"/>
  <c r="D47" i="17"/>
  <c r="BB38" i="26"/>
  <c r="T106" i="14"/>
  <c r="R106" i="14"/>
  <c r="U78" i="10"/>
  <c r="T78" i="10"/>
  <c r="Q78" i="10"/>
  <c r="R78" i="10"/>
  <c r="V78" i="10"/>
  <c r="P78" i="10"/>
  <c r="S78" i="10"/>
  <c r="BF35" i="26"/>
  <c r="AT44" i="5"/>
  <c r="D35" i="21"/>
  <c r="T7" i="8"/>
  <c r="S37" i="9"/>
  <c r="P37" i="9"/>
  <c r="V37" i="9"/>
  <c r="T37" i="9"/>
  <c r="U37" i="9"/>
  <c r="Q37" i="9"/>
  <c r="V109" i="10"/>
  <c r="S64" i="10"/>
  <c r="V88" i="10"/>
  <c r="T88" i="10"/>
  <c r="U84" i="10"/>
  <c r="R86" i="9"/>
  <c r="U86" i="10"/>
  <c r="Q50" i="8"/>
  <c r="D19" i="8"/>
  <c r="B20" i="8"/>
  <c r="C4" i="8"/>
  <c r="BU37" i="26"/>
  <c r="C57" i="9"/>
  <c r="R37" i="22"/>
  <c r="C46" i="10"/>
  <c r="P25" i="9"/>
  <c r="S25" i="9"/>
  <c r="V25" i="9"/>
  <c r="T25" i="9"/>
  <c r="U25" i="9"/>
  <c r="Q25" i="9"/>
  <c r="R25" i="9"/>
  <c r="BZ52" i="26"/>
  <c r="W54" i="22"/>
  <c r="Z10" i="15"/>
  <c r="S82" i="15"/>
  <c r="R74" i="12"/>
  <c r="U74" i="13"/>
  <c r="U65" i="10"/>
  <c r="R89" i="10"/>
  <c r="R100" i="10"/>
  <c r="U100" i="11"/>
  <c r="S97" i="11"/>
  <c r="T97" i="11"/>
  <c r="P97" i="11"/>
  <c r="V97" i="11"/>
  <c r="Q97" i="11"/>
  <c r="U97" i="11"/>
  <c r="R110" i="11"/>
  <c r="Q110" i="12"/>
  <c r="R67" i="10"/>
  <c r="P67" i="11"/>
  <c r="Q69" i="11"/>
  <c r="P69" i="11"/>
  <c r="V69" i="11"/>
  <c r="S69" i="11"/>
  <c r="U69" i="11"/>
  <c r="T69" i="11"/>
  <c r="Q75" i="10"/>
  <c r="S87" i="10"/>
  <c r="Q83" i="11"/>
  <c r="R83" i="11"/>
  <c r="T83" i="11"/>
  <c r="P83" i="11"/>
  <c r="V83" i="11"/>
  <c r="S83" i="11"/>
  <c r="U83" i="11"/>
  <c r="CC18" i="26"/>
  <c r="C8" i="19"/>
  <c r="D8" i="19"/>
  <c r="Z18" i="22"/>
  <c r="BK8" i="19"/>
  <c r="CB16" i="26"/>
  <c r="Y16" i="22"/>
  <c r="BJ6" i="19"/>
  <c r="Z25" i="17"/>
  <c r="V30" i="14"/>
  <c r="P30" i="14"/>
  <c r="U30" i="14"/>
  <c r="S30" i="14"/>
  <c r="T30" i="14"/>
  <c r="Q30" i="14"/>
  <c r="Q23" i="9"/>
  <c r="T23" i="9"/>
  <c r="V45" i="9"/>
  <c r="V42" i="9"/>
  <c r="BF32" i="26"/>
  <c r="D32" i="21"/>
  <c r="AT41" i="5"/>
  <c r="BF23" i="26"/>
  <c r="D23" i="21"/>
  <c r="AT32" i="5"/>
  <c r="BF33" i="26"/>
  <c r="D33" i="21"/>
  <c r="BF18" i="26"/>
  <c r="D18" i="21"/>
  <c r="AT27" i="5"/>
  <c r="G8" i="19"/>
  <c r="AS27" i="5"/>
  <c r="AR27" i="5"/>
  <c r="AV27" i="8"/>
  <c r="AX27" i="5"/>
  <c r="AE27" i="5"/>
  <c r="H8" i="19"/>
  <c r="G18" i="19"/>
  <c r="AS37" i="5"/>
  <c r="AR37" i="5"/>
  <c r="AV37" i="8"/>
  <c r="AX37" i="5"/>
  <c r="AE37" i="5"/>
  <c r="BF24" i="26"/>
  <c r="D24" i="21"/>
  <c r="AT33" i="5"/>
  <c r="BF26" i="26"/>
  <c r="AT35" i="5"/>
  <c r="D26" i="21"/>
  <c r="AS35" i="5"/>
  <c r="AR35" i="5"/>
  <c r="G16" i="19"/>
  <c r="AV35" i="8"/>
  <c r="AX35" i="5"/>
  <c r="AE35" i="5"/>
  <c r="H16" i="19"/>
  <c r="AV28" i="8"/>
  <c r="AS28" i="5"/>
  <c r="AR28" i="5"/>
  <c r="G9" i="19"/>
  <c r="AX28" i="5"/>
  <c r="AE28" i="5"/>
  <c r="AW28" i="5"/>
  <c r="AC15" i="21"/>
  <c r="B15" i="21"/>
  <c r="AC32" i="21"/>
  <c r="B32" i="21"/>
  <c r="BW46" i="26"/>
  <c r="C55" i="12"/>
  <c r="T46" i="22"/>
  <c r="V18" i="12"/>
  <c r="Q18" i="12"/>
  <c r="U18" i="12"/>
  <c r="T18" i="12"/>
  <c r="S18" i="12"/>
  <c r="R18" i="12"/>
  <c r="P18" i="12"/>
  <c r="V33" i="9"/>
  <c r="T33" i="9"/>
  <c r="P33" i="9"/>
  <c r="R29" i="8"/>
  <c r="T29" i="9"/>
  <c r="U106" i="14"/>
  <c r="V106" i="14"/>
  <c r="R105" i="10"/>
  <c r="T105" i="11"/>
  <c r="U80" i="10"/>
  <c r="R70" i="10"/>
  <c r="AD43" i="5"/>
  <c r="AV43" i="8"/>
  <c r="AD44" i="5"/>
  <c r="AS44" i="5"/>
  <c r="AR44" i="5"/>
  <c r="C12" i="19"/>
  <c r="D12" i="19"/>
  <c r="CC22" i="26"/>
  <c r="Z22" i="22"/>
  <c r="BK12" i="19"/>
  <c r="B23" i="22"/>
  <c r="B13" i="19"/>
  <c r="BO37" i="26"/>
  <c r="D57" i="16"/>
  <c r="R52" i="16"/>
  <c r="Y32" i="19"/>
  <c r="M37" i="21"/>
  <c r="AC44" i="21"/>
  <c r="B44" i="21"/>
  <c r="B44" i="22"/>
  <c r="P103" i="12"/>
  <c r="R103" i="12"/>
  <c r="Q103" i="13"/>
  <c r="T109" i="10"/>
  <c r="V64" i="10"/>
  <c r="U64" i="10"/>
  <c r="U88" i="10"/>
  <c r="S88" i="10"/>
  <c r="V84" i="10"/>
  <c r="S84" i="10"/>
  <c r="Z4" i="22"/>
  <c r="CC4" i="26"/>
  <c r="M55" i="5"/>
  <c r="N55" i="5"/>
  <c r="D51" i="17"/>
  <c r="BB42" i="26"/>
  <c r="P82" i="16"/>
  <c r="V82" i="16"/>
  <c r="C12" i="17"/>
  <c r="CB8" i="26"/>
  <c r="Y8" i="22"/>
  <c r="V23" i="9"/>
  <c r="U45" i="10"/>
  <c r="S21" i="9"/>
  <c r="U21" i="9"/>
  <c r="P21" i="9"/>
  <c r="T21" i="9"/>
  <c r="Q21" i="9"/>
  <c r="V21" i="9"/>
  <c r="AX31" i="5"/>
  <c r="AE31" i="5"/>
  <c r="AW31" i="5"/>
  <c r="AS31" i="5"/>
  <c r="AR31" i="5"/>
  <c r="AV31" i="8"/>
  <c r="G12" i="19"/>
  <c r="G11" i="19"/>
  <c r="AS30" i="5"/>
  <c r="AR30" i="5"/>
  <c r="AV30" i="8"/>
  <c r="AX30" i="5"/>
  <c r="AE30" i="5"/>
  <c r="G23" i="19"/>
  <c r="AV42" i="8"/>
  <c r="AS42" i="5"/>
  <c r="AR42" i="5"/>
  <c r="AX42" i="5"/>
  <c r="AE42" i="5"/>
  <c r="G22" i="19"/>
  <c r="AS41" i="5"/>
  <c r="AR41" i="5"/>
  <c r="AV41" i="8"/>
  <c r="AX41" i="5"/>
  <c r="AE41" i="5"/>
  <c r="BF28" i="26"/>
  <c r="D28" i="21"/>
  <c r="AT37" i="5"/>
  <c r="BF30" i="26"/>
  <c r="D30" i="21"/>
  <c r="AT39" i="5"/>
  <c r="G5" i="19"/>
  <c r="AS24" i="5"/>
  <c r="AR24" i="5"/>
  <c r="AV24" i="8"/>
  <c r="AX24" i="5"/>
  <c r="AE24" i="5"/>
  <c r="BF15" i="26"/>
  <c r="D15" i="21"/>
  <c r="AT24" i="5"/>
  <c r="BF17" i="26"/>
  <c r="D17" i="21"/>
  <c r="AT26" i="5"/>
  <c r="AT45" i="5"/>
  <c r="G7" i="19"/>
  <c r="AS26" i="5"/>
  <c r="AR26" i="5"/>
  <c r="AV26" i="8"/>
  <c r="AX26" i="5"/>
  <c r="AE26" i="5"/>
  <c r="H7" i="19"/>
  <c r="U98" i="12"/>
  <c r="V98" i="12"/>
  <c r="Q98" i="12"/>
  <c r="S98" i="12"/>
  <c r="P98" i="12"/>
  <c r="T98" i="12"/>
  <c r="R95" i="10"/>
  <c r="T95" i="11"/>
  <c r="V12" i="9"/>
  <c r="S12" i="9"/>
  <c r="U12" i="9"/>
  <c r="Q12" i="9"/>
  <c r="T12" i="9"/>
  <c r="P12" i="9"/>
  <c r="BO39" i="26"/>
  <c r="M39" i="21"/>
  <c r="BO46" i="26"/>
  <c r="M46" i="21"/>
  <c r="BO38" i="26"/>
  <c r="M38" i="21"/>
  <c r="V80" i="11"/>
  <c r="Q80" i="11"/>
  <c r="R80" i="11"/>
  <c r="S102" i="10"/>
  <c r="T102" i="10"/>
  <c r="P102" i="10"/>
  <c r="Q102" i="10"/>
  <c r="R102" i="10"/>
  <c r="V102" i="10"/>
  <c r="U102" i="10"/>
  <c r="T7" i="9"/>
  <c r="U7" i="9"/>
  <c r="P7" i="9"/>
  <c r="S7" i="9"/>
  <c r="V7" i="9"/>
  <c r="Q7" i="9"/>
  <c r="R7" i="9"/>
  <c r="B18" i="22"/>
  <c r="B8" i="19"/>
  <c r="B20" i="19"/>
  <c r="B30" i="22"/>
  <c r="BO44" i="26"/>
  <c r="M44" i="21"/>
  <c r="T103" i="12"/>
  <c r="Q109" i="10"/>
  <c r="Q64" i="10"/>
  <c r="P88" i="10"/>
  <c r="V93" i="11"/>
  <c r="U93" i="11"/>
  <c r="T93" i="11"/>
  <c r="P93" i="11"/>
  <c r="Q93" i="11"/>
  <c r="S93" i="11"/>
  <c r="R84" i="10"/>
  <c r="U84" i="11"/>
  <c r="P20" i="10"/>
  <c r="V20" i="10"/>
  <c r="T20" i="10"/>
  <c r="U20" i="10"/>
  <c r="Q20" i="10"/>
  <c r="R20" i="10"/>
  <c r="AQ26" i="10"/>
  <c r="V24" i="10"/>
  <c r="U24" i="10"/>
  <c r="Q24" i="10"/>
  <c r="R24" i="10"/>
  <c r="P24" i="10"/>
  <c r="T24" i="10"/>
  <c r="S24" i="10"/>
  <c r="AZ38" i="4"/>
  <c r="AG38" i="4"/>
  <c r="AW38" i="4"/>
  <c r="AE45" i="4"/>
  <c r="F19" i="19"/>
  <c r="AX38" i="5"/>
  <c r="B20" i="22"/>
  <c r="BA26" i="26"/>
  <c r="Y35" i="17"/>
  <c r="AC59" i="21"/>
  <c r="B59" i="21"/>
  <c r="B59" i="22"/>
  <c r="Q85" i="17"/>
  <c r="R85" i="17"/>
  <c r="S85" i="17"/>
  <c r="T85" i="17"/>
  <c r="Q73" i="12"/>
  <c r="CA27" i="26"/>
  <c r="Z36" i="16"/>
  <c r="X27" i="22"/>
  <c r="BI17" i="19"/>
  <c r="CA40" i="26"/>
  <c r="X40" i="22"/>
  <c r="C49" i="16"/>
  <c r="CB14" i="26"/>
  <c r="Y14" i="22"/>
  <c r="BJ4" i="19"/>
  <c r="Z23" i="17"/>
  <c r="T104" i="12"/>
  <c r="Q92" i="16"/>
  <c r="R92" i="16"/>
  <c r="Q104" i="12"/>
  <c r="Q38" i="10"/>
  <c r="U104" i="12"/>
  <c r="S104" i="12"/>
  <c r="Q43" i="10"/>
  <c r="S11" i="12"/>
  <c r="U13" i="12"/>
  <c r="V43" i="10"/>
  <c r="U96" i="10"/>
  <c r="P38" i="10"/>
  <c r="BB33" i="26"/>
  <c r="AC33" i="21"/>
  <c r="B33" i="21"/>
  <c r="BZ51" i="26"/>
  <c r="Z9" i="15"/>
  <c r="W53" i="22"/>
  <c r="AZ25" i="26"/>
  <c r="Y34" i="16"/>
  <c r="CA49" i="26"/>
  <c r="Z7" i="16"/>
  <c r="X51" i="22"/>
  <c r="AZ14" i="26"/>
  <c r="Y23" i="16"/>
  <c r="Z8" i="14"/>
  <c r="V52" i="22"/>
  <c r="BY50" i="26"/>
  <c r="AZ27" i="26"/>
  <c r="Y36" i="16"/>
  <c r="BZ33" i="26"/>
  <c r="Z42" i="15"/>
  <c r="W33" i="22"/>
  <c r="BH23" i="19"/>
  <c r="Y33" i="16"/>
  <c r="AZ24" i="26"/>
  <c r="U60" i="22"/>
  <c r="BX58" i="26"/>
  <c r="Z16" i="13"/>
  <c r="P13" i="12"/>
  <c r="T43" i="10"/>
  <c r="S92" i="16"/>
  <c r="BA31" i="26"/>
  <c r="Y40" i="17"/>
  <c r="BB31" i="26"/>
  <c r="BB45" i="26"/>
  <c r="D54" i="17"/>
  <c r="AC45" i="21"/>
  <c r="B45" i="21"/>
  <c r="B45" i="22"/>
  <c r="AW22" i="26"/>
  <c r="Y31" i="13"/>
  <c r="AZ35" i="26"/>
  <c r="Y44" i="16"/>
  <c r="S38" i="10"/>
  <c r="P92" i="16"/>
  <c r="AW21" i="26"/>
  <c r="Y30" i="13"/>
  <c r="BO45" i="26"/>
  <c r="M45" i="21"/>
  <c r="D52" i="17"/>
  <c r="BB43" i="26"/>
  <c r="AC43" i="21"/>
  <c r="B43" i="21"/>
  <c r="B43" i="22"/>
  <c r="BB41" i="26"/>
  <c r="D50" i="17"/>
  <c r="BA19" i="26"/>
  <c r="Y28" i="17"/>
  <c r="BB19" i="26"/>
  <c r="AC19" i="21"/>
  <c r="B19" i="21"/>
  <c r="BB47" i="26"/>
  <c r="D56" i="17"/>
  <c r="BA34" i="26"/>
  <c r="Y43" i="17"/>
  <c r="AC41" i="21"/>
  <c r="B41" i="21"/>
  <c r="B41" i="22"/>
  <c r="Q13" i="12"/>
  <c r="R13" i="12"/>
  <c r="S15" i="9"/>
  <c r="AC16" i="21"/>
  <c r="B16" i="21"/>
  <c r="BB16" i="26"/>
  <c r="BO43" i="26"/>
  <c r="M43" i="21"/>
  <c r="BO41" i="26"/>
  <c r="M41" i="21"/>
  <c r="Y6" i="22"/>
  <c r="C10" i="17"/>
  <c r="CB6" i="26"/>
  <c r="BO47" i="26"/>
  <c r="M47" i="21"/>
  <c r="Z15" i="17"/>
  <c r="CB57" i="26"/>
  <c r="Y59" i="22"/>
  <c r="AC47" i="21"/>
  <c r="B47" i="21"/>
  <c r="B47" i="22"/>
  <c r="S87" i="11"/>
  <c r="P73" i="12"/>
  <c r="V73" i="12"/>
  <c r="S41" i="9"/>
  <c r="Z39" i="13"/>
  <c r="U30" i="22"/>
  <c r="BF20" i="19"/>
  <c r="BX30" i="26"/>
  <c r="BX21" i="26"/>
  <c r="Z30" i="13"/>
  <c r="U21" i="22"/>
  <c r="BF11" i="19"/>
  <c r="BX26" i="26"/>
  <c r="Z35" i="13"/>
  <c r="U26" i="22"/>
  <c r="BF16" i="19"/>
  <c r="Q9" i="11"/>
  <c r="R9" i="11"/>
  <c r="BX25" i="26"/>
  <c r="U25" i="22"/>
  <c r="BF15" i="19"/>
  <c r="Z34" i="13"/>
  <c r="BX23" i="26"/>
  <c r="U23" i="22"/>
  <c r="BF13" i="19"/>
  <c r="Z32" i="13"/>
  <c r="T9" i="11"/>
  <c r="U80" i="11"/>
  <c r="T45" i="10"/>
  <c r="P80" i="11"/>
  <c r="V45" i="10"/>
  <c r="S45" i="10"/>
  <c r="S82" i="16"/>
  <c r="S33" i="9"/>
  <c r="U33" i="9"/>
  <c r="T87" i="11"/>
  <c r="V85" i="17"/>
  <c r="T73" i="12"/>
  <c r="P40" i="12"/>
  <c r="S43" i="10"/>
  <c r="P43" i="10"/>
  <c r="Q41" i="9"/>
  <c r="T99" i="10"/>
  <c r="T96" i="10"/>
  <c r="T10" i="11"/>
  <c r="P10" i="11"/>
  <c r="V10" i="11"/>
  <c r="U10" i="11"/>
  <c r="Q10" i="11"/>
  <c r="BX10" i="26"/>
  <c r="C14" i="13"/>
  <c r="U10" i="22"/>
  <c r="BX19" i="26"/>
  <c r="Z28" i="13"/>
  <c r="U19" i="22"/>
  <c r="BF9" i="19"/>
  <c r="BX32" i="26"/>
  <c r="Z41" i="13"/>
  <c r="U32" i="22"/>
  <c r="BF22" i="19"/>
  <c r="C52" i="13"/>
  <c r="U43" i="22"/>
  <c r="BX43" i="26"/>
  <c r="S44" i="13"/>
  <c r="Q44" i="13"/>
  <c r="R44" i="13"/>
  <c r="Q44" i="14"/>
  <c r="V44" i="13"/>
  <c r="P44" i="13"/>
  <c r="T44" i="13"/>
  <c r="BY5" i="26"/>
  <c r="C9" i="14"/>
  <c r="V5" i="22"/>
  <c r="BY47" i="26"/>
  <c r="C56" i="14"/>
  <c r="V47" i="22"/>
  <c r="V92" i="16"/>
  <c r="S9" i="11"/>
  <c r="S31" i="11"/>
  <c r="T31" i="11"/>
  <c r="V31" i="11"/>
  <c r="Q31" i="11"/>
  <c r="R31" i="11"/>
  <c r="U31" i="11"/>
  <c r="P31" i="11"/>
  <c r="S80" i="11"/>
  <c r="P45" i="10"/>
  <c r="U82" i="16"/>
  <c r="T80" i="11"/>
  <c r="T82" i="16"/>
  <c r="V87" i="11"/>
  <c r="U85" i="17"/>
  <c r="P85" i="17"/>
  <c r="S73" i="12"/>
  <c r="T41" i="9"/>
  <c r="V41" i="9"/>
  <c r="U38" i="10"/>
  <c r="V38" i="22"/>
  <c r="BY38" i="26"/>
  <c r="C47" i="14"/>
  <c r="V17" i="22"/>
  <c r="BG7" i="19"/>
  <c r="Z26" i="14"/>
  <c r="BY17" i="26"/>
  <c r="BY39" i="26"/>
  <c r="V39" i="22"/>
  <c r="C48" i="14"/>
  <c r="V31" i="22"/>
  <c r="BG21" i="19"/>
  <c r="Z40" i="14"/>
  <c r="BY31" i="26"/>
  <c r="V55" i="22"/>
  <c r="Z11" i="14"/>
  <c r="BY53" i="26"/>
  <c r="T92" i="16"/>
  <c r="V9" i="11"/>
  <c r="P9" i="11"/>
  <c r="S71" i="13"/>
  <c r="R14" i="11"/>
  <c r="Q14" i="12"/>
  <c r="BX34" i="26"/>
  <c r="Z45" i="12"/>
  <c r="Q51" i="12"/>
  <c r="U34" i="22"/>
  <c r="BF24" i="19"/>
  <c r="Z43" i="13"/>
  <c r="S96" i="10"/>
  <c r="Z12" i="13"/>
  <c r="BX54" i="26"/>
  <c r="U56" i="22"/>
  <c r="U71" i="13"/>
  <c r="P71" i="13"/>
  <c r="Y38" i="13"/>
  <c r="AW29" i="26"/>
  <c r="V99" i="10"/>
  <c r="S99" i="10"/>
  <c r="P15" i="9"/>
  <c r="R38" i="10"/>
  <c r="U38" i="11"/>
  <c r="V13" i="12"/>
  <c r="R79" i="10"/>
  <c r="T79" i="11"/>
  <c r="Q71" i="13"/>
  <c r="R41" i="9"/>
  <c r="U41" i="10"/>
  <c r="V91" i="15"/>
  <c r="U91" i="15"/>
  <c r="T91" i="15"/>
  <c r="P91" i="15"/>
  <c r="Q91" i="15"/>
  <c r="S91" i="15"/>
  <c r="BW56" i="26"/>
  <c r="T58" i="22"/>
  <c r="Z14" i="12"/>
  <c r="U99" i="10"/>
  <c r="P99" i="10"/>
  <c r="U15" i="9"/>
  <c r="Q15" i="9"/>
  <c r="R19" i="10"/>
  <c r="Q19" i="11"/>
  <c r="R32" i="9"/>
  <c r="T32" i="10"/>
  <c r="T71" i="13"/>
  <c r="R99" i="10"/>
  <c r="S99" i="11"/>
  <c r="V15" i="9"/>
  <c r="Q96" i="10"/>
  <c r="P96" i="10"/>
  <c r="R39" i="8"/>
  <c r="Q39" i="9"/>
  <c r="V38" i="10"/>
  <c r="R48" i="10"/>
  <c r="AK6" i="26"/>
  <c r="Q48" i="11"/>
  <c r="H2" i="22"/>
  <c r="AJ7" i="26"/>
  <c r="H2" i="21"/>
  <c r="O2" i="19"/>
  <c r="P28" i="19"/>
  <c r="V86" i="10"/>
  <c r="V36" i="13"/>
  <c r="T36" i="13"/>
  <c r="S36" i="13"/>
  <c r="P36" i="13"/>
  <c r="U36" i="13"/>
  <c r="Q36" i="13"/>
  <c r="R36" i="13"/>
  <c r="P11" i="12"/>
  <c r="R101" i="13"/>
  <c r="T101" i="14"/>
  <c r="U40" i="12"/>
  <c r="Q40" i="12"/>
  <c r="R40" i="12"/>
  <c r="U40" i="13"/>
  <c r="V40" i="12"/>
  <c r="R108" i="12"/>
  <c r="Q108" i="13"/>
  <c r="S66" i="15"/>
  <c r="U66" i="15"/>
  <c r="T72" i="12"/>
  <c r="Q105" i="11"/>
  <c r="Q86" i="10"/>
  <c r="R35" i="11"/>
  <c r="Q35" i="12"/>
  <c r="U77" i="14"/>
  <c r="V77" i="14"/>
  <c r="T77" i="14"/>
  <c r="Q77" i="14"/>
  <c r="P77" i="14"/>
  <c r="Q11" i="12"/>
  <c r="R11" i="12"/>
  <c r="U11" i="12"/>
  <c r="Q76" i="14"/>
  <c r="R76" i="14"/>
  <c r="P76" i="14"/>
  <c r="V76" i="14"/>
  <c r="U76" i="14"/>
  <c r="S76" i="14"/>
  <c r="T76" i="14"/>
  <c r="S13" i="12"/>
  <c r="V94" i="14"/>
  <c r="U94" i="14"/>
  <c r="R94" i="14"/>
  <c r="P94" i="14"/>
  <c r="T94" i="14"/>
  <c r="S94" i="14"/>
  <c r="T40" i="12"/>
  <c r="T66" i="15"/>
  <c r="Z28" i="22"/>
  <c r="BK18" i="19"/>
  <c r="C18" i="19"/>
  <c r="D18" i="19"/>
  <c r="CC28" i="26"/>
  <c r="U105" i="11"/>
  <c r="T86" i="10"/>
  <c r="R73" i="12"/>
  <c r="Q73" i="13"/>
  <c r="V11" i="12"/>
  <c r="R81" i="15"/>
  <c r="Q81" i="16"/>
  <c r="R81" i="16"/>
  <c r="Q81" i="17"/>
  <c r="R107" i="16"/>
  <c r="V107" i="17"/>
  <c r="R68" i="10"/>
  <c r="Q66" i="15"/>
  <c r="Q72" i="12"/>
  <c r="R72" i="12"/>
  <c r="U72" i="12"/>
  <c r="P86" i="10"/>
  <c r="S44" i="14"/>
  <c r="R22" i="12"/>
  <c r="U22" i="13"/>
  <c r="U28" i="13"/>
  <c r="Q28" i="13"/>
  <c r="R28" i="13"/>
  <c r="S28" i="13"/>
  <c r="V28" i="13"/>
  <c r="T28" i="13"/>
  <c r="P28" i="13"/>
  <c r="P13" i="13"/>
  <c r="V13" i="13"/>
  <c r="Q13" i="13"/>
  <c r="S13" i="13"/>
  <c r="T13" i="13"/>
  <c r="U13" i="13"/>
  <c r="R13" i="13"/>
  <c r="V34" i="12"/>
  <c r="U34" i="12"/>
  <c r="Q34" i="12"/>
  <c r="T34" i="12"/>
  <c r="S34" i="12"/>
  <c r="P34" i="12"/>
  <c r="R43" i="10"/>
  <c r="S43" i="11"/>
  <c r="P66" i="15"/>
  <c r="V72" i="12"/>
  <c r="P72" i="12"/>
  <c r="V95" i="11"/>
  <c r="AX43" i="5"/>
  <c r="AE43" i="5"/>
  <c r="V33" i="10"/>
  <c r="U33" i="10"/>
  <c r="T33" i="10"/>
  <c r="S33" i="10"/>
  <c r="Q33" i="10"/>
  <c r="R33" i="10"/>
  <c r="P33" i="10"/>
  <c r="U46" i="22"/>
  <c r="C55" i="13"/>
  <c r="BX46" i="26"/>
  <c r="S105" i="11"/>
  <c r="P105" i="11"/>
  <c r="CC16" i="26"/>
  <c r="C6" i="19"/>
  <c r="D6" i="19"/>
  <c r="Z16" i="22"/>
  <c r="BK6" i="19"/>
  <c r="Q52" i="9"/>
  <c r="S52" i="9"/>
  <c r="C58" i="9"/>
  <c r="S50" i="8"/>
  <c r="Q53" i="8"/>
  <c r="T103" i="13"/>
  <c r="S103" i="13"/>
  <c r="BP39" i="26"/>
  <c r="N39" i="21"/>
  <c r="Q29" i="9"/>
  <c r="U29" i="9"/>
  <c r="U44" i="14"/>
  <c r="Z46" i="5"/>
  <c r="R51" i="5"/>
  <c r="W46" i="5"/>
  <c r="W5" i="8"/>
  <c r="R42" i="9"/>
  <c r="Q42" i="10"/>
  <c r="S67" i="11"/>
  <c r="P92" i="17"/>
  <c r="U92" i="17"/>
  <c r="T16" i="10"/>
  <c r="U16" i="10"/>
  <c r="V106" i="15"/>
  <c r="U106" i="15"/>
  <c r="P106" i="15"/>
  <c r="T106" i="15"/>
  <c r="S106" i="15"/>
  <c r="Q106" i="15"/>
  <c r="C17" i="11"/>
  <c r="S13" i="22"/>
  <c r="BV13" i="26"/>
  <c r="T27" i="12"/>
  <c r="S26" i="11"/>
  <c r="T26" i="11"/>
  <c r="S110" i="12"/>
  <c r="P100" i="11"/>
  <c r="P74" i="13"/>
  <c r="T74" i="13"/>
  <c r="S40" i="13"/>
  <c r="R88" i="10"/>
  <c r="P88" i="11"/>
  <c r="P84" i="11"/>
  <c r="Q95" i="11"/>
  <c r="R45" i="10"/>
  <c r="P45" i="11"/>
  <c r="U82" i="17"/>
  <c r="Q82" i="17"/>
  <c r="R82" i="17"/>
  <c r="S82" i="17"/>
  <c r="V82" i="17"/>
  <c r="T82" i="17"/>
  <c r="P82" i="17"/>
  <c r="S18" i="13"/>
  <c r="U18" i="13"/>
  <c r="T18" i="13"/>
  <c r="V18" i="13"/>
  <c r="P18" i="13"/>
  <c r="Q18" i="13"/>
  <c r="B32" i="22"/>
  <c r="B22" i="19"/>
  <c r="AW37" i="5"/>
  <c r="AZ27" i="5"/>
  <c r="AG27" i="5"/>
  <c r="R75" i="10"/>
  <c r="P75" i="11"/>
  <c r="R97" i="11"/>
  <c r="P97" i="12"/>
  <c r="CA52" i="26"/>
  <c r="Z10" i="16"/>
  <c r="X54" i="22"/>
  <c r="R103" i="13"/>
  <c r="T103" i="14"/>
  <c r="V103" i="13"/>
  <c r="BP38" i="26"/>
  <c r="N38" i="21"/>
  <c r="V29" i="9"/>
  <c r="V44" i="14"/>
  <c r="Z42" i="22"/>
  <c r="CC42" i="26"/>
  <c r="AR23" i="5"/>
  <c r="U67" i="11"/>
  <c r="Q67" i="11"/>
  <c r="R67" i="11"/>
  <c r="T92" i="17"/>
  <c r="Q92" i="17"/>
  <c r="R92" i="17"/>
  <c r="BP37" i="26"/>
  <c r="D57" i="17"/>
  <c r="R52" i="17"/>
  <c r="AA32" i="19"/>
  <c r="N37" i="21"/>
  <c r="V27" i="12"/>
  <c r="U26" i="11"/>
  <c r="Q26" i="11"/>
  <c r="R26" i="11"/>
  <c r="P110" i="12"/>
  <c r="V110" i="12"/>
  <c r="S100" i="11"/>
  <c r="Q100" i="11"/>
  <c r="R100" i="11"/>
  <c r="R65" i="10"/>
  <c r="U65" i="11"/>
  <c r="Q74" i="13"/>
  <c r="S74" i="13"/>
  <c r="P40" i="13"/>
  <c r="T40" i="13"/>
  <c r="S84" i="11"/>
  <c r="T84" i="11"/>
  <c r="T7" i="10"/>
  <c r="Q7" i="10"/>
  <c r="R7" i="10"/>
  <c r="P7" i="10"/>
  <c r="S7" i="10"/>
  <c r="V7" i="10"/>
  <c r="U7" i="10"/>
  <c r="Q102" i="11"/>
  <c r="R102" i="11"/>
  <c r="S102" i="11"/>
  <c r="P102" i="11"/>
  <c r="U102" i="11"/>
  <c r="V102" i="11"/>
  <c r="T102" i="11"/>
  <c r="T80" i="12"/>
  <c r="P80" i="12"/>
  <c r="Q80" i="12"/>
  <c r="R80" i="12"/>
  <c r="S80" i="12"/>
  <c r="V80" i="12"/>
  <c r="U80" i="12"/>
  <c r="P95" i="11"/>
  <c r="U95" i="11"/>
  <c r="R21" i="9"/>
  <c r="T21" i="10"/>
  <c r="R109" i="10"/>
  <c r="V109" i="11"/>
  <c r="V105" i="11"/>
  <c r="B15" i="22"/>
  <c r="B5" i="19"/>
  <c r="C57" i="10"/>
  <c r="S37" i="22"/>
  <c r="BV37" i="26"/>
  <c r="C46" i="11"/>
  <c r="R86" i="10"/>
  <c r="U86" i="11"/>
  <c r="U103" i="13"/>
  <c r="BP46" i="26"/>
  <c r="N46" i="21"/>
  <c r="R29" i="9"/>
  <c r="S29" i="9"/>
  <c r="Z11" i="22"/>
  <c r="CC11" i="26"/>
  <c r="T44" i="14"/>
  <c r="P44" i="14"/>
  <c r="BP40" i="26"/>
  <c r="N40" i="21"/>
  <c r="T67" i="11"/>
  <c r="U90" i="16"/>
  <c r="P90" i="16"/>
  <c r="T90" i="16"/>
  <c r="V90" i="16"/>
  <c r="Q90" i="16"/>
  <c r="S90" i="16"/>
  <c r="V92" i="17"/>
  <c r="Q17" i="10"/>
  <c r="R17" i="10"/>
  <c r="U17" i="10"/>
  <c r="V17" i="10"/>
  <c r="S17" i="10"/>
  <c r="T17" i="10"/>
  <c r="P17" i="10"/>
  <c r="P16" i="10"/>
  <c r="S16" i="10"/>
  <c r="P70" i="11"/>
  <c r="Q70" i="11"/>
  <c r="T70" i="11"/>
  <c r="S70" i="11"/>
  <c r="V70" i="11"/>
  <c r="U70" i="11"/>
  <c r="R70" i="11"/>
  <c r="Q8" i="10"/>
  <c r="R8" i="10"/>
  <c r="S8" i="10"/>
  <c r="V8" i="10"/>
  <c r="U8" i="10"/>
  <c r="T8" i="10"/>
  <c r="P8" i="10"/>
  <c r="S27" i="12"/>
  <c r="Q27" i="12"/>
  <c r="R27" i="12"/>
  <c r="P26" i="11"/>
  <c r="Z7" i="22"/>
  <c r="CC7" i="26"/>
  <c r="R110" i="12"/>
  <c r="U110" i="13"/>
  <c r="U110" i="12"/>
  <c r="V100" i="11"/>
  <c r="T100" i="11"/>
  <c r="V74" i="13"/>
  <c r="Q40" i="13"/>
  <c r="V40" i="13"/>
  <c r="S9" i="22"/>
  <c r="BV9" i="26"/>
  <c r="C13" i="11"/>
  <c r="C18" i="10"/>
  <c r="Q84" i="11"/>
  <c r="V84" i="11"/>
  <c r="R93" i="11"/>
  <c r="S93" i="12"/>
  <c r="R64" i="10"/>
  <c r="Q64" i="11"/>
  <c r="R12" i="9"/>
  <c r="S95" i="11"/>
  <c r="R98" i="12"/>
  <c r="U98" i="13"/>
  <c r="Z8" i="22"/>
  <c r="CC8" i="26"/>
  <c r="BP42" i="26"/>
  <c r="N42" i="21"/>
  <c r="G25" i="19"/>
  <c r="AX44" i="5"/>
  <c r="AE44" i="5"/>
  <c r="R105" i="11"/>
  <c r="V105" i="12"/>
  <c r="AZ28" i="5"/>
  <c r="AG28" i="5"/>
  <c r="AW35" i="5"/>
  <c r="AZ35" i="5"/>
  <c r="AG35" i="5"/>
  <c r="R30" i="14"/>
  <c r="V30" i="15"/>
  <c r="S83" i="12"/>
  <c r="T83" i="12"/>
  <c r="V83" i="12"/>
  <c r="Q83" i="12"/>
  <c r="R83" i="12"/>
  <c r="P83" i="12"/>
  <c r="U83" i="12"/>
  <c r="R69" i="11"/>
  <c r="Q69" i="12"/>
  <c r="S25" i="10"/>
  <c r="V25" i="10"/>
  <c r="U25" i="10"/>
  <c r="P25" i="10"/>
  <c r="Q25" i="10"/>
  <c r="R25" i="10"/>
  <c r="T25" i="10"/>
  <c r="M55" i="8"/>
  <c r="N55" i="8"/>
  <c r="S86" i="10"/>
  <c r="P103" i="13"/>
  <c r="R37" i="9"/>
  <c r="Q37" i="10"/>
  <c r="U78" i="11"/>
  <c r="P78" i="11"/>
  <c r="Q78" i="11"/>
  <c r="R78" i="11"/>
  <c r="T78" i="11"/>
  <c r="V78" i="11"/>
  <c r="S78" i="11"/>
  <c r="P29" i="9"/>
  <c r="R44" i="14"/>
  <c r="T44" i="15"/>
  <c r="R23" i="9"/>
  <c r="T23" i="10"/>
  <c r="U87" i="12"/>
  <c r="V87" i="12"/>
  <c r="S87" i="12"/>
  <c r="Q87" i="12"/>
  <c r="T87" i="12"/>
  <c r="P87" i="12"/>
  <c r="V67" i="11"/>
  <c r="T89" i="11"/>
  <c r="V89" i="11"/>
  <c r="U89" i="11"/>
  <c r="S89" i="11"/>
  <c r="P89" i="11"/>
  <c r="Q89" i="11"/>
  <c r="R89" i="11"/>
  <c r="S92" i="17"/>
  <c r="Q16" i="10"/>
  <c r="R16" i="10"/>
  <c r="BV45" i="26"/>
  <c r="C54" i="11"/>
  <c r="S45" i="22"/>
  <c r="BP44" i="26"/>
  <c r="N44" i="21"/>
  <c r="AA32" i="8"/>
  <c r="AT32" i="8"/>
  <c r="AA31" i="8"/>
  <c r="AA28" i="8"/>
  <c r="AD35" i="8"/>
  <c r="AD33" i="8"/>
  <c r="I14" i="19"/>
  <c r="AA29" i="8"/>
  <c r="AA33" i="8"/>
  <c r="AA35" i="8"/>
  <c r="AA44" i="8"/>
  <c r="AT44" i="8"/>
  <c r="AD41" i="8"/>
  <c r="AA38" i="8"/>
  <c r="AA27" i="8"/>
  <c r="AA41" i="8"/>
  <c r="AT41" i="8"/>
  <c r="AA34" i="8"/>
  <c r="AD30" i="8"/>
  <c r="AD39" i="8"/>
  <c r="AA40" i="8"/>
  <c r="BG31" i="26"/>
  <c r="AD28" i="8"/>
  <c r="AD27" i="8"/>
  <c r="AD36" i="8"/>
  <c r="AA43" i="8"/>
  <c r="E34" i="21"/>
  <c r="AD37" i="8"/>
  <c r="AD40" i="8"/>
  <c r="AA36" i="8"/>
  <c r="AD43" i="8"/>
  <c r="I24" i="19"/>
  <c r="AA30" i="8"/>
  <c r="AA24" i="8"/>
  <c r="AA26" i="8"/>
  <c r="AD23" i="8"/>
  <c r="I4" i="19"/>
  <c r="AD34" i="8"/>
  <c r="AD42" i="8"/>
  <c r="AD38" i="8"/>
  <c r="AD32" i="8"/>
  <c r="AS32" i="8"/>
  <c r="AR32" i="8"/>
  <c r="AD24" i="8"/>
  <c r="AA37" i="8"/>
  <c r="AD31" i="8"/>
  <c r="AD44" i="8"/>
  <c r="I25" i="19"/>
  <c r="AA25" i="8"/>
  <c r="AA39" i="8"/>
  <c r="AD25" i="8"/>
  <c r="AD29" i="8"/>
  <c r="AD26" i="8"/>
  <c r="AA42" i="8"/>
  <c r="AA23" i="8"/>
  <c r="Z41" i="22"/>
  <c r="CC41" i="26"/>
  <c r="P27" i="12"/>
  <c r="V26" i="11"/>
  <c r="T110" i="12"/>
  <c r="R74" i="13"/>
  <c r="C4" i="9"/>
  <c r="Q50" i="9"/>
  <c r="D19" i="9"/>
  <c r="B20" i="9"/>
  <c r="R84" i="11"/>
  <c r="Q20" i="11"/>
  <c r="R20" i="11"/>
  <c r="S20" i="11"/>
  <c r="V20" i="11"/>
  <c r="T20" i="11"/>
  <c r="U20" i="11"/>
  <c r="P20" i="11"/>
  <c r="AE38" i="5"/>
  <c r="P24" i="11"/>
  <c r="Q24" i="11"/>
  <c r="R24" i="11"/>
  <c r="V24" i="11"/>
  <c r="S24" i="11"/>
  <c r="T24" i="11"/>
  <c r="U24" i="11"/>
  <c r="AQ26" i="11"/>
  <c r="U107" i="17"/>
  <c r="BB26" i="26"/>
  <c r="AC26" i="21"/>
  <c r="B26" i="21"/>
  <c r="P107" i="17"/>
  <c r="C49" i="17"/>
  <c r="Y40" i="22"/>
  <c r="CB40" i="26"/>
  <c r="CB27" i="26"/>
  <c r="Y27" i="22"/>
  <c r="BJ17" i="19"/>
  <c r="Z36" i="17"/>
  <c r="CC14" i="26"/>
  <c r="C4" i="19"/>
  <c r="D4" i="19"/>
  <c r="Z14" i="22"/>
  <c r="BK4" i="19"/>
  <c r="V19" i="11"/>
  <c r="V101" i="14"/>
  <c r="S19" i="11"/>
  <c r="T107" i="17"/>
  <c r="V81" i="16"/>
  <c r="T19" i="11"/>
  <c r="S38" i="11"/>
  <c r="S65" i="11"/>
  <c r="U19" i="11"/>
  <c r="AC31" i="21"/>
  <c r="B31" i="21"/>
  <c r="B21" i="19"/>
  <c r="Q107" i="17"/>
  <c r="R104" i="12"/>
  <c r="V104" i="13"/>
  <c r="S104" i="13"/>
  <c r="Q9" i="12"/>
  <c r="R9" i="12"/>
  <c r="V9" i="12"/>
  <c r="P9" i="12"/>
  <c r="T9" i="12"/>
  <c r="S9" i="12"/>
  <c r="U9" i="12"/>
  <c r="U42" i="10"/>
  <c r="P38" i="11"/>
  <c r="Q38" i="11"/>
  <c r="BP41" i="26"/>
  <c r="N41" i="21"/>
  <c r="BP43" i="26"/>
  <c r="N43" i="21"/>
  <c r="Y44" i="17"/>
  <c r="BB35" i="26"/>
  <c r="BA35" i="26"/>
  <c r="BA25" i="26"/>
  <c r="Y34" i="17"/>
  <c r="B6" i="19"/>
  <c r="B16" i="22"/>
  <c r="BB34" i="26"/>
  <c r="AC34" i="21"/>
  <c r="B34" i="21"/>
  <c r="B19" i="22"/>
  <c r="B9" i="19"/>
  <c r="BP45" i="26"/>
  <c r="N45" i="21"/>
  <c r="V60" i="22"/>
  <c r="Z16" i="14"/>
  <c r="BY58" i="26"/>
  <c r="BA24" i="26"/>
  <c r="Y33" i="17"/>
  <c r="BB24" i="26"/>
  <c r="Y36" i="17"/>
  <c r="BB27" i="26"/>
  <c r="BA27" i="26"/>
  <c r="W52" i="22"/>
  <c r="BZ50" i="26"/>
  <c r="Z8" i="15"/>
  <c r="Y51" i="22"/>
  <c r="CB49" i="26"/>
  <c r="Z7" i="17"/>
  <c r="B23" i="19"/>
  <c r="B33" i="22"/>
  <c r="U73" i="13"/>
  <c r="P19" i="11"/>
  <c r="T38" i="11"/>
  <c r="CC57" i="26"/>
  <c r="Z59" i="22"/>
  <c r="Z6" i="22"/>
  <c r="CC6" i="26"/>
  <c r="AX22" i="26"/>
  <c r="Y31" i="14"/>
  <c r="BA14" i="26"/>
  <c r="Y23" i="17"/>
  <c r="BB14" i="26"/>
  <c r="R39" i="9"/>
  <c r="Q39" i="10"/>
  <c r="V38" i="11"/>
  <c r="BP47" i="26"/>
  <c r="N47" i="21"/>
  <c r="AX21" i="26"/>
  <c r="Y30" i="14"/>
  <c r="CA33" i="26"/>
  <c r="X33" i="22"/>
  <c r="BI23" i="19"/>
  <c r="Z42" i="16"/>
  <c r="CA51" i="26"/>
  <c r="X53" i="22"/>
  <c r="Z9" i="16"/>
  <c r="S101" i="14"/>
  <c r="U39" i="9"/>
  <c r="S31" i="12"/>
  <c r="U31" i="12"/>
  <c r="T31" i="12"/>
  <c r="Q31" i="12"/>
  <c r="R31" i="12"/>
  <c r="Q31" i="13"/>
  <c r="V31" i="12"/>
  <c r="P31" i="12"/>
  <c r="BY19" i="26"/>
  <c r="Z28" i="14"/>
  <c r="V19" i="22"/>
  <c r="BG9" i="19"/>
  <c r="BY23" i="26"/>
  <c r="V23" i="22"/>
  <c r="BG13" i="19"/>
  <c r="Z32" i="14"/>
  <c r="BY26" i="26"/>
  <c r="Z35" i="14"/>
  <c r="V26" i="22"/>
  <c r="BG16" i="19"/>
  <c r="S107" i="17"/>
  <c r="T81" i="16"/>
  <c r="U101" i="14"/>
  <c r="Q101" i="14"/>
  <c r="V39" i="9"/>
  <c r="BZ31" i="26"/>
  <c r="Z40" i="15"/>
  <c r="W31" i="22"/>
  <c r="BH21" i="19"/>
  <c r="BZ38" i="26"/>
  <c r="W38" i="22"/>
  <c r="C47" i="15"/>
  <c r="BY32" i="26"/>
  <c r="V32" i="22"/>
  <c r="BG22" i="19"/>
  <c r="Z41" i="14"/>
  <c r="R10" i="11"/>
  <c r="V10" i="12"/>
  <c r="P81" i="16"/>
  <c r="S14" i="12"/>
  <c r="Z11" i="15"/>
  <c r="BZ53" i="26"/>
  <c r="W55" i="22"/>
  <c r="BZ5" i="26"/>
  <c r="W5" i="22"/>
  <c r="C9" i="15"/>
  <c r="S81" i="16"/>
  <c r="U81" i="16"/>
  <c r="P101" i="14"/>
  <c r="T39" i="9"/>
  <c r="BZ39" i="26"/>
  <c r="C48" i="15"/>
  <c r="W39" i="22"/>
  <c r="BZ17" i="26"/>
  <c r="W17" i="22"/>
  <c r="BH7" i="19"/>
  <c r="Z26" i="15"/>
  <c r="BZ47" i="26"/>
  <c r="W47" i="22"/>
  <c r="C56" i="15"/>
  <c r="V43" i="22"/>
  <c r="C52" i="14"/>
  <c r="BY43" i="26"/>
  <c r="V10" i="22"/>
  <c r="BY10" i="26"/>
  <c r="C14" i="14"/>
  <c r="V25" i="22"/>
  <c r="BG15" i="19"/>
  <c r="BY25" i="26"/>
  <c r="Z34" i="14"/>
  <c r="BY21" i="26"/>
  <c r="Z30" i="14"/>
  <c r="V21" i="22"/>
  <c r="BG11" i="19"/>
  <c r="Z39" i="14"/>
  <c r="BY30" i="26"/>
  <c r="V30" i="22"/>
  <c r="BG20" i="19"/>
  <c r="R19" i="11"/>
  <c r="Q19" i="12"/>
  <c r="R19" i="12"/>
  <c r="U64" i="11"/>
  <c r="T73" i="13"/>
  <c r="S73" i="13"/>
  <c r="V32" i="10"/>
  <c r="AX29" i="26"/>
  <c r="Y38" i="14"/>
  <c r="S41" i="10"/>
  <c r="S79" i="11"/>
  <c r="Z12" i="14"/>
  <c r="BY54" i="26"/>
  <c r="V56" i="22"/>
  <c r="T99" i="11"/>
  <c r="Q99" i="11"/>
  <c r="V39" i="10"/>
  <c r="S39" i="10"/>
  <c r="U39" i="10"/>
  <c r="T39" i="10"/>
  <c r="P39" i="10"/>
  <c r="R39" i="10"/>
  <c r="Q39" i="11"/>
  <c r="Q32" i="10"/>
  <c r="P32" i="10"/>
  <c r="R38" i="11"/>
  <c r="P38" i="12"/>
  <c r="R41" i="10"/>
  <c r="Q41" i="10"/>
  <c r="U79" i="11"/>
  <c r="V79" i="11"/>
  <c r="R96" i="10"/>
  <c r="V96" i="11"/>
  <c r="U14" i="12"/>
  <c r="R14" i="12"/>
  <c r="Q14" i="13"/>
  <c r="V14" i="12"/>
  <c r="T14" i="12"/>
  <c r="U99" i="11"/>
  <c r="P99" i="11"/>
  <c r="P73" i="13"/>
  <c r="U108" i="13"/>
  <c r="S39" i="9"/>
  <c r="P39" i="9"/>
  <c r="U32" i="10"/>
  <c r="T41" i="10"/>
  <c r="V41" i="10"/>
  <c r="Q79" i="11"/>
  <c r="V99" i="11"/>
  <c r="S64" i="11"/>
  <c r="T65" i="11"/>
  <c r="V42" i="10"/>
  <c r="R107" i="17"/>
  <c r="V73" i="13"/>
  <c r="S108" i="13"/>
  <c r="S32" i="10"/>
  <c r="R15" i="9"/>
  <c r="S15" i="10"/>
  <c r="BX56" i="26"/>
  <c r="U58" i="22"/>
  <c r="Z14" i="13"/>
  <c r="R91" i="15"/>
  <c r="T91" i="16"/>
  <c r="R71" i="13"/>
  <c r="P71" i="14"/>
  <c r="P41" i="10"/>
  <c r="P79" i="11"/>
  <c r="BY34" i="26"/>
  <c r="Z45" i="13"/>
  <c r="Q51" i="13"/>
  <c r="V34" i="22"/>
  <c r="BG24" i="19"/>
  <c r="Z43" i="14"/>
  <c r="P14" i="12"/>
  <c r="R99" i="11"/>
  <c r="P99" i="12"/>
  <c r="I2" i="22"/>
  <c r="I2" i="21"/>
  <c r="AJ8" i="26"/>
  <c r="Q2" i="19"/>
  <c r="R28" i="19"/>
  <c r="Q48" i="12"/>
  <c r="AK7" i="26"/>
  <c r="R48" i="11"/>
  <c r="R66" i="15"/>
  <c r="P66" i="16"/>
  <c r="P43" i="11"/>
  <c r="U68" i="11"/>
  <c r="S68" i="11"/>
  <c r="V68" i="11"/>
  <c r="T22" i="13"/>
  <c r="P94" i="15"/>
  <c r="V94" i="15"/>
  <c r="S94" i="15"/>
  <c r="Q94" i="15"/>
  <c r="U94" i="15"/>
  <c r="T94" i="15"/>
  <c r="R108" i="13"/>
  <c r="Q108" i="14"/>
  <c r="R35" i="12"/>
  <c r="Q13" i="14"/>
  <c r="V13" i="14"/>
  <c r="P13" i="14"/>
  <c r="U13" i="14"/>
  <c r="S13" i="14"/>
  <c r="T13" i="14"/>
  <c r="T43" i="11"/>
  <c r="V43" i="11"/>
  <c r="T68" i="11"/>
  <c r="P81" i="17"/>
  <c r="R81" i="17"/>
  <c r="T81" i="17"/>
  <c r="S81" i="17"/>
  <c r="V81" i="17"/>
  <c r="U81" i="17"/>
  <c r="V22" i="13"/>
  <c r="P22" i="13"/>
  <c r="Q11" i="13"/>
  <c r="R11" i="13"/>
  <c r="V11" i="13"/>
  <c r="U11" i="13"/>
  <c r="S11" i="13"/>
  <c r="P11" i="13"/>
  <c r="T11" i="13"/>
  <c r="R101" i="14"/>
  <c r="P101" i="15"/>
  <c r="T35" i="12"/>
  <c r="U35" i="12"/>
  <c r="AD44" i="9"/>
  <c r="K25" i="19"/>
  <c r="V64" i="11"/>
  <c r="P65" i="11"/>
  <c r="T42" i="10"/>
  <c r="R34" i="12"/>
  <c r="P34" i="13"/>
  <c r="V28" i="14"/>
  <c r="U28" i="14"/>
  <c r="Q28" i="14"/>
  <c r="T28" i="14"/>
  <c r="P28" i="14"/>
  <c r="S28" i="14"/>
  <c r="R28" i="14"/>
  <c r="U43" i="11"/>
  <c r="Q43" i="11"/>
  <c r="Q68" i="11"/>
  <c r="S22" i="13"/>
  <c r="Q22" i="13"/>
  <c r="R22" i="13"/>
  <c r="R73" i="13"/>
  <c r="P73" i="14"/>
  <c r="P108" i="13"/>
  <c r="V108" i="13"/>
  <c r="U36" i="14"/>
  <c r="T36" i="14"/>
  <c r="P36" i="14"/>
  <c r="S36" i="14"/>
  <c r="Q36" i="14"/>
  <c r="V36" i="14"/>
  <c r="V35" i="12"/>
  <c r="P35" i="12"/>
  <c r="P64" i="11"/>
  <c r="Q65" i="11"/>
  <c r="V65" i="11"/>
  <c r="S42" i="10"/>
  <c r="S72" i="13"/>
  <c r="Q72" i="13"/>
  <c r="R72" i="13"/>
  <c r="T72" i="13"/>
  <c r="P72" i="13"/>
  <c r="V72" i="13"/>
  <c r="U72" i="13"/>
  <c r="P68" i="11"/>
  <c r="S76" i="15"/>
  <c r="V76" i="15"/>
  <c r="P76" i="15"/>
  <c r="U76" i="15"/>
  <c r="Q76" i="15"/>
  <c r="T76" i="15"/>
  <c r="R77" i="14"/>
  <c r="Q77" i="15"/>
  <c r="T108" i="13"/>
  <c r="S35" i="12"/>
  <c r="AV29" i="9"/>
  <c r="I10" i="19"/>
  <c r="AV32" i="9"/>
  <c r="I13" i="19"/>
  <c r="AT43" i="8"/>
  <c r="E31" i="21"/>
  <c r="BG32" i="26"/>
  <c r="E32" i="21"/>
  <c r="BG35" i="26"/>
  <c r="E35" i="21"/>
  <c r="AV33" i="9"/>
  <c r="AS33" i="8"/>
  <c r="AR33" i="8"/>
  <c r="E23" i="21"/>
  <c r="BG23" i="26"/>
  <c r="AA40" i="9"/>
  <c r="AA35" i="9"/>
  <c r="AA27" i="9"/>
  <c r="AD23" i="9"/>
  <c r="AD33" i="9"/>
  <c r="AA25" i="9"/>
  <c r="AD28" i="9"/>
  <c r="AD32" i="9"/>
  <c r="AD29" i="9"/>
  <c r="AD36" i="9"/>
  <c r="AA41" i="9"/>
  <c r="AA24" i="9"/>
  <c r="AD27" i="9"/>
  <c r="AA26" i="9"/>
  <c r="AA37" i="9"/>
  <c r="AT37" i="9"/>
  <c r="AA42" i="9"/>
  <c r="AD30" i="9"/>
  <c r="AA33" i="9"/>
  <c r="AD37" i="9"/>
  <c r="AD41" i="9"/>
  <c r="AA34" i="9"/>
  <c r="AA39" i="9"/>
  <c r="AD38" i="9"/>
  <c r="AD34" i="9"/>
  <c r="AA29" i="9"/>
  <c r="AA43" i="9"/>
  <c r="AD24" i="9"/>
  <c r="AD35" i="9"/>
  <c r="AD25" i="9"/>
  <c r="AA38" i="9"/>
  <c r="AD31" i="9"/>
  <c r="AA44" i="9"/>
  <c r="AA28" i="9"/>
  <c r="AD42" i="9"/>
  <c r="AA36" i="9"/>
  <c r="AD26" i="9"/>
  <c r="AD39" i="9"/>
  <c r="AA32" i="9"/>
  <c r="AA31" i="9"/>
  <c r="AD40" i="9"/>
  <c r="AA30" i="9"/>
  <c r="P25" i="11"/>
  <c r="S25" i="11"/>
  <c r="T25" i="11"/>
  <c r="Q25" i="11"/>
  <c r="R25" i="11"/>
  <c r="V25" i="11"/>
  <c r="U25" i="11"/>
  <c r="AZ44" i="5"/>
  <c r="AG44" i="5"/>
  <c r="H25" i="19"/>
  <c r="AW44" i="5"/>
  <c r="AX44" i="8"/>
  <c r="AE44" i="8"/>
  <c r="T9" i="22"/>
  <c r="BW9" i="26"/>
  <c r="C13" i="12"/>
  <c r="C18" i="11"/>
  <c r="R37" i="10"/>
  <c r="Q37" i="11"/>
  <c r="U37" i="10"/>
  <c r="V74" i="14"/>
  <c r="P74" i="14"/>
  <c r="T74" i="14"/>
  <c r="U74" i="14"/>
  <c r="Q74" i="14"/>
  <c r="S74" i="14"/>
  <c r="T97" i="12"/>
  <c r="T30" i="15"/>
  <c r="S105" i="12"/>
  <c r="U93" i="12"/>
  <c r="R40" i="13"/>
  <c r="V40" i="14"/>
  <c r="S88" i="11"/>
  <c r="W18" i="8"/>
  <c r="W14" i="8"/>
  <c r="W10" i="8"/>
  <c r="W22" i="8"/>
  <c r="W90" i="8"/>
  <c r="W105" i="8"/>
  <c r="W73" i="8"/>
  <c r="W42" i="8"/>
  <c r="W96" i="8"/>
  <c r="W64" i="8"/>
  <c r="W79" i="8"/>
  <c r="W35" i="8"/>
  <c r="W110" i="8"/>
  <c r="W78" i="8"/>
  <c r="W93" i="8"/>
  <c r="W40" i="8"/>
  <c r="W41" i="8"/>
  <c r="W92" i="8"/>
  <c r="W107" i="8"/>
  <c r="W75" i="8"/>
  <c r="W27" i="8"/>
  <c r="W17" i="8"/>
  <c r="W13" i="8"/>
  <c r="W9" i="8"/>
  <c r="W21" i="8"/>
  <c r="W82" i="8"/>
  <c r="W97" i="8"/>
  <c r="W65" i="8"/>
  <c r="W26" i="8"/>
  <c r="W88" i="8"/>
  <c r="W103" i="8"/>
  <c r="W71" i="8"/>
  <c r="W38" i="8"/>
  <c r="W102" i="8"/>
  <c r="W70" i="8"/>
  <c r="W85" i="8"/>
  <c r="W24" i="8"/>
  <c r="W25" i="8"/>
  <c r="W84" i="8"/>
  <c r="W99" i="8"/>
  <c r="W67" i="8"/>
  <c r="W30" i="8"/>
  <c r="W16" i="8"/>
  <c r="W12" i="8"/>
  <c r="W8" i="8"/>
  <c r="W20" i="8"/>
  <c r="W7" i="8"/>
  <c r="W106" i="8"/>
  <c r="W74" i="8"/>
  <c r="W89" i="8"/>
  <c r="W32" i="8"/>
  <c r="W33" i="8"/>
  <c r="W80" i="8"/>
  <c r="W95" i="8"/>
  <c r="W44" i="8"/>
  <c r="W45" i="8"/>
  <c r="W94" i="8"/>
  <c r="W109" i="8"/>
  <c r="W77" i="8"/>
  <c r="W31" i="8"/>
  <c r="W108" i="8"/>
  <c r="W76" i="8"/>
  <c r="W91" i="8"/>
  <c r="W36" i="8"/>
  <c r="W37" i="8"/>
  <c r="W19" i="8"/>
  <c r="W15" i="8"/>
  <c r="W11" i="8"/>
  <c r="W23" i="8"/>
  <c r="W98" i="8"/>
  <c r="W66" i="8"/>
  <c r="W81" i="8"/>
  <c r="W39" i="8"/>
  <c r="W104" i="8"/>
  <c r="W72" i="8"/>
  <c r="W87" i="8"/>
  <c r="W28" i="8"/>
  <c r="W29" i="8"/>
  <c r="W86" i="8"/>
  <c r="W101" i="8"/>
  <c r="W69" i="8"/>
  <c r="W34" i="8"/>
  <c r="W100" i="8"/>
  <c r="W68" i="8"/>
  <c r="W83" i="8"/>
  <c r="W43" i="8"/>
  <c r="V29" i="10"/>
  <c r="P29" i="10"/>
  <c r="T29" i="10"/>
  <c r="Q29" i="10"/>
  <c r="R29" i="10"/>
  <c r="U29" i="10"/>
  <c r="S29" i="10"/>
  <c r="S86" i="11"/>
  <c r="R69" i="12"/>
  <c r="S69" i="13"/>
  <c r="V69" i="12"/>
  <c r="S23" i="10"/>
  <c r="V45" i="11"/>
  <c r="S21" i="10"/>
  <c r="U21" i="10"/>
  <c r="Q98" i="13"/>
  <c r="P12" i="10"/>
  <c r="U12" i="10"/>
  <c r="Q109" i="11"/>
  <c r="V44" i="15"/>
  <c r="V110" i="13"/>
  <c r="U103" i="14"/>
  <c r="M55" i="9"/>
  <c r="N55" i="9"/>
  <c r="BG14" i="26"/>
  <c r="E14" i="21"/>
  <c r="AA45" i="8"/>
  <c r="AT23" i="8"/>
  <c r="AS25" i="8"/>
  <c r="AR25" i="8"/>
  <c r="I6" i="19"/>
  <c r="AV25" i="9"/>
  <c r="AV25" i="10"/>
  <c r="AX31" i="8"/>
  <c r="AE31" i="8"/>
  <c r="AV31" i="9"/>
  <c r="AV31" i="10"/>
  <c r="I12" i="19"/>
  <c r="AS31" i="8"/>
  <c r="AR31" i="8"/>
  <c r="AS38" i="8"/>
  <c r="AS38" i="9"/>
  <c r="I19" i="19"/>
  <c r="AV38" i="9"/>
  <c r="AV38" i="10"/>
  <c r="E17" i="21"/>
  <c r="AT26" i="8"/>
  <c r="BG17" i="26"/>
  <c r="E27" i="21"/>
  <c r="BG27" i="26"/>
  <c r="AT36" i="8"/>
  <c r="AV36" i="9"/>
  <c r="AV36" i="10"/>
  <c r="I17" i="19"/>
  <c r="AX36" i="8"/>
  <c r="AE36" i="8"/>
  <c r="AS36" i="8"/>
  <c r="AS36" i="9"/>
  <c r="AR36" i="8"/>
  <c r="AV39" i="9"/>
  <c r="AS39" i="8"/>
  <c r="AR39" i="8"/>
  <c r="I20" i="19"/>
  <c r="BG18" i="26"/>
  <c r="E18" i="21"/>
  <c r="AT27" i="8"/>
  <c r="E26" i="21"/>
  <c r="BG26" i="26"/>
  <c r="AT35" i="8"/>
  <c r="AT35" i="9"/>
  <c r="AV35" i="9"/>
  <c r="AV35" i="10"/>
  <c r="I16" i="19"/>
  <c r="AS35" i="8"/>
  <c r="AR35" i="8"/>
  <c r="AX35" i="8"/>
  <c r="AE35" i="8"/>
  <c r="T45" i="22"/>
  <c r="BW45" i="26"/>
  <c r="C54" i="12"/>
  <c r="T78" i="12"/>
  <c r="V78" i="12"/>
  <c r="Q78" i="12"/>
  <c r="P78" i="12"/>
  <c r="U78" i="12"/>
  <c r="S78" i="12"/>
  <c r="Q83" i="13"/>
  <c r="R83" i="13"/>
  <c r="T83" i="13"/>
  <c r="S83" i="13"/>
  <c r="P83" i="13"/>
  <c r="V83" i="13"/>
  <c r="U83" i="13"/>
  <c r="R64" i="11"/>
  <c r="Q64" i="12"/>
  <c r="S70" i="12"/>
  <c r="U70" i="12"/>
  <c r="P70" i="12"/>
  <c r="T70" i="12"/>
  <c r="V70" i="12"/>
  <c r="Q70" i="12"/>
  <c r="R70" i="12"/>
  <c r="R90" i="16"/>
  <c r="U90" i="17"/>
  <c r="S11" i="14"/>
  <c r="V11" i="14"/>
  <c r="S37" i="10"/>
  <c r="T37" i="10"/>
  <c r="V100" i="12"/>
  <c r="S100" i="12"/>
  <c r="T100" i="12"/>
  <c r="P100" i="12"/>
  <c r="U100" i="12"/>
  <c r="Q100" i="12"/>
  <c r="R100" i="12"/>
  <c r="U97" i="12"/>
  <c r="V97" i="12"/>
  <c r="V75" i="11"/>
  <c r="S75" i="11"/>
  <c r="Q30" i="15"/>
  <c r="U30" i="15"/>
  <c r="P105" i="12"/>
  <c r="T105" i="12"/>
  <c r="Q93" i="12"/>
  <c r="P93" i="12"/>
  <c r="R106" i="15"/>
  <c r="S106" i="16"/>
  <c r="Q88" i="11"/>
  <c r="R88" i="11"/>
  <c r="V88" i="11"/>
  <c r="P42" i="10"/>
  <c r="R42" i="10"/>
  <c r="V42" i="11"/>
  <c r="R53" i="5"/>
  <c r="G31" i="19"/>
  <c r="G33" i="19"/>
  <c r="G35" i="19"/>
  <c r="S51" i="5"/>
  <c r="Q86" i="11"/>
  <c r="T86" i="11"/>
  <c r="T69" i="12"/>
  <c r="S69" i="12"/>
  <c r="V23" i="10"/>
  <c r="P23" i="10"/>
  <c r="V46" i="22"/>
  <c r="C55" i="14"/>
  <c r="BY46" i="26"/>
  <c r="S33" i="11"/>
  <c r="T33" i="11"/>
  <c r="U33" i="11"/>
  <c r="V33" i="11"/>
  <c r="P33" i="11"/>
  <c r="Q33" i="11"/>
  <c r="R33" i="11"/>
  <c r="U45" i="11"/>
  <c r="Q45" i="11"/>
  <c r="Q21" i="10"/>
  <c r="V21" i="10"/>
  <c r="P98" i="13"/>
  <c r="S98" i="13"/>
  <c r="S12" i="10"/>
  <c r="Q12" i="10"/>
  <c r="P109" i="11"/>
  <c r="S109" i="11"/>
  <c r="U44" i="15"/>
  <c r="S110" i="13"/>
  <c r="S103" i="14"/>
  <c r="Q103" i="14"/>
  <c r="S50" i="9"/>
  <c r="Q53" i="9"/>
  <c r="AT42" i="8"/>
  <c r="BG33" i="26"/>
  <c r="E33" i="21"/>
  <c r="BG30" i="26"/>
  <c r="E30" i="21"/>
  <c r="AT39" i="8"/>
  <c r="AT39" i="9"/>
  <c r="BG28" i="26"/>
  <c r="E28" i="21"/>
  <c r="AT37" i="8"/>
  <c r="AV42" i="9"/>
  <c r="AV42" i="10"/>
  <c r="AS42" i="8"/>
  <c r="AR42" i="8"/>
  <c r="I23" i="19"/>
  <c r="E15" i="21"/>
  <c r="BG15" i="26"/>
  <c r="AT24" i="8"/>
  <c r="AT24" i="9"/>
  <c r="AS40" i="8"/>
  <c r="AV40" i="9"/>
  <c r="AV40" i="10"/>
  <c r="I21" i="19"/>
  <c r="I8" i="19"/>
  <c r="AS27" i="8"/>
  <c r="AX27" i="8"/>
  <c r="AE27" i="8"/>
  <c r="AV27" i="9"/>
  <c r="AV27" i="10"/>
  <c r="AX30" i="8"/>
  <c r="AE30" i="8"/>
  <c r="AV30" i="9"/>
  <c r="AV30" i="10"/>
  <c r="AS30" i="8"/>
  <c r="AR30" i="8"/>
  <c r="I11" i="19"/>
  <c r="E29" i="21"/>
  <c r="AT38" i="8"/>
  <c r="AT38" i="9"/>
  <c r="BG29" i="26"/>
  <c r="AT33" i="8"/>
  <c r="BG24" i="26"/>
  <c r="E24" i="21"/>
  <c r="AT28" i="8"/>
  <c r="AT28" i="9"/>
  <c r="BG19" i="26"/>
  <c r="E19" i="21"/>
  <c r="Q89" i="12"/>
  <c r="S89" i="12"/>
  <c r="U89" i="12"/>
  <c r="P89" i="12"/>
  <c r="V89" i="12"/>
  <c r="T89" i="12"/>
  <c r="R87" i="12"/>
  <c r="S87" i="13"/>
  <c r="T64" i="11"/>
  <c r="U17" i="11"/>
  <c r="V17" i="11"/>
  <c r="S17" i="11"/>
  <c r="P17" i="11"/>
  <c r="Q17" i="11"/>
  <c r="T17" i="11"/>
  <c r="P11" i="14"/>
  <c r="Q11" i="14"/>
  <c r="R11" i="14"/>
  <c r="P37" i="10"/>
  <c r="Q52" i="10"/>
  <c r="S52" i="10"/>
  <c r="C58" i="10"/>
  <c r="T80" i="13"/>
  <c r="P80" i="13"/>
  <c r="V80" i="13"/>
  <c r="U80" i="13"/>
  <c r="S80" i="13"/>
  <c r="Q80" i="13"/>
  <c r="R80" i="13"/>
  <c r="V7" i="11"/>
  <c r="U7" i="11"/>
  <c r="T7" i="11"/>
  <c r="S7" i="11"/>
  <c r="Q7" i="11"/>
  <c r="P7" i="11"/>
  <c r="R65" i="11"/>
  <c r="V65" i="12"/>
  <c r="V26" i="12"/>
  <c r="Q26" i="12"/>
  <c r="R26" i="12"/>
  <c r="U26" i="12"/>
  <c r="S26" i="12"/>
  <c r="P26" i="12"/>
  <c r="T26" i="12"/>
  <c r="T67" i="12"/>
  <c r="P67" i="12"/>
  <c r="U67" i="12"/>
  <c r="V67" i="12"/>
  <c r="S67" i="12"/>
  <c r="Q67" i="12"/>
  <c r="R67" i="12"/>
  <c r="Y54" i="22"/>
  <c r="Z10" i="17"/>
  <c r="CB52" i="26"/>
  <c r="S97" i="12"/>
  <c r="Q97" i="12"/>
  <c r="R97" i="12"/>
  <c r="T75" i="11"/>
  <c r="Q75" i="11"/>
  <c r="R75" i="11"/>
  <c r="P30" i="15"/>
  <c r="S30" i="15"/>
  <c r="U105" i="12"/>
  <c r="Q105" i="12"/>
  <c r="R105" i="12"/>
  <c r="R95" i="11"/>
  <c r="V95" i="12"/>
  <c r="T93" i="12"/>
  <c r="R93" i="12"/>
  <c r="T13" i="22"/>
  <c r="BW13" i="26"/>
  <c r="C17" i="12"/>
  <c r="U88" i="11"/>
  <c r="R86" i="11"/>
  <c r="P86" i="11"/>
  <c r="U69" i="12"/>
  <c r="Q23" i="10"/>
  <c r="T45" i="11"/>
  <c r="S45" i="11"/>
  <c r="P21" i="10"/>
  <c r="R98" i="13"/>
  <c r="V98" i="13"/>
  <c r="V12" i="10"/>
  <c r="U109" i="11"/>
  <c r="T109" i="11"/>
  <c r="AD43" i="9"/>
  <c r="K24" i="19"/>
  <c r="Q44" i="15"/>
  <c r="P44" i="15"/>
  <c r="Q110" i="13"/>
  <c r="R110" i="13"/>
  <c r="T110" i="13"/>
  <c r="P103" i="14"/>
  <c r="V103" i="14"/>
  <c r="AV26" i="9"/>
  <c r="AV26" i="10"/>
  <c r="AS26" i="8"/>
  <c r="AR26" i="8"/>
  <c r="I7" i="19"/>
  <c r="BG16" i="26"/>
  <c r="E16" i="21"/>
  <c r="E48" i="21"/>
  <c r="E63" i="21"/>
  <c r="E65" i="21"/>
  <c r="AT25" i="8"/>
  <c r="AV24" i="9"/>
  <c r="AV24" i="10"/>
  <c r="I5" i="19"/>
  <c r="I15" i="19"/>
  <c r="AS34" i="8"/>
  <c r="AS34" i="9"/>
  <c r="AR34" i="9"/>
  <c r="AV34" i="9"/>
  <c r="AV34" i="10"/>
  <c r="AX34" i="8"/>
  <c r="AE34" i="8"/>
  <c r="AW34" i="8"/>
  <c r="E21" i="21"/>
  <c r="AT30" i="8"/>
  <c r="BG21" i="26"/>
  <c r="AV37" i="9"/>
  <c r="AV37" i="10"/>
  <c r="I18" i="19"/>
  <c r="AS37" i="8"/>
  <c r="AS37" i="9"/>
  <c r="I9" i="19"/>
  <c r="AX28" i="8"/>
  <c r="AE28" i="8"/>
  <c r="AV28" i="9"/>
  <c r="AS28" i="8"/>
  <c r="AR28" i="8"/>
  <c r="AT34" i="8"/>
  <c r="BG25" i="26"/>
  <c r="E25" i="21"/>
  <c r="AX41" i="8"/>
  <c r="AE41" i="8"/>
  <c r="AZ41" i="8"/>
  <c r="AG41" i="8"/>
  <c r="AV41" i="9"/>
  <c r="AV41" i="10"/>
  <c r="AS41" i="8"/>
  <c r="AS41" i="9"/>
  <c r="AR41" i="9"/>
  <c r="AR41" i="8"/>
  <c r="I22" i="19"/>
  <c r="E20" i="21"/>
  <c r="AT29" i="8"/>
  <c r="AT29" i="9"/>
  <c r="BG20" i="26"/>
  <c r="E22" i="21"/>
  <c r="AT31" i="8"/>
  <c r="BG22" i="26"/>
  <c r="T16" i="11"/>
  <c r="P16" i="11"/>
  <c r="V16" i="11"/>
  <c r="S16" i="11"/>
  <c r="Q16" i="11"/>
  <c r="U16" i="11"/>
  <c r="T84" i="12"/>
  <c r="P84" i="12"/>
  <c r="V84" i="12"/>
  <c r="U84" i="12"/>
  <c r="S84" i="12"/>
  <c r="Q84" i="12"/>
  <c r="R84" i="12"/>
  <c r="C4" i="10"/>
  <c r="Q50" i="10"/>
  <c r="D19" i="10"/>
  <c r="B20" i="10"/>
  <c r="V27" i="13"/>
  <c r="P27" i="13"/>
  <c r="Q27" i="13"/>
  <c r="R27" i="13"/>
  <c r="U27" i="13"/>
  <c r="T27" i="13"/>
  <c r="S27" i="13"/>
  <c r="P8" i="11"/>
  <c r="V8" i="11"/>
  <c r="U8" i="11"/>
  <c r="Q8" i="11"/>
  <c r="R8" i="11"/>
  <c r="S8" i="11"/>
  <c r="T8" i="11"/>
  <c r="V37" i="10"/>
  <c r="T37" i="22"/>
  <c r="BW37" i="26"/>
  <c r="C57" i="11"/>
  <c r="C46" i="12"/>
  <c r="U102" i="12"/>
  <c r="S102" i="12"/>
  <c r="Q102" i="12"/>
  <c r="T102" i="12"/>
  <c r="P102" i="12"/>
  <c r="V102" i="12"/>
  <c r="U75" i="11"/>
  <c r="AX37" i="8"/>
  <c r="AE37" i="8"/>
  <c r="R18" i="13"/>
  <c r="V93" i="12"/>
  <c r="T88" i="11"/>
  <c r="V86" i="11"/>
  <c r="P69" i="12"/>
  <c r="U23" i="10"/>
  <c r="AW43" i="5"/>
  <c r="H24" i="19"/>
  <c r="AZ43" i="5"/>
  <c r="AG43" i="5"/>
  <c r="R21" i="10"/>
  <c r="T98" i="13"/>
  <c r="R12" i="10"/>
  <c r="T12" i="10"/>
  <c r="R109" i="11"/>
  <c r="S44" i="15"/>
  <c r="P110" i="13"/>
  <c r="AA23" i="9"/>
  <c r="Q20" i="12"/>
  <c r="R20" i="12"/>
  <c r="U20" i="12"/>
  <c r="S20" i="12"/>
  <c r="V20" i="12"/>
  <c r="T20" i="12"/>
  <c r="P20" i="12"/>
  <c r="S24" i="12"/>
  <c r="T24" i="12"/>
  <c r="Q24" i="12"/>
  <c r="R24" i="12"/>
  <c r="P24" i="12"/>
  <c r="U24" i="12"/>
  <c r="V24" i="12"/>
  <c r="AX38" i="8"/>
  <c r="H19" i="19"/>
  <c r="AW38" i="5"/>
  <c r="AZ38" i="5"/>
  <c r="AG38" i="5"/>
  <c r="AQ26" i="12"/>
  <c r="T11" i="14"/>
  <c r="B31" i="22"/>
  <c r="B26" i="22"/>
  <c r="B16" i="19"/>
  <c r="U11" i="14"/>
  <c r="T104" i="13"/>
  <c r="AC27" i="21"/>
  <c r="B27" i="21"/>
  <c r="B17" i="19"/>
  <c r="Q104" i="13"/>
  <c r="Z27" i="22"/>
  <c r="BK17" i="19"/>
  <c r="CC27" i="26"/>
  <c r="C17" i="19"/>
  <c r="D17" i="19"/>
  <c r="Z40" i="22"/>
  <c r="CC40" i="26"/>
  <c r="P104" i="13"/>
  <c r="Q38" i="12"/>
  <c r="S19" i="12"/>
  <c r="U38" i="12"/>
  <c r="U19" i="12"/>
  <c r="AC24" i="21"/>
  <c r="B24" i="21"/>
  <c r="B14" i="19"/>
  <c r="Q9" i="13"/>
  <c r="R9" i="13"/>
  <c r="P9" i="13"/>
  <c r="V9" i="13"/>
  <c r="T9" i="13"/>
  <c r="S9" i="13"/>
  <c r="U9" i="13"/>
  <c r="R104" i="13"/>
  <c r="P104" i="14"/>
  <c r="S104" i="14"/>
  <c r="V104" i="14"/>
  <c r="U104" i="13"/>
  <c r="CB51" i="26"/>
  <c r="Z9" i="17"/>
  <c r="Y53" i="22"/>
  <c r="T10" i="12"/>
  <c r="AY21" i="26"/>
  <c r="Y30" i="15"/>
  <c r="CA50" i="26"/>
  <c r="Z8" i="16"/>
  <c r="X52" i="22"/>
  <c r="B24" i="19"/>
  <c r="B34" i="22"/>
  <c r="BB25" i="26"/>
  <c r="AC25" i="21"/>
  <c r="B25" i="21"/>
  <c r="P10" i="12"/>
  <c r="Z51" i="22"/>
  <c r="CC49" i="26"/>
  <c r="P15" i="10"/>
  <c r="Y33" i="22"/>
  <c r="BJ23" i="19"/>
  <c r="Z42" i="17"/>
  <c r="CB33" i="26"/>
  <c r="AC14" i="21"/>
  <c r="B14" i="21"/>
  <c r="AY22" i="26"/>
  <c r="Y31" i="15"/>
  <c r="W60" i="22"/>
  <c r="Z16" i="15"/>
  <c r="BZ58" i="26"/>
  <c r="AC35" i="21"/>
  <c r="B35" i="21"/>
  <c r="BZ30" i="26"/>
  <c r="W30" i="22"/>
  <c r="BH20" i="19"/>
  <c r="Z39" i="15"/>
  <c r="W25" i="22"/>
  <c r="BH15" i="19"/>
  <c r="BZ25" i="26"/>
  <c r="Z34" i="15"/>
  <c r="CA17" i="26"/>
  <c r="X17" i="22"/>
  <c r="BI7" i="19"/>
  <c r="Z26" i="16"/>
  <c r="X39" i="22"/>
  <c r="CA39" i="26"/>
  <c r="C48" i="16"/>
  <c r="BZ32" i="26"/>
  <c r="Z41" i="15"/>
  <c r="W32" i="22"/>
  <c r="BH22" i="19"/>
  <c r="P40" i="14"/>
  <c r="R38" i="12"/>
  <c r="T38" i="12"/>
  <c r="P19" i="12"/>
  <c r="T19" i="12"/>
  <c r="CA47" i="26"/>
  <c r="C56" i="16"/>
  <c r="X47" i="22"/>
  <c r="Q10" i="12"/>
  <c r="W23" i="22"/>
  <c r="BH13" i="19"/>
  <c r="Z32" i="15"/>
  <c r="BZ23" i="26"/>
  <c r="BZ19" i="26"/>
  <c r="Z28" i="15"/>
  <c r="W19" i="22"/>
  <c r="BH9" i="19"/>
  <c r="V38" i="12"/>
  <c r="S38" i="12"/>
  <c r="V19" i="12"/>
  <c r="BZ21" i="26"/>
  <c r="Z30" i="15"/>
  <c r="W21" i="22"/>
  <c r="BH11" i="19"/>
  <c r="X5" i="22"/>
  <c r="C9" i="16"/>
  <c r="CA5" i="26"/>
  <c r="S10" i="12"/>
  <c r="U10" i="12"/>
  <c r="S31" i="13"/>
  <c r="P31" i="13"/>
  <c r="T31" i="13"/>
  <c r="R31" i="13"/>
  <c r="V31" i="14"/>
  <c r="V31" i="13"/>
  <c r="U31" i="13"/>
  <c r="Q101" i="15"/>
  <c r="R101" i="15"/>
  <c r="P101" i="16"/>
  <c r="BZ10" i="26"/>
  <c r="C14" i="15"/>
  <c r="W10" i="22"/>
  <c r="C52" i="15"/>
  <c r="BZ43" i="26"/>
  <c r="W43" i="22"/>
  <c r="CA53" i="26"/>
  <c r="X55" i="22"/>
  <c r="Z11" i="16"/>
  <c r="X38" i="22"/>
  <c r="C47" i="16"/>
  <c r="CA38" i="26"/>
  <c r="CA31" i="26"/>
  <c r="X31" i="22"/>
  <c r="BI21" i="19"/>
  <c r="Z40" i="16"/>
  <c r="BZ26" i="26"/>
  <c r="W26" i="22"/>
  <c r="BH16" i="19"/>
  <c r="Z35" i="15"/>
  <c r="S31" i="14"/>
  <c r="T19" i="13"/>
  <c r="T71" i="14"/>
  <c r="Q91" i="16"/>
  <c r="R91" i="16"/>
  <c r="V91" i="16"/>
  <c r="S96" i="11"/>
  <c r="U96" i="11"/>
  <c r="U14" i="13"/>
  <c r="T39" i="11"/>
  <c r="V39" i="11"/>
  <c r="T90" i="17"/>
  <c r="U101" i="15"/>
  <c r="V66" i="16"/>
  <c r="V15" i="10"/>
  <c r="R79" i="11"/>
  <c r="P79" i="12"/>
  <c r="U71" i="14"/>
  <c r="S71" i="14"/>
  <c r="Q99" i="12"/>
  <c r="T99" i="12"/>
  <c r="U99" i="12"/>
  <c r="S99" i="12"/>
  <c r="R99" i="12"/>
  <c r="V99" i="13"/>
  <c r="V99" i="12"/>
  <c r="AY29" i="26"/>
  <c r="Y38" i="15"/>
  <c r="S91" i="16"/>
  <c r="U91" i="16"/>
  <c r="Q96" i="11"/>
  <c r="T14" i="13"/>
  <c r="S14" i="13"/>
  <c r="S39" i="11"/>
  <c r="R39" i="11"/>
  <c r="P39" i="12"/>
  <c r="V77" i="15"/>
  <c r="T101" i="15"/>
  <c r="S66" i="16"/>
  <c r="Q66" i="16"/>
  <c r="R66" i="16"/>
  <c r="BZ34" i="26"/>
  <c r="Z43" i="15"/>
  <c r="W34" i="22"/>
  <c r="BH24" i="19"/>
  <c r="Z45" i="14"/>
  <c r="Q51" i="14"/>
  <c r="BY56" i="26"/>
  <c r="V58" i="22"/>
  <c r="Z14" i="14"/>
  <c r="Q15" i="10"/>
  <c r="R15" i="10"/>
  <c r="U15" i="10"/>
  <c r="Q71" i="14"/>
  <c r="R71" i="14"/>
  <c r="Q71" i="15"/>
  <c r="Z12" i="15"/>
  <c r="BZ54" i="26"/>
  <c r="W56" i="22"/>
  <c r="P91" i="16"/>
  <c r="P96" i="11"/>
  <c r="R14" i="13"/>
  <c r="V14" i="14"/>
  <c r="P14" i="13"/>
  <c r="P19" i="13"/>
  <c r="Q19" i="13"/>
  <c r="R19" i="13"/>
  <c r="U19" i="13"/>
  <c r="S19" i="13"/>
  <c r="V19" i="13"/>
  <c r="U39" i="11"/>
  <c r="Q34" i="13"/>
  <c r="R34" i="13"/>
  <c r="S34" i="14"/>
  <c r="S101" i="15"/>
  <c r="V101" i="15"/>
  <c r="T66" i="16"/>
  <c r="U66" i="16"/>
  <c r="T15" i="10"/>
  <c r="V71" i="14"/>
  <c r="S41" i="11"/>
  <c r="V41" i="11"/>
  <c r="P41" i="11"/>
  <c r="T41" i="11"/>
  <c r="U41" i="11"/>
  <c r="Q41" i="11"/>
  <c r="T38" i="13"/>
  <c r="Q38" i="13"/>
  <c r="R38" i="13"/>
  <c r="Q38" i="14"/>
  <c r="U38" i="13"/>
  <c r="V38" i="13"/>
  <c r="P38" i="13"/>
  <c r="S38" i="13"/>
  <c r="U39" i="12"/>
  <c r="S39" i="12"/>
  <c r="R32" i="10"/>
  <c r="S32" i="11"/>
  <c r="T96" i="11"/>
  <c r="V14" i="13"/>
  <c r="P39" i="11"/>
  <c r="AV39" i="10"/>
  <c r="R48" i="12"/>
  <c r="AK8" i="26"/>
  <c r="J2" i="21"/>
  <c r="AJ9" i="26"/>
  <c r="Q48" i="13"/>
  <c r="J2" i="22"/>
  <c r="S2" i="19"/>
  <c r="T28" i="19"/>
  <c r="R77" i="15"/>
  <c r="Q77" i="16"/>
  <c r="R108" i="14"/>
  <c r="S108" i="15"/>
  <c r="T73" i="14"/>
  <c r="V108" i="14"/>
  <c r="S108" i="14"/>
  <c r="U35" i="13"/>
  <c r="P35" i="13"/>
  <c r="S40" i="14"/>
  <c r="U77" i="15"/>
  <c r="R76" i="15"/>
  <c r="Q76" i="16"/>
  <c r="V72" i="14"/>
  <c r="T72" i="14"/>
  <c r="S72" i="14"/>
  <c r="P72" i="14"/>
  <c r="U72" i="14"/>
  <c r="Q72" i="14"/>
  <c r="R72" i="14"/>
  <c r="P72" i="15"/>
  <c r="V34" i="13"/>
  <c r="U73" i="14"/>
  <c r="T108" i="14"/>
  <c r="U108" i="14"/>
  <c r="T35" i="13"/>
  <c r="Q90" i="17"/>
  <c r="R90" i="17"/>
  <c r="U40" i="14"/>
  <c r="S77" i="15"/>
  <c r="T77" i="15"/>
  <c r="T22" i="14"/>
  <c r="U22" i="14"/>
  <c r="V22" i="14"/>
  <c r="Q22" i="14"/>
  <c r="P22" i="14"/>
  <c r="S22" i="14"/>
  <c r="R43" i="11"/>
  <c r="V43" i="12"/>
  <c r="T28" i="15"/>
  <c r="P28" i="15"/>
  <c r="U28" i="15"/>
  <c r="V28" i="15"/>
  <c r="Q28" i="15"/>
  <c r="S28" i="15"/>
  <c r="S34" i="13"/>
  <c r="U34" i="13"/>
  <c r="V73" i="14"/>
  <c r="R68" i="11"/>
  <c r="V68" i="12"/>
  <c r="P108" i="14"/>
  <c r="V35" i="13"/>
  <c r="S35" i="13"/>
  <c r="P90" i="17"/>
  <c r="Q40" i="14"/>
  <c r="R40" i="14"/>
  <c r="P77" i="15"/>
  <c r="R36" i="14"/>
  <c r="V36" i="15"/>
  <c r="T34" i="13"/>
  <c r="R13" i="14"/>
  <c r="U13" i="15"/>
  <c r="R94" i="15"/>
  <c r="S94" i="16"/>
  <c r="Q73" i="14"/>
  <c r="S73" i="14"/>
  <c r="Q35" i="13"/>
  <c r="S18" i="14"/>
  <c r="V18" i="14"/>
  <c r="Q52" i="11"/>
  <c r="S52" i="11"/>
  <c r="C58" i="11"/>
  <c r="R16" i="11"/>
  <c r="S16" i="12"/>
  <c r="CC52" i="26"/>
  <c r="Z54" i="22"/>
  <c r="P65" i="12"/>
  <c r="S21" i="11"/>
  <c r="T21" i="11"/>
  <c r="Q21" i="11"/>
  <c r="R21" i="11"/>
  <c r="U21" i="11"/>
  <c r="P21" i="11"/>
  <c r="V21" i="11"/>
  <c r="S93" i="13"/>
  <c r="V93" i="13"/>
  <c r="P93" i="13"/>
  <c r="U93" i="13"/>
  <c r="Q93" i="13"/>
  <c r="T93" i="13"/>
  <c r="AZ35" i="8"/>
  <c r="AG35" i="8"/>
  <c r="R51" i="8"/>
  <c r="Z46" i="8"/>
  <c r="W46" i="8"/>
  <c r="W5" i="9"/>
  <c r="W68" i="9"/>
  <c r="V106" i="16"/>
  <c r="U106" i="16"/>
  <c r="AW44" i="8"/>
  <c r="J25" i="19"/>
  <c r="K21" i="19"/>
  <c r="AS26" i="9"/>
  <c r="AR26" i="9"/>
  <c r="K7" i="19"/>
  <c r="BH35" i="26"/>
  <c r="F35" i="21"/>
  <c r="AT44" i="9"/>
  <c r="K16" i="19"/>
  <c r="AS35" i="9"/>
  <c r="AR35" i="9"/>
  <c r="K15" i="19"/>
  <c r="K22" i="19"/>
  <c r="AT42" i="9"/>
  <c r="F33" i="21"/>
  <c r="BH33" i="26"/>
  <c r="BH15" i="26"/>
  <c r="F15" i="21"/>
  <c r="K13" i="19"/>
  <c r="AS32" i="9"/>
  <c r="AR32" i="9"/>
  <c r="K4" i="19"/>
  <c r="T87" i="13"/>
  <c r="Q42" i="11"/>
  <c r="T42" i="11"/>
  <c r="T69" i="13"/>
  <c r="V69" i="13"/>
  <c r="V37" i="11"/>
  <c r="P64" i="12"/>
  <c r="T18" i="14"/>
  <c r="P18" i="14"/>
  <c r="M55" i="10"/>
  <c r="N55" i="10"/>
  <c r="U84" i="13"/>
  <c r="V84" i="13"/>
  <c r="S84" i="13"/>
  <c r="Q84" i="13"/>
  <c r="P84" i="13"/>
  <c r="T84" i="13"/>
  <c r="J9" i="19"/>
  <c r="J15" i="19"/>
  <c r="V97" i="13"/>
  <c r="P97" i="13"/>
  <c r="U97" i="13"/>
  <c r="Q97" i="13"/>
  <c r="R97" i="13"/>
  <c r="S97" i="13"/>
  <c r="T97" i="13"/>
  <c r="U65" i="12"/>
  <c r="Q65" i="12"/>
  <c r="T11" i="15"/>
  <c r="V11" i="15"/>
  <c r="S11" i="15"/>
  <c r="P11" i="15"/>
  <c r="U11" i="15"/>
  <c r="Q11" i="15"/>
  <c r="R17" i="11"/>
  <c r="Q17" i="12"/>
  <c r="R56" i="5"/>
  <c r="Q59" i="5"/>
  <c r="S59" i="5"/>
  <c r="S53" i="5"/>
  <c r="Q95" i="12"/>
  <c r="R95" i="12"/>
  <c r="P95" i="12"/>
  <c r="V90" i="17"/>
  <c r="S90" i="17"/>
  <c r="T106" i="16"/>
  <c r="P106" i="16"/>
  <c r="R74" i="14"/>
  <c r="V74" i="15"/>
  <c r="C4" i="11"/>
  <c r="Q50" i="11"/>
  <c r="D19" i="11"/>
  <c r="B20" i="11"/>
  <c r="BH22" i="26"/>
  <c r="F22" i="21"/>
  <c r="AT36" i="9"/>
  <c r="BH27" i="26"/>
  <c r="F27" i="21"/>
  <c r="K12" i="19"/>
  <c r="AS31" i="9"/>
  <c r="AR31" i="9"/>
  <c r="K5" i="19"/>
  <c r="K19" i="19"/>
  <c r="K18" i="19"/>
  <c r="BH28" i="26"/>
  <c r="F28" i="21"/>
  <c r="F32" i="21"/>
  <c r="AT41" i="9"/>
  <c r="BH32" i="26"/>
  <c r="K9" i="19"/>
  <c r="F18" i="21"/>
  <c r="AT27" i="9"/>
  <c r="BH18" i="26"/>
  <c r="P87" i="13"/>
  <c r="U87" i="13"/>
  <c r="AV33" i="10"/>
  <c r="P42" i="11"/>
  <c r="Q69" i="13"/>
  <c r="U69" i="13"/>
  <c r="T37" i="11"/>
  <c r="U37" i="11"/>
  <c r="T64" i="12"/>
  <c r="S64" i="12"/>
  <c r="BH14" i="26"/>
  <c r="AA45" i="9"/>
  <c r="F14" i="21"/>
  <c r="Q18" i="14"/>
  <c r="U18" i="14"/>
  <c r="R102" i="12"/>
  <c r="Q102" i="13"/>
  <c r="Q8" i="12"/>
  <c r="R8" i="12"/>
  <c r="T8" i="12"/>
  <c r="U8" i="12"/>
  <c r="P8" i="12"/>
  <c r="V8" i="12"/>
  <c r="S8" i="12"/>
  <c r="U27" i="14"/>
  <c r="V27" i="14"/>
  <c r="T27" i="14"/>
  <c r="P27" i="14"/>
  <c r="S27" i="14"/>
  <c r="Q27" i="14"/>
  <c r="R27" i="14"/>
  <c r="S50" i="10"/>
  <c r="Q53" i="10"/>
  <c r="U110" i="14"/>
  <c r="V110" i="14"/>
  <c r="T110" i="14"/>
  <c r="Q110" i="14"/>
  <c r="R110" i="14"/>
  <c r="P110" i="14"/>
  <c r="S110" i="14"/>
  <c r="Q26" i="13"/>
  <c r="R26" i="13"/>
  <c r="V26" i="13"/>
  <c r="T26" i="13"/>
  <c r="P26" i="13"/>
  <c r="U26" i="13"/>
  <c r="S26" i="13"/>
  <c r="S65" i="12"/>
  <c r="T65" i="12"/>
  <c r="R7" i="11"/>
  <c r="Q80" i="14"/>
  <c r="R80" i="14"/>
  <c r="S80" i="14"/>
  <c r="U80" i="14"/>
  <c r="V80" i="14"/>
  <c r="P80" i="14"/>
  <c r="T80" i="14"/>
  <c r="R89" i="12"/>
  <c r="T89" i="13"/>
  <c r="R44" i="15"/>
  <c r="V86" i="12"/>
  <c r="P86" i="12"/>
  <c r="U86" i="12"/>
  <c r="Q86" i="12"/>
  <c r="R86" i="12"/>
  <c r="T86" i="12"/>
  <c r="S86" i="12"/>
  <c r="T95" i="12"/>
  <c r="S95" i="12"/>
  <c r="R78" i="12"/>
  <c r="V78" i="13"/>
  <c r="R103" i="14"/>
  <c r="Q103" i="15"/>
  <c r="S109" i="12"/>
  <c r="T109" i="12"/>
  <c r="P109" i="12"/>
  <c r="V109" i="12"/>
  <c r="U109" i="12"/>
  <c r="Q109" i="12"/>
  <c r="AA42" i="10"/>
  <c r="AD23" i="10"/>
  <c r="AD24" i="10"/>
  <c r="AA33" i="10"/>
  <c r="AD30" i="10"/>
  <c r="AA40" i="10"/>
  <c r="AA24" i="10"/>
  <c r="AA23" i="10"/>
  <c r="AD38" i="10"/>
  <c r="AA36" i="10"/>
  <c r="AA30" i="10"/>
  <c r="AD41" i="10"/>
  <c r="AD33" i="10"/>
  <c r="AA43" i="10"/>
  <c r="AA38" i="10"/>
  <c r="AD39" i="10"/>
  <c r="AD37" i="10"/>
  <c r="AA27" i="10"/>
  <c r="AA35" i="10"/>
  <c r="AA29" i="10"/>
  <c r="AA39" i="10"/>
  <c r="AA34" i="10"/>
  <c r="AD27" i="10"/>
  <c r="AA28" i="10"/>
  <c r="AD34" i="10"/>
  <c r="AA25" i="10"/>
  <c r="AD42" i="10"/>
  <c r="AA41" i="10"/>
  <c r="AD25" i="10"/>
  <c r="AA31" i="10"/>
  <c r="AD31" i="10"/>
  <c r="AA37" i="10"/>
  <c r="AD28" i="10"/>
  <c r="AD36" i="10"/>
  <c r="AA44" i="10"/>
  <c r="AD29" i="10"/>
  <c r="AA26" i="10"/>
  <c r="AD40" i="10"/>
  <c r="AD26" i="10"/>
  <c r="AD35" i="10"/>
  <c r="AD32" i="10"/>
  <c r="AA32" i="10"/>
  <c r="BI23" i="26"/>
  <c r="R45" i="11"/>
  <c r="Q45" i="12"/>
  <c r="U29" i="11"/>
  <c r="S29" i="11"/>
  <c r="Q29" i="11"/>
  <c r="P29" i="11"/>
  <c r="V29" i="11"/>
  <c r="T29" i="11"/>
  <c r="Q106" i="16"/>
  <c r="R106" i="16"/>
  <c r="T40" i="14"/>
  <c r="BX9" i="26"/>
  <c r="C13" i="13"/>
  <c r="U9" i="22"/>
  <c r="C18" i="12"/>
  <c r="AT32" i="9"/>
  <c r="BH23" i="26"/>
  <c r="F23" i="21"/>
  <c r="K23" i="19"/>
  <c r="F29" i="21"/>
  <c r="BH29" i="26"/>
  <c r="F34" i="21"/>
  <c r="BH34" i="26"/>
  <c r="AT43" i="9"/>
  <c r="AT43" i="10"/>
  <c r="F30" i="21"/>
  <c r="BH30" i="26"/>
  <c r="AT33" i="9"/>
  <c r="BH24" i="26"/>
  <c r="F24" i="21"/>
  <c r="BH17" i="26"/>
  <c r="AT26" i="9"/>
  <c r="AT26" i="10"/>
  <c r="F17" i="21"/>
  <c r="F48" i="21"/>
  <c r="F63" i="21"/>
  <c r="F65" i="21"/>
  <c r="K17" i="19"/>
  <c r="F16" i="21"/>
  <c r="AT25" i="9"/>
  <c r="BH16" i="26"/>
  <c r="BH26" i="26"/>
  <c r="F26" i="21"/>
  <c r="Q87" i="13"/>
  <c r="R87" i="13"/>
  <c r="V87" i="13"/>
  <c r="R42" i="11"/>
  <c r="U42" i="11"/>
  <c r="P69" i="13"/>
  <c r="P37" i="11"/>
  <c r="R37" i="11"/>
  <c r="U37" i="12"/>
  <c r="U64" i="12"/>
  <c r="R64" i="12"/>
  <c r="U37" i="22"/>
  <c r="BX37" i="26"/>
  <c r="C57" i="12"/>
  <c r="C46" i="13"/>
  <c r="AW41" i="8"/>
  <c r="AX41" i="9"/>
  <c r="AE41" i="9"/>
  <c r="BX13" i="26"/>
  <c r="U13" i="22"/>
  <c r="C17" i="13"/>
  <c r="U105" i="13"/>
  <c r="T105" i="13"/>
  <c r="Q105" i="13"/>
  <c r="V105" i="13"/>
  <c r="P105" i="13"/>
  <c r="S105" i="13"/>
  <c r="V75" i="12"/>
  <c r="U75" i="12"/>
  <c r="P75" i="12"/>
  <c r="Q75" i="12"/>
  <c r="T75" i="12"/>
  <c r="S75" i="12"/>
  <c r="U67" i="13"/>
  <c r="Q67" i="13"/>
  <c r="V67" i="13"/>
  <c r="S67" i="13"/>
  <c r="P67" i="13"/>
  <c r="T67" i="13"/>
  <c r="R65" i="12"/>
  <c r="S12" i="11"/>
  <c r="T12" i="11"/>
  <c r="V12" i="11"/>
  <c r="Q12" i="11"/>
  <c r="U12" i="11"/>
  <c r="P12" i="11"/>
  <c r="T33" i="12"/>
  <c r="Q33" i="12"/>
  <c r="P33" i="12"/>
  <c r="V33" i="12"/>
  <c r="S33" i="12"/>
  <c r="U33" i="12"/>
  <c r="BZ46" i="26"/>
  <c r="C55" i="15"/>
  <c r="W46" i="22"/>
  <c r="Q88" i="12"/>
  <c r="U88" i="12"/>
  <c r="S88" i="12"/>
  <c r="P88" i="12"/>
  <c r="V88" i="12"/>
  <c r="T88" i="12"/>
  <c r="U95" i="12"/>
  <c r="Q100" i="13"/>
  <c r="P100" i="13"/>
  <c r="T100" i="13"/>
  <c r="U100" i="13"/>
  <c r="S100" i="13"/>
  <c r="V100" i="13"/>
  <c r="T70" i="13"/>
  <c r="S70" i="13"/>
  <c r="V70" i="13"/>
  <c r="U70" i="13"/>
  <c r="Q70" i="13"/>
  <c r="R70" i="13"/>
  <c r="P70" i="13"/>
  <c r="V83" i="14"/>
  <c r="S83" i="14"/>
  <c r="Q83" i="14"/>
  <c r="R83" i="14"/>
  <c r="U83" i="14"/>
  <c r="P83" i="14"/>
  <c r="T83" i="14"/>
  <c r="U45" i="22"/>
  <c r="BX45" i="26"/>
  <c r="C54" i="13"/>
  <c r="S98" i="14"/>
  <c r="T98" i="14"/>
  <c r="Q98" i="14"/>
  <c r="R98" i="14"/>
  <c r="P98" i="14"/>
  <c r="U98" i="14"/>
  <c r="V98" i="14"/>
  <c r="R23" i="10"/>
  <c r="P23" i="11"/>
  <c r="R30" i="15"/>
  <c r="P30" i="16"/>
  <c r="S25" i="12"/>
  <c r="P25" i="12"/>
  <c r="T25" i="12"/>
  <c r="U25" i="12"/>
  <c r="Q25" i="12"/>
  <c r="V25" i="12"/>
  <c r="BH21" i="26"/>
  <c r="F21" i="21"/>
  <c r="AT30" i="9"/>
  <c r="K20" i="19"/>
  <c r="AS39" i="9"/>
  <c r="AR39" i="9"/>
  <c r="F19" i="21"/>
  <c r="BH19" i="26"/>
  <c r="AS25" i="9"/>
  <c r="AR25" i="9"/>
  <c r="K6" i="19"/>
  <c r="BH20" i="26"/>
  <c r="F20" i="21"/>
  <c r="BH25" i="26"/>
  <c r="F25" i="21"/>
  <c r="K11" i="19"/>
  <c r="AS30" i="9"/>
  <c r="AR30" i="9"/>
  <c r="K8" i="19"/>
  <c r="K10" i="19"/>
  <c r="K14" i="19"/>
  <c r="AS33" i="9"/>
  <c r="AR33" i="9"/>
  <c r="F31" i="21"/>
  <c r="BH31" i="26"/>
  <c r="AV32" i="10"/>
  <c r="AV29" i="10"/>
  <c r="AV29" i="11"/>
  <c r="S42" i="11"/>
  <c r="R69" i="13"/>
  <c r="S37" i="11"/>
  <c r="V64" i="12"/>
  <c r="Q20" i="13"/>
  <c r="P20" i="13"/>
  <c r="V20" i="13"/>
  <c r="S20" i="13"/>
  <c r="R20" i="13"/>
  <c r="T20" i="13"/>
  <c r="U20" i="13"/>
  <c r="AE38" i="8"/>
  <c r="AZ38" i="8"/>
  <c r="AQ26" i="13"/>
  <c r="P24" i="13"/>
  <c r="V24" i="13"/>
  <c r="T24" i="13"/>
  <c r="U24" i="13"/>
  <c r="S24" i="13"/>
  <c r="Q24" i="13"/>
  <c r="R24" i="13"/>
  <c r="S40" i="15"/>
  <c r="P40" i="15"/>
  <c r="V40" i="15"/>
  <c r="T40" i="15"/>
  <c r="Q40" i="15"/>
  <c r="U40" i="15"/>
  <c r="B27" i="22"/>
  <c r="T31" i="14"/>
  <c r="B24" i="22"/>
  <c r="Q104" i="14"/>
  <c r="T104" i="14"/>
  <c r="T39" i="12"/>
  <c r="Q31" i="14"/>
  <c r="V39" i="12"/>
  <c r="U31" i="14"/>
  <c r="U76" i="16"/>
  <c r="T76" i="16"/>
  <c r="U104" i="14"/>
  <c r="Q9" i="14"/>
  <c r="V9" i="14"/>
  <c r="U9" i="14"/>
  <c r="P9" i="14"/>
  <c r="S9" i="14"/>
  <c r="T9" i="14"/>
  <c r="Q39" i="12"/>
  <c r="R39" i="12"/>
  <c r="T79" i="12"/>
  <c r="R104" i="14"/>
  <c r="Q104" i="15"/>
  <c r="T13" i="15"/>
  <c r="Q79" i="12"/>
  <c r="B25" i="19"/>
  <c r="B35" i="22"/>
  <c r="B4" i="19"/>
  <c r="B14" i="22"/>
  <c r="B25" i="22"/>
  <c r="B15" i="19"/>
  <c r="V13" i="15"/>
  <c r="U77" i="16"/>
  <c r="U79" i="12"/>
  <c r="P31" i="14"/>
  <c r="Y52" i="22"/>
  <c r="CB50" i="26"/>
  <c r="Z8" i="17"/>
  <c r="Z53" i="22"/>
  <c r="CC51" i="26"/>
  <c r="V79" i="12"/>
  <c r="X60" i="22"/>
  <c r="Z16" i="16"/>
  <c r="CA58" i="26"/>
  <c r="AZ22" i="26"/>
  <c r="Y31" i="16"/>
  <c r="C23" i="19"/>
  <c r="D23" i="19"/>
  <c r="Z33" i="22"/>
  <c r="BK23" i="19"/>
  <c r="CC33" i="26"/>
  <c r="V76" i="16"/>
  <c r="V108" i="15"/>
  <c r="AZ21" i="26"/>
  <c r="Y30" i="16"/>
  <c r="P77" i="16"/>
  <c r="R31" i="14"/>
  <c r="Q31" i="15"/>
  <c r="X43" i="22"/>
  <c r="C52" i="16"/>
  <c r="CA43" i="26"/>
  <c r="R10" i="12"/>
  <c r="V10" i="13"/>
  <c r="S10" i="13"/>
  <c r="T10" i="13"/>
  <c r="CB39" i="26"/>
  <c r="Y39" i="22"/>
  <c r="C48" i="17"/>
  <c r="Y31" i="22"/>
  <c r="BJ21" i="19"/>
  <c r="Z40" i="17"/>
  <c r="CB31" i="26"/>
  <c r="C47" i="17"/>
  <c r="Y38" i="22"/>
  <c r="CB38" i="26"/>
  <c r="CA21" i="26"/>
  <c r="Z30" i="16"/>
  <c r="X21" i="22"/>
  <c r="BI11" i="19"/>
  <c r="Z39" i="16"/>
  <c r="CA30" i="26"/>
  <c r="X30" i="22"/>
  <c r="BI20" i="19"/>
  <c r="T94" i="16"/>
  <c r="S13" i="15"/>
  <c r="P76" i="16"/>
  <c r="Q108" i="15"/>
  <c r="S77" i="16"/>
  <c r="S79" i="12"/>
  <c r="CA26" i="26"/>
  <c r="X26" i="22"/>
  <c r="BI16" i="19"/>
  <c r="Z35" i="16"/>
  <c r="C14" i="16"/>
  <c r="X10" i="22"/>
  <c r="CA10" i="26"/>
  <c r="Y5" i="22"/>
  <c r="C9" i="17"/>
  <c r="CB5" i="26"/>
  <c r="Z32" i="16"/>
  <c r="CA23" i="26"/>
  <c r="X23" i="22"/>
  <c r="BI13" i="19"/>
  <c r="CB47" i="26"/>
  <c r="Y47" i="22"/>
  <c r="C56" i="17"/>
  <c r="CA32" i="26"/>
  <c r="X32" i="22"/>
  <c r="BI22" i="19"/>
  <c r="Z41" i="16"/>
  <c r="X25" i="22"/>
  <c r="BI15" i="19"/>
  <c r="Z34" i="16"/>
  <c r="CA25" i="26"/>
  <c r="S76" i="16"/>
  <c r="T77" i="16"/>
  <c r="Z11" i="17"/>
  <c r="CB53" i="26"/>
  <c r="Y55" i="22"/>
  <c r="Z28" i="16"/>
  <c r="X19" i="22"/>
  <c r="BI9" i="19"/>
  <c r="CA19" i="26"/>
  <c r="Z26" i="17"/>
  <c r="CB17" i="26"/>
  <c r="Y17" i="22"/>
  <c r="BJ7" i="19"/>
  <c r="U19" i="14"/>
  <c r="P19" i="14"/>
  <c r="T19" i="14"/>
  <c r="V19" i="14"/>
  <c r="S19" i="14"/>
  <c r="Q19" i="14"/>
  <c r="R19" i="14"/>
  <c r="U15" i="11"/>
  <c r="AD44" i="10"/>
  <c r="U66" i="17"/>
  <c r="P66" i="17"/>
  <c r="Q66" i="17"/>
  <c r="R66" i="17"/>
  <c r="T66" i="17"/>
  <c r="V66" i="17"/>
  <c r="S66" i="17"/>
  <c r="Q13" i="15"/>
  <c r="R13" i="15"/>
  <c r="S43" i="12"/>
  <c r="Q101" i="16"/>
  <c r="R101" i="16"/>
  <c r="T101" i="17"/>
  <c r="Z12" i="16"/>
  <c r="CA54" i="26"/>
  <c r="X56" i="22"/>
  <c r="X34" i="22"/>
  <c r="BI24" i="19"/>
  <c r="CA34" i="26"/>
  <c r="Z43" i="16"/>
  <c r="Z45" i="15"/>
  <c r="Q51" i="15"/>
  <c r="Q91" i="17"/>
  <c r="R91" i="17"/>
  <c r="P91" i="17"/>
  <c r="T91" i="17"/>
  <c r="V91" i="17"/>
  <c r="S91" i="17"/>
  <c r="U91" i="17"/>
  <c r="P14" i="14"/>
  <c r="P13" i="15"/>
  <c r="U43" i="12"/>
  <c r="U101" i="16"/>
  <c r="R41" i="11"/>
  <c r="U41" i="12"/>
  <c r="V41" i="12"/>
  <c r="Q32" i="11"/>
  <c r="P32" i="11"/>
  <c r="P99" i="13"/>
  <c r="S99" i="13"/>
  <c r="Q99" i="13"/>
  <c r="T99" i="13"/>
  <c r="U99" i="13"/>
  <c r="R79" i="12"/>
  <c r="T79" i="13"/>
  <c r="T14" i="14"/>
  <c r="S14" i="14"/>
  <c r="S39" i="13"/>
  <c r="V39" i="13"/>
  <c r="U39" i="13"/>
  <c r="T39" i="13"/>
  <c r="Q39" i="13"/>
  <c r="R39" i="13"/>
  <c r="P39" i="13"/>
  <c r="U32" i="11"/>
  <c r="V32" i="11"/>
  <c r="S15" i="11"/>
  <c r="P15" i="11"/>
  <c r="Q15" i="11"/>
  <c r="R15" i="11"/>
  <c r="P15" i="12"/>
  <c r="T15" i="11"/>
  <c r="V15" i="11"/>
  <c r="AZ29" i="26"/>
  <c r="Y38" i="16"/>
  <c r="Q14" i="14"/>
  <c r="U14" i="14"/>
  <c r="U38" i="14"/>
  <c r="P38" i="14"/>
  <c r="R38" i="14"/>
  <c r="V38" i="14"/>
  <c r="T38" i="14"/>
  <c r="S38" i="14"/>
  <c r="T32" i="11"/>
  <c r="T71" i="15"/>
  <c r="S71" i="15"/>
  <c r="V71" i="15"/>
  <c r="P71" i="15"/>
  <c r="U71" i="15"/>
  <c r="R71" i="15"/>
  <c r="T71" i="16"/>
  <c r="BZ56" i="26"/>
  <c r="Z14" i="15"/>
  <c r="W58" i="22"/>
  <c r="R96" i="11"/>
  <c r="T96" i="12"/>
  <c r="U2" i="19"/>
  <c r="V28" i="19"/>
  <c r="K2" i="22"/>
  <c r="AJ10" i="26"/>
  <c r="Q48" i="14"/>
  <c r="K2" i="21"/>
  <c r="AK9" i="26"/>
  <c r="R48" i="13"/>
  <c r="AV32" i="11"/>
  <c r="R77" i="16"/>
  <c r="T77" i="17"/>
  <c r="R73" i="14"/>
  <c r="P73" i="15"/>
  <c r="S68" i="12"/>
  <c r="T36" i="15"/>
  <c r="Q34" i="14"/>
  <c r="R34" i="14"/>
  <c r="R103" i="15"/>
  <c r="V103" i="15"/>
  <c r="U94" i="16"/>
  <c r="P94" i="16"/>
  <c r="Q43" i="12"/>
  <c r="R22" i="14"/>
  <c r="T22" i="15"/>
  <c r="Q68" i="12"/>
  <c r="R68" i="12"/>
  <c r="S36" i="15"/>
  <c r="V101" i="16"/>
  <c r="U34" i="14"/>
  <c r="T108" i="15"/>
  <c r="U108" i="15"/>
  <c r="V77" i="16"/>
  <c r="T103" i="15"/>
  <c r="Q94" i="16"/>
  <c r="V94" i="16"/>
  <c r="V13" i="16"/>
  <c r="P13" i="16"/>
  <c r="T13" i="16"/>
  <c r="S13" i="16"/>
  <c r="U13" i="16"/>
  <c r="Q13" i="16"/>
  <c r="R13" i="16"/>
  <c r="R28" i="15"/>
  <c r="S28" i="16"/>
  <c r="P43" i="12"/>
  <c r="T43" i="12"/>
  <c r="T68" i="12"/>
  <c r="P36" i="15"/>
  <c r="U36" i="15"/>
  <c r="R76" i="16"/>
  <c r="U76" i="17"/>
  <c r="T101" i="16"/>
  <c r="S101" i="16"/>
  <c r="V34" i="14"/>
  <c r="T34" i="14"/>
  <c r="R35" i="13"/>
  <c r="S35" i="14"/>
  <c r="R108" i="15"/>
  <c r="V108" i="16"/>
  <c r="P108" i="15"/>
  <c r="S103" i="15"/>
  <c r="U68" i="12"/>
  <c r="P68" i="12"/>
  <c r="Q36" i="15"/>
  <c r="R36" i="15"/>
  <c r="Q72" i="15"/>
  <c r="R72" i="15"/>
  <c r="T72" i="15"/>
  <c r="V72" i="15"/>
  <c r="U72" i="15"/>
  <c r="S72" i="15"/>
  <c r="P34" i="14"/>
  <c r="T106" i="17"/>
  <c r="P106" i="17"/>
  <c r="V106" i="17"/>
  <c r="Q106" i="17"/>
  <c r="R106" i="17"/>
  <c r="S106" i="17"/>
  <c r="U106" i="17"/>
  <c r="M7" i="19"/>
  <c r="G35" i="21"/>
  <c r="BI35" i="26"/>
  <c r="AS31" i="10"/>
  <c r="AR31" i="10"/>
  <c r="AV31" i="11"/>
  <c r="M12" i="19"/>
  <c r="M23" i="19"/>
  <c r="AV27" i="11"/>
  <c r="M8" i="19"/>
  <c r="G26" i="21"/>
  <c r="BI26" i="26"/>
  <c r="G29" i="21"/>
  <c r="BI29" i="26"/>
  <c r="BI21" i="26"/>
  <c r="G21" i="21"/>
  <c r="AT30" i="10"/>
  <c r="BI15" i="26"/>
  <c r="G15" i="21"/>
  <c r="AT24" i="10"/>
  <c r="AV24" i="11"/>
  <c r="M5" i="19"/>
  <c r="V103" i="16"/>
  <c r="T103" i="16"/>
  <c r="S103" i="16"/>
  <c r="U103" i="16"/>
  <c r="P103" i="16"/>
  <c r="Q103" i="16"/>
  <c r="R103" i="16"/>
  <c r="U30" i="16"/>
  <c r="S45" i="12"/>
  <c r="R11" i="15"/>
  <c r="S11" i="16"/>
  <c r="V42" i="12"/>
  <c r="T42" i="12"/>
  <c r="Q42" i="12"/>
  <c r="R42" i="12"/>
  <c r="P42" i="12"/>
  <c r="U42" i="12"/>
  <c r="S42" i="12"/>
  <c r="T74" i="15"/>
  <c r="U74" i="15"/>
  <c r="S89" i="13"/>
  <c r="V89" i="13"/>
  <c r="V17" i="12"/>
  <c r="S17" i="12"/>
  <c r="T7" i="12"/>
  <c r="S23" i="11"/>
  <c r="Q23" i="11"/>
  <c r="R23" i="11"/>
  <c r="Q44" i="16"/>
  <c r="V44" i="16"/>
  <c r="Q16" i="12"/>
  <c r="V16" i="12"/>
  <c r="S102" i="13"/>
  <c r="T102" i="13"/>
  <c r="P37" i="12"/>
  <c r="Q37" i="12"/>
  <c r="P64" i="13"/>
  <c r="R18" i="14"/>
  <c r="U18" i="15"/>
  <c r="U83" i="15"/>
  <c r="V83" i="15"/>
  <c r="P83" i="15"/>
  <c r="S83" i="15"/>
  <c r="Q83" i="15"/>
  <c r="T83" i="15"/>
  <c r="CA46" i="26"/>
  <c r="X46" i="22"/>
  <c r="C55" i="16"/>
  <c r="R12" i="11"/>
  <c r="Q12" i="12"/>
  <c r="BY9" i="26"/>
  <c r="V9" i="22"/>
  <c r="C13" i="14"/>
  <c r="C18" i="13"/>
  <c r="AT32" i="10"/>
  <c r="M21" i="19"/>
  <c r="AV36" i="11"/>
  <c r="M17" i="19"/>
  <c r="BI22" i="26"/>
  <c r="G22" i="21"/>
  <c r="BI16" i="26"/>
  <c r="G16" i="21"/>
  <c r="AT25" i="10"/>
  <c r="BI25" i="26"/>
  <c r="G25" i="21"/>
  <c r="AT27" i="10"/>
  <c r="BI18" i="26"/>
  <c r="G18" i="21"/>
  <c r="BI34" i="26"/>
  <c r="G34" i="21"/>
  <c r="AT36" i="10"/>
  <c r="BI27" i="26"/>
  <c r="G27" i="21"/>
  <c r="BI31" i="26"/>
  <c r="G31" i="21"/>
  <c r="M4" i="19"/>
  <c r="V86" i="13"/>
  <c r="U86" i="13"/>
  <c r="Q86" i="13"/>
  <c r="S86" i="13"/>
  <c r="P86" i="13"/>
  <c r="T86" i="13"/>
  <c r="P103" i="15"/>
  <c r="U103" i="15"/>
  <c r="V80" i="15"/>
  <c r="U80" i="15"/>
  <c r="T80" i="15"/>
  <c r="P80" i="15"/>
  <c r="Q80" i="15"/>
  <c r="S80" i="15"/>
  <c r="R51" i="9"/>
  <c r="Z46" i="9"/>
  <c r="U69" i="14"/>
  <c r="S69" i="14"/>
  <c r="V69" i="14"/>
  <c r="Q69" i="14"/>
  <c r="R69" i="14"/>
  <c r="T69" i="14"/>
  <c r="P69" i="14"/>
  <c r="N55" i="11"/>
  <c r="M55" i="11"/>
  <c r="Q30" i="16"/>
  <c r="R30" i="16"/>
  <c r="T30" i="16"/>
  <c r="P45" i="12"/>
  <c r="V45" i="12"/>
  <c r="R84" i="13"/>
  <c r="Q84" i="14"/>
  <c r="S74" i="15"/>
  <c r="W95" i="9"/>
  <c r="W100" i="9"/>
  <c r="W29" i="9"/>
  <c r="W43" i="9"/>
  <c r="W93" i="9"/>
  <c r="W66" i="9"/>
  <c r="W25" i="9"/>
  <c r="W39" i="9"/>
  <c r="W96" i="9"/>
  <c r="W64" i="9"/>
  <c r="W21" i="9"/>
  <c r="W87" i="9"/>
  <c r="W94" i="9"/>
  <c r="W42" i="9"/>
  <c r="W15" i="9"/>
  <c r="W105" i="9"/>
  <c r="W65" i="9"/>
  <c r="W92" i="9"/>
  <c r="W38" i="9"/>
  <c r="W13" i="9"/>
  <c r="W83" i="9"/>
  <c r="W90" i="9"/>
  <c r="W34" i="9"/>
  <c r="W23" i="9"/>
  <c r="W79" i="9"/>
  <c r="W88" i="9"/>
  <c r="W44" i="9"/>
  <c r="W19" i="9"/>
  <c r="W77" i="9"/>
  <c r="W26" i="9"/>
  <c r="W40" i="9"/>
  <c r="W97" i="9"/>
  <c r="W24" i="9"/>
  <c r="W75" i="9"/>
  <c r="W22" i="9"/>
  <c r="W36" i="9"/>
  <c r="W11" i="9"/>
  <c r="W82" i="9"/>
  <c r="W18" i="9"/>
  <c r="W32" i="9"/>
  <c r="W69" i="9"/>
  <c r="W80" i="9"/>
  <c r="W14" i="9"/>
  <c r="W109" i="9"/>
  <c r="W67" i="9"/>
  <c r="W78" i="9"/>
  <c r="W8" i="9"/>
  <c r="W89" i="9"/>
  <c r="W81" i="9"/>
  <c r="W110" i="9"/>
  <c r="W76" i="9"/>
  <c r="W45" i="9"/>
  <c r="W103" i="9"/>
  <c r="W108" i="9"/>
  <c r="W74" i="9"/>
  <c r="W16" i="9"/>
  <c r="W101" i="9"/>
  <c r="W106" i="9"/>
  <c r="W37" i="9"/>
  <c r="W12" i="9"/>
  <c r="W99" i="9"/>
  <c r="W70" i="9"/>
  <c r="W33" i="9"/>
  <c r="W31" i="9"/>
  <c r="W73" i="9"/>
  <c r="Q78" i="13"/>
  <c r="R78" i="13"/>
  <c r="T78" i="13"/>
  <c r="Q89" i="13"/>
  <c r="P17" i="12"/>
  <c r="V7" i="12"/>
  <c r="U44" i="16"/>
  <c r="S44" i="16"/>
  <c r="T16" i="12"/>
  <c r="R16" i="12"/>
  <c r="P102" i="13"/>
  <c r="U102" i="13"/>
  <c r="V37" i="12"/>
  <c r="T64" i="13"/>
  <c r="Q64" i="13"/>
  <c r="V19" i="15"/>
  <c r="Q19" i="15"/>
  <c r="R19" i="15"/>
  <c r="P19" i="15"/>
  <c r="S19" i="15"/>
  <c r="T19" i="15"/>
  <c r="U19" i="15"/>
  <c r="P98" i="15"/>
  <c r="U98" i="15"/>
  <c r="V98" i="15"/>
  <c r="S98" i="15"/>
  <c r="T98" i="15"/>
  <c r="Q98" i="15"/>
  <c r="V45" i="22"/>
  <c r="BY45" i="26"/>
  <c r="C54" i="14"/>
  <c r="P70" i="14"/>
  <c r="S70" i="14"/>
  <c r="V70" i="14"/>
  <c r="Q70" i="14"/>
  <c r="T70" i="14"/>
  <c r="U70" i="14"/>
  <c r="AA27" i="11"/>
  <c r="AD35" i="11"/>
  <c r="AD33" i="11"/>
  <c r="AA42" i="11"/>
  <c r="AA44" i="11"/>
  <c r="AD40" i="11"/>
  <c r="AA41" i="11"/>
  <c r="AA39" i="11"/>
  <c r="AA38" i="11"/>
  <c r="AD32" i="11"/>
  <c r="AD41" i="11"/>
  <c r="AA28" i="11"/>
  <c r="AD39" i="11"/>
  <c r="AA33" i="11"/>
  <c r="AA37" i="11"/>
  <c r="AA31" i="11"/>
  <c r="AD37" i="11"/>
  <c r="AD30" i="11"/>
  <c r="AD25" i="11"/>
  <c r="AA43" i="11"/>
  <c r="AD34" i="11"/>
  <c r="AD27" i="11"/>
  <c r="AA34" i="11"/>
  <c r="AD31" i="11"/>
  <c r="AD38" i="11"/>
  <c r="AA29" i="11"/>
  <c r="AA35" i="11"/>
  <c r="AA32" i="11"/>
  <c r="AA40" i="11"/>
  <c r="AA30" i="11"/>
  <c r="AD28" i="11"/>
  <c r="AD29" i="11"/>
  <c r="AA36" i="11"/>
  <c r="AD23" i="11"/>
  <c r="AD24" i="11"/>
  <c r="AA26" i="11"/>
  <c r="AA23" i="11"/>
  <c r="AD42" i="11"/>
  <c r="AD36" i="11"/>
  <c r="AD26" i="11"/>
  <c r="AA24" i="11"/>
  <c r="AA25" i="11"/>
  <c r="BY37" i="26"/>
  <c r="V37" i="22"/>
  <c r="C46" i="14"/>
  <c r="C57" i="13"/>
  <c r="AD43" i="10"/>
  <c r="Q87" i="14"/>
  <c r="R87" i="14"/>
  <c r="U87" i="14"/>
  <c r="T87" i="14"/>
  <c r="V87" i="14"/>
  <c r="P87" i="14"/>
  <c r="S87" i="14"/>
  <c r="M13" i="19"/>
  <c r="AS32" i="10"/>
  <c r="AR32" i="10"/>
  <c r="G17" i="21"/>
  <c r="BI17" i="26"/>
  <c r="M9" i="19"/>
  <c r="M6" i="19"/>
  <c r="AS25" i="10"/>
  <c r="AR25" i="10"/>
  <c r="AS34" i="10"/>
  <c r="AR34" i="10"/>
  <c r="M15" i="19"/>
  <c r="BI30" i="26"/>
  <c r="G30" i="21"/>
  <c r="AT39" i="10"/>
  <c r="M18" i="19"/>
  <c r="AS33" i="10"/>
  <c r="AR33" i="10"/>
  <c r="M14" i="19"/>
  <c r="AV38" i="11"/>
  <c r="AV38" i="12"/>
  <c r="M19" i="19"/>
  <c r="M11" i="19"/>
  <c r="AS30" i="10"/>
  <c r="AR30" i="10"/>
  <c r="BI33" i="26"/>
  <c r="AT42" i="10"/>
  <c r="G33" i="21"/>
  <c r="T110" i="15"/>
  <c r="P110" i="15"/>
  <c r="V110" i="15"/>
  <c r="Q110" i="15"/>
  <c r="U110" i="15"/>
  <c r="S110" i="15"/>
  <c r="AV34" i="11"/>
  <c r="AV34" i="12"/>
  <c r="P27" i="15"/>
  <c r="S27" i="15"/>
  <c r="U27" i="15"/>
  <c r="Q27" i="15"/>
  <c r="R27" i="15"/>
  <c r="V27" i="15"/>
  <c r="T27" i="15"/>
  <c r="S50" i="11"/>
  <c r="Q53" i="11"/>
  <c r="S30" i="16"/>
  <c r="U45" i="12"/>
  <c r="T45" i="12"/>
  <c r="S65" i="13"/>
  <c r="V65" i="13"/>
  <c r="U65" i="13"/>
  <c r="T65" i="13"/>
  <c r="Q65" i="13"/>
  <c r="R65" i="13"/>
  <c r="P65" i="13"/>
  <c r="Q74" i="15"/>
  <c r="P74" i="15"/>
  <c r="P78" i="13"/>
  <c r="U78" i="13"/>
  <c r="R93" i="13"/>
  <c r="Q93" i="14"/>
  <c r="T21" i="12"/>
  <c r="V21" i="12"/>
  <c r="U21" i="12"/>
  <c r="P21" i="12"/>
  <c r="Q21" i="12"/>
  <c r="S21" i="12"/>
  <c r="R89" i="13"/>
  <c r="P89" i="13"/>
  <c r="R17" i="12"/>
  <c r="P17" i="13"/>
  <c r="U17" i="12"/>
  <c r="S7" i="12"/>
  <c r="P7" i="12"/>
  <c r="T23" i="11"/>
  <c r="U23" i="11"/>
  <c r="P44" i="16"/>
  <c r="T44" i="16"/>
  <c r="U16" i="12"/>
  <c r="P16" i="12"/>
  <c r="V102" i="13"/>
  <c r="T37" i="12"/>
  <c r="R37" i="12"/>
  <c r="U64" i="13"/>
  <c r="V64" i="13"/>
  <c r="R25" i="12"/>
  <c r="U25" i="13"/>
  <c r="R40" i="15"/>
  <c r="Q40" i="16"/>
  <c r="R100" i="13"/>
  <c r="U100" i="14"/>
  <c r="R88" i="12"/>
  <c r="Q88" i="13"/>
  <c r="R33" i="12"/>
  <c r="U33" i="13"/>
  <c r="R67" i="13"/>
  <c r="S67" i="14"/>
  <c r="R75" i="12"/>
  <c r="U75" i="13"/>
  <c r="R105" i="13"/>
  <c r="V105" i="14"/>
  <c r="BY13" i="26"/>
  <c r="V13" i="22"/>
  <c r="C17" i="14"/>
  <c r="AZ41" i="9"/>
  <c r="AG41" i="9"/>
  <c r="AX41" i="10"/>
  <c r="AE41" i="10"/>
  <c r="AW41" i="9"/>
  <c r="L22" i="19"/>
  <c r="Q52" i="12"/>
  <c r="S52" i="12"/>
  <c r="C58" i="12"/>
  <c r="Q50" i="12"/>
  <c r="D19" i="12"/>
  <c r="B20" i="12"/>
  <c r="C4" i="12"/>
  <c r="R29" i="11"/>
  <c r="M16" i="19"/>
  <c r="AS35" i="10"/>
  <c r="AR35" i="10"/>
  <c r="AV35" i="11"/>
  <c r="AV35" i="12"/>
  <c r="AV35" i="13"/>
  <c r="AV35" i="14"/>
  <c r="AV35" i="15"/>
  <c r="AV35" i="16"/>
  <c r="M10" i="19"/>
  <c r="BI28" i="26"/>
  <c r="G28" i="21"/>
  <c r="AT37" i="10"/>
  <c r="G32" i="21"/>
  <c r="BI32" i="26"/>
  <c r="AT41" i="10"/>
  <c r="BI19" i="26"/>
  <c r="G19" i="21"/>
  <c r="G20" i="21"/>
  <c r="AT29" i="10"/>
  <c r="BI20" i="26"/>
  <c r="AS39" i="10"/>
  <c r="AR39" i="10"/>
  <c r="AV39" i="11"/>
  <c r="AV39" i="12"/>
  <c r="M20" i="19"/>
  <c r="AS41" i="10"/>
  <c r="AR41" i="10"/>
  <c r="M22" i="19"/>
  <c r="BI14" i="26"/>
  <c r="G14" i="21"/>
  <c r="AA45" i="10"/>
  <c r="G24" i="21"/>
  <c r="BI24" i="26"/>
  <c r="AT33" i="10"/>
  <c r="R109" i="12"/>
  <c r="T109" i="13"/>
  <c r="U26" i="14"/>
  <c r="P26" i="14"/>
  <c r="S26" i="14"/>
  <c r="T26" i="14"/>
  <c r="V26" i="14"/>
  <c r="Q26" i="14"/>
  <c r="R26" i="14"/>
  <c r="AV41" i="11"/>
  <c r="AV41" i="12"/>
  <c r="AV41" i="13"/>
  <c r="AV41" i="14"/>
  <c r="AV41" i="15"/>
  <c r="AV41" i="16"/>
  <c r="Q8" i="13"/>
  <c r="R8" i="13"/>
  <c r="V8" i="13"/>
  <c r="S8" i="13"/>
  <c r="P8" i="13"/>
  <c r="U8" i="13"/>
  <c r="T8" i="13"/>
  <c r="V30" i="16"/>
  <c r="S95" i="13"/>
  <c r="T95" i="13"/>
  <c r="U95" i="13"/>
  <c r="P95" i="13"/>
  <c r="Q95" i="13"/>
  <c r="V95" i="13"/>
  <c r="R45" i="12"/>
  <c r="U45" i="13"/>
  <c r="Q97" i="14"/>
  <c r="R97" i="14"/>
  <c r="S97" i="14"/>
  <c r="P97" i="14"/>
  <c r="U97" i="14"/>
  <c r="V97" i="14"/>
  <c r="T97" i="14"/>
  <c r="S51" i="8"/>
  <c r="I31" i="19"/>
  <c r="I33" i="19"/>
  <c r="I35" i="19"/>
  <c r="R53" i="8"/>
  <c r="R56" i="8"/>
  <c r="Q59" i="8"/>
  <c r="S59" i="8"/>
  <c r="S78" i="13"/>
  <c r="U89" i="13"/>
  <c r="T17" i="12"/>
  <c r="Q7" i="12"/>
  <c r="U7" i="12"/>
  <c r="V23" i="11"/>
  <c r="R102" i="13"/>
  <c r="T102" i="14"/>
  <c r="S37" i="12"/>
  <c r="S64" i="13"/>
  <c r="Q20" i="14"/>
  <c r="S20" i="14"/>
  <c r="T20" i="14"/>
  <c r="P20" i="14"/>
  <c r="R20" i="14"/>
  <c r="U20" i="14"/>
  <c r="V20" i="14"/>
  <c r="AQ26" i="14"/>
  <c r="P24" i="14"/>
  <c r="Q24" i="14"/>
  <c r="R24" i="14"/>
  <c r="V24" i="14"/>
  <c r="U24" i="14"/>
  <c r="S24" i="14"/>
  <c r="T24" i="14"/>
  <c r="AG38" i="8"/>
  <c r="J19" i="19"/>
  <c r="AX38" i="9"/>
  <c r="P104" i="15"/>
  <c r="U10" i="13"/>
  <c r="R9" i="14"/>
  <c r="Q9" i="15"/>
  <c r="T108" i="16"/>
  <c r="P10" i="13"/>
  <c r="U104" i="15"/>
  <c r="S104" i="15"/>
  <c r="M25" i="19"/>
  <c r="U31" i="15"/>
  <c r="V104" i="15"/>
  <c r="Q41" i="12"/>
  <c r="R41" i="12"/>
  <c r="Q10" i="13"/>
  <c r="V31" i="15"/>
  <c r="T104" i="15"/>
  <c r="R104" i="15"/>
  <c r="U104" i="16"/>
  <c r="Q108" i="16"/>
  <c r="R108" i="16"/>
  <c r="P108" i="17"/>
  <c r="S73" i="15"/>
  <c r="S108" i="16"/>
  <c r="U79" i="13"/>
  <c r="P31" i="15"/>
  <c r="U108" i="16"/>
  <c r="T31" i="15"/>
  <c r="S31" i="15"/>
  <c r="Y30" i="17"/>
  <c r="BA21" i="26"/>
  <c r="P108" i="16"/>
  <c r="U96" i="12"/>
  <c r="T41" i="12"/>
  <c r="R31" i="15"/>
  <c r="Q31" i="16"/>
  <c r="Y60" i="22"/>
  <c r="Z16" i="17"/>
  <c r="CB58" i="26"/>
  <c r="Y31" i="17"/>
  <c r="BA22" i="26"/>
  <c r="CC50" i="26"/>
  <c r="Z52" i="22"/>
  <c r="CC53" i="26"/>
  <c r="Z55" i="22"/>
  <c r="Z34" i="17"/>
  <c r="Y25" i="22"/>
  <c r="BJ15" i="19"/>
  <c r="CB25" i="26"/>
  <c r="CC5" i="26"/>
  <c r="Z5" i="22"/>
  <c r="Y10" i="22"/>
  <c r="C14" i="17"/>
  <c r="CB10" i="26"/>
  <c r="Y30" i="22"/>
  <c r="BJ20" i="19"/>
  <c r="Z39" i="17"/>
  <c r="CB30" i="26"/>
  <c r="CC31" i="26"/>
  <c r="C21" i="19"/>
  <c r="D21" i="19"/>
  <c r="Z31" i="22"/>
  <c r="BK21" i="19"/>
  <c r="V71" i="16"/>
  <c r="CB19" i="26"/>
  <c r="Z28" i="17"/>
  <c r="Y19" i="22"/>
  <c r="BJ9" i="19"/>
  <c r="CC47" i="26"/>
  <c r="Z47" i="22"/>
  <c r="Y26" i="22"/>
  <c r="BJ16" i="19"/>
  <c r="CB26" i="26"/>
  <c r="Z35" i="17"/>
  <c r="CB43" i="26"/>
  <c r="Y43" i="22"/>
  <c r="C52" i="17"/>
  <c r="U101" i="17"/>
  <c r="S96" i="12"/>
  <c r="V79" i="13"/>
  <c r="Z17" i="22"/>
  <c r="BK7" i="19"/>
  <c r="CC17" i="26"/>
  <c r="C7" i="19"/>
  <c r="D7" i="19"/>
  <c r="Z41" i="17"/>
  <c r="Y32" i="22"/>
  <c r="BJ22" i="19"/>
  <c r="CB32" i="26"/>
  <c r="Y23" i="22"/>
  <c r="BJ13" i="19"/>
  <c r="CB23" i="26"/>
  <c r="Z32" i="17"/>
  <c r="Z30" i="17"/>
  <c r="CB21" i="26"/>
  <c r="Y21" i="22"/>
  <c r="BJ11" i="19"/>
  <c r="CC38" i="26"/>
  <c r="Z38" i="22"/>
  <c r="Z39" i="22"/>
  <c r="CC39" i="26"/>
  <c r="V101" i="17"/>
  <c r="U73" i="15"/>
  <c r="V96" i="12"/>
  <c r="S79" i="13"/>
  <c r="S41" i="12"/>
  <c r="R10" i="13"/>
  <c r="Q10" i="14"/>
  <c r="S31" i="16"/>
  <c r="T31" i="16"/>
  <c r="V31" i="16"/>
  <c r="P31" i="16"/>
  <c r="Q101" i="17"/>
  <c r="R101" i="17"/>
  <c r="CA56" i="26"/>
  <c r="Z14" i="16"/>
  <c r="X58" i="22"/>
  <c r="V38" i="15"/>
  <c r="S38" i="15"/>
  <c r="P38" i="15"/>
  <c r="Q38" i="15"/>
  <c r="R38" i="15"/>
  <c r="T38" i="15"/>
  <c r="U38" i="15"/>
  <c r="Y38" i="17"/>
  <c r="BA29" i="26"/>
  <c r="P96" i="12"/>
  <c r="Q96" i="12"/>
  <c r="Q79" i="13"/>
  <c r="P79" i="13"/>
  <c r="R99" i="13"/>
  <c r="Q99" i="14"/>
  <c r="P41" i="12"/>
  <c r="U71" i="16"/>
  <c r="S71" i="16"/>
  <c r="P101" i="17"/>
  <c r="P71" i="16"/>
  <c r="Q71" i="16"/>
  <c r="S101" i="17"/>
  <c r="T73" i="15"/>
  <c r="R14" i="14"/>
  <c r="Q14" i="15"/>
  <c r="P14" i="15"/>
  <c r="R96" i="12"/>
  <c r="T96" i="13"/>
  <c r="V39" i="14"/>
  <c r="T39" i="14"/>
  <c r="P39" i="14"/>
  <c r="U39" i="14"/>
  <c r="S39" i="14"/>
  <c r="Q39" i="14"/>
  <c r="R32" i="11"/>
  <c r="V32" i="12"/>
  <c r="CB54" i="26"/>
  <c r="Z12" i="17"/>
  <c r="Y56" i="22"/>
  <c r="V15" i="12"/>
  <c r="T15" i="12"/>
  <c r="Q15" i="12"/>
  <c r="S15" i="12"/>
  <c r="U15" i="12"/>
  <c r="R15" i="12"/>
  <c r="V15" i="13"/>
  <c r="V41" i="13"/>
  <c r="P41" i="13"/>
  <c r="S41" i="13"/>
  <c r="T41" i="13"/>
  <c r="U41" i="13"/>
  <c r="Q41" i="13"/>
  <c r="CB34" i="26"/>
  <c r="Z43" i="17"/>
  <c r="Y34" i="22"/>
  <c r="BJ24" i="19"/>
  <c r="Z45" i="16"/>
  <c r="Q51" i="16"/>
  <c r="R48" i="14"/>
  <c r="AK10" i="26"/>
  <c r="L2" i="22"/>
  <c r="W2" i="19"/>
  <c r="X28" i="19"/>
  <c r="AJ11" i="26"/>
  <c r="Q48" i="15"/>
  <c r="L2" i="21"/>
  <c r="Q35" i="14"/>
  <c r="R35" i="14"/>
  <c r="U35" i="15"/>
  <c r="U35" i="14"/>
  <c r="T76" i="17"/>
  <c r="S22" i="15"/>
  <c r="Q28" i="16"/>
  <c r="R28" i="16"/>
  <c r="U28" i="17"/>
  <c r="V28" i="16"/>
  <c r="Q73" i="15"/>
  <c r="P77" i="17"/>
  <c r="U77" i="17"/>
  <c r="S108" i="17"/>
  <c r="U108" i="17"/>
  <c r="V108" i="17"/>
  <c r="T108" i="17"/>
  <c r="Q108" i="17"/>
  <c r="R108" i="17"/>
  <c r="R94" i="16"/>
  <c r="P94" i="17"/>
  <c r="P35" i="14"/>
  <c r="V76" i="17"/>
  <c r="U22" i="15"/>
  <c r="P28" i="16"/>
  <c r="V73" i="15"/>
  <c r="S77" i="17"/>
  <c r="V77" i="17"/>
  <c r="V72" i="16"/>
  <c r="Q72" i="16"/>
  <c r="U72" i="16"/>
  <c r="S72" i="16"/>
  <c r="P72" i="16"/>
  <c r="T72" i="16"/>
  <c r="S13" i="17"/>
  <c r="Q13" i="17"/>
  <c r="R13" i="17"/>
  <c r="V13" i="17"/>
  <c r="U13" i="17"/>
  <c r="T13" i="17"/>
  <c r="P13" i="17"/>
  <c r="T35" i="14"/>
  <c r="V34" i="15"/>
  <c r="T34" i="15"/>
  <c r="S34" i="15"/>
  <c r="Q34" i="15"/>
  <c r="R34" i="15"/>
  <c r="U34" i="15"/>
  <c r="P34" i="15"/>
  <c r="P76" i="17"/>
  <c r="P22" i="15"/>
  <c r="Q22" i="15"/>
  <c r="U28" i="16"/>
  <c r="Q77" i="17"/>
  <c r="R77" i="17"/>
  <c r="U36" i="16"/>
  <c r="T36" i="16"/>
  <c r="Q36" i="16"/>
  <c r="S36" i="16"/>
  <c r="V36" i="16"/>
  <c r="P36" i="16"/>
  <c r="V35" i="14"/>
  <c r="S68" i="13"/>
  <c r="P68" i="13"/>
  <c r="Q68" i="13"/>
  <c r="U68" i="13"/>
  <c r="V68" i="13"/>
  <c r="R68" i="13"/>
  <c r="T68" i="13"/>
  <c r="R43" i="12"/>
  <c r="P43" i="13"/>
  <c r="Q76" i="17"/>
  <c r="R76" i="17"/>
  <c r="S76" i="17"/>
  <c r="V22" i="15"/>
  <c r="T28" i="16"/>
  <c r="S53" i="8"/>
  <c r="V26" i="15"/>
  <c r="U26" i="15"/>
  <c r="P26" i="15"/>
  <c r="T26" i="15"/>
  <c r="S26" i="15"/>
  <c r="Q26" i="15"/>
  <c r="R26" i="15"/>
  <c r="V109" i="13"/>
  <c r="R21" i="12"/>
  <c r="U21" i="13"/>
  <c r="V93" i="14"/>
  <c r="P93" i="14"/>
  <c r="V65" i="14"/>
  <c r="T65" i="14"/>
  <c r="P65" i="14"/>
  <c r="Q65" i="14"/>
  <c r="R65" i="14"/>
  <c r="S65" i="14"/>
  <c r="U65" i="14"/>
  <c r="S27" i="16"/>
  <c r="V27" i="16"/>
  <c r="Q27" i="16"/>
  <c r="R27" i="16"/>
  <c r="U27" i="16"/>
  <c r="P27" i="16"/>
  <c r="T27" i="16"/>
  <c r="Q87" i="15"/>
  <c r="R87" i="15"/>
  <c r="T87" i="15"/>
  <c r="S87" i="15"/>
  <c r="V87" i="15"/>
  <c r="U87" i="15"/>
  <c r="P87" i="15"/>
  <c r="O7" i="19"/>
  <c r="BJ17" i="26"/>
  <c r="H17" i="21"/>
  <c r="AT26" i="11"/>
  <c r="AV29" i="12"/>
  <c r="O10" i="19"/>
  <c r="AT32" i="11"/>
  <c r="H23" i="21"/>
  <c r="BJ23" i="26"/>
  <c r="AS31" i="11"/>
  <c r="AR31" i="11"/>
  <c r="O12" i="19"/>
  <c r="BJ34" i="26"/>
  <c r="AT43" i="11"/>
  <c r="H34" i="21"/>
  <c r="BJ22" i="26"/>
  <c r="H22" i="21"/>
  <c r="BJ19" i="26"/>
  <c r="H19" i="21"/>
  <c r="H30" i="21"/>
  <c r="AT39" i="11"/>
  <c r="BJ30" i="26"/>
  <c r="AT42" i="11"/>
  <c r="H33" i="21"/>
  <c r="BJ33" i="26"/>
  <c r="R80" i="15"/>
  <c r="U80" i="16"/>
  <c r="U29" i="12"/>
  <c r="S29" i="12"/>
  <c r="T105" i="14"/>
  <c r="T75" i="13"/>
  <c r="V88" i="13"/>
  <c r="S88" i="13"/>
  <c r="P100" i="14"/>
  <c r="R40" i="16"/>
  <c r="Q40" i="17"/>
  <c r="S40" i="16"/>
  <c r="U84" i="14"/>
  <c r="P84" i="14"/>
  <c r="T11" i="16"/>
  <c r="Q11" i="16"/>
  <c r="S18" i="15"/>
  <c r="T103" i="17"/>
  <c r="U103" i="17"/>
  <c r="P103" i="17"/>
  <c r="V103" i="17"/>
  <c r="Q103" i="17"/>
  <c r="R103" i="17"/>
  <c r="S103" i="17"/>
  <c r="AV27" i="12"/>
  <c r="U67" i="14"/>
  <c r="U12" i="12"/>
  <c r="S12" i="12"/>
  <c r="T33" i="13"/>
  <c r="S25" i="13"/>
  <c r="T25" i="13"/>
  <c r="S45" i="13"/>
  <c r="P45" i="13"/>
  <c r="U17" i="13"/>
  <c r="V17" i="13"/>
  <c r="Q102" i="14"/>
  <c r="R102" i="14"/>
  <c r="S97" i="15"/>
  <c r="T97" i="15"/>
  <c r="V97" i="15"/>
  <c r="Q97" i="15"/>
  <c r="R97" i="15"/>
  <c r="U97" i="15"/>
  <c r="P97" i="15"/>
  <c r="U109" i="13"/>
  <c r="P109" i="13"/>
  <c r="N55" i="12"/>
  <c r="M55" i="12"/>
  <c r="BZ13" i="26"/>
  <c r="C17" i="15"/>
  <c r="W13" i="22"/>
  <c r="R93" i="14"/>
  <c r="U93" i="14"/>
  <c r="AD43" i="11"/>
  <c r="M24" i="19"/>
  <c r="O17" i="19"/>
  <c r="O5" i="19"/>
  <c r="O9" i="19"/>
  <c r="BJ26" i="26"/>
  <c r="H26" i="21"/>
  <c r="BJ25" i="26"/>
  <c r="H25" i="21"/>
  <c r="AS25" i="11"/>
  <c r="AR25" i="11"/>
  <c r="O6" i="19"/>
  <c r="BJ28" i="26"/>
  <c r="H28" i="21"/>
  <c r="AT37" i="11"/>
  <c r="O22" i="19"/>
  <c r="AS41" i="11"/>
  <c r="AR41" i="11"/>
  <c r="H32" i="21"/>
  <c r="AT41" i="11"/>
  <c r="BJ32" i="26"/>
  <c r="O14" i="19"/>
  <c r="AS33" i="11"/>
  <c r="AR33" i="11"/>
  <c r="P78" i="14"/>
  <c r="S78" i="14"/>
  <c r="V78" i="14"/>
  <c r="U78" i="14"/>
  <c r="T78" i="14"/>
  <c r="Q78" i="14"/>
  <c r="P29" i="12"/>
  <c r="P105" i="14"/>
  <c r="V75" i="13"/>
  <c r="P75" i="13"/>
  <c r="CB46" i="26"/>
  <c r="Y46" i="22"/>
  <c r="C55" i="17"/>
  <c r="U88" i="13"/>
  <c r="T88" i="13"/>
  <c r="Q100" i="14"/>
  <c r="R100" i="14"/>
  <c r="V100" i="14"/>
  <c r="T40" i="16"/>
  <c r="U40" i="16"/>
  <c r="Q23" i="12"/>
  <c r="V23" i="12"/>
  <c r="T23" i="12"/>
  <c r="P23" i="12"/>
  <c r="U23" i="12"/>
  <c r="S23" i="12"/>
  <c r="S84" i="14"/>
  <c r="P11" i="16"/>
  <c r="V18" i="15"/>
  <c r="AV24" i="12"/>
  <c r="AV31" i="12"/>
  <c r="V67" i="14"/>
  <c r="Q67" i="14"/>
  <c r="R67" i="14"/>
  <c r="R12" i="12"/>
  <c r="U12" i="13"/>
  <c r="S33" i="13"/>
  <c r="P25" i="13"/>
  <c r="Q25" i="13"/>
  <c r="R25" i="13"/>
  <c r="R44" i="16"/>
  <c r="S44" i="17"/>
  <c r="T45" i="13"/>
  <c r="Q17" i="13"/>
  <c r="R17" i="13"/>
  <c r="U102" i="14"/>
  <c r="P102" i="14"/>
  <c r="Q8" i="14"/>
  <c r="R8" i="14"/>
  <c r="T8" i="14"/>
  <c r="P8" i="14"/>
  <c r="U8" i="14"/>
  <c r="S8" i="14"/>
  <c r="V8" i="14"/>
  <c r="Q109" i="13"/>
  <c r="R109" i="13"/>
  <c r="R51" i="10"/>
  <c r="Z46" i="10"/>
  <c r="Q53" i="12"/>
  <c r="S50" i="12"/>
  <c r="T93" i="14"/>
  <c r="AD44" i="11"/>
  <c r="Q52" i="13"/>
  <c r="S52" i="13"/>
  <c r="C58" i="13"/>
  <c r="H16" i="21"/>
  <c r="BJ16" i="26"/>
  <c r="AT25" i="11"/>
  <c r="O23" i="19"/>
  <c r="O4" i="19"/>
  <c r="AT30" i="11"/>
  <c r="BJ21" i="26"/>
  <c r="H21" i="21"/>
  <c r="AT29" i="11"/>
  <c r="BJ20" i="26"/>
  <c r="H20" i="21"/>
  <c r="O8" i="19"/>
  <c r="O11" i="19"/>
  <c r="AS30" i="11"/>
  <c r="AR30" i="11"/>
  <c r="BJ24" i="26"/>
  <c r="H24" i="21"/>
  <c r="AT33" i="11"/>
  <c r="O13" i="19"/>
  <c r="AS32" i="11"/>
  <c r="AR32" i="11"/>
  <c r="AV32" i="12"/>
  <c r="O21" i="19"/>
  <c r="AS35" i="11"/>
  <c r="AR35" i="11"/>
  <c r="O16" i="19"/>
  <c r="R70" i="14"/>
  <c r="Q70" i="15"/>
  <c r="V19" i="16"/>
  <c r="P19" i="16"/>
  <c r="U19" i="16"/>
  <c r="S19" i="16"/>
  <c r="T19" i="16"/>
  <c r="Q19" i="16"/>
  <c r="R74" i="15"/>
  <c r="U74" i="16"/>
  <c r="Q69" i="15"/>
  <c r="R69" i="15"/>
  <c r="T69" i="15"/>
  <c r="S69" i="15"/>
  <c r="P69" i="15"/>
  <c r="V69" i="15"/>
  <c r="U69" i="15"/>
  <c r="Q29" i="12"/>
  <c r="T29" i="12"/>
  <c r="Q50" i="13"/>
  <c r="C4" i="13"/>
  <c r="D19" i="13"/>
  <c r="B20" i="13"/>
  <c r="Q105" i="14"/>
  <c r="R105" i="14"/>
  <c r="S105" i="14"/>
  <c r="S75" i="13"/>
  <c r="Q75" i="13"/>
  <c r="R75" i="13"/>
  <c r="R88" i="13"/>
  <c r="T88" i="14"/>
  <c r="P88" i="13"/>
  <c r="S100" i="14"/>
  <c r="V40" i="16"/>
  <c r="P40" i="16"/>
  <c r="U37" i="13"/>
  <c r="S37" i="13"/>
  <c r="V37" i="13"/>
  <c r="P37" i="13"/>
  <c r="T37" i="13"/>
  <c r="Q37" i="13"/>
  <c r="R37" i="13"/>
  <c r="V84" i="14"/>
  <c r="T84" i="14"/>
  <c r="V11" i="16"/>
  <c r="R11" i="16"/>
  <c r="T18" i="15"/>
  <c r="Q18" i="15"/>
  <c r="R18" i="15"/>
  <c r="T67" i="14"/>
  <c r="T12" i="12"/>
  <c r="P12" i="12"/>
  <c r="V33" i="13"/>
  <c r="P33" i="13"/>
  <c r="V25" i="13"/>
  <c r="V45" i="13"/>
  <c r="T17" i="13"/>
  <c r="S17" i="13"/>
  <c r="V102" i="14"/>
  <c r="R7" i="12"/>
  <c r="Q7" i="13"/>
  <c r="R95" i="13"/>
  <c r="T95" i="14"/>
  <c r="S109" i="13"/>
  <c r="N22" i="19"/>
  <c r="AX41" i="11"/>
  <c r="AE41" i="11"/>
  <c r="AZ41" i="10"/>
  <c r="AG41" i="10"/>
  <c r="AW41" i="10"/>
  <c r="S93" i="14"/>
  <c r="R110" i="15"/>
  <c r="P110" i="16"/>
  <c r="BZ37" i="26"/>
  <c r="C46" i="15"/>
  <c r="C57" i="14"/>
  <c r="W37" i="22"/>
  <c r="BJ15" i="26"/>
  <c r="AT24" i="11"/>
  <c r="H15" i="21"/>
  <c r="H14" i="21"/>
  <c r="BJ14" i="26"/>
  <c r="AA45" i="11"/>
  <c r="BJ27" i="26"/>
  <c r="H27" i="21"/>
  <c r="AT36" i="11"/>
  <c r="H31" i="21"/>
  <c r="BJ31" i="26"/>
  <c r="O19" i="19"/>
  <c r="AS34" i="11"/>
  <c r="AR34" i="11"/>
  <c r="O15" i="19"/>
  <c r="O18" i="19"/>
  <c r="O20" i="19"/>
  <c r="AS39" i="11"/>
  <c r="AR39" i="11"/>
  <c r="H29" i="21"/>
  <c r="BJ29" i="26"/>
  <c r="H35" i="21"/>
  <c r="BJ35" i="26"/>
  <c r="AT27" i="11"/>
  <c r="H18" i="21"/>
  <c r="BJ18" i="26"/>
  <c r="BZ45" i="26"/>
  <c r="C54" i="15"/>
  <c r="W45" i="22"/>
  <c r="R98" i="15"/>
  <c r="U98" i="16"/>
  <c r="T89" i="14"/>
  <c r="S89" i="14"/>
  <c r="V89" i="14"/>
  <c r="Q89" i="14"/>
  <c r="R89" i="14"/>
  <c r="U89" i="14"/>
  <c r="P89" i="14"/>
  <c r="S30" i="17"/>
  <c r="V30" i="17"/>
  <c r="U30" i="17"/>
  <c r="Q30" i="17"/>
  <c r="R30" i="17"/>
  <c r="P30" i="17"/>
  <c r="T30" i="17"/>
  <c r="S51" i="9"/>
  <c r="K31" i="19"/>
  <c r="K33" i="19"/>
  <c r="K35" i="19"/>
  <c r="R53" i="9"/>
  <c r="R86" i="13"/>
  <c r="Q86" i="14"/>
  <c r="AV36" i="12"/>
  <c r="V29" i="12"/>
  <c r="W9" i="22"/>
  <c r="C13" i="15"/>
  <c r="BZ9" i="26"/>
  <c r="C18" i="14"/>
  <c r="U105" i="14"/>
  <c r="T100" i="14"/>
  <c r="R83" i="15"/>
  <c r="T83" i="16"/>
  <c r="S16" i="13"/>
  <c r="U16" i="13"/>
  <c r="P16" i="13"/>
  <c r="Q16" i="13"/>
  <c r="T16" i="13"/>
  <c r="V16" i="13"/>
  <c r="V42" i="13"/>
  <c r="U42" i="13"/>
  <c r="P42" i="13"/>
  <c r="S42" i="13"/>
  <c r="T42" i="13"/>
  <c r="Q42" i="13"/>
  <c r="R84" i="14"/>
  <c r="S84" i="15"/>
  <c r="U11" i="16"/>
  <c r="P18" i="15"/>
  <c r="P67" i="14"/>
  <c r="V12" i="12"/>
  <c r="Q33" i="13"/>
  <c r="Q45" i="13"/>
  <c r="S102" i="14"/>
  <c r="R64" i="13"/>
  <c r="P64" i="14"/>
  <c r="Q20" i="15"/>
  <c r="U20" i="15"/>
  <c r="S20" i="15"/>
  <c r="V20" i="15"/>
  <c r="T20" i="15"/>
  <c r="P20" i="15"/>
  <c r="T24" i="15"/>
  <c r="P24" i="15"/>
  <c r="S24" i="15"/>
  <c r="Q24" i="15"/>
  <c r="R24" i="15"/>
  <c r="U24" i="15"/>
  <c r="V24" i="15"/>
  <c r="AQ26" i="15"/>
  <c r="AE38" i="9"/>
  <c r="R9" i="15"/>
  <c r="S9" i="16"/>
  <c r="T9" i="15"/>
  <c r="U9" i="15"/>
  <c r="S9" i="15"/>
  <c r="V9" i="16"/>
  <c r="P9" i="15"/>
  <c r="V9" i="15"/>
  <c r="R31" i="16"/>
  <c r="Q31" i="17"/>
  <c r="R31" i="17"/>
  <c r="U31" i="16"/>
  <c r="S10" i="14"/>
  <c r="V10" i="14"/>
  <c r="V104" i="16"/>
  <c r="T14" i="15"/>
  <c r="P104" i="16"/>
  <c r="T104" i="16"/>
  <c r="Q104" i="16"/>
  <c r="R104" i="16"/>
  <c r="P104" i="17"/>
  <c r="S104" i="16"/>
  <c r="P10" i="14"/>
  <c r="U10" i="14"/>
  <c r="CC58" i="26"/>
  <c r="Z60" i="22"/>
  <c r="T10" i="14"/>
  <c r="BB22" i="26"/>
  <c r="AC22" i="21"/>
  <c r="B22" i="21"/>
  <c r="BB21" i="26"/>
  <c r="AC21" i="21"/>
  <c r="B21" i="21"/>
  <c r="Z23" i="22"/>
  <c r="BK13" i="19"/>
  <c r="CC23" i="26"/>
  <c r="C13" i="19"/>
  <c r="D13" i="19"/>
  <c r="Z43" i="22"/>
  <c r="CC43" i="26"/>
  <c r="CC30" i="26"/>
  <c r="C20" i="19"/>
  <c r="D20" i="19"/>
  <c r="Z30" i="22"/>
  <c r="BK20" i="19"/>
  <c r="V83" i="16"/>
  <c r="U14" i="15"/>
  <c r="P99" i="14"/>
  <c r="CC32" i="26"/>
  <c r="C22" i="19"/>
  <c r="D22" i="19"/>
  <c r="Z32" i="22"/>
  <c r="BK22" i="19"/>
  <c r="CC19" i="26"/>
  <c r="C9" i="19"/>
  <c r="D9" i="19"/>
  <c r="Z19" i="22"/>
  <c r="BK9" i="19"/>
  <c r="Z25" i="22"/>
  <c r="BK15" i="19"/>
  <c r="CC25" i="26"/>
  <c r="C15" i="19"/>
  <c r="D15" i="19"/>
  <c r="R10" i="14"/>
  <c r="T10" i="15"/>
  <c r="Q10" i="15"/>
  <c r="Q94" i="17"/>
  <c r="V14" i="15"/>
  <c r="S99" i="14"/>
  <c r="CC21" i="26"/>
  <c r="C11" i="19"/>
  <c r="D11" i="19"/>
  <c r="Z21" i="22"/>
  <c r="BK11" i="19"/>
  <c r="C16" i="19"/>
  <c r="D16" i="19"/>
  <c r="Z26" i="22"/>
  <c r="BK16" i="19"/>
  <c r="CC26" i="26"/>
  <c r="CC10" i="26"/>
  <c r="Z10" i="22"/>
  <c r="R14" i="15"/>
  <c r="U14" i="16"/>
  <c r="P44" i="17"/>
  <c r="U32" i="12"/>
  <c r="U99" i="14"/>
  <c r="R99" i="14"/>
  <c r="U99" i="15"/>
  <c r="U96" i="13"/>
  <c r="S96" i="13"/>
  <c r="P96" i="13"/>
  <c r="Q96" i="13"/>
  <c r="R96" i="13"/>
  <c r="V96" i="13"/>
  <c r="Z14" i="17"/>
  <c r="CB56" i="26"/>
  <c r="Y58" i="22"/>
  <c r="V21" i="13"/>
  <c r="Z34" i="22"/>
  <c r="BK24" i="19"/>
  <c r="F26" i="19"/>
  <c r="CC34" i="26"/>
  <c r="C24" i="19"/>
  <c r="D24" i="19"/>
  <c r="Z45" i="17"/>
  <c r="T15" i="13"/>
  <c r="P15" i="13"/>
  <c r="S15" i="13"/>
  <c r="Q15" i="13"/>
  <c r="U15" i="13"/>
  <c r="R39" i="14"/>
  <c r="S39" i="15"/>
  <c r="S14" i="15"/>
  <c r="T32" i="12"/>
  <c r="Q32" i="12"/>
  <c r="T99" i="14"/>
  <c r="V99" i="14"/>
  <c r="Q80" i="16"/>
  <c r="R80" i="16"/>
  <c r="Z56" i="22"/>
  <c r="CC54" i="26"/>
  <c r="R71" i="16"/>
  <c r="P71" i="17"/>
  <c r="S32" i="12"/>
  <c r="P32" i="12"/>
  <c r="AD42" i="12"/>
  <c r="Q99" i="15"/>
  <c r="R99" i="15"/>
  <c r="P99" i="15"/>
  <c r="S38" i="16"/>
  <c r="Q38" i="16"/>
  <c r="R38" i="16"/>
  <c r="Q38" i="17"/>
  <c r="U38" i="16"/>
  <c r="P38" i="16"/>
  <c r="V38" i="16"/>
  <c r="T38" i="16"/>
  <c r="S80" i="16"/>
  <c r="R41" i="13"/>
  <c r="T41" i="14"/>
  <c r="R79" i="13"/>
  <c r="S79" i="14"/>
  <c r="BB29" i="26"/>
  <c r="AC29" i="21"/>
  <c r="B29" i="21"/>
  <c r="Q48" i="16"/>
  <c r="M2" i="22"/>
  <c r="Y2" i="19"/>
  <c r="Z28" i="19"/>
  <c r="M2" i="21"/>
  <c r="AJ12" i="26"/>
  <c r="AK11" i="26"/>
  <c r="R48" i="15"/>
  <c r="H48" i="21"/>
  <c r="H63" i="21"/>
  <c r="H65" i="21"/>
  <c r="P83" i="16"/>
  <c r="U70" i="15"/>
  <c r="P70" i="15"/>
  <c r="V44" i="17"/>
  <c r="V43" i="13"/>
  <c r="Q43" i="13"/>
  <c r="V94" i="17"/>
  <c r="Q28" i="17"/>
  <c r="P28" i="17"/>
  <c r="V28" i="17"/>
  <c r="S28" i="17"/>
  <c r="R28" i="17"/>
  <c r="T28" i="17"/>
  <c r="S70" i="15"/>
  <c r="U44" i="17"/>
  <c r="S21" i="13"/>
  <c r="U43" i="13"/>
  <c r="R94" i="17"/>
  <c r="S94" i="17"/>
  <c r="T70" i="15"/>
  <c r="T44" i="17"/>
  <c r="V80" i="16"/>
  <c r="P21" i="13"/>
  <c r="T68" i="14"/>
  <c r="Q68" i="14"/>
  <c r="R68" i="14"/>
  <c r="U68" i="14"/>
  <c r="P68" i="14"/>
  <c r="S68" i="14"/>
  <c r="V68" i="14"/>
  <c r="P34" i="16"/>
  <c r="Q34" i="16"/>
  <c r="R34" i="16"/>
  <c r="T34" i="16"/>
  <c r="U34" i="16"/>
  <c r="V34" i="16"/>
  <c r="S34" i="16"/>
  <c r="R43" i="13"/>
  <c r="V43" i="14"/>
  <c r="T43" i="13"/>
  <c r="T94" i="17"/>
  <c r="R73" i="15"/>
  <c r="T73" i="16"/>
  <c r="V70" i="15"/>
  <c r="P80" i="16"/>
  <c r="S43" i="13"/>
  <c r="R72" i="16"/>
  <c r="Q72" i="17"/>
  <c r="R72" i="17"/>
  <c r="R22" i="15"/>
  <c r="T22" i="16"/>
  <c r="U94" i="17"/>
  <c r="S35" i="15"/>
  <c r="Q35" i="15"/>
  <c r="R35" i="15"/>
  <c r="V35" i="15"/>
  <c r="P35" i="15"/>
  <c r="T35" i="15"/>
  <c r="R36" i="16"/>
  <c r="V36" i="17"/>
  <c r="R70" i="15"/>
  <c r="P70" i="16"/>
  <c r="R20" i="15"/>
  <c r="P20" i="16"/>
  <c r="D19" i="14"/>
  <c r="B20" i="14"/>
  <c r="Q50" i="14"/>
  <c r="C4" i="14"/>
  <c r="CA45" i="26"/>
  <c r="C54" i="16"/>
  <c r="X45" i="22"/>
  <c r="U95" i="14"/>
  <c r="U75" i="14"/>
  <c r="V75" i="14"/>
  <c r="P75" i="14"/>
  <c r="Q75" i="14"/>
  <c r="R75" i="14"/>
  <c r="T75" i="14"/>
  <c r="S75" i="14"/>
  <c r="M55" i="13"/>
  <c r="N55" i="13"/>
  <c r="Q64" i="14"/>
  <c r="T98" i="16"/>
  <c r="P98" i="16"/>
  <c r="Z46" i="22"/>
  <c r="CC46" i="26"/>
  <c r="O24" i="19"/>
  <c r="Q110" i="16"/>
  <c r="AD35" i="12"/>
  <c r="AA24" i="12"/>
  <c r="AD33" i="12"/>
  <c r="AA34" i="12"/>
  <c r="AA38" i="12"/>
  <c r="AA25" i="12"/>
  <c r="AA32" i="12"/>
  <c r="AD24" i="12"/>
  <c r="AA28" i="12"/>
  <c r="R86" i="14"/>
  <c r="U86" i="15"/>
  <c r="T80" i="16"/>
  <c r="V38" i="17"/>
  <c r="S38" i="17"/>
  <c r="T21" i="13"/>
  <c r="Q21" i="13"/>
  <c r="R21" i="13"/>
  <c r="V7" i="13"/>
  <c r="T7" i="13"/>
  <c r="Q93" i="15"/>
  <c r="R93" i="15"/>
  <c r="U93" i="15"/>
  <c r="S88" i="14"/>
  <c r="T84" i="15"/>
  <c r="U40" i="17"/>
  <c r="R16" i="13"/>
  <c r="T16" i="14"/>
  <c r="S83" i="16"/>
  <c r="R56" i="9"/>
  <c r="Q59" i="9"/>
  <c r="S59" i="9"/>
  <c r="S53" i="9"/>
  <c r="Z46" i="11"/>
  <c r="R51" i="11"/>
  <c r="C58" i="14"/>
  <c r="Q52" i="14"/>
  <c r="S52" i="14"/>
  <c r="P95" i="14"/>
  <c r="S64" i="14"/>
  <c r="T64" i="14"/>
  <c r="V98" i="16"/>
  <c r="Q98" i="16"/>
  <c r="O25" i="19"/>
  <c r="P8" i="15"/>
  <c r="T8" i="15"/>
  <c r="Q8" i="15"/>
  <c r="V8" i="15"/>
  <c r="S8" i="15"/>
  <c r="U8" i="15"/>
  <c r="R8" i="15"/>
  <c r="R33" i="13"/>
  <c r="T33" i="14"/>
  <c r="Q44" i="17"/>
  <c r="R44" i="17"/>
  <c r="S100" i="15"/>
  <c r="V100" i="15"/>
  <c r="T100" i="15"/>
  <c r="U100" i="15"/>
  <c r="Q100" i="15"/>
  <c r="R100" i="15"/>
  <c r="P100" i="15"/>
  <c r="T110" i="16"/>
  <c r="V110" i="16"/>
  <c r="S74" i="16"/>
  <c r="Q74" i="16"/>
  <c r="R74" i="16"/>
  <c r="AD36" i="12"/>
  <c r="AD28" i="12"/>
  <c r="AA30" i="12"/>
  <c r="AD39" i="12"/>
  <c r="AA36" i="12"/>
  <c r="AD29" i="12"/>
  <c r="AD32" i="12"/>
  <c r="AA26" i="12"/>
  <c r="AD27" i="12"/>
  <c r="AA42" i="12"/>
  <c r="AA41" i="12"/>
  <c r="V11" i="17"/>
  <c r="U11" i="17"/>
  <c r="P11" i="17"/>
  <c r="Q11" i="17"/>
  <c r="R11" i="17"/>
  <c r="S11" i="17"/>
  <c r="T11" i="17"/>
  <c r="T86" i="14"/>
  <c r="S86" i="14"/>
  <c r="P38" i="17"/>
  <c r="U38" i="17"/>
  <c r="S65" i="15"/>
  <c r="P65" i="15"/>
  <c r="T65" i="15"/>
  <c r="V65" i="15"/>
  <c r="Q65" i="15"/>
  <c r="R65" i="15"/>
  <c r="U65" i="15"/>
  <c r="R7" i="13"/>
  <c r="V7" i="14"/>
  <c r="P12" i="13"/>
  <c r="Q12" i="13"/>
  <c r="R12" i="13"/>
  <c r="P93" i="15"/>
  <c r="V93" i="15"/>
  <c r="Q88" i="14"/>
  <c r="R88" i="14"/>
  <c r="V88" i="14"/>
  <c r="R29" i="12"/>
  <c r="V84" i="15"/>
  <c r="P40" i="17"/>
  <c r="R40" i="17"/>
  <c r="U83" i="16"/>
  <c r="Q83" i="16"/>
  <c r="X9" i="22"/>
  <c r="C13" i="16"/>
  <c r="CA9" i="26"/>
  <c r="C18" i="15"/>
  <c r="V89" i="15"/>
  <c r="Q89" i="15"/>
  <c r="R89" i="15"/>
  <c r="S89" i="15"/>
  <c r="U89" i="15"/>
  <c r="P89" i="15"/>
  <c r="T89" i="15"/>
  <c r="CA37" i="26"/>
  <c r="C46" i="16"/>
  <c r="X37" i="22"/>
  <c r="C57" i="15"/>
  <c r="S95" i="14"/>
  <c r="Q95" i="14"/>
  <c r="R95" i="14"/>
  <c r="Q53" i="13"/>
  <c r="S50" i="13"/>
  <c r="U64" i="14"/>
  <c r="V64" i="14"/>
  <c r="R19" i="16"/>
  <c r="V19" i="17"/>
  <c r="S98" i="16"/>
  <c r="R53" i="10"/>
  <c r="M31" i="19"/>
  <c r="M33" i="19"/>
  <c r="M35" i="19"/>
  <c r="S51" i="10"/>
  <c r="Q25" i="14"/>
  <c r="V25" i="14"/>
  <c r="U25" i="14"/>
  <c r="S25" i="14"/>
  <c r="P25" i="14"/>
  <c r="T25" i="14"/>
  <c r="R110" i="16"/>
  <c r="U110" i="16"/>
  <c r="V74" i="16"/>
  <c r="P74" i="16"/>
  <c r="AA23" i="12"/>
  <c r="AA35" i="12"/>
  <c r="AA40" i="12"/>
  <c r="AA43" i="12"/>
  <c r="AD37" i="12"/>
  <c r="AD38" i="12"/>
  <c r="AA39" i="12"/>
  <c r="AD23" i="12"/>
  <c r="AD26" i="12"/>
  <c r="AD30" i="12"/>
  <c r="AD34" i="12"/>
  <c r="S97" i="16"/>
  <c r="T97" i="16"/>
  <c r="Q97" i="16"/>
  <c r="U97" i="16"/>
  <c r="P97" i="16"/>
  <c r="V97" i="16"/>
  <c r="V86" i="14"/>
  <c r="U86" i="14"/>
  <c r="P80" i="17"/>
  <c r="V80" i="17"/>
  <c r="T80" i="17"/>
  <c r="U80" i="17"/>
  <c r="Q80" i="17"/>
  <c r="R80" i="17"/>
  <c r="S80" i="17"/>
  <c r="T38" i="17"/>
  <c r="R38" i="17"/>
  <c r="S87" i="16"/>
  <c r="V87" i="16"/>
  <c r="T87" i="16"/>
  <c r="Q87" i="16"/>
  <c r="R87" i="16"/>
  <c r="U87" i="16"/>
  <c r="P87" i="16"/>
  <c r="P7" i="13"/>
  <c r="S7" i="13"/>
  <c r="T12" i="13"/>
  <c r="V12" i="13"/>
  <c r="S93" i="15"/>
  <c r="T93" i="15"/>
  <c r="P88" i="14"/>
  <c r="U88" i="14"/>
  <c r="P84" i="15"/>
  <c r="Q84" i="15"/>
  <c r="T40" i="17"/>
  <c r="V40" i="17"/>
  <c r="R42" i="13"/>
  <c r="U42" i="14"/>
  <c r="R83" i="16"/>
  <c r="V95" i="14"/>
  <c r="R45" i="13"/>
  <c r="Q45" i="14"/>
  <c r="Q18" i="16"/>
  <c r="R18" i="16"/>
  <c r="P18" i="16"/>
  <c r="T18" i="16"/>
  <c r="U18" i="16"/>
  <c r="S18" i="16"/>
  <c r="V18" i="16"/>
  <c r="V37" i="14"/>
  <c r="U37" i="14"/>
  <c r="Q37" i="14"/>
  <c r="R37" i="14"/>
  <c r="P37" i="14"/>
  <c r="T37" i="14"/>
  <c r="S37" i="14"/>
  <c r="P105" i="15"/>
  <c r="V105" i="15"/>
  <c r="U105" i="15"/>
  <c r="Q105" i="15"/>
  <c r="S105" i="15"/>
  <c r="T105" i="15"/>
  <c r="V69" i="16"/>
  <c r="S69" i="16"/>
  <c r="T69" i="16"/>
  <c r="P69" i="16"/>
  <c r="U69" i="16"/>
  <c r="Q69" i="16"/>
  <c r="R64" i="14"/>
  <c r="R98" i="16"/>
  <c r="AV32" i="13"/>
  <c r="S109" i="14"/>
  <c r="T109" i="14"/>
  <c r="V109" i="14"/>
  <c r="Q109" i="14"/>
  <c r="P109" i="14"/>
  <c r="U109" i="14"/>
  <c r="V17" i="14"/>
  <c r="Q17" i="14"/>
  <c r="R17" i="14"/>
  <c r="P17" i="14"/>
  <c r="U17" i="14"/>
  <c r="T17" i="14"/>
  <c r="S17" i="14"/>
  <c r="V67" i="15"/>
  <c r="P67" i="15"/>
  <c r="T67" i="15"/>
  <c r="S67" i="15"/>
  <c r="U67" i="15"/>
  <c r="Q67" i="15"/>
  <c r="R67" i="15"/>
  <c r="AV24" i="13"/>
  <c r="R23" i="12"/>
  <c r="R78" i="14"/>
  <c r="P78" i="15"/>
  <c r="S110" i="16"/>
  <c r="T74" i="16"/>
  <c r="AA27" i="12"/>
  <c r="AD31" i="12"/>
  <c r="AD25" i="12"/>
  <c r="AD40" i="12"/>
  <c r="AD41" i="12"/>
  <c r="AX41" i="12"/>
  <c r="AE41" i="12"/>
  <c r="AX41" i="13"/>
  <c r="AE41" i="13"/>
  <c r="AA31" i="12"/>
  <c r="I22" i="21"/>
  <c r="AA29" i="12"/>
  <c r="AA33" i="12"/>
  <c r="AA44" i="12"/>
  <c r="AA37" i="12"/>
  <c r="I28" i="21"/>
  <c r="CA13" i="26"/>
  <c r="C17" i="16"/>
  <c r="X13" i="22"/>
  <c r="S102" i="15"/>
  <c r="U102" i="15"/>
  <c r="T102" i="15"/>
  <c r="Q102" i="15"/>
  <c r="P102" i="15"/>
  <c r="V102" i="15"/>
  <c r="AV27" i="13"/>
  <c r="P86" i="14"/>
  <c r="U27" i="17"/>
  <c r="P27" i="17"/>
  <c r="T27" i="17"/>
  <c r="V27" i="17"/>
  <c r="Q27" i="17"/>
  <c r="R27" i="17"/>
  <c r="S27" i="17"/>
  <c r="S26" i="16"/>
  <c r="V26" i="16"/>
  <c r="Q26" i="16"/>
  <c r="R26" i="16"/>
  <c r="U26" i="16"/>
  <c r="P26" i="16"/>
  <c r="T26" i="16"/>
  <c r="U7" i="13"/>
  <c r="S12" i="13"/>
  <c r="U84" i="15"/>
  <c r="S40" i="17"/>
  <c r="Q20" i="16"/>
  <c r="R20" i="16"/>
  <c r="S20" i="16"/>
  <c r="T20" i="16"/>
  <c r="U20" i="16"/>
  <c r="V20" i="16"/>
  <c r="AQ26" i="16"/>
  <c r="S24" i="16"/>
  <c r="P24" i="16"/>
  <c r="T24" i="16"/>
  <c r="U24" i="16"/>
  <c r="Q24" i="16"/>
  <c r="R24" i="16"/>
  <c r="V24" i="16"/>
  <c r="AZ38" i="9"/>
  <c r="AG38" i="9"/>
  <c r="AW38" i="9"/>
  <c r="L19" i="19"/>
  <c r="AX38" i="10"/>
  <c r="S99" i="15"/>
  <c r="V31" i="17"/>
  <c r="Q9" i="16"/>
  <c r="T99" i="15"/>
  <c r="P9" i="16"/>
  <c r="S10" i="15"/>
  <c r="U9" i="16"/>
  <c r="T9" i="16"/>
  <c r="AV29" i="13"/>
  <c r="P31" i="17"/>
  <c r="S31" i="17"/>
  <c r="P73" i="16"/>
  <c r="U31" i="17"/>
  <c r="T31" i="17"/>
  <c r="V99" i="15"/>
  <c r="V10" i="15"/>
  <c r="T104" i="17"/>
  <c r="S104" i="17"/>
  <c r="V104" i="17"/>
  <c r="V73" i="16"/>
  <c r="U10" i="15"/>
  <c r="Q104" i="17"/>
  <c r="R104" i="17"/>
  <c r="U104" i="17"/>
  <c r="T72" i="17"/>
  <c r="B22" i="22"/>
  <c r="B12" i="19"/>
  <c r="S71" i="17"/>
  <c r="B11" i="19"/>
  <c r="B21" i="22"/>
  <c r="T14" i="16"/>
  <c r="U73" i="16"/>
  <c r="T71" i="17"/>
  <c r="P39" i="15"/>
  <c r="R10" i="15"/>
  <c r="T10" i="16"/>
  <c r="V78" i="15"/>
  <c r="V71" i="17"/>
  <c r="P10" i="15"/>
  <c r="Q23" i="19"/>
  <c r="B29" i="22"/>
  <c r="B19" i="19"/>
  <c r="U79" i="14"/>
  <c r="Q79" i="14"/>
  <c r="R79" i="14"/>
  <c r="V79" i="15"/>
  <c r="U71" i="17"/>
  <c r="Q39" i="15"/>
  <c r="U39" i="15"/>
  <c r="Z58" i="22"/>
  <c r="CC56" i="26"/>
  <c r="Q41" i="14"/>
  <c r="R41" i="14"/>
  <c r="Q41" i="15"/>
  <c r="S14" i="16"/>
  <c r="P14" i="16"/>
  <c r="Q73" i="16"/>
  <c r="R73" i="16"/>
  <c r="T79" i="14"/>
  <c r="V79" i="14"/>
  <c r="P99" i="16"/>
  <c r="Q99" i="16"/>
  <c r="R99" i="16"/>
  <c r="V99" i="17"/>
  <c r="U99" i="16"/>
  <c r="V99" i="16"/>
  <c r="S99" i="16"/>
  <c r="T99" i="16"/>
  <c r="R32" i="12"/>
  <c r="U32" i="13"/>
  <c r="V39" i="15"/>
  <c r="T39" i="15"/>
  <c r="C31" i="19"/>
  <c r="Q51" i="17"/>
  <c r="P41" i="14"/>
  <c r="V41" i="14"/>
  <c r="V14" i="16"/>
  <c r="S78" i="15"/>
  <c r="P79" i="14"/>
  <c r="S41" i="14"/>
  <c r="P72" i="17"/>
  <c r="S73" i="16"/>
  <c r="Q71" i="17"/>
  <c r="R71" i="17"/>
  <c r="R15" i="13"/>
  <c r="Q15" i="14"/>
  <c r="Q96" i="14"/>
  <c r="S96" i="14"/>
  <c r="V96" i="14"/>
  <c r="P96" i="14"/>
  <c r="U96" i="14"/>
  <c r="T96" i="14"/>
  <c r="U41" i="14"/>
  <c r="Q14" i="16"/>
  <c r="R48" i="17"/>
  <c r="R48" i="16"/>
  <c r="AK12" i="26"/>
  <c r="Q48" i="17"/>
  <c r="N2" i="22"/>
  <c r="AA2" i="19"/>
  <c r="AB28" i="19"/>
  <c r="AJ13" i="26"/>
  <c r="N2" i="21"/>
  <c r="U35" i="16"/>
  <c r="S35" i="16"/>
  <c r="Q35" i="16"/>
  <c r="P35" i="16"/>
  <c r="T35" i="16"/>
  <c r="V35" i="16"/>
  <c r="R35" i="16"/>
  <c r="Q35" i="17"/>
  <c r="U72" i="17"/>
  <c r="V34" i="17"/>
  <c r="Q34" i="17"/>
  <c r="S34" i="17"/>
  <c r="T34" i="17"/>
  <c r="U34" i="17"/>
  <c r="R34" i="17"/>
  <c r="P34" i="17"/>
  <c r="Q99" i="17"/>
  <c r="R99" i="17"/>
  <c r="Q36" i="17"/>
  <c r="R36" i="17"/>
  <c r="T36" i="17"/>
  <c r="V22" i="16"/>
  <c r="T78" i="15"/>
  <c r="V72" i="17"/>
  <c r="S99" i="17"/>
  <c r="U36" i="17"/>
  <c r="P22" i="16"/>
  <c r="Q78" i="15"/>
  <c r="R78" i="15"/>
  <c r="U99" i="17"/>
  <c r="S36" i="17"/>
  <c r="U22" i="16"/>
  <c r="S22" i="16"/>
  <c r="S72" i="17"/>
  <c r="Q68" i="15"/>
  <c r="R68" i="15"/>
  <c r="P68" i="15"/>
  <c r="S68" i="15"/>
  <c r="U68" i="15"/>
  <c r="T68" i="15"/>
  <c r="V68" i="15"/>
  <c r="T99" i="17"/>
  <c r="P36" i="17"/>
  <c r="U43" i="14"/>
  <c r="S43" i="14"/>
  <c r="P43" i="14"/>
  <c r="Q43" i="14"/>
  <c r="R43" i="14"/>
  <c r="T43" i="15"/>
  <c r="T43" i="14"/>
  <c r="Q22" i="16"/>
  <c r="BK28" i="26"/>
  <c r="AT37" i="12"/>
  <c r="BK22" i="26"/>
  <c r="AV31" i="13"/>
  <c r="AS31" i="12"/>
  <c r="AR31" i="12"/>
  <c r="Q12" i="19"/>
  <c r="S37" i="15"/>
  <c r="Q37" i="15"/>
  <c r="R37" i="15"/>
  <c r="V37" i="15"/>
  <c r="P37" i="15"/>
  <c r="U37" i="15"/>
  <c r="T37" i="15"/>
  <c r="AS34" i="12"/>
  <c r="AR34" i="12"/>
  <c r="Q15" i="19"/>
  <c r="AV34" i="13"/>
  <c r="I30" i="21"/>
  <c r="BK30" i="26"/>
  <c r="AT39" i="12"/>
  <c r="I31" i="21"/>
  <c r="BK31" i="26"/>
  <c r="C4" i="15"/>
  <c r="D19" i="15"/>
  <c r="B20" i="15"/>
  <c r="Q50" i="15"/>
  <c r="Q83" i="17"/>
  <c r="R83" i="17"/>
  <c r="V83" i="17"/>
  <c r="P83" i="17"/>
  <c r="U83" i="17"/>
  <c r="T83" i="17"/>
  <c r="S83" i="17"/>
  <c r="S42" i="14"/>
  <c r="Q42" i="14"/>
  <c r="AT41" i="12"/>
  <c r="BK32" i="26"/>
  <c r="I32" i="21"/>
  <c r="Q13" i="19"/>
  <c r="AS32" i="12"/>
  <c r="AR32" i="12"/>
  <c r="AT30" i="12"/>
  <c r="BK21" i="26"/>
  <c r="I21" i="21"/>
  <c r="V98" i="17"/>
  <c r="P98" i="17"/>
  <c r="S98" i="17"/>
  <c r="T98" i="17"/>
  <c r="Q98" i="17"/>
  <c r="R98" i="17"/>
  <c r="U98" i="17"/>
  <c r="BK16" i="26"/>
  <c r="I16" i="21"/>
  <c r="AT25" i="12"/>
  <c r="AD44" i="12"/>
  <c r="V23" i="13"/>
  <c r="Q23" i="13"/>
  <c r="P19" i="17"/>
  <c r="S29" i="13"/>
  <c r="U29" i="13"/>
  <c r="Q53" i="14"/>
  <c r="S50" i="14"/>
  <c r="P16" i="14"/>
  <c r="P45" i="14"/>
  <c r="U7" i="14"/>
  <c r="S7" i="14"/>
  <c r="I35" i="21"/>
  <c r="BK35" i="26"/>
  <c r="AS41" i="12"/>
  <c r="AR41" i="12"/>
  <c r="Q22" i="19"/>
  <c r="BK18" i="26"/>
  <c r="I18" i="21"/>
  <c r="AT27" i="12"/>
  <c r="T17" i="15"/>
  <c r="V17" i="15"/>
  <c r="Q17" i="15"/>
  <c r="U17" i="15"/>
  <c r="P17" i="15"/>
  <c r="S17" i="15"/>
  <c r="Q11" i="19"/>
  <c r="AS30" i="12"/>
  <c r="AR30" i="12"/>
  <c r="Q19" i="19"/>
  <c r="AV38" i="13"/>
  <c r="BK26" i="26"/>
  <c r="I26" i="21"/>
  <c r="S53" i="10"/>
  <c r="R56" i="10"/>
  <c r="Q59" i="10"/>
  <c r="S59" i="10"/>
  <c r="Q52" i="15"/>
  <c r="S52" i="15"/>
  <c r="C58" i="15"/>
  <c r="V42" i="14"/>
  <c r="I33" i="21"/>
  <c r="AT42" i="12"/>
  <c r="BK33" i="26"/>
  <c r="Q10" i="19"/>
  <c r="Q9" i="19"/>
  <c r="U100" i="16"/>
  <c r="V100" i="16"/>
  <c r="P100" i="16"/>
  <c r="Q100" i="16"/>
  <c r="R100" i="16"/>
  <c r="S100" i="16"/>
  <c r="T100" i="16"/>
  <c r="U33" i="14"/>
  <c r="V33" i="14"/>
  <c r="BK19" i="26"/>
  <c r="I19" i="21"/>
  <c r="BK29" i="26"/>
  <c r="I29" i="21"/>
  <c r="AT24" i="12"/>
  <c r="BK15" i="26"/>
  <c r="I15" i="21"/>
  <c r="U110" i="17"/>
  <c r="T110" i="17"/>
  <c r="S110" i="17"/>
  <c r="V110" i="17"/>
  <c r="Q110" i="17"/>
  <c r="R110" i="17"/>
  <c r="P110" i="17"/>
  <c r="P23" i="13"/>
  <c r="T19" i="17"/>
  <c r="S19" i="17"/>
  <c r="P29" i="13"/>
  <c r="V29" i="13"/>
  <c r="P75" i="15"/>
  <c r="T75" i="15"/>
  <c r="Q75" i="15"/>
  <c r="V75" i="15"/>
  <c r="U75" i="15"/>
  <c r="S75" i="15"/>
  <c r="R75" i="15"/>
  <c r="Y45" i="22"/>
  <c r="C54" i="17"/>
  <c r="CB45" i="26"/>
  <c r="M55" i="14"/>
  <c r="N55" i="14"/>
  <c r="S16" i="14"/>
  <c r="Q16" i="14"/>
  <c r="R16" i="14"/>
  <c r="R45" i="14"/>
  <c r="Q45" i="15"/>
  <c r="U45" i="14"/>
  <c r="T7" i="14"/>
  <c r="S86" i="15"/>
  <c r="P86" i="15"/>
  <c r="T70" i="16"/>
  <c r="V70" i="16"/>
  <c r="T26" i="17"/>
  <c r="S26" i="17"/>
  <c r="V26" i="17"/>
  <c r="Q26" i="17"/>
  <c r="R26" i="17"/>
  <c r="P26" i="17"/>
  <c r="U26" i="17"/>
  <c r="R102" i="15"/>
  <c r="T102" i="16"/>
  <c r="Y13" i="22"/>
  <c r="CB13" i="26"/>
  <c r="C17" i="17"/>
  <c r="BK24" i="26"/>
  <c r="I24" i="21"/>
  <c r="AT33" i="12"/>
  <c r="Q21" i="19"/>
  <c r="V67" i="16"/>
  <c r="Q67" i="16"/>
  <c r="R67" i="16"/>
  <c r="S67" i="16"/>
  <c r="U67" i="16"/>
  <c r="T67" i="16"/>
  <c r="P67" i="16"/>
  <c r="T18" i="17"/>
  <c r="P18" i="17"/>
  <c r="V18" i="17"/>
  <c r="S18" i="17"/>
  <c r="U18" i="17"/>
  <c r="Q18" i="17"/>
  <c r="R18" i="17"/>
  <c r="Q87" i="17"/>
  <c r="R87" i="17"/>
  <c r="T87" i="17"/>
  <c r="S87" i="17"/>
  <c r="U87" i="17"/>
  <c r="V87" i="17"/>
  <c r="P87" i="17"/>
  <c r="Q7" i="19"/>
  <c r="Q18" i="19"/>
  <c r="BK14" i="26"/>
  <c r="I14" i="21"/>
  <c r="AA45" i="12"/>
  <c r="R25" i="14"/>
  <c r="V25" i="15"/>
  <c r="V89" i="16"/>
  <c r="P89" i="16"/>
  <c r="Q89" i="16"/>
  <c r="S89" i="16"/>
  <c r="U89" i="16"/>
  <c r="T89" i="16"/>
  <c r="R89" i="16"/>
  <c r="CB9" i="26"/>
  <c r="C13" i="17"/>
  <c r="Y9" i="22"/>
  <c r="C18" i="16"/>
  <c r="P42" i="14"/>
  <c r="T42" i="14"/>
  <c r="P12" i="14"/>
  <c r="T12" i="14"/>
  <c r="U12" i="14"/>
  <c r="V12" i="14"/>
  <c r="Q12" i="14"/>
  <c r="R12" i="14"/>
  <c r="S12" i="14"/>
  <c r="Q8" i="19"/>
  <c r="I27" i="21"/>
  <c r="AT36" i="12"/>
  <c r="BK27" i="26"/>
  <c r="AV36" i="13"/>
  <c r="Q17" i="19"/>
  <c r="Q33" i="14"/>
  <c r="R33" i="14"/>
  <c r="S33" i="14"/>
  <c r="Q5" i="19"/>
  <c r="BK25" i="26"/>
  <c r="I25" i="21"/>
  <c r="Q16" i="19"/>
  <c r="AS35" i="12"/>
  <c r="AR35" i="12"/>
  <c r="S23" i="13"/>
  <c r="U23" i="13"/>
  <c r="U19" i="17"/>
  <c r="S64" i="15"/>
  <c r="T64" i="15"/>
  <c r="U64" i="15"/>
  <c r="V64" i="15"/>
  <c r="P64" i="15"/>
  <c r="Q64" i="15"/>
  <c r="R64" i="15"/>
  <c r="T29" i="13"/>
  <c r="Q29" i="13"/>
  <c r="V16" i="14"/>
  <c r="S45" i="14"/>
  <c r="T45" i="14"/>
  <c r="P7" i="14"/>
  <c r="T86" i="15"/>
  <c r="Q86" i="15"/>
  <c r="S70" i="16"/>
  <c r="Q70" i="16"/>
  <c r="AT29" i="12"/>
  <c r="BK20" i="26"/>
  <c r="I20" i="21"/>
  <c r="Q6" i="19"/>
  <c r="AS25" i="12"/>
  <c r="AR25" i="12"/>
  <c r="U78" i="15"/>
  <c r="R109" i="14"/>
  <c r="U109" i="15"/>
  <c r="R69" i="16"/>
  <c r="P69" i="17"/>
  <c r="R105" i="15"/>
  <c r="S105" i="16"/>
  <c r="R97" i="16"/>
  <c r="Q97" i="17"/>
  <c r="Q4" i="19"/>
  <c r="BK34" i="26"/>
  <c r="I34" i="21"/>
  <c r="AT43" i="12"/>
  <c r="S95" i="15"/>
  <c r="T95" i="15"/>
  <c r="V95" i="15"/>
  <c r="U95" i="15"/>
  <c r="Q95" i="15"/>
  <c r="R95" i="15"/>
  <c r="P95" i="15"/>
  <c r="Y37" i="22"/>
  <c r="C46" i="17"/>
  <c r="CB37" i="26"/>
  <c r="C57" i="16"/>
  <c r="R42" i="14"/>
  <c r="Q88" i="15"/>
  <c r="S88" i="15"/>
  <c r="U88" i="15"/>
  <c r="V88" i="15"/>
  <c r="T88" i="15"/>
  <c r="P88" i="15"/>
  <c r="V65" i="16"/>
  <c r="Q65" i="16"/>
  <c r="R65" i="16"/>
  <c r="S65" i="16"/>
  <c r="T65" i="16"/>
  <c r="P65" i="16"/>
  <c r="U65" i="16"/>
  <c r="AT26" i="12"/>
  <c r="BK17" i="26"/>
  <c r="I17" i="21"/>
  <c r="AV39" i="13"/>
  <c r="Q20" i="19"/>
  <c r="AS39" i="12"/>
  <c r="AR39" i="12"/>
  <c r="U74" i="17"/>
  <c r="T74" i="17"/>
  <c r="S74" i="17"/>
  <c r="Q74" i="17"/>
  <c r="R74" i="17"/>
  <c r="V74" i="17"/>
  <c r="P74" i="17"/>
  <c r="T8" i="16"/>
  <c r="P8" i="16"/>
  <c r="U8" i="16"/>
  <c r="V8" i="16"/>
  <c r="S8" i="16"/>
  <c r="Q8" i="16"/>
  <c r="R8" i="16"/>
  <c r="R53" i="11"/>
  <c r="S51" i="11"/>
  <c r="O31" i="19"/>
  <c r="O33" i="19"/>
  <c r="O35" i="19"/>
  <c r="P33" i="14"/>
  <c r="R84" i="15"/>
  <c r="V84" i="16"/>
  <c r="S93" i="16"/>
  <c r="P93" i="16"/>
  <c r="V93" i="16"/>
  <c r="Q93" i="16"/>
  <c r="R93" i="16"/>
  <c r="U93" i="16"/>
  <c r="T93" i="16"/>
  <c r="U21" i="14"/>
  <c r="P21" i="14"/>
  <c r="S21" i="14"/>
  <c r="V21" i="14"/>
  <c r="Q21" i="14"/>
  <c r="R21" i="14"/>
  <c r="T21" i="14"/>
  <c r="I23" i="21"/>
  <c r="AT32" i="12"/>
  <c r="BK23" i="26"/>
  <c r="AS33" i="12"/>
  <c r="AR33" i="12"/>
  <c r="Q14" i="19"/>
  <c r="AD43" i="12"/>
  <c r="T23" i="13"/>
  <c r="Q19" i="17"/>
  <c r="R19" i="17"/>
  <c r="U16" i="14"/>
  <c r="V45" i="14"/>
  <c r="Q7" i="14"/>
  <c r="V86" i="15"/>
  <c r="U70" i="16"/>
  <c r="Q20" i="17"/>
  <c r="R20" i="17"/>
  <c r="P20" i="17"/>
  <c r="S20" i="17"/>
  <c r="U20" i="17"/>
  <c r="T20" i="17"/>
  <c r="V20" i="17"/>
  <c r="AE38" i="10"/>
  <c r="AQ26" i="17"/>
  <c r="T24" i="17"/>
  <c r="S24" i="17"/>
  <c r="P24" i="17"/>
  <c r="V24" i="17"/>
  <c r="Q24" i="17"/>
  <c r="R24" i="17"/>
  <c r="U24" i="17"/>
  <c r="P99" i="17"/>
  <c r="R9" i="16"/>
  <c r="S9" i="17"/>
  <c r="V78" i="16"/>
  <c r="P78" i="16"/>
  <c r="S78" i="16"/>
  <c r="T78" i="16"/>
  <c r="U78" i="16"/>
  <c r="Q78" i="16"/>
  <c r="Q32" i="13"/>
  <c r="S73" i="17"/>
  <c r="T73" i="17"/>
  <c r="V73" i="17"/>
  <c r="U73" i="17"/>
  <c r="P73" i="17"/>
  <c r="Q73" i="17"/>
  <c r="R73" i="17"/>
  <c r="Q10" i="16"/>
  <c r="AD29" i="13"/>
  <c r="P32" i="13"/>
  <c r="V10" i="16"/>
  <c r="S32" i="13"/>
  <c r="S10" i="16"/>
  <c r="U10" i="16"/>
  <c r="P10" i="16"/>
  <c r="S15" i="14"/>
  <c r="R10" i="16"/>
  <c r="T10" i="17"/>
  <c r="P15" i="14"/>
  <c r="T15" i="14"/>
  <c r="V32" i="13"/>
  <c r="P41" i="15"/>
  <c r="V41" i="15"/>
  <c r="S41" i="15"/>
  <c r="T41" i="15"/>
  <c r="U41" i="15"/>
  <c r="R41" i="15"/>
  <c r="U41" i="16"/>
  <c r="R15" i="14"/>
  <c r="U15" i="15"/>
  <c r="R32" i="13"/>
  <c r="V32" i="14"/>
  <c r="V41" i="16"/>
  <c r="T41" i="16"/>
  <c r="P41" i="16"/>
  <c r="S41" i="16"/>
  <c r="R39" i="15"/>
  <c r="T39" i="16"/>
  <c r="U15" i="14"/>
  <c r="R96" i="14"/>
  <c r="S96" i="15"/>
  <c r="R14" i="16"/>
  <c r="U14" i="17"/>
  <c r="V15" i="14"/>
  <c r="T32" i="13"/>
  <c r="P79" i="15"/>
  <c r="Q79" i="15"/>
  <c r="R79" i="15"/>
  <c r="U79" i="15"/>
  <c r="T79" i="15"/>
  <c r="S79" i="15"/>
  <c r="P3" i="21"/>
  <c r="P39" i="21"/>
  <c r="P9" i="21"/>
  <c r="P37" i="21"/>
  <c r="P24" i="21"/>
  <c r="P59" i="21"/>
  <c r="P65" i="21"/>
  <c r="P48" i="21"/>
  <c r="P27" i="21"/>
  <c r="P45" i="21"/>
  <c r="P43" i="21"/>
  <c r="P64" i="21"/>
  <c r="P50" i="21"/>
  <c r="P6" i="21"/>
  <c r="P26" i="21"/>
  <c r="P21" i="21"/>
  <c r="P28" i="21"/>
  <c r="P18" i="21"/>
  <c r="P7" i="21"/>
  <c r="P10" i="21"/>
  <c r="P20" i="21"/>
  <c r="P47" i="21"/>
  <c r="P19" i="21"/>
  <c r="P15" i="21"/>
  <c r="P55" i="21"/>
  <c r="P34" i="21"/>
  <c r="P53" i="21"/>
  <c r="P33" i="21"/>
  <c r="P52" i="21"/>
  <c r="P40" i="21"/>
  <c r="P8" i="21"/>
  <c r="P67" i="21"/>
  <c r="P44" i="21"/>
  <c r="P25" i="21"/>
  <c r="P58" i="21"/>
  <c r="P30" i="21"/>
  <c r="P31" i="21"/>
  <c r="P22" i="21"/>
  <c r="P29" i="21"/>
  <c r="P17" i="21"/>
  <c r="P13" i="21"/>
  <c r="P61" i="21"/>
  <c r="P41" i="21"/>
  <c r="P12" i="21"/>
  <c r="P51" i="21"/>
  <c r="P56" i="21"/>
  <c r="P32" i="21"/>
  <c r="P23" i="21"/>
  <c r="P11" i="21"/>
  <c r="P4" i="21"/>
  <c r="P38" i="21"/>
  <c r="P60" i="21"/>
  <c r="P35" i="21"/>
  <c r="P5" i="21"/>
  <c r="P42" i="21"/>
  <c r="P63" i="21"/>
  <c r="P57" i="21"/>
  <c r="P16" i="21"/>
  <c r="P14" i="21"/>
  <c r="P54" i="21"/>
  <c r="P46" i="21"/>
  <c r="P36" i="21"/>
  <c r="AK13" i="26"/>
  <c r="S43" i="15"/>
  <c r="P43" i="15"/>
  <c r="V43" i="15"/>
  <c r="Q43" i="15"/>
  <c r="U43" i="15"/>
  <c r="Q68" i="16"/>
  <c r="T68" i="16"/>
  <c r="S68" i="16"/>
  <c r="U68" i="16"/>
  <c r="V68" i="16"/>
  <c r="P68" i="16"/>
  <c r="R35" i="17"/>
  <c r="V35" i="17"/>
  <c r="P35" i="17"/>
  <c r="S35" i="17"/>
  <c r="T35" i="17"/>
  <c r="U35" i="17"/>
  <c r="R22" i="16"/>
  <c r="S22" i="17"/>
  <c r="S10" i="19"/>
  <c r="AV29" i="14"/>
  <c r="P8" i="17"/>
  <c r="U8" i="17"/>
  <c r="V8" i="17"/>
  <c r="T8" i="17"/>
  <c r="Q8" i="17"/>
  <c r="R8" i="17"/>
  <c r="S8" i="17"/>
  <c r="U84" i="16"/>
  <c r="S12" i="15"/>
  <c r="T12" i="15"/>
  <c r="V12" i="15"/>
  <c r="U12" i="15"/>
  <c r="P12" i="15"/>
  <c r="Q12" i="15"/>
  <c r="R12" i="15"/>
  <c r="Q50" i="16"/>
  <c r="C4" i="16"/>
  <c r="D19" i="16"/>
  <c r="B20" i="16"/>
  <c r="V89" i="17"/>
  <c r="P89" i="17"/>
  <c r="Q89" i="17"/>
  <c r="R89" i="17"/>
  <c r="U89" i="17"/>
  <c r="T89" i="17"/>
  <c r="S89" i="17"/>
  <c r="P109" i="15"/>
  <c r="T109" i="15"/>
  <c r="Z13" i="22"/>
  <c r="CC13" i="26"/>
  <c r="Q25" i="15"/>
  <c r="U25" i="15"/>
  <c r="R97" i="17"/>
  <c r="P97" i="17"/>
  <c r="Q105" i="16"/>
  <c r="U105" i="16"/>
  <c r="S102" i="16"/>
  <c r="M55" i="15"/>
  <c r="N55" i="15"/>
  <c r="AA43" i="13"/>
  <c r="AT43" i="13"/>
  <c r="AT43" i="14"/>
  <c r="AT43" i="15"/>
  <c r="AA26" i="13"/>
  <c r="AA40" i="13"/>
  <c r="AD33" i="13"/>
  <c r="AD26" i="13"/>
  <c r="AD35" i="13"/>
  <c r="AA30" i="13"/>
  <c r="AA27" i="13"/>
  <c r="AA34" i="13"/>
  <c r="AA25" i="13"/>
  <c r="AD41" i="13"/>
  <c r="Q37" i="16"/>
  <c r="T37" i="16"/>
  <c r="S37" i="16"/>
  <c r="U37" i="16"/>
  <c r="R37" i="16"/>
  <c r="P37" i="16"/>
  <c r="V37" i="16"/>
  <c r="S69" i="17"/>
  <c r="V69" i="17"/>
  <c r="V45" i="15"/>
  <c r="U45" i="15"/>
  <c r="U65" i="17"/>
  <c r="Q65" i="17"/>
  <c r="R65" i="17"/>
  <c r="P65" i="17"/>
  <c r="T65" i="17"/>
  <c r="V65" i="17"/>
  <c r="S65" i="17"/>
  <c r="Z37" i="22"/>
  <c r="CC37" i="26"/>
  <c r="C57" i="17"/>
  <c r="Q95" i="16"/>
  <c r="R95" i="16"/>
  <c r="S95" i="16"/>
  <c r="T95" i="16"/>
  <c r="U95" i="16"/>
  <c r="P95" i="16"/>
  <c r="V95" i="16"/>
  <c r="S84" i="16"/>
  <c r="T84" i="16"/>
  <c r="R7" i="14"/>
  <c r="P7" i="15"/>
  <c r="Z46" i="12"/>
  <c r="R51" i="12"/>
  <c r="Q109" i="15"/>
  <c r="R109" i="15"/>
  <c r="Z45" i="22"/>
  <c r="CC45" i="26"/>
  <c r="R25" i="15"/>
  <c r="U97" i="17"/>
  <c r="T97" i="17"/>
  <c r="P105" i="16"/>
  <c r="P102" i="16"/>
  <c r="R70" i="16"/>
  <c r="S70" i="17"/>
  <c r="Q25" i="19"/>
  <c r="AA37" i="13"/>
  <c r="AD39" i="13"/>
  <c r="AV39" i="14"/>
  <c r="AA44" i="13"/>
  <c r="AA38" i="13"/>
  <c r="AD36" i="13"/>
  <c r="AA39" i="13"/>
  <c r="AD28" i="13"/>
  <c r="AA23" i="13"/>
  <c r="AD27" i="13"/>
  <c r="AD34" i="13"/>
  <c r="AV34" i="14"/>
  <c r="AV34" i="15"/>
  <c r="AA41" i="13"/>
  <c r="U69" i="17"/>
  <c r="P45" i="15"/>
  <c r="R45" i="15"/>
  <c r="S45" i="16"/>
  <c r="U21" i="15"/>
  <c r="P21" i="15"/>
  <c r="V21" i="15"/>
  <c r="R21" i="15"/>
  <c r="S21" i="15"/>
  <c r="T21" i="15"/>
  <c r="Q21" i="15"/>
  <c r="P84" i="16"/>
  <c r="Q84" i="16"/>
  <c r="V33" i="15"/>
  <c r="P33" i="15"/>
  <c r="S33" i="15"/>
  <c r="U33" i="15"/>
  <c r="Q33" i="15"/>
  <c r="R33" i="15"/>
  <c r="T33" i="15"/>
  <c r="Z9" i="22"/>
  <c r="CC9" i="26"/>
  <c r="C18" i="17"/>
  <c r="S109" i="15"/>
  <c r="S67" i="17"/>
  <c r="Q67" i="17"/>
  <c r="R67" i="17"/>
  <c r="U67" i="17"/>
  <c r="P67" i="17"/>
  <c r="V67" i="17"/>
  <c r="T67" i="17"/>
  <c r="R78" i="16"/>
  <c r="P16" i="15"/>
  <c r="Q16" i="15"/>
  <c r="R16" i="15"/>
  <c r="T16" i="15"/>
  <c r="V16" i="15"/>
  <c r="S16" i="15"/>
  <c r="U16" i="15"/>
  <c r="T25" i="15"/>
  <c r="P25" i="15"/>
  <c r="S97" i="17"/>
  <c r="R105" i="16"/>
  <c r="T105" i="16"/>
  <c r="Q102" i="16"/>
  <c r="V102" i="16"/>
  <c r="R86" i="15"/>
  <c r="Q86" i="16"/>
  <c r="V42" i="15"/>
  <c r="Q42" i="15"/>
  <c r="R42" i="15"/>
  <c r="P42" i="15"/>
  <c r="U42" i="15"/>
  <c r="T42" i="15"/>
  <c r="S42" i="15"/>
  <c r="AD24" i="13"/>
  <c r="AD23" i="13"/>
  <c r="AD38" i="13"/>
  <c r="AA24" i="13"/>
  <c r="AD42" i="13"/>
  <c r="AA33" i="13"/>
  <c r="AA36" i="13"/>
  <c r="AA28" i="13"/>
  <c r="AD40" i="13"/>
  <c r="AD30" i="13"/>
  <c r="Q69" i="17"/>
  <c r="R69" i="17"/>
  <c r="R29" i="13"/>
  <c r="U29" i="14"/>
  <c r="T45" i="15"/>
  <c r="S45" i="15"/>
  <c r="Q24" i="19"/>
  <c r="P93" i="17"/>
  <c r="T93" i="17"/>
  <c r="U93" i="17"/>
  <c r="S93" i="17"/>
  <c r="Q93" i="17"/>
  <c r="R93" i="17"/>
  <c r="V93" i="17"/>
  <c r="R56" i="11"/>
  <c r="Q59" i="11"/>
  <c r="S59" i="11"/>
  <c r="S53" i="11"/>
  <c r="AT26" i="13"/>
  <c r="R88" i="15"/>
  <c r="S88" i="16"/>
  <c r="Q52" i="16"/>
  <c r="S52" i="16"/>
  <c r="C58" i="16"/>
  <c r="Q64" i="16"/>
  <c r="R64" i="16"/>
  <c r="U64" i="16"/>
  <c r="P64" i="16"/>
  <c r="S64" i="16"/>
  <c r="V64" i="16"/>
  <c r="T64" i="16"/>
  <c r="V109" i="15"/>
  <c r="V75" i="16"/>
  <c r="S75" i="16"/>
  <c r="T75" i="16"/>
  <c r="Q75" i="16"/>
  <c r="R75" i="16"/>
  <c r="P75" i="16"/>
  <c r="U75" i="16"/>
  <c r="S100" i="17"/>
  <c r="Q100" i="17"/>
  <c r="R100" i="17"/>
  <c r="P100" i="17"/>
  <c r="U100" i="17"/>
  <c r="T100" i="17"/>
  <c r="V100" i="17"/>
  <c r="S25" i="15"/>
  <c r="V97" i="17"/>
  <c r="V105" i="16"/>
  <c r="R17" i="15"/>
  <c r="U102" i="16"/>
  <c r="S50" i="15"/>
  <c r="Q53" i="15"/>
  <c r="AD32" i="13"/>
  <c r="AD31" i="13"/>
  <c r="AA35" i="13"/>
  <c r="AA32" i="13"/>
  <c r="J23" i="21"/>
  <c r="AD37" i="13"/>
  <c r="AA42" i="13"/>
  <c r="AA29" i="13"/>
  <c r="J20" i="21"/>
  <c r="J48" i="21"/>
  <c r="J63" i="21"/>
  <c r="J65" i="21"/>
  <c r="AD25" i="13"/>
  <c r="AA31" i="13"/>
  <c r="T69" i="17"/>
  <c r="R23" i="13"/>
  <c r="AD43" i="13"/>
  <c r="S24" i="19"/>
  <c r="AZ38" i="10"/>
  <c r="AG38" i="10"/>
  <c r="AX38" i="11"/>
  <c r="AW38" i="10"/>
  <c r="N19" i="19"/>
  <c r="V9" i="17"/>
  <c r="Q41" i="16"/>
  <c r="R41" i="16"/>
  <c r="T9" i="17"/>
  <c r="U9" i="17"/>
  <c r="Q9" i="17"/>
  <c r="R9" i="17"/>
  <c r="P9" i="17"/>
  <c r="T96" i="15"/>
  <c r="U39" i="16"/>
  <c r="P96" i="15"/>
  <c r="P39" i="16"/>
  <c r="S32" i="14"/>
  <c r="S39" i="16"/>
  <c r="Q39" i="16"/>
  <c r="T32" i="14"/>
  <c r="U10" i="17"/>
  <c r="V39" i="16"/>
  <c r="Q10" i="17"/>
  <c r="R10" i="17"/>
  <c r="S10" i="17"/>
  <c r="V96" i="15"/>
  <c r="U96" i="15"/>
  <c r="Q96" i="15"/>
  <c r="V10" i="17"/>
  <c r="P10" i="17"/>
  <c r="U32" i="14"/>
  <c r="Q79" i="16"/>
  <c r="P79" i="16"/>
  <c r="V79" i="16"/>
  <c r="U79" i="16"/>
  <c r="T79" i="16"/>
  <c r="S79" i="16"/>
  <c r="Q32" i="14"/>
  <c r="T15" i="15"/>
  <c r="V14" i="17"/>
  <c r="Q22" i="17"/>
  <c r="R22" i="17"/>
  <c r="P32" i="14"/>
  <c r="Q15" i="15"/>
  <c r="R15" i="15"/>
  <c r="Q15" i="16"/>
  <c r="V15" i="15"/>
  <c r="T14" i="17"/>
  <c r="R96" i="15"/>
  <c r="S96" i="16"/>
  <c r="Q96" i="16"/>
  <c r="R39" i="16"/>
  <c r="T39" i="17"/>
  <c r="V41" i="17"/>
  <c r="Q41" i="17"/>
  <c r="R41" i="17"/>
  <c r="U41" i="17"/>
  <c r="S41" i="17"/>
  <c r="P41" i="17"/>
  <c r="T41" i="17"/>
  <c r="P15" i="15"/>
  <c r="P14" i="17"/>
  <c r="S14" i="17"/>
  <c r="V86" i="16"/>
  <c r="S15" i="15"/>
  <c r="Q14" i="17"/>
  <c r="R14" i="17"/>
  <c r="T86" i="16"/>
  <c r="T22" i="17"/>
  <c r="P22" i="17"/>
  <c r="U86" i="16"/>
  <c r="V22" i="17"/>
  <c r="U22" i="17"/>
  <c r="R43" i="15"/>
  <c r="T43" i="16"/>
  <c r="R68" i="16"/>
  <c r="U68" i="17"/>
  <c r="R86" i="16"/>
  <c r="V86" i="17"/>
  <c r="S6" i="19"/>
  <c r="AS25" i="13"/>
  <c r="AR25" i="13"/>
  <c r="AT32" i="13"/>
  <c r="AD44" i="13"/>
  <c r="V23" i="14"/>
  <c r="U23" i="14"/>
  <c r="S75" i="17"/>
  <c r="P75" i="17"/>
  <c r="Q75" i="17"/>
  <c r="R75" i="17"/>
  <c r="V75" i="17"/>
  <c r="U75" i="17"/>
  <c r="T75" i="17"/>
  <c r="AV31" i="14"/>
  <c r="S21" i="19"/>
  <c r="S23" i="19"/>
  <c r="S4" i="19"/>
  <c r="P86" i="16"/>
  <c r="S86" i="16"/>
  <c r="S8" i="19"/>
  <c r="AV27" i="14"/>
  <c r="AV36" i="14"/>
  <c r="S17" i="19"/>
  <c r="J28" i="21"/>
  <c r="AT37" i="13"/>
  <c r="BL28" i="26"/>
  <c r="V17" i="16"/>
  <c r="P17" i="16"/>
  <c r="P78" i="17"/>
  <c r="Q78" i="17"/>
  <c r="R78" i="17"/>
  <c r="S51" i="12"/>
  <c r="Q31" i="19"/>
  <c r="Q33" i="19"/>
  <c r="Q35" i="19"/>
  <c r="R53" i="12"/>
  <c r="T29" i="14"/>
  <c r="Q29" i="14"/>
  <c r="R29" i="14"/>
  <c r="T95" i="17"/>
  <c r="V95" i="17"/>
  <c r="U95" i="17"/>
  <c r="Q95" i="17"/>
  <c r="R95" i="17"/>
  <c r="S95" i="17"/>
  <c r="P95" i="17"/>
  <c r="Q88" i="16"/>
  <c r="V37" i="17"/>
  <c r="U37" i="17"/>
  <c r="Q37" i="17"/>
  <c r="R37" i="17"/>
  <c r="P37" i="17"/>
  <c r="T37" i="17"/>
  <c r="S37" i="17"/>
  <c r="J18" i="21"/>
  <c r="BL18" i="26"/>
  <c r="S14" i="19"/>
  <c r="AS33" i="13"/>
  <c r="AR33" i="13"/>
  <c r="U25" i="16"/>
  <c r="P25" i="16"/>
  <c r="T25" i="16"/>
  <c r="S25" i="16"/>
  <c r="V25" i="16"/>
  <c r="Q25" i="16"/>
  <c r="N55" i="16"/>
  <c r="M55" i="16"/>
  <c r="V70" i="17"/>
  <c r="S7" i="15"/>
  <c r="V45" i="16"/>
  <c r="U45" i="16"/>
  <c r="AT29" i="13"/>
  <c r="BL20" i="26"/>
  <c r="J26" i="21"/>
  <c r="BL26" i="26"/>
  <c r="S23" i="14"/>
  <c r="Q23" i="14"/>
  <c r="R23" i="14"/>
  <c r="BL19" i="26"/>
  <c r="J19" i="21"/>
  <c r="J15" i="21"/>
  <c r="BL15" i="26"/>
  <c r="S5" i="19"/>
  <c r="AV24" i="14"/>
  <c r="J14" i="21"/>
  <c r="BL14" i="26"/>
  <c r="AA45" i="13"/>
  <c r="BL29" i="26"/>
  <c r="J29" i="21"/>
  <c r="T17" i="16"/>
  <c r="U17" i="16"/>
  <c r="T78" i="17"/>
  <c r="S78" i="17"/>
  <c r="S29" i="14"/>
  <c r="Q52" i="17"/>
  <c r="S52" i="17"/>
  <c r="C32" i="19"/>
  <c r="C58" i="17"/>
  <c r="V88" i="16"/>
  <c r="U88" i="16"/>
  <c r="AS41" i="13"/>
  <c r="AR41" i="13"/>
  <c r="S22" i="19"/>
  <c r="BL21" i="26"/>
  <c r="AT30" i="13"/>
  <c r="J21" i="21"/>
  <c r="J31" i="21"/>
  <c r="BL31" i="26"/>
  <c r="AT27" i="13"/>
  <c r="AT24" i="13"/>
  <c r="P70" i="17"/>
  <c r="U7" i="15"/>
  <c r="T45" i="16"/>
  <c r="Q45" i="16"/>
  <c r="BL33" i="26"/>
  <c r="J33" i="21"/>
  <c r="AT42" i="13"/>
  <c r="S12" i="19"/>
  <c r="AS31" i="13"/>
  <c r="AR31" i="13"/>
  <c r="T23" i="14"/>
  <c r="P23" i="14"/>
  <c r="J27" i="21"/>
  <c r="BL27" i="26"/>
  <c r="AT36" i="13"/>
  <c r="S19" i="19"/>
  <c r="Q16" i="16"/>
  <c r="T16" i="16"/>
  <c r="P16" i="16"/>
  <c r="S16" i="16"/>
  <c r="R16" i="16"/>
  <c r="U16" i="16"/>
  <c r="V16" i="16"/>
  <c r="J32" i="21"/>
  <c r="BL32" i="26"/>
  <c r="AT41" i="13"/>
  <c r="S9" i="19"/>
  <c r="J35" i="21"/>
  <c r="BL35" i="26"/>
  <c r="Q17" i="16"/>
  <c r="R17" i="16"/>
  <c r="S17" i="16"/>
  <c r="AV38" i="14"/>
  <c r="U78" i="17"/>
  <c r="V78" i="17"/>
  <c r="V29" i="14"/>
  <c r="P88" i="16"/>
  <c r="T88" i="16"/>
  <c r="J16" i="21"/>
  <c r="BL16" i="26"/>
  <c r="AT25" i="13"/>
  <c r="S16" i="19"/>
  <c r="AS35" i="13"/>
  <c r="AR35" i="13"/>
  <c r="BL17" i="26"/>
  <c r="J17" i="21"/>
  <c r="S50" i="16"/>
  <c r="Q53" i="16"/>
  <c r="T70" i="17"/>
  <c r="Q70" i="17"/>
  <c r="R70" i="17"/>
  <c r="R84" i="16"/>
  <c r="S84" i="17"/>
  <c r="V7" i="15"/>
  <c r="T7" i="15"/>
  <c r="R45" i="16"/>
  <c r="P45" i="16"/>
  <c r="BL22" i="26"/>
  <c r="J22" i="21"/>
  <c r="S18" i="19"/>
  <c r="AS32" i="13"/>
  <c r="AR32" i="13"/>
  <c r="S13" i="19"/>
  <c r="AV32" i="14"/>
  <c r="U64" i="17"/>
  <c r="Q64" i="17"/>
  <c r="R64" i="17"/>
  <c r="T64" i="17"/>
  <c r="S64" i="17"/>
  <c r="P64" i="17"/>
  <c r="V64" i="17"/>
  <c r="S11" i="19"/>
  <c r="AS30" i="13"/>
  <c r="AR30" i="13"/>
  <c r="BL24" i="26"/>
  <c r="J24" i="21"/>
  <c r="T42" i="16"/>
  <c r="P42" i="16"/>
  <c r="S42" i="16"/>
  <c r="U42" i="16"/>
  <c r="Q42" i="16"/>
  <c r="R42" i="16"/>
  <c r="V42" i="16"/>
  <c r="C30" i="19"/>
  <c r="Q50" i="17"/>
  <c r="C4" i="17"/>
  <c r="D19" i="17"/>
  <c r="B20" i="17"/>
  <c r="U33" i="16"/>
  <c r="Q33" i="16"/>
  <c r="R33" i="16"/>
  <c r="T33" i="16"/>
  <c r="P33" i="16"/>
  <c r="S33" i="16"/>
  <c r="V33" i="16"/>
  <c r="U21" i="16"/>
  <c r="T21" i="16"/>
  <c r="Q21" i="16"/>
  <c r="R21" i="16"/>
  <c r="S21" i="16"/>
  <c r="P21" i="16"/>
  <c r="V21" i="16"/>
  <c r="AS34" i="13"/>
  <c r="AR34" i="13"/>
  <c r="S15" i="19"/>
  <c r="J30" i="21"/>
  <c r="BL30" i="26"/>
  <c r="AT39" i="13"/>
  <c r="S20" i="19"/>
  <c r="AS39" i="13"/>
  <c r="AR39" i="13"/>
  <c r="R102" i="16"/>
  <c r="T102" i="17"/>
  <c r="AT33" i="13"/>
  <c r="T109" i="16"/>
  <c r="S109" i="16"/>
  <c r="V109" i="16"/>
  <c r="P109" i="16"/>
  <c r="U109" i="16"/>
  <c r="Q109" i="16"/>
  <c r="P29" i="14"/>
  <c r="J25" i="21"/>
  <c r="BL25" i="26"/>
  <c r="S7" i="19"/>
  <c r="J34" i="21"/>
  <c r="BL34" i="26"/>
  <c r="S105" i="17"/>
  <c r="T105" i="17"/>
  <c r="V105" i="17"/>
  <c r="Q105" i="17"/>
  <c r="R105" i="17"/>
  <c r="U105" i="17"/>
  <c r="P105" i="17"/>
  <c r="V12" i="16"/>
  <c r="P12" i="16"/>
  <c r="Q12" i="16"/>
  <c r="U12" i="16"/>
  <c r="T12" i="16"/>
  <c r="S12" i="16"/>
  <c r="U70" i="17"/>
  <c r="Q7" i="15"/>
  <c r="AE38" i="11"/>
  <c r="V96" i="16"/>
  <c r="U96" i="16"/>
  <c r="P96" i="16"/>
  <c r="T96" i="16"/>
  <c r="P43" i="16"/>
  <c r="Q39" i="17"/>
  <c r="R39" i="17"/>
  <c r="U39" i="17"/>
  <c r="R79" i="16"/>
  <c r="U79" i="17"/>
  <c r="S43" i="16"/>
  <c r="V39" i="17"/>
  <c r="S39" i="17"/>
  <c r="R96" i="16"/>
  <c r="T96" i="17"/>
  <c r="V15" i="16"/>
  <c r="U15" i="16"/>
  <c r="S15" i="16"/>
  <c r="R15" i="16"/>
  <c r="S15" i="17"/>
  <c r="T15" i="16"/>
  <c r="P15" i="16"/>
  <c r="P39" i="17"/>
  <c r="R32" i="14"/>
  <c r="P32" i="15"/>
  <c r="Q43" i="16"/>
  <c r="V43" i="16"/>
  <c r="S68" i="17"/>
  <c r="P68" i="17"/>
  <c r="U43" i="16"/>
  <c r="Q68" i="17"/>
  <c r="R68" i="17"/>
  <c r="V68" i="17"/>
  <c r="T68" i="17"/>
  <c r="R43" i="16"/>
  <c r="T43" i="17"/>
  <c r="R109" i="16"/>
  <c r="Q109" i="17"/>
  <c r="M55" i="17"/>
  <c r="N55" i="17"/>
  <c r="S102" i="17"/>
  <c r="U102" i="17"/>
  <c r="V16" i="17"/>
  <c r="U16" i="17"/>
  <c r="Q16" i="17"/>
  <c r="R16" i="17"/>
  <c r="P16" i="17"/>
  <c r="T16" i="17"/>
  <c r="S16" i="17"/>
  <c r="AA24" i="14"/>
  <c r="AD38" i="14"/>
  <c r="AA33" i="14"/>
  <c r="AA28" i="14"/>
  <c r="AD40" i="14"/>
  <c r="AD24" i="14"/>
  <c r="AV24" i="15"/>
  <c r="AD33" i="14"/>
  <c r="AD35" i="14"/>
  <c r="AA38" i="14"/>
  <c r="AD23" i="14"/>
  <c r="AA31" i="14"/>
  <c r="AD30" i="14"/>
  <c r="AD34" i="14"/>
  <c r="AA32" i="14"/>
  <c r="AA29" i="14"/>
  <c r="AD27" i="14"/>
  <c r="AV27" i="15"/>
  <c r="AV27" i="16"/>
  <c r="AD29" i="14"/>
  <c r="AA42" i="14"/>
  <c r="AD41" i="14"/>
  <c r="AD37" i="14"/>
  <c r="AA26" i="14"/>
  <c r="AA27" i="14"/>
  <c r="AA36" i="14"/>
  <c r="AA44" i="14"/>
  <c r="AA43" i="14"/>
  <c r="AD39" i="14"/>
  <c r="AD42" i="14"/>
  <c r="AD36" i="14"/>
  <c r="AV36" i="15"/>
  <c r="AV36" i="16"/>
  <c r="AA23" i="14"/>
  <c r="AA25" i="14"/>
  <c r="AA39" i="14"/>
  <c r="AD32" i="14"/>
  <c r="AA37" i="14"/>
  <c r="AD25" i="14"/>
  <c r="AD31" i="14"/>
  <c r="AA30" i="14"/>
  <c r="AA40" i="14"/>
  <c r="AA35" i="14"/>
  <c r="AD28" i="14"/>
  <c r="AA34" i="14"/>
  <c r="AD26" i="14"/>
  <c r="AA41" i="14"/>
  <c r="P84" i="17"/>
  <c r="U84" i="17"/>
  <c r="S25" i="19"/>
  <c r="T86" i="17"/>
  <c r="S33" i="17"/>
  <c r="T33" i="17"/>
  <c r="Q33" i="17"/>
  <c r="R33" i="17"/>
  <c r="U33" i="17"/>
  <c r="V33" i="17"/>
  <c r="P33" i="17"/>
  <c r="Q102" i="17"/>
  <c r="R102" i="17"/>
  <c r="V102" i="17"/>
  <c r="P42" i="17"/>
  <c r="V42" i="17"/>
  <c r="T42" i="17"/>
  <c r="U42" i="17"/>
  <c r="S42" i="17"/>
  <c r="Q42" i="17"/>
  <c r="R42" i="17"/>
  <c r="P17" i="17"/>
  <c r="Q17" i="17"/>
  <c r="R17" i="17"/>
  <c r="U17" i="17"/>
  <c r="S17" i="17"/>
  <c r="T17" i="17"/>
  <c r="V17" i="17"/>
  <c r="R51" i="13"/>
  <c r="Z46" i="13"/>
  <c r="V84" i="17"/>
  <c r="V23" i="15"/>
  <c r="P23" i="15"/>
  <c r="S23" i="15"/>
  <c r="U23" i="15"/>
  <c r="T23" i="15"/>
  <c r="Q23" i="15"/>
  <c r="R23" i="15"/>
  <c r="R25" i="16"/>
  <c r="T25" i="17"/>
  <c r="R88" i="16"/>
  <c r="P88" i="17"/>
  <c r="Q29" i="15"/>
  <c r="V29" i="15"/>
  <c r="U29" i="15"/>
  <c r="P29" i="15"/>
  <c r="T29" i="15"/>
  <c r="S29" i="15"/>
  <c r="U86" i="17"/>
  <c r="S21" i="17"/>
  <c r="U21" i="17"/>
  <c r="P21" i="17"/>
  <c r="T21" i="17"/>
  <c r="Q21" i="17"/>
  <c r="R21" i="17"/>
  <c r="V21" i="17"/>
  <c r="S50" i="17"/>
  <c r="Q53" i="17"/>
  <c r="P102" i="17"/>
  <c r="R7" i="15"/>
  <c r="S7" i="16"/>
  <c r="T84" i="17"/>
  <c r="Q84" i="17"/>
  <c r="R84" i="17"/>
  <c r="Q86" i="17"/>
  <c r="S86" i="17"/>
  <c r="R12" i="16"/>
  <c r="Q12" i="17"/>
  <c r="S45" i="17"/>
  <c r="T45" i="17"/>
  <c r="Q45" i="17"/>
  <c r="R45" i="17"/>
  <c r="V45" i="17"/>
  <c r="U45" i="17"/>
  <c r="P45" i="17"/>
  <c r="S53" i="12"/>
  <c r="R56" i="12"/>
  <c r="Q59" i="12"/>
  <c r="S59" i="12"/>
  <c r="AV31" i="15"/>
  <c r="P86" i="17"/>
  <c r="P19" i="19"/>
  <c r="AZ38" i="11"/>
  <c r="AG38" i="11"/>
  <c r="AW38" i="11"/>
  <c r="AX38" i="12"/>
  <c r="AD43" i="14"/>
  <c r="AD44" i="14"/>
  <c r="P96" i="17"/>
  <c r="S96" i="17"/>
  <c r="U32" i="15"/>
  <c r="U96" i="17"/>
  <c r="Q32" i="15"/>
  <c r="S79" i="17"/>
  <c r="AA44" i="15"/>
  <c r="L35" i="21"/>
  <c r="P25" i="17"/>
  <c r="T32" i="15"/>
  <c r="Q96" i="17"/>
  <c r="R96" i="17"/>
  <c r="S32" i="15"/>
  <c r="P79" i="17"/>
  <c r="Q79" i="17"/>
  <c r="R79" i="17"/>
  <c r="P15" i="17"/>
  <c r="V32" i="15"/>
  <c r="V79" i="17"/>
  <c r="T79" i="17"/>
  <c r="U15" i="17"/>
  <c r="R32" i="15"/>
  <c r="P32" i="16"/>
  <c r="V15" i="17"/>
  <c r="V96" i="17"/>
  <c r="Q15" i="17"/>
  <c r="R15" i="17"/>
  <c r="T15" i="17"/>
  <c r="V25" i="17"/>
  <c r="AA43" i="15"/>
  <c r="L34" i="21"/>
  <c r="U25" i="17"/>
  <c r="Q25" i="17"/>
  <c r="U43" i="17"/>
  <c r="Q43" i="17"/>
  <c r="R43" i="17"/>
  <c r="P43" i="17"/>
  <c r="S43" i="17"/>
  <c r="V43" i="17"/>
  <c r="S25" i="17"/>
  <c r="R86" i="17"/>
  <c r="S88" i="17"/>
  <c r="U7" i="19"/>
  <c r="K31" i="21"/>
  <c r="BM31" i="26"/>
  <c r="K28" i="21"/>
  <c r="BM28" i="26"/>
  <c r="AT37" i="14"/>
  <c r="AA45" i="14"/>
  <c r="K14" i="21"/>
  <c r="BM14" i="26"/>
  <c r="BM34" i="26"/>
  <c r="K34" i="21"/>
  <c r="K17" i="21"/>
  <c r="BM17" i="26"/>
  <c r="AT26" i="14"/>
  <c r="U10" i="19"/>
  <c r="AV29" i="15"/>
  <c r="U15" i="19"/>
  <c r="AS34" i="14"/>
  <c r="AR34" i="14"/>
  <c r="BM29" i="26"/>
  <c r="K29" i="21"/>
  <c r="U21" i="19"/>
  <c r="K15" i="21"/>
  <c r="BM15" i="26"/>
  <c r="AT24" i="14"/>
  <c r="U109" i="17"/>
  <c r="T109" i="17"/>
  <c r="V12" i="17"/>
  <c r="S23" i="16"/>
  <c r="T23" i="16"/>
  <c r="V23" i="16"/>
  <c r="U23" i="16"/>
  <c r="Q23" i="16"/>
  <c r="R23" i="16"/>
  <c r="P23" i="16"/>
  <c r="AD37" i="15"/>
  <c r="AA26" i="15"/>
  <c r="AA37" i="15"/>
  <c r="AD29" i="15"/>
  <c r="AD23" i="15"/>
  <c r="AA35" i="15"/>
  <c r="AA33" i="15"/>
  <c r="AA34" i="15"/>
  <c r="AD40" i="15"/>
  <c r="AD27" i="15"/>
  <c r="AD34" i="15"/>
  <c r="AD26" i="15"/>
  <c r="AA30" i="15"/>
  <c r="AD36" i="15"/>
  <c r="AA29" i="15"/>
  <c r="AD35" i="15"/>
  <c r="AD38" i="15"/>
  <c r="AD41" i="15"/>
  <c r="AA32" i="15"/>
  <c r="AA27" i="15"/>
  <c r="AD24" i="15"/>
  <c r="AA36" i="15"/>
  <c r="AD32" i="15"/>
  <c r="AD33" i="15"/>
  <c r="AA31" i="15"/>
  <c r="AD30" i="15"/>
  <c r="AD42" i="15"/>
  <c r="AA42" i="15"/>
  <c r="AD25" i="15"/>
  <c r="AA41" i="15"/>
  <c r="L32" i="21"/>
  <c r="AA28" i="15"/>
  <c r="AA38" i="15"/>
  <c r="AA39" i="15"/>
  <c r="AA40" i="15"/>
  <c r="AA24" i="15"/>
  <c r="AD31" i="15"/>
  <c r="AV31" i="16"/>
  <c r="AA25" i="15"/>
  <c r="AD39" i="15"/>
  <c r="AD28" i="15"/>
  <c r="AA23" i="15"/>
  <c r="V88" i="17"/>
  <c r="Q88" i="17"/>
  <c r="R88" i="17"/>
  <c r="BM25" i="26"/>
  <c r="K25" i="21"/>
  <c r="AT30" i="14"/>
  <c r="K21" i="21"/>
  <c r="BM21" i="26"/>
  <c r="AV32" i="15"/>
  <c r="AS32" i="14"/>
  <c r="AR32" i="14"/>
  <c r="U13" i="19"/>
  <c r="U17" i="19"/>
  <c r="BM35" i="26"/>
  <c r="K35" i="21"/>
  <c r="U18" i="19"/>
  <c r="U8" i="19"/>
  <c r="AS30" i="14"/>
  <c r="AR30" i="14"/>
  <c r="U11" i="19"/>
  <c r="U16" i="19"/>
  <c r="AS35" i="14"/>
  <c r="AR35" i="14"/>
  <c r="BM19" i="26"/>
  <c r="K19" i="21"/>
  <c r="R109" i="17"/>
  <c r="S12" i="17"/>
  <c r="P12" i="17"/>
  <c r="P7" i="16"/>
  <c r="U7" i="16"/>
  <c r="T88" i="17"/>
  <c r="U88" i="17"/>
  <c r="R25" i="17"/>
  <c r="U9" i="19"/>
  <c r="U12" i="19"/>
  <c r="AS31" i="14"/>
  <c r="AR31" i="14"/>
  <c r="K30" i="21"/>
  <c r="AT39" i="14"/>
  <c r="BM30" i="26"/>
  <c r="U23" i="19"/>
  <c r="BM27" i="26"/>
  <c r="AT36" i="14"/>
  <c r="K27" i="21"/>
  <c r="U22" i="19"/>
  <c r="AS41" i="14"/>
  <c r="AR41" i="14"/>
  <c r="K20" i="21"/>
  <c r="AT29" i="14"/>
  <c r="BM20" i="26"/>
  <c r="K22" i="21"/>
  <c r="BM22" i="26"/>
  <c r="U14" i="19"/>
  <c r="AS33" i="14"/>
  <c r="AR33" i="14"/>
  <c r="BM24" i="26"/>
  <c r="AT33" i="14"/>
  <c r="K24" i="21"/>
  <c r="P109" i="17"/>
  <c r="S109" i="17"/>
  <c r="T12" i="17"/>
  <c r="R12" i="17"/>
  <c r="T7" i="16"/>
  <c r="U25" i="19"/>
  <c r="R29" i="15"/>
  <c r="U29" i="16"/>
  <c r="S51" i="13"/>
  <c r="S31" i="19"/>
  <c r="S33" i="19"/>
  <c r="S35" i="19"/>
  <c r="R53" i="13"/>
  <c r="U24" i="19"/>
  <c r="BM32" i="26"/>
  <c r="K32" i="21"/>
  <c r="AT41" i="14"/>
  <c r="K26" i="21"/>
  <c r="BM26" i="26"/>
  <c r="U6" i="19"/>
  <c r="AS25" i="14"/>
  <c r="AR25" i="14"/>
  <c r="BM16" i="26"/>
  <c r="AT25" i="14"/>
  <c r="K16" i="21"/>
  <c r="AS39" i="14"/>
  <c r="AR39" i="14"/>
  <c r="U20" i="19"/>
  <c r="AV39" i="15"/>
  <c r="BM18" i="26"/>
  <c r="AT27" i="14"/>
  <c r="K18" i="21"/>
  <c r="K48" i="21"/>
  <c r="BM33" i="26"/>
  <c r="K33" i="21"/>
  <c r="AT42" i="14"/>
  <c r="BM23" i="26"/>
  <c r="AT32" i="14"/>
  <c r="K23" i="21"/>
  <c r="U4" i="19"/>
  <c r="U5" i="19"/>
  <c r="AV38" i="15"/>
  <c r="U19" i="19"/>
  <c r="V109" i="17"/>
  <c r="U12" i="17"/>
  <c r="Q7" i="16"/>
  <c r="R7" i="16"/>
  <c r="V7" i="16"/>
  <c r="AE38" i="12"/>
  <c r="Q32" i="16"/>
  <c r="V32" i="16"/>
  <c r="S32" i="16"/>
  <c r="T32" i="16"/>
  <c r="AD43" i="15"/>
  <c r="W24" i="19"/>
  <c r="BN35" i="26"/>
  <c r="U32" i="16"/>
  <c r="R32" i="16"/>
  <c r="V32" i="17"/>
  <c r="BN34" i="26"/>
  <c r="AT39" i="15"/>
  <c r="L30" i="21"/>
  <c r="BN30" i="26"/>
  <c r="AS25" i="15"/>
  <c r="AR25" i="15"/>
  <c r="W6" i="19"/>
  <c r="L22" i="21"/>
  <c r="BN22" i="26"/>
  <c r="W5" i="19"/>
  <c r="AV38" i="16"/>
  <c r="W19" i="19"/>
  <c r="BN21" i="26"/>
  <c r="L21" i="21"/>
  <c r="AT30" i="15"/>
  <c r="W21" i="19"/>
  <c r="W4" i="19"/>
  <c r="W18" i="19"/>
  <c r="AV34" i="16"/>
  <c r="Z46" i="14"/>
  <c r="R51" i="14"/>
  <c r="V29" i="16"/>
  <c r="S29" i="16"/>
  <c r="AD44" i="15"/>
  <c r="L14" i="21"/>
  <c r="BN14" i="26"/>
  <c r="AS31" i="15"/>
  <c r="AR31" i="15"/>
  <c r="W12" i="19"/>
  <c r="L29" i="21"/>
  <c r="BN29" i="26"/>
  <c r="BN33" i="26"/>
  <c r="L33" i="21"/>
  <c r="AT42" i="15"/>
  <c r="W14" i="19"/>
  <c r="AS33" i="15"/>
  <c r="AR33" i="15"/>
  <c r="BN18" i="26"/>
  <c r="AT27" i="15"/>
  <c r="L18" i="21"/>
  <c r="AS35" i="15"/>
  <c r="AR35" i="15"/>
  <c r="W16" i="19"/>
  <c r="W7" i="19"/>
  <c r="BN25" i="26"/>
  <c r="L25" i="21"/>
  <c r="AV29" i="16"/>
  <c r="W10" i="19"/>
  <c r="T29" i="16"/>
  <c r="P29" i="16"/>
  <c r="S7" i="17"/>
  <c r="T7" i="17"/>
  <c r="V7" i="17"/>
  <c r="U7" i="17"/>
  <c r="P7" i="17"/>
  <c r="Q7" i="17"/>
  <c r="R56" i="13"/>
  <c r="Q59" i="13"/>
  <c r="S59" i="13"/>
  <c r="S53" i="13"/>
  <c r="W9" i="19"/>
  <c r="AT24" i="15"/>
  <c r="BN15" i="26"/>
  <c r="L15" i="21"/>
  <c r="BN19" i="26"/>
  <c r="L19" i="21"/>
  <c r="W23" i="19"/>
  <c r="AS32" i="15"/>
  <c r="AR32" i="15"/>
  <c r="W13" i="19"/>
  <c r="AT32" i="15"/>
  <c r="L23" i="21"/>
  <c r="BN23" i="26"/>
  <c r="BN20" i="26"/>
  <c r="AT29" i="15"/>
  <c r="L20" i="21"/>
  <c r="W15" i="19"/>
  <c r="AS34" i="15"/>
  <c r="AR34" i="15"/>
  <c r="AT33" i="15"/>
  <c r="L24" i="21"/>
  <c r="BN24" i="26"/>
  <c r="AT37" i="15"/>
  <c r="L28" i="21"/>
  <c r="BN28" i="26"/>
  <c r="K63" i="21"/>
  <c r="K65" i="21"/>
  <c r="AV24" i="16"/>
  <c r="Q29" i="16"/>
  <c r="R29" i="16"/>
  <c r="AV39" i="16"/>
  <c r="W20" i="19"/>
  <c r="AS39" i="15"/>
  <c r="AR39" i="15"/>
  <c r="L31" i="21"/>
  <c r="BN31" i="26"/>
  <c r="AT41" i="15"/>
  <c r="BN32" i="26"/>
  <c r="W11" i="19"/>
  <c r="AS30" i="15"/>
  <c r="AR30" i="15"/>
  <c r="L27" i="21"/>
  <c r="BN27" i="26"/>
  <c r="AT36" i="15"/>
  <c r="AS41" i="15"/>
  <c r="AR41" i="15"/>
  <c r="W22" i="19"/>
  <c r="W17" i="19"/>
  <c r="W8" i="19"/>
  <c r="BN26" i="26"/>
  <c r="L26" i="21"/>
  <c r="BN17" i="26"/>
  <c r="AT26" i="15"/>
  <c r="L17" i="21"/>
  <c r="T23" i="17"/>
  <c r="P23" i="17"/>
  <c r="Q23" i="17"/>
  <c r="U23" i="17"/>
  <c r="V23" i="17"/>
  <c r="S23" i="17"/>
  <c r="R19" i="19"/>
  <c r="AW38" i="12"/>
  <c r="AZ38" i="12"/>
  <c r="AG38" i="12"/>
  <c r="AX38" i="13"/>
  <c r="Q32" i="17"/>
  <c r="R32" i="17"/>
  <c r="U32" i="17"/>
  <c r="T32" i="17"/>
  <c r="S32" i="17"/>
  <c r="P32" i="17"/>
  <c r="AA43" i="16"/>
  <c r="M34" i="21"/>
  <c r="AA34" i="16"/>
  <c r="AA35" i="16"/>
  <c r="AA29" i="16"/>
  <c r="AA36" i="16"/>
  <c r="AA33" i="16"/>
  <c r="AA37" i="16"/>
  <c r="AD35" i="16"/>
  <c r="AA44" i="16"/>
  <c r="AA39" i="16"/>
  <c r="AD31" i="16"/>
  <c r="AD40" i="16"/>
  <c r="R7" i="17"/>
  <c r="W25" i="19"/>
  <c r="AA25" i="16"/>
  <c r="AA26" i="16"/>
  <c r="AA23" i="16"/>
  <c r="AA24" i="16"/>
  <c r="AA32" i="16"/>
  <c r="AA38" i="16"/>
  <c r="AA28" i="16"/>
  <c r="AD23" i="16"/>
  <c r="AD36" i="16"/>
  <c r="AA27" i="16"/>
  <c r="AD29" i="16"/>
  <c r="Q29" i="17"/>
  <c r="R29" i="17"/>
  <c r="V29" i="17"/>
  <c r="T29" i="17"/>
  <c r="U29" i="17"/>
  <c r="P29" i="17"/>
  <c r="AA23" i="17"/>
  <c r="S29" i="17"/>
  <c r="AD31" i="17"/>
  <c r="AD25" i="17"/>
  <c r="AD35" i="17"/>
  <c r="AA37" i="17"/>
  <c r="AD28" i="17"/>
  <c r="AD38" i="17"/>
  <c r="AA31" i="17"/>
  <c r="AD32" i="17"/>
  <c r="AD40" i="17"/>
  <c r="AD23" i="17"/>
  <c r="AD42" i="17"/>
  <c r="AA39" i="17"/>
  <c r="AD30" i="17"/>
  <c r="AA40" i="17"/>
  <c r="AA25" i="17"/>
  <c r="AD41" i="17"/>
  <c r="AA36" i="17"/>
  <c r="AD37" i="17"/>
  <c r="AD33" i="17"/>
  <c r="AA41" i="17"/>
  <c r="AA32" i="17"/>
  <c r="AD24" i="17"/>
  <c r="AA44" i="17"/>
  <c r="AA29" i="17"/>
  <c r="AA33" i="17"/>
  <c r="S51" i="14"/>
  <c r="U31" i="19"/>
  <c r="U33" i="19"/>
  <c r="U35" i="19"/>
  <c r="R53" i="14"/>
  <c r="AD44" i="16"/>
  <c r="AD41" i="16"/>
  <c r="AA31" i="16"/>
  <c r="AD28" i="16"/>
  <c r="AD25" i="16"/>
  <c r="AD26" i="16"/>
  <c r="AD24" i="16"/>
  <c r="AV24" i="17"/>
  <c r="AA41" i="16"/>
  <c r="AD30" i="16"/>
  <c r="AD27" i="16"/>
  <c r="AD39" i="16"/>
  <c r="AV39" i="17"/>
  <c r="R23" i="17"/>
  <c r="AD44" i="17"/>
  <c r="AD42" i="16"/>
  <c r="AA30" i="16"/>
  <c r="AA40" i="16"/>
  <c r="AD34" i="16"/>
  <c r="AA42" i="16"/>
  <c r="M33" i="21"/>
  <c r="AD43" i="16"/>
  <c r="AD32" i="16"/>
  <c r="AS32" i="16"/>
  <c r="AD33" i="16"/>
  <c r="AD38" i="16"/>
  <c r="AD37" i="16"/>
  <c r="AE38" i="13"/>
  <c r="T19" i="19"/>
  <c r="BO34" i="26"/>
  <c r="AT43" i="16"/>
  <c r="AD29" i="17"/>
  <c r="AA10" i="19"/>
  <c r="AC10" i="19"/>
  <c r="AE10" i="19"/>
  <c r="AA34" i="17"/>
  <c r="BP25" i="26"/>
  <c r="AA24" i="17"/>
  <c r="AD39" i="17"/>
  <c r="AA20" i="19"/>
  <c r="AC20" i="19"/>
  <c r="AE20" i="19"/>
  <c r="AA38" i="17"/>
  <c r="BP29" i="26"/>
  <c r="AD36" i="17"/>
  <c r="AA17" i="19"/>
  <c r="AA27" i="17"/>
  <c r="AA30" i="17"/>
  <c r="N21" i="21"/>
  <c r="N14" i="21"/>
  <c r="BP14" i="26"/>
  <c r="AA25" i="19"/>
  <c r="Y19" i="19"/>
  <c r="Y23" i="19"/>
  <c r="Y8" i="19"/>
  <c r="AV27" i="17"/>
  <c r="Y7" i="19"/>
  <c r="AS41" i="16"/>
  <c r="AR41" i="16"/>
  <c r="Y22" i="19"/>
  <c r="AV41" i="17"/>
  <c r="N24" i="21"/>
  <c r="BP24" i="26"/>
  <c r="BP23" i="26"/>
  <c r="N23" i="21"/>
  <c r="N27" i="21"/>
  <c r="BP27" i="26"/>
  <c r="AD43" i="17"/>
  <c r="AA4" i="19"/>
  <c r="AA19" i="19"/>
  <c r="BP28" i="26"/>
  <c r="N28" i="21"/>
  <c r="N18" i="21"/>
  <c r="BP18" i="26"/>
  <c r="BP21" i="26"/>
  <c r="N25" i="21"/>
  <c r="Y17" i="19"/>
  <c r="AC17" i="19"/>
  <c r="AE17" i="19"/>
  <c r="AV36" i="17"/>
  <c r="AT32" i="16"/>
  <c r="AT32" i="17"/>
  <c r="M23" i="21"/>
  <c r="BO23" i="26"/>
  <c r="M16" i="21"/>
  <c r="BO16" i="26"/>
  <c r="AT39" i="16"/>
  <c r="M30" i="21"/>
  <c r="BO30" i="26"/>
  <c r="BO24" i="26"/>
  <c r="AT33" i="16"/>
  <c r="AT33" i="17"/>
  <c r="M24" i="21"/>
  <c r="M25" i="21"/>
  <c r="BO25" i="26"/>
  <c r="Y18" i="19"/>
  <c r="AC18" i="19"/>
  <c r="AE18" i="19"/>
  <c r="AT42" i="16"/>
  <c r="BO33" i="26"/>
  <c r="Y14" i="19"/>
  <c r="AS33" i="16"/>
  <c r="AR33" i="16"/>
  <c r="AS34" i="16"/>
  <c r="AR34" i="16"/>
  <c r="Y15" i="19"/>
  <c r="Y11" i="19"/>
  <c r="AS30" i="16"/>
  <c r="AR30" i="16"/>
  <c r="AS25" i="16"/>
  <c r="AR25" i="16"/>
  <c r="Y6" i="19"/>
  <c r="Y25" i="19"/>
  <c r="AC25" i="19"/>
  <c r="N20" i="21"/>
  <c r="BP20" i="26"/>
  <c r="N32" i="21"/>
  <c r="BP32" i="26"/>
  <c r="AA22" i="19"/>
  <c r="AA11" i="19"/>
  <c r="AA21" i="19"/>
  <c r="AA26" i="17"/>
  <c r="N17" i="21"/>
  <c r="AD26" i="17"/>
  <c r="AD27" i="17"/>
  <c r="AD34" i="17"/>
  <c r="AA15" i="19"/>
  <c r="AC15" i="19"/>
  <c r="AE15" i="19"/>
  <c r="AA35" i="17"/>
  <c r="Y4" i="19"/>
  <c r="AC4" i="19"/>
  <c r="AE4" i="19"/>
  <c r="M15" i="21"/>
  <c r="BO15" i="26"/>
  <c r="AT24" i="16"/>
  <c r="AT24" i="17"/>
  <c r="M35" i="21"/>
  <c r="BO35" i="26"/>
  <c r="BO27" i="26"/>
  <c r="AT36" i="16"/>
  <c r="AT36" i="17"/>
  <c r="M27" i="21"/>
  <c r="AV38" i="17"/>
  <c r="Y24" i="19"/>
  <c r="Y13" i="19"/>
  <c r="BO31" i="26"/>
  <c r="M31" i="21"/>
  <c r="AT41" i="16"/>
  <c r="AT41" i="17"/>
  <c r="M32" i="21"/>
  <c r="BO32" i="26"/>
  <c r="Y9" i="19"/>
  <c r="S53" i="14"/>
  <c r="R56" i="14"/>
  <c r="Q59" i="14"/>
  <c r="S59" i="14"/>
  <c r="N35" i="21"/>
  <c r="BP35" i="26"/>
  <c r="AA14" i="19"/>
  <c r="AS33" i="17"/>
  <c r="AR33" i="17"/>
  <c r="N16" i="21"/>
  <c r="BP16" i="26"/>
  <c r="N30" i="21"/>
  <c r="AT39" i="17"/>
  <c r="BP30" i="26"/>
  <c r="AA13" i="19"/>
  <c r="AA9" i="19"/>
  <c r="AA16" i="19"/>
  <c r="AA42" i="17"/>
  <c r="BP33" i="26"/>
  <c r="AA28" i="17"/>
  <c r="BP19" i="26"/>
  <c r="AA43" i="17"/>
  <c r="N34" i="21"/>
  <c r="AV29" i="17"/>
  <c r="Y10" i="19"/>
  <c r="BO19" i="26"/>
  <c r="M19" i="21"/>
  <c r="M14" i="21"/>
  <c r="BO14" i="26"/>
  <c r="AA45" i="16"/>
  <c r="Z46" i="16"/>
  <c r="Y21" i="19"/>
  <c r="Y16" i="19"/>
  <c r="AS35" i="16"/>
  <c r="AR35" i="16"/>
  <c r="AV35" i="17"/>
  <c r="AT29" i="16"/>
  <c r="AT29" i="17"/>
  <c r="M20" i="21"/>
  <c r="BO20" i="26"/>
  <c r="AV34" i="17"/>
  <c r="AT30" i="16"/>
  <c r="M21" i="21"/>
  <c r="BO21" i="26"/>
  <c r="Y20" i="19"/>
  <c r="AS39" i="16"/>
  <c r="AR39" i="16"/>
  <c r="Y5" i="19"/>
  <c r="AC5" i="19"/>
  <c r="AE5" i="19"/>
  <c r="M22" i="21"/>
  <c r="BO22" i="26"/>
  <c r="AA5" i="19"/>
  <c r="AA18" i="19"/>
  <c r="N31" i="21"/>
  <c r="BP31" i="26"/>
  <c r="AA23" i="19"/>
  <c r="BP22" i="26"/>
  <c r="N22" i="21"/>
  <c r="N15" i="21"/>
  <c r="BP15" i="26"/>
  <c r="AS25" i="17"/>
  <c r="AR25" i="17"/>
  <c r="AA6" i="19"/>
  <c r="AA12" i="19"/>
  <c r="N29" i="21"/>
  <c r="M18" i="21"/>
  <c r="BO18" i="26"/>
  <c r="AT27" i="16"/>
  <c r="AT27" i="17"/>
  <c r="M29" i="21"/>
  <c r="BO29" i="26"/>
  <c r="M17" i="21"/>
  <c r="M48" i="21"/>
  <c r="M63" i="21"/>
  <c r="M65" i="21"/>
  <c r="BO17" i="26"/>
  <c r="AT26" i="16"/>
  <c r="Y12" i="19"/>
  <c r="AC12" i="19"/>
  <c r="AE12" i="19"/>
  <c r="AS31" i="16"/>
  <c r="AR31" i="16"/>
  <c r="AV31" i="17"/>
  <c r="BO28" i="26"/>
  <c r="AT37" i="16"/>
  <c r="AT37" i="17"/>
  <c r="M28" i="21"/>
  <c r="M26" i="21"/>
  <c r="BO26" i="26"/>
  <c r="AX38" i="14"/>
  <c r="AE38" i="14"/>
  <c r="AZ38" i="13"/>
  <c r="AG38" i="13"/>
  <c r="AC21" i="19"/>
  <c r="AE21" i="19"/>
  <c r="AC16" i="19"/>
  <c r="AE16" i="19"/>
  <c r="AS41" i="17"/>
  <c r="AR41" i="17"/>
  <c r="AC11" i="19"/>
  <c r="AE11" i="19"/>
  <c r="AC13" i="19"/>
  <c r="AE13" i="19"/>
  <c r="AC19" i="19"/>
  <c r="AE19" i="19"/>
  <c r="AC6" i="19"/>
  <c r="AC23" i="19"/>
  <c r="AC14" i="19"/>
  <c r="AE6" i="19"/>
  <c r="AE14" i="19"/>
  <c r="AC9" i="19"/>
  <c r="AE9" i="19"/>
  <c r="AC22" i="19"/>
  <c r="AE22" i="19"/>
  <c r="AE23" i="19"/>
  <c r="AA45" i="17"/>
  <c r="R51" i="17"/>
  <c r="BP34" i="26"/>
  <c r="AS34" i="17"/>
  <c r="AR34" i="17"/>
  <c r="AA24" i="19"/>
  <c r="N19" i="21"/>
  <c r="AA8" i="19"/>
  <c r="N33" i="21"/>
  <c r="AT42" i="17"/>
  <c r="AA7" i="19"/>
  <c r="AC7" i="19"/>
  <c r="AE7" i="19"/>
  <c r="AS31" i="17"/>
  <c r="AR31" i="17"/>
  <c r="AS35" i="17"/>
  <c r="AR35" i="17"/>
  <c r="BP26" i="26"/>
  <c r="N26" i="21"/>
  <c r="AT26" i="17"/>
  <c r="BP17" i="26"/>
  <c r="AE25" i="19"/>
  <c r="AC8" i="19"/>
  <c r="AE8" i="19"/>
  <c r="Z46" i="17"/>
  <c r="N48" i="21"/>
  <c r="N63" i="21"/>
  <c r="N65" i="21"/>
  <c r="AR32" i="16"/>
  <c r="AS32" i="17"/>
  <c r="AR32" i="17"/>
  <c r="AX38" i="15"/>
  <c r="AE38" i="15"/>
  <c r="AW38" i="14"/>
  <c r="V19" i="19"/>
  <c r="AZ38" i="14"/>
  <c r="AG38" i="14"/>
  <c r="R53" i="17"/>
  <c r="S51" i="17"/>
  <c r="AA31" i="19"/>
  <c r="AA33" i="19"/>
  <c r="AA35" i="19"/>
  <c r="R51" i="16"/>
  <c r="AT25" i="15"/>
  <c r="AT25" i="16"/>
  <c r="AT25" i="17"/>
  <c r="BN16" i="26"/>
  <c r="AA45" i="15"/>
  <c r="AS39" i="17"/>
  <c r="AR39" i="17"/>
  <c r="AT43" i="17"/>
  <c r="AT30" i="17"/>
  <c r="AW38" i="13"/>
  <c r="AS30" i="17"/>
  <c r="AR30" i="17"/>
  <c r="L16" i="21"/>
  <c r="L48" i="21"/>
  <c r="L63" i="21"/>
  <c r="L65" i="21"/>
  <c r="I48" i="21"/>
  <c r="I63" i="21"/>
  <c r="I65" i="21"/>
  <c r="AX41" i="14"/>
  <c r="AE41" i="14"/>
  <c r="T22" i="19"/>
  <c r="AW41" i="13"/>
  <c r="AZ41" i="13"/>
  <c r="AG41" i="13"/>
  <c r="G48" i="21"/>
  <c r="G63" i="21"/>
  <c r="G65" i="21"/>
  <c r="BL23" i="26"/>
  <c r="G23" i="21"/>
  <c r="AS28" i="9"/>
  <c r="AZ28" i="8"/>
  <c r="AG28" i="8"/>
  <c r="AX28" i="9"/>
  <c r="AE28" i="9"/>
  <c r="AV37" i="11"/>
  <c r="AV37" i="12"/>
  <c r="AV37" i="13"/>
  <c r="AV37" i="14"/>
  <c r="AV37" i="15"/>
  <c r="AV37" i="16"/>
  <c r="AV37" i="17"/>
  <c r="AW24" i="5"/>
  <c r="AZ24" i="5"/>
  <c r="AG24" i="5"/>
  <c r="H5" i="19"/>
  <c r="AX24" i="8"/>
  <c r="AE24" i="8"/>
  <c r="AV33" i="11"/>
  <c r="AV33" i="12"/>
  <c r="AV33" i="13"/>
  <c r="AV33" i="14"/>
  <c r="AV33" i="15"/>
  <c r="AV33" i="16"/>
  <c r="AV33" i="17"/>
  <c r="AW28" i="8"/>
  <c r="AV42" i="11"/>
  <c r="AV42" i="12"/>
  <c r="AV42" i="13"/>
  <c r="AV42" i="14"/>
  <c r="AV42" i="15"/>
  <c r="AV42" i="16"/>
  <c r="AV42" i="17"/>
  <c r="AV43" i="9"/>
  <c r="AV43" i="10"/>
  <c r="AV43" i="11"/>
  <c r="AV43" i="12"/>
  <c r="AV43" i="13"/>
  <c r="AV43" i="14"/>
  <c r="AV43" i="15"/>
  <c r="AV43" i="16"/>
  <c r="AV43" i="17"/>
  <c r="AQ42" i="10"/>
  <c r="AQ45" i="9"/>
  <c r="AV32" i="16"/>
  <c r="AV32" i="17"/>
  <c r="AV26" i="11"/>
  <c r="AV26" i="12"/>
  <c r="AV26" i="13"/>
  <c r="AV26" i="14"/>
  <c r="AV26" i="15"/>
  <c r="AV26" i="16"/>
  <c r="AV26" i="17"/>
  <c r="AT28" i="10"/>
  <c r="AT28" i="11"/>
  <c r="AT28" i="12"/>
  <c r="AT28" i="13"/>
  <c r="AT28" i="14"/>
  <c r="AT28" i="15"/>
  <c r="AT28" i="16"/>
  <c r="AT28" i="17"/>
  <c r="AV40" i="11"/>
  <c r="AV40" i="12"/>
  <c r="AV40" i="13"/>
  <c r="AV40" i="14"/>
  <c r="AV40" i="15"/>
  <c r="AV40" i="16"/>
  <c r="AV40" i="17"/>
  <c r="AX42" i="8"/>
  <c r="AE42" i="8"/>
  <c r="H23" i="19"/>
  <c r="AW25" i="5"/>
  <c r="AZ25" i="5"/>
  <c r="AG25" i="5"/>
  <c r="AX25" i="8"/>
  <c r="AE25" i="8"/>
  <c r="H6" i="19"/>
  <c r="H21" i="19"/>
  <c r="AX40" i="8"/>
  <c r="AE40" i="8"/>
  <c r="AW29" i="5"/>
  <c r="AZ29" i="5"/>
  <c r="AG29" i="5"/>
  <c r="AX29" i="8"/>
  <c r="AE29" i="8"/>
  <c r="H10" i="19"/>
  <c r="AT44" i="10"/>
  <c r="AT44" i="11"/>
  <c r="AT44" i="12"/>
  <c r="AT44" i="13"/>
  <c r="AT44" i="14"/>
  <c r="AT44" i="15"/>
  <c r="AT44" i="16"/>
  <c r="AT44" i="17"/>
  <c r="AT31" i="9"/>
  <c r="AT31" i="10"/>
  <c r="AT31" i="11"/>
  <c r="AT31" i="12"/>
  <c r="AT31" i="13"/>
  <c r="AT31" i="14"/>
  <c r="AT31" i="15"/>
  <c r="AT31" i="16"/>
  <c r="AT31" i="17"/>
  <c r="AR34" i="8"/>
  <c r="AV30" i="11"/>
  <c r="AV30" i="12"/>
  <c r="AV30" i="13"/>
  <c r="AV30" i="14"/>
  <c r="AV30" i="15"/>
  <c r="AV30" i="16"/>
  <c r="AV30" i="17"/>
  <c r="AS27" i="9"/>
  <c r="AS27" i="10"/>
  <c r="AR27" i="8"/>
  <c r="AR40" i="8"/>
  <c r="AS40" i="9"/>
  <c r="AR40" i="9"/>
  <c r="AX35" i="9"/>
  <c r="AE35" i="9"/>
  <c r="AZ35" i="9"/>
  <c r="AG35" i="9"/>
  <c r="AW35" i="8"/>
  <c r="AZ44" i="8"/>
  <c r="AG44" i="8"/>
  <c r="AX44" i="9"/>
  <c r="AE44" i="9"/>
  <c r="AW32" i="5"/>
  <c r="AX32" i="8"/>
  <c r="AE32" i="8"/>
  <c r="AW33" i="5"/>
  <c r="AX33" i="8"/>
  <c r="AE33" i="8"/>
  <c r="J14" i="19"/>
  <c r="Z17" i="8"/>
  <c r="AA4" i="8"/>
  <c r="Z6" i="9"/>
  <c r="Q50" i="22"/>
  <c r="BT48" i="26"/>
  <c r="AT35" i="10"/>
  <c r="AT35" i="11"/>
  <c r="AT35" i="12"/>
  <c r="AT35" i="13"/>
  <c r="AT35" i="14"/>
  <c r="AT35" i="15"/>
  <c r="AT35" i="16"/>
  <c r="AT35" i="17"/>
  <c r="AR38" i="8"/>
  <c r="AV25" i="11"/>
  <c r="AV25" i="12"/>
  <c r="AV25" i="13"/>
  <c r="AV25" i="14"/>
  <c r="AV25" i="15"/>
  <c r="AV25" i="16"/>
  <c r="AV25" i="17"/>
  <c r="AT40" i="8"/>
  <c r="AT40" i="9"/>
  <c r="AT40" i="10"/>
  <c r="AT40" i="11"/>
  <c r="AT40" i="12"/>
  <c r="AT40" i="13"/>
  <c r="AT40" i="14"/>
  <c r="AT40" i="15"/>
  <c r="AT40" i="16"/>
  <c r="AT40" i="17"/>
  <c r="BG34" i="26"/>
  <c r="AS23" i="8"/>
  <c r="AS44" i="8"/>
  <c r="AV44" i="8"/>
  <c r="AV44" i="9"/>
  <c r="AV44" i="10"/>
  <c r="AV44" i="11"/>
  <c r="AV44" i="12"/>
  <c r="AV44" i="13"/>
  <c r="AV44" i="14"/>
  <c r="AV44" i="15"/>
  <c r="AV44" i="16"/>
  <c r="AV44" i="17"/>
  <c r="G24" i="19"/>
  <c r="AC24" i="19"/>
  <c r="AE24" i="19"/>
  <c r="AE3" i="19"/>
  <c r="U1" i="19"/>
  <c r="AS43" i="5"/>
  <c r="AX43" i="8"/>
  <c r="AE43" i="8"/>
  <c r="AX43" i="9"/>
  <c r="AE43" i="9"/>
  <c r="AV23" i="9"/>
  <c r="AV45" i="9"/>
  <c r="AV28" i="10"/>
  <c r="AV28" i="11"/>
  <c r="AV28" i="12"/>
  <c r="AV28" i="13"/>
  <c r="AV28" i="14"/>
  <c r="AV28" i="15"/>
  <c r="AV28" i="16"/>
  <c r="AV28" i="17"/>
  <c r="AR37" i="8"/>
  <c r="AT38" i="10"/>
  <c r="AT38" i="11"/>
  <c r="AT38" i="12"/>
  <c r="AT38" i="13"/>
  <c r="AT38" i="14"/>
  <c r="AT38" i="15"/>
  <c r="AT38" i="16"/>
  <c r="AT38" i="17"/>
  <c r="AT23" i="9"/>
  <c r="AT23" i="10"/>
  <c r="AT23" i="11"/>
  <c r="AT23" i="12"/>
  <c r="AT23" i="13"/>
  <c r="AT23" i="14"/>
  <c r="AT23" i="15"/>
  <c r="AT23" i="16"/>
  <c r="AT23" i="17"/>
  <c r="H9" i="19"/>
  <c r="AW39" i="5"/>
  <c r="AW27" i="5"/>
  <c r="X19" i="19"/>
  <c r="AZ41" i="12"/>
  <c r="AG41" i="12"/>
  <c r="AW41" i="12"/>
  <c r="R22" i="19"/>
  <c r="P22" i="19"/>
  <c r="AW41" i="11"/>
  <c r="AZ41" i="11"/>
  <c r="AG41" i="11"/>
  <c r="AX30" i="9"/>
  <c r="AE30" i="9"/>
  <c r="J11" i="19"/>
  <c r="AW30" i="8"/>
  <c r="AZ30" i="8"/>
  <c r="AG30" i="8"/>
  <c r="AS38" i="10"/>
  <c r="AR38" i="9"/>
  <c r="AW32" i="8"/>
  <c r="J13" i="19"/>
  <c r="AZ32" i="8"/>
  <c r="AG32" i="8"/>
  <c r="AX32" i="9"/>
  <c r="AE32" i="9"/>
  <c r="AW35" i="9"/>
  <c r="AS36" i="10"/>
  <c r="AR36" i="9"/>
  <c r="AZ31" i="8"/>
  <c r="AG31" i="8"/>
  <c r="AW31" i="8"/>
  <c r="AX31" i="9"/>
  <c r="AE31" i="9"/>
  <c r="J12" i="19"/>
  <c r="J24" i="19"/>
  <c r="AW43" i="8"/>
  <c r="AV23" i="10"/>
  <c r="AX27" i="9"/>
  <c r="AE27" i="9"/>
  <c r="AW27" i="8"/>
  <c r="J8" i="19"/>
  <c r="AZ27" i="8"/>
  <c r="AG27" i="8"/>
  <c r="AW36" i="8"/>
  <c r="AX36" i="9"/>
  <c r="AE36" i="9"/>
  <c r="AZ36" i="8"/>
  <c r="AG36" i="8"/>
  <c r="J17" i="19"/>
  <c r="AX25" i="9"/>
  <c r="AE25" i="9"/>
  <c r="AW25" i="8"/>
  <c r="J6" i="19"/>
  <c r="AZ25" i="8"/>
  <c r="AG25" i="8"/>
  <c r="J10" i="19"/>
  <c r="AX29" i="9"/>
  <c r="AE29" i="9"/>
  <c r="AZ29" i="8"/>
  <c r="AG29" i="8"/>
  <c r="AW29" i="8"/>
  <c r="J18" i="19"/>
  <c r="AX37" i="9"/>
  <c r="AE37" i="9"/>
  <c r="AW37" i="8"/>
  <c r="AZ37" i="8"/>
  <c r="AG37" i="8"/>
  <c r="AS37" i="10"/>
  <c r="AR37" i="9"/>
  <c r="AX24" i="9"/>
  <c r="AE24" i="9"/>
  <c r="AW24" i="8"/>
  <c r="AZ24" i="8"/>
  <c r="AG24" i="8"/>
  <c r="J5" i="19"/>
  <c r="AX33" i="9"/>
  <c r="AE33" i="9"/>
  <c r="AZ33" i="8"/>
  <c r="AG33" i="8"/>
  <c r="AZ30" i="5"/>
  <c r="AG30" i="5"/>
  <c r="AW30" i="5"/>
  <c r="AZ36" i="5"/>
  <c r="AG36" i="5"/>
  <c r="AW36" i="5"/>
  <c r="H11" i="19"/>
  <c r="H17" i="19"/>
  <c r="H22" i="19"/>
  <c r="AZ41" i="5"/>
  <c r="AG41" i="5"/>
  <c r="H18" i="19"/>
  <c r="AZ37" i="5"/>
  <c r="AG37" i="5"/>
  <c r="AE23" i="5"/>
  <c r="AX45" i="5"/>
  <c r="H13" i="19"/>
  <c r="AZ32" i="5"/>
  <c r="AG32" i="5"/>
  <c r="AW38" i="8"/>
  <c r="W104" i="9"/>
  <c r="W102" i="9"/>
  <c r="W72" i="9"/>
  <c r="W41" i="9"/>
  <c r="W20" i="9"/>
  <c r="W107" i="9"/>
  <c r="W10" i="9"/>
  <c r="W28" i="9"/>
  <c r="W7" i="9"/>
  <c r="W71" i="9"/>
  <c r="W84" i="9"/>
  <c r="W46" i="9"/>
  <c r="W5" i="10"/>
  <c r="W86" i="9"/>
  <c r="W30" i="9"/>
  <c r="W9" i="9"/>
  <c r="W27" i="9"/>
  <c r="W85" i="9"/>
  <c r="W17" i="9"/>
  <c r="W35" i="9"/>
  <c r="W91" i="9"/>
  <c r="W98" i="9"/>
  <c r="AS26" i="10"/>
  <c r="AS42" i="9"/>
  <c r="AX34" i="9"/>
  <c r="AE34" i="9"/>
  <c r="J16" i="19"/>
  <c r="AS24" i="8"/>
  <c r="AX39" i="8"/>
  <c r="AE39" i="8"/>
  <c r="AZ39" i="5"/>
  <c r="AG39" i="5"/>
  <c r="AW41" i="5"/>
  <c r="H12" i="19"/>
  <c r="AZ34" i="5"/>
  <c r="AG34" i="5"/>
  <c r="AW42" i="5"/>
  <c r="AZ42" i="5"/>
  <c r="AG42" i="5"/>
  <c r="AT34" i="9"/>
  <c r="J22" i="19"/>
  <c r="AZ34" i="8"/>
  <c r="AG34" i="8"/>
  <c r="AW42" i="8"/>
  <c r="AZ42" i="8"/>
  <c r="AG42" i="8"/>
  <c r="AZ31" i="5"/>
  <c r="AG31" i="5"/>
  <c r="H15" i="19"/>
  <c r="AZ26" i="5"/>
  <c r="AG26" i="5"/>
  <c r="AX26" i="8"/>
  <c r="AE26" i="8"/>
  <c r="AW26" i="5"/>
  <c r="AZ40" i="5"/>
  <c r="AG40" i="5"/>
  <c r="AW40" i="5"/>
  <c r="AZ33" i="5"/>
  <c r="AG33" i="5"/>
  <c r="H14" i="19"/>
  <c r="AR29" i="5"/>
  <c r="AS29" i="8"/>
  <c r="F6" i="19"/>
  <c r="AW25" i="4"/>
  <c r="AW45" i="4"/>
  <c r="F13" i="19"/>
  <c r="AW32" i="4"/>
  <c r="AZ32" i="4"/>
  <c r="AG32" i="4"/>
  <c r="Q54" i="4"/>
  <c r="S54" i="4"/>
  <c r="AA18" i="4"/>
  <c r="AW43" i="4"/>
  <c r="AZ43" i="4"/>
  <c r="AG43" i="4"/>
  <c r="AA18" i="8"/>
  <c r="Q54" i="8"/>
  <c r="S54" i="8"/>
  <c r="AX35" i="10"/>
  <c r="AE35" i="10"/>
  <c r="AZ43" i="8"/>
  <c r="AG43" i="8"/>
  <c r="AS43" i="8"/>
  <c r="AR43" i="5"/>
  <c r="AS45" i="5"/>
  <c r="AZ40" i="8"/>
  <c r="AG40" i="8"/>
  <c r="AX40" i="9"/>
  <c r="AE40" i="9"/>
  <c r="AW40" i="8"/>
  <c r="J21" i="19"/>
  <c r="AX28" i="10"/>
  <c r="AE28" i="10"/>
  <c r="AZ28" i="9"/>
  <c r="AG28" i="9"/>
  <c r="AW28" i="9"/>
  <c r="L9" i="19"/>
  <c r="V22" i="19"/>
  <c r="AW41" i="14"/>
  <c r="AZ41" i="14"/>
  <c r="AG41" i="14"/>
  <c r="AX41" i="15"/>
  <c r="AE41" i="15"/>
  <c r="R51" i="15"/>
  <c r="Z46" i="15"/>
  <c r="AR45" i="5"/>
  <c r="AR27" i="9"/>
  <c r="AR44" i="8"/>
  <c r="AS44" i="9"/>
  <c r="AW33" i="8"/>
  <c r="L16" i="19"/>
  <c r="AR23" i="8"/>
  <c r="AS23" i="9"/>
  <c r="R50" i="22"/>
  <c r="BU48" i="26"/>
  <c r="Z6" i="10"/>
  <c r="Z17" i="9"/>
  <c r="AA4" i="9"/>
  <c r="AQ42" i="11"/>
  <c r="AQ45" i="10"/>
  <c r="AT45" i="8"/>
  <c r="AR28" i="9"/>
  <c r="AS28" i="10"/>
  <c r="S53" i="17"/>
  <c r="R56" i="17"/>
  <c r="Q59" i="17"/>
  <c r="S59" i="17"/>
  <c r="AW38" i="15"/>
  <c r="AX38" i="16"/>
  <c r="AE38" i="16"/>
  <c r="AZ38" i="15"/>
  <c r="AG38" i="15"/>
  <c r="L25" i="19"/>
  <c r="AW44" i="9"/>
  <c r="AZ44" i="9"/>
  <c r="AG44" i="9"/>
  <c r="AX44" i="10"/>
  <c r="AE44" i="10"/>
  <c r="J23" i="19"/>
  <c r="AX42" i="9"/>
  <c r="AE42" i="9"/>
  <c r="AV45" i="8"/>
  <c r="AS40" i="10"/>
  <c r="R53" i="16"/>
  <c r="S51" i="16"/>
  <c r="Y31" i="19"/>
  <c r="Y33" i="19"/>
  <c r="Y35" i="19"/>
  <c r="AS29" i="9"/>
  <c r="AR29" i="8"/>
  <c r="AR24" i="8"/>
  <c r="AS24" i="9"/>
  <c r="AS45" i="8"/>
  <c r="AR26" i="10"/>
  <c r="AS26" i="11"/>
  <c r="L18" i="19"/>
  <c r="AX37" i="10"/>
  <c r="AE37" i="10"/>
  <c r="AW37" i="9"/>
  <c r="AZ37" i="9"/>
  <c r="AG37" i="9"/>
  <c r="AW36" i="9"/>
  <c r="AX36" i="10"/>
  <c r="AE36" i="10"/>
  <c r="L17" i="19"/>
  <c r="AZ36" i="9"/>
  <c r="AG36" i="9"/>
  <c r="N16" i="19"/>
  <c r="AZ35" i="10"/>
  <c r="AG35" i="10"/>
  <c r="AX35" i="11"/>
  <c r="AE35" i="11"/>
  <c r="AW35" i="10"/>
  <c r="AE13" i="5"/>
  <c r="AE13" i="4"/>
  <c r="AE13" i="8"/>
  <c r="AR37" i="10"/>
  <c r="AS37" i="11"/>
  <c r="AX25" i="10"/>
  <c r="AE25" i="10"/>
  <c r="L6" i="19"/>
  <c r="AZ25" i="9"/>
  <c r="AG25" i="9"/>
  <c r="AW25" i="9"/>
  <c r="L8" i="19"/>
  <c r="AW27" i="9"/>
  <c r="AZ27" i="9"/>
  <c r="AG27" i="9"/>
  <c r="AX27" i="10"/>
  <c r="AE27" i="10"/>
  <c r="AW31" i="9"/>
  <c r="AX31" i="10"/>
  <c r="AE31" i="10"/>
  <c r="L12" i="19"/>
  <c r="AZ31" i="9"/>
  <c r="AG31" i="9"/>
  <c r="AR36" i="10"/>
  <c r="AS36" i="11"/>
  <c r="AR27" i="10"/>
  <c r="AS27" i="11"/>
  <c r="AX30" i="10"/>
  <c r="AE30" i="10"/>
  <c r="AZ30" i="9"/>
  <c r="AG30" i="9"/>
  <c r="AW30" i="9"/>
  <c r="L11" i="19"/>
  <c r="AZ34" i="9"/>
  <c r="AG34" i="9"/>
  <c r="AW34" i="9"/>
  <c r="L15" i="19"/>
  <c r="AX34" i="10"/>
  <c r="AE34" i="10"/>
  <c r="L14" i="19"/>
  <c r="AW33" i="9"/>
  <c r="AX33" i="10"/>
  <c r="AE33" i="10"/>
  <c r="AZ33" i="9"/>
  <c r="AG33" i="9"/>
  <c r="AZ43" i="9"/>
  <c r="AG43" i="9"/>
  <c r="L24" i="19"/>
  <c r="AX43" i="10"/>
  <c r="AE43" i="10"/>
  <c r="AW43" i="9"/>
  <c r="AX32" i="10"/>
  <c r="AE32" i="10"/>
  <c r="AW32" i="9"/>
  <c r="AZ32" i="9"/>
  <c r="AG32" i="9"/>
  <c r="L13" i="19"/>
  <c r="J7" i="19"/>
  <c r="AZ26" i="8"/>
  <c r="AG26" i="8"/>
  <c r="AX26" i="9"/>
  <c r="AE26" i="9"/>
  <c r="AW26" i="8"/>
  <c r="AT45" i="9"/>
  <c r="AT34" i="10"/>
  <c r="AW39" i="8"/>
  <c r="J20" i="19"/>
  <c r="AX39" i="9"/>
  <c r="AE39" i="9"/>
  <c r="AZ39" i="8"/>
  <c r="AG39" i="8"/>
  <c r="AS42" i="10"/>
  <c r="AR42" i="9"/>
  <c r="W104" i="10"/>
  <c r="W15" i="10"/>
  <c r="W72" i="10"/>
  <c r="W84" i="10"/>
  <c r="W68" i="10"/>
  <c r="W69" i="10"/>
  <c r="W108" i="10"/>
  <c r="W83" i="10"/>
  <c r="W65" i="10"/>
  <c r="W74" i="10"/>
  <c r="W7" i="10"/>
  <c r="W23" i="10"/>
  <c r="W81" i="10"/>
  <c r="W93" i="10"/>
  <c r="W85" i="10"/>
  <c r="W9" i="10"/>
  <c r="W35" i="10"/>
  <c r="W79" i="10"/>
  <c r="W94" i="10"/>
  <c r="W16" i="10"/>
  <c r="W18" i="10"/>
  <c r="W99" i="10"/>
  <c r="W39" i="10"/>
  <c r="W30" i="10"/>
  <c r="W109" i="10"/>
  <c r="W19" i="10"/>
  <c r="W66" i="10"/>
  <c r="W78" i="10"/>
  <c r="W75" i="10"/>
  <c r="W102" i="10"/>
  <c r="W103" i="10"/>
  <c r="W97" i="10"/>
  <c r="W40" i="10"/>
  <c r="W32" i="10"/>
  <c r="W38" i="10"/>
  <c r="W90" i="10"/>
  <c r="W36" i="10"/>
  <c r="W37" i="10"/>
  <c r="W29" i="10"/>
  <c r="W73" i="10"/>
  <c r="W13" i="10"/>
  <c r="W11" i="10"/>
  <c r="W43" i="10"/>
  <c r="W101" i="10"/>
  <c r="W26" i="10"/>
  <c r="W100" i="10"/>
  <c r="W34" i="10"/>
  <c r="W106" i="10"/>
  <c r="W17" i="10"/>
  <c r="W87" i="10"/>
  <c r="W25" i="10"/>
  <c r="W64" i="10"/>
  <c r="W12" i="10"/>
  <c r="W20" i="10"/>
  <c r="W24" i="10"/>
  <c r="W14" i="10"/>
  <c r="W95" i="10"/>
  <c r="W96" i="10"/>
  <c r="W71" i="10"/>
  <c r="W22" i="10"/>
  <c r="W8" i="10"/>
  <c r="W107" i="10"/>
  <c r="W82" i="10"/>
  <c r="W10" i="10"/>
  <c r="W44" i="10"/>
  <c r="W98" i="10"/>
  <c r="W110" i="10"/>
  <c r="W92" i="10"/>
  <c r="W21" i="10"/>
  <c r="W42" i="10"/>
  <c r="W76" i="10"/>
  <c r="W27" i="10"/>
  <c r="W88" i="10"/>
  <c r="W45" i="10"/>
  <c r="W77" i="10"/>
  <c r="W46" i="10"/>
  <c r="W5" i="11"/>
  <c r="W41" i="10"/>
  <c r="W105" i="10"/>
  <c r="W31" i="10"/>
  <c r="W91" i="10"/>
  <c r="W80" i="10"/>
  <c r="W33" i="10"/>
  <c r="W89" i="10"/>
  <c r="W28" i="10"/>
  <c r="W67" i="10"/>
  <c r="W86" i="10"/>
  <c r="W70" i="10"/>
  <c r="H4" i="19"/>
  <c r="AX23" i="8"/>
  <c r="AW23" i="5"/>
  <c r="AW45" i="5"/>
  <c r="AE45" i="5"/>
  <c r="AZ23" i="5"/>
  <c r="AG23" i="5"/>
  <c r="AE15" i="5"/>
  <c r="AZ24" i="9"/>
  <c r="AG24" i="9"/>
  <c r="AW24" i="9"/>
  <c r="AX24" i="10"/>
  <c r="AE24" i="10"/>
  <c r="L5" i="19"/>
  <c r="AX29" i="10"/>
  <c r="AE29" i="10"/>
  <c r="AW29" i="9"/>
  <c r="L10" i="19"/>
  <c r="AZ29" i="9"/>
  <c r="AG29" i="9"/>
  <c r="AV23" i="11"/>
  <c r="AV45" i="10"/>
  <c r="AS38" i="11"/>
  <c r="AR38" i="10"/>
  <c r="Z17" i="10"/>
  <c r="AA4" i="10"/>
  <c r="S50" i="22"/>
  <c r="Z6" i="11"/>
  <c r="BV48" i="26"/>
  <c r="S51" i="15"/>
  <c r="W31" i="19"/>
  <c r="W33" i="19"/>
  <c r="W35" i="19"/>
  <c r="R53" i="15"/>
  <c r="AZ28" i="10"/>
  <c r="AG28" i="10"/>
  <c r="AW28" i="10"/>
  <c r="N9" i="19"/>
  <c r="AX28" i="11"/>
  <c r="AE28" i="11"/>
  <c r="L23" i="19"/>
  <c r="AX42" i="10"/>
  <c r="AE42" i="10"/>
  <c r="AW42" i="9"/>
  <c r="AZ42" i="9"/>
  <c r="AG42" i="9"/>
  <c r="AX41" i="16"/>
  <c r="AE41" i="16"/>
  <c r="AW41" i="15"/>
  <c r="AZ41" i="15"/>
  <c r="AG41" i="15"/>
  <c r="X22" i="19"/>
  <c r="R56" i="16"/>
  <c r="Q59" i="16"/>
  <c r="S59" i="16"/>
  <c r="S53" i="16"/>
  <c r="AX38" i="17"/>
  <c r="AE38" i="17"/>
  <c r="AW38" i="16"/>
  <c r="Z19" i="19"/>
  <c r="AZ38" i="16"/>
  <c r="AG38" i="16"/>
  <c r="AS28" i="11"/>
  <c r="AR28" i="10"/>
  <c r="AQ42" i="12"/>
  <c r="AQ45" i="11"/>
  <c r="AR40" i="10"/>
  <c r="AS40" i="11"/>
  <c r="AZ44" i="10"/>
  <c r="AG44" i="10"/>
  <c r="AW44" i="10"/>
  <c r="N25" i="19"/>
  <c r="AX44" i="11"/>
  <c r="AE44" i="11"/>
  <c r="Q54" i="9"/>
  <c r="S54" i="9"/>
  <c r="AA18" i="9"/>
  <c r="AE13" i="9"/>
  <c r="AR23" i="9"/>
  <c r="AS23" i="10"/>
  <c r="AR44" i="9"/>
  <c r="AS44" i="10"/>
  <c r="AW40" i="9"/>
  <c r="L21" i="19"/>
  <c r="AX40" i="10"/>
  <c r="AE40" i="10"/>
  <c r="AZ40" i="9"/>
  <c r="AG40" i="9"/>
  <c r="AS43" i="9"/>
  <c r="AR43" i="8"/>
  <c r="AR45" i="8"/>
  <c r="AR38" i="11"/>
  <c r="AS38" i="12"/>
  <c r="AW24" i="10"/>
  <c r="N5" i="19"/>
  <c r="AX24" i="11"/>
  <c r="AE24" i="11"/>
  <c r="AZ24" i="10"/>
  <c r="AG24" i="10"/>
  <c r="W101" i="11"/>
  <c r="W107" i="11"/>
  <c r="W92" i="11"/>
  <c r="W103" i="11"/>
  <c r="W85" i="11"/>
  <c r="W87" i="11"/>
  <c r="W97" i="11"/>
  <c r="W88" i="11"/>
  <c r="W69" i="11"/>
  <c r="W21" i="11"/>
  <c r="W32" i="11"/>
  <c r="W13" i="11"/>
  <c r="W17" i="11"/>
  <c r="W67" i="11"/>
  <c r="W73" i="11"/>
  <c r="W68" i="11"/>
  <c r="W70" i="11"/>
  <c r="W80" i="11"/>
  <c r="W12" i="11"/>
  <c r="W93" i="11"/>
  <c r="W95" i="11"/>
  <c r="W65" i="11"/>
  <c r="W75" i="11"/>
  <c r="W77" i="11"/>
  <c r="W9" i="11"/>
  <c r="W43" i="11"/>
  <c r="W8" i="11"/>
  <c r="W28" i="11"/>
  <c r="W26" i="11"/>
  <c r="W76" i="11"/>
  <c r="W78" i="11"/>
  <c r="W30" i="11"/>
  <c r="W74" i="11"/>
  <c r="W82" i="11"/>
  <c r="W89" i="11"/>
  <c r="W81" i="11"/>
  <c r="W98" i="11"/>
  <c r="W108" i="11"/>
  <c r="W110" i="11"/>
  <c r="W24" i="11"/>
  <c r="W20" i="11"/>
  <c r="W46" i="11"/>
  <c r="W5" i="12"/>
  <c r="W104" i="11"/>
  <c r="W91" i="11"/>
  <c r="W22" i="11"/>
  <c r="W64" i="11"/>
  <c r="W18" i="11"/>
  <c r="W38" i="11"/>
  <c r="W42" i="11"/>
  <c r="W100" i="11"/>
  <c r="W106" i="11"/>
  <c r="W84" i="11"/>
  <c r="W86" i="11"/>
  <c r="W96" i="11"/>
  <c r="W37" i="11"/>
  <c r="W15" i="11"/>
  <c r="W35" i="11"/>
  <c r="W105" i="11"/>
  <c r="W27" i="11"/>
  <c r="W31" i="11"/>
  <c r="W36" i="11"/>
  <c r="W34" i="11"/>
  <c r="W19" i="11"/>
  <c r="W16" i="11"/>
  <c r="W39" i="11"/>
  <c r="W83" i="11"/>
  <c r="W94" i="11"/>
  <c r="W71" i="11"/>
  <c r="W90" i="11"/>
  <c r="W11" i="11"/>
  <c r="W25" i="11"/>
  <c r="W23" i="11"/>
  <c r="W99" i="11"/>
  <c r="W109" i="11"/>
  <c r="W7" i="11"/>
  <c r="W40" i="11"/>
  <c r="W45" i="11"/>
  <c r="W10" i="11"/>
  <c r="W44" i="11"/>
  <c r="W41" i="11"/>
  <c r="W66" i="11"/>
  <c r="W72" i="11"/>
  <c r="W79" i="11"/>
  <c r="W29" i="11"/>
  <c r="W33" i="11"/>
  <c r="W14" i="11"/>
  <c r="W102" i="11"/>
  <c r="AW34" i="10"/>
  <c r="AX34" i="11"/>
  <c r="AE34" i="11"/>
  <c r="N15" i="19"/>
  <c r="AZ34" i="10"/>
  <c r="AG34" i="10"/>
  <c r="AR27" i="11"/>
  <c r="AS27" i="12"/>
  <c r="AZ27" i="10"/>
  <c r="AG27" i="10"/>
  <c r="AW27" i="10"/>
  <c r="AX27" i="11"/>
  <c r="AE27" i="11"/>
  <c r="N8" i="19"/>
  <c r="AR37" i="11"/>
  <c r="AS37" i="12"/>
  <c r="AS24" i="10"/>
  <c r="AR24" i="9"/>
  <c r="AS45" i="9"/>
  <c r="AR42" i="10"/>
  <c r="AS42" i="11"/>
  <c r="AZ26" i="9"/>
  <c r="AG26" i="9"/>
  <c r="AW26" i="9"/>
  <c r="AX26" i="10"/>
  <c r="AE26" i="10"/>
  <c r="L7" i="19"/>
  <c r="N24" i="19"/>
  <c r="AZ43" i="10"/>
  <c r="AG43" i="10"/>
  <c r="AX43" i="11"/>
  <c r="AE43" i="11"/>
  <c r="AW43" i="10"/>
  <c r="N14" i="19"/>
  <c r="AW33" i="10"/>
  <c r="AX33" i="11"/>
  <c r="AE33" i="11"/>
  <c r="AZ33" i="10"/>
  <c r="AG33" i="10"/>
  <c r="AR26" i="11"/>
  <c r="AS26" i="12"/>
  <c r="AV45" i="11"/>
  <c r="AV23" i="12"/>
  <c r="N10" i="19"/>
  <c r="AX29" i="11"/>
  <c r="AE29" i="11"/>
  <c r="AZ29" i="10"/>
  <c r="AG29" i="10"/>
  <c r="AW29" i="10"/>
  <c r="AT34" i="11"/>
  <c r="AT45" i="10"/>
  <c r="AR36" i="11"/>
  <c r="AS36" i="12"/>
  <c r="AZ31" i="10"/>
  <c r="AG31" i="10"/>
  <c r="AX31" i="11"/>
  <c r="AE31" i="11"/>
  <c r="AW31" i="10"/>
  <c r="N12" i="19"/>
  <c r="AZ35" i="11"/>
  <c r="AG35" i="11"/>
  <c r="P16" i="19"/>
  <c r="AX35" i="12"/>
  <c r="AE35" i="12"/>
  <c r="AW35" i="11"/>
  <c r="AE23" i="8"/>
  <c r="AX45" i="8"/>
  <c r="AX39" i="10"/>
  <c r="AE39" i="10"/>
  <c r="AZ39" i="9"/>
  <c r="AG39" i="9"/>
  <c r="L20" i="19"/>
  <c r="AW39" i="9"/>
  <c r="AZ32" i="10"/>
  <c r="AG32" i="10"/>
  <c r="N13" i="19"/>
  <c r="AW32" i="10"/>
  <c r="AX32" i="11"/>
  <c r="AE32" i="11"/>
  <c r="AW30" i="10"/>
  <c r="AX30" i="11"/>
  <c r="AE30" i="11"/>
  <c r="N11" i="19"/>
  <c r="AZ30" i="10"/>
  <c r="AG30" i="10"/>
  <c r="N6" i="19"/>
  <c r="AX25" i="11"/>
  <c r="AE25" i="11"/>
  <c r="AZ25" i="10"/>
  <c r="AG25" i="10"/>
  <c r="AW25" i="10"/>
  <c r="N17" i="19"/>
  <c r="AW36" i="10"/>
  <c r="AX36" i="11"/>
  <c r="AE36" i="11"/>
  <c r="AZ36" i="10"/>
  <c r="AG36" i="10"/>
  <c r="AW37" i="10"/>
  <c r="N18" i="19"/>
  <c r="AX37" i="11"/>
  <c r="AE37" i="11"/>
  <c r="AZ37" i="10"/>
  <c r="AG37" i="10"/>
  <c r="AR29" i="9"/>
  <c r="AS29" i="10"/>
  <c r="AS23" i="11"/>
  <c r="AR23" i="10"/>
  <c r="AX44" i="12"/>
  <c r="AE44" i="12"/>
  <c r="AZ44" i="11"/>
  <c r="AG44" i="11"/>
  <c r="P25" i="19"/>
  <c r="AW44" i="11"/>
  <c r="AS40" i="12"/>
  <c r="AR40" i="11"/>
  <c r="AR43" i="9"/>
  <c r="AS43" i="10"/>
  <c r="AR28" i="11"/>
  <c r="AS28" i="12"/>
  <c r="AB19" i="19"/>
  <c r="AZ38" i="17"/>
  <c r="AG38" i="17"/>
  <c r="AW38" i="17"/>
  <c r="P9" i="19"/>
  <c r="AW28" i="11"/>
  <c r="AZ28" i="11"/>
  <c r="AG28" i="11"/>
  <c r="AX28" i="12"/>
  <c r="AE28" i="12"/>
  <c r="S53" i="15"/>
  <c r="R56" i="15"/>
  <c r="Q59" i="15"/>
  <c r="S59" i="15"/>
  <c r="Z6" i="12"/>
  <c r="Z17" i="11"/>
  <c r="AA4" i="11"/>
  <c r="BW48" i="26"/>
  <c r="T50" i="22"/>
  <c r="AR44" i="10"/>
  <c r="AS44" i="11"/>
  <c r="N23" i="19"/>
  <c r="AW42" i="10"/>
  <c r="AZ42" i="10"/>
  <c r="AG42" i="10"/>
  <c r="AX42" i="11"/>
  <c r="AE42" i="11"/>
  <c r="N21" i="19"/>
  <c r="AW40" i="10"/>
  <c r="AX40" i="11"/>
  <c r="AE40" i="11"/>
  <c r="AZ40" i="10"/>
  <c r="AG40" i="10"/>
  <c r="AQ42" i="13"/>
  <c r="AQ45" i="12"/>
  <c r="AZ41" i="16"/>
  <c r="AG41" i="16"/>
  <c r="AW41" i="16"/>
  <c r="AX41" i="17"/>
  <c r="AE41" i="17"/>
  <c r="Z22" i="19"/>
  <c r="Q54" i="10"/>
  <c r="S54" i="10"/>
  <c r="AA18" i="10"/>
  <c r="AE13" i="10"/>
  <c r="AW32" i="11"/>
  <c r="AX32" i="12"/>
  <c r="AE32" i="12"/>
  <c r="AZ32" i="11"/>
  <c r="AG32" i="11"/>
  <c r="P13" i="19"/>
  <c r="AZ31" i="11"/>
  <c r="AG31" i="11"/>
  <c r="AX31" i="12"/>
  <c r="AE31" i="12"/>
  <c r="AW31" i="11"/>
  <c r="P12" i="19"/>
  <c r="AW29" i="11"/>
  <c r="P10" i="19"/>
  <c r="AX29" i="12"/>
  <c r="AE29" i="12"/>
  <c r="AZ29" i="11"/>
  <c r="AG29" i="11"/>
  <c r="AR26" i="12"/>
  <c r="AS26" i="13"/>
  <c r="W65" i="12"/>
  <c r="W105" i="12"/>
  <c r="W26" i="12"/>
  <c r="W32" i="12"/>
  <c r="W97" i="12"/>
  <c r="W99" i="12"/>
  <c r="W92" i="12"/>
  <c r="W25" i="12"/>
  <c r="W91" i="12"/>
  <c r="W84" i="12"/>
  <c r="W9" i="12"/>
  <c r="W110" i="12"/>
  <c r="W38" i="12"/>
  <c r="W109" i="12"/>
  <c r="W102" i="12"/>
  <c r="W22" i="12"/>
  <c r="W10" i="12"/>
  <c r="W16" i="12"/>
  <c r="W89" i="12"/>
  <c r="W13" i="12"/>
  <c r="W19" i="12"/>
  <c r="W71" i="12"/>
  <c r="W43" i="12"/>
  <c r="W83" i="12"/>
  <c r="W76" i="12"/>
  <c r="W27" i="12"/>
  <c r="W75" i="12"/>
  <c r="W68" i="12"/>
  <c r="W101" i="12"/>
  <c r="W94" i="12"/>
  <c r="W45" i="12"/>
  <c r="W93" i="12"/>
  <c r="W86" i="12"/>
  <c r="W80" i="12"/>
  <c r="W17" i="12"/>
  <c r="W23" i="12"/>
  <c r="W72" i="12"/>
  <c r="W7" i="12"/>
  <c r="W42" i="12"/>
  <c r="W11" i="12"/>
  <c r="W67" i="12"/>
  <c r="W98" i="12"/>
  <c r="W33" i="12"/>
  <c r="W39" i="12"/>
  <c r="W8" i="12"/>
  <c r="W85" i="12"/>
  <c r="W78" i="12"/>
  <c r="W31" i="12"/>
  <c r="W77" i="12"/>
  <c r="W70" i="12"/>
  <c r="W64" i="12"/>
  <c r="W104" i="12"/>
  <c r="W44" i="12"/>
  <c r="W103" i="12"/>
  <c r="W96" i="12"/>
  <c r="W90" i="12"/>
  <c r="W14" i="12"/>
  <c r="W20" i="12"/>
  <c r="W82" i="12"/>
  <c r="W37" i="12"/>
  <c r="W24" i="12"/>
  <c r="W15" i="12"/>
  <c r="W69" i="12"/>
  <c r="W46" i="12"/>
  <c r="W5" i="13"/>
  <c r="W30" i="12"/>
  <c r="W36" i="12"/>
  <c r="W28" i="12"/>
  <c r="W95" i="12"/>
  <c r="W88" i="12"/>
  <c r="W12" i="12"/>
  <c r="W87" i="12"/>
  <c r="W81" i="12"/>
  <c r="W74" i="12"/>
  <c r="W21" i="12"/>
  <c r="W73" i="12"/>
  <c r="W66" i="12"/>
  <c r="W106" i="12"/>
  <c r="W108" i="12"/>
  <c r="W18" i="12"/>
  <c r="W107" i="12"/>
  <c r="W100" i="12"/>
  <c r="W41" i="12"/>
  <c r="W29" i="12"/>
  <c r="W35" i="12"/>
  <c r="W79" i="12"/>
  <c r="W34" i="12"/>
  <c r="W40" i="12"/>
  <c r="P18" i="19"/>
  <c r="AZ37" i="11"/>
  <c r="AG37" i="11"/>
  <c r="AW37" i="11"/>
  <c r="AX37" i="12"/>
  <c r="AE37" i="12"/>
  <c r="AW36" i="11"/>
  <c r="AZ36" i="11"/>
  <c r="AG36" i="11"/>
  <c r="AX36" i="12"/>
  <c r="AE36" i="12"/>
  <c r="P17" i="19"/>
  <c r="AE15" i="8"/>
  <c r="AZ23" i="8"/>
  <c r="AG23" i="8"/>
  <c r="J4" i="19"/>
  <c r="AW23" i="8"/>
  <c r="AW45" i="8"/>
  <c r="AX23" i="9"/>
  <c r="AE45" i="8"/>
  <c r="AT45" i="11"/>
  <c r="AT34" i="12"/>
  <c r="AR45" i="9"/>
  <c r="AR27" i="12"/>
  <c r="AS27" i="13"/>
  <c r="AX34" i="12"/>
  <c r="AE34" i="12"/>
  <c r="P15" i="19"/>
  <c r="AZ34" i="11"/>
  <c r="AG34" i="11"/>
  <c r="AW34" i="11"/>
  <c r="AS29" i="11"/>
  <c r="AR29" i="10"/>
  <c r="AW25" i="11"/>
  <c r="AX25" i="12"/>
  <c r="AE25" i="12"/>
  <c r="AZ25" i="11"/>
  <c r="AG25" i="11"/>
  <c r="P6" i="19"/>
  <c r="P11" i="19"/>
  <c r="AX30" i="12"/>
  <c r="AE30" i="12"/>
  <c r="AW30" i="11"/>
  <c r="AZ30" i="11"/>
  <c r="AG30" i="11"/>
  <c r="AR36" i="12"/>
  <c r="AS36" i="13"/>
  <c r="AV45" i="12"/>
  <c r="AV23" i="13"/>
  <c r="AR42" i="11"/>
  <c r="AS42" i="12"/>
  <c r="AR24" i="10"/>
  <c r="AS45" i="10"/>
  <c r="AS24" i="11"/>
  <c r="AZ27" i="11"/>
  <c r="AG27" i="11"/>
  <c r="AX27" i="12"/>
  <c r="AE27" i="12"/>
  <c r="AW27" i="11"/>
  <c r="P8" i="19"/>
  <c r="AR38" i="12"/>
  <c r="AS38" i="13"/>
  <c r="AZ39" i="10"/>
  <c r="AG39" i="10"/>
  <c r="N20" i="19"/>
  <c r="AX39" i="11"/>
  <c r="AE39" i="11"/>
  <c r="AW39" i="10"/>
  <c r="R16" i="19"/>
  <c r="AW35" i="12"/>
  <c r="AZ35" i="12"/>
  <c r="AG35" i="12"/>
  <c r="AX35" i="13"/>
  <c r="AE35" i="13"/>
  <c r="AZ33" i="11"/>
  <c r="AG33" i="11"/>
  <c r="P14" i="19"/>
  <c r="AX33" i="12"/>
  <c r="AE33" i="12"/>
  <c r="AW33" i="11"/>
  <c r="AW43" i="11"/>
  <c r="P24" i="19"/>
  <c r="AZ43" i="11"/>
  <c r="AG43" i="11"/>
  <c r="AX43" i="12"/>
  <c r="AE43" i="12"/>
  <c r="AW26" i="10"/>
  <c r="AX26" i="11"/>
  <c r="AE26" i="11"/>
  <c r="N7" i="19"/>
  <c r="AZ26" i="10"/>
  <c r="AG26" i="10"/>
  <c r="AR37" i="12"/>
  <c r="AS37" i="13"/>
  <c r="AZ24" i="11"/>
  <c r="AG24" i="11"/>
  <c r="P5" i="19"/>
  <c r="AX24" i="12"/>
  <c r="AE24" i="12"/>
  <c r="AW24" i="11"/>
  <c r="AZ41" i="17"/>
  <c r="AG41" i="17"/>
  <c r="AW41" i="17"/>
  <c r="AB22" i="19"/>
  <c r="AQ42" i="14"/>
  <c r="AQ45" i="13"/>
  <c r="AR28" i="12"/>
  <c r="AS28" i="13"/>
  <c r="AW42" i="11"/>
  <c r="AZ42" i="11"/>
  <c r="AG42" i="11"/>
  <c r="AX42" i="12"/>
  <c r="AE42" i="12"/>
  <c r="P23" i="19"/>
  <c r="AR44" i="11"/>
  <c r="AS44" i="12"/>
  <c r="Q54" i="11"/>
  <c r="S54" i="11"/>
  <c r="AA18" i="11"/>
  <c r="AE13" i="11"/>
  <c r="R9" i="19"/>
  <c r="AZ28" i="12"/>
  <c r="AG28" i="12"/>
  <c r="AW28" i="12"/>
  <c r="AX28" i="13"/>
  <c r="AE28" i="13"/>
  <c r="AR40" i="12"/>
  <c r="AS40" i="13"/>
  <c r="R25" i="19"/>
  <c r="AW44" i="12"/>
  <c r="AZ44" i="12"/>
  <c r="AG44" i="12"/>
  <c r="AX44" i="13"/>
  <c r="AE44" i="13"/>
  <c r="P21" i="19"/>
  <c r="AX40" i="12"/>
  <c r="AE40" i="12"/>
  <c r="AZ40" i="11"/>
  <c r="AG40" i="11"/>
  <c r="AW40" i="11"/>
  <c r="BX48" i="26"/>
  <c r="Z6" i="13"/>
  <c r="Z17" i="12"/>
  <c r="AA4" i="12"/>
  <c r="U50" i="22"/>
  <c r="AR43" i="10"/>
  <c r="AS43" i="11"/>
  <c r="AS23" i="12"/>
  <c r="AR23" i="11"/>
  <c r="AZ33" i="12"/>
  <c r="AG33" i="12"/>
  <c r="R14" i="19"/>
  <c r="AW33" i="12"/>
  <c r="AX33" i="13"/>
  <c r="AE33" i="13"/>
  <c r="P20" i="19"/>
  <c r="AW39" i="11"/>
  <c r="AX39" i="12"/>
  <c r="AE39" i="12"/>
  <c r="AZ39" i="11"/>
  <c r="AG39" i="11"/>
  <c r="AR42" i="12"/>
  <c r="AS42" i="13"/>
  <c r="AR36" i="13"/>
  <c r="AS36" i="14"/>
  <c r="R11" i="19"/>
  <c r="AW30" i="12"/>
  <c r="AZ30" i="12"/>
  <c r="AG30" i="12"/>
  <c r="AX30" i="13"/>
  <c r="AE30" i="13"/>
  <c r="AX25" i="13"/>
  <c r="AE25" i="13"/>
  <c r="AW25" i="12"/>
  <c r="AZ25" i="12"/>
  <c r="AG25" i="12"/>
  <c r="R6" i="19"/>
  <c r="AR27" i="13"/>
  <c r="AS27" i="14"/>
  <c r="R17" i="19"/>
  <c r="AW36" i="12"/>
  <c r="AZ36" i="12"/>
  <c r="AG36" i="12"/>
  <c r="AX36" i="13"/>
  <c r="AE36" i="13"/>
  <c r="AR37" i="13"/>
  <c r="AS37" i="14"/>
  <c r="AX26" i="12"/>
  <c r="AE26" i="12"/>
  <c r="AW26" i="11"/>
  <c r="AZ26" i="11"/>
  <c r="AG26" i="11"/>
  <c r="P7" i="19"/>
  <c r="AR24" i="11"/>
  <c r="AS45" i="11"/>
  <c r="AS24" i="12"/>
  <c r="R10" i="19"/>
  <c r="AZ29" i="12"/>
  <c r="AG29" i="12"/>
  <c r="AX29" i="13"/>
  <c r="AE29" i="13"/>
  <c r="AW29" i="12"/>
  <c r="AX24" i="13"/>
  <c r="AE24" i="13"/>
  <c r="AW24" i="12"/>
  <c r="AZ24" i="12"/>
  <c r="AG24" i="12"/>
  <c r="R5" i="19"/>
  <c r="AV23" i="14"/>
  <c r="AV45" i="13"/>
  <c r="AE23" i="9"/>
  <c r="AX45" i="9"/>
  <c r="W29" i="13"/>
  <c r="W88" i="13"/>
  <c r="W35" i="13"/>
  <c r="W72" i="13"/>
  <c r="W65" i="13"/>
  <c r="W73" i="13"/>
  <c r="W91" i="13"/>
  <c r="W38" i="13"/>
  <c r="W100" i="13"/>
  <c r="W108" i="13"/>
  <c r="W101" i="13"/>
  <c r="W11" i="13"/>
  <c r="W106" i="13"/>
  <c r="W99" i="13"/>
  <c r="W107" i="13"/>
  <c r="W36" i="13"/>
  <c r="W10" i="13"/>
  <c r="W86" i="13"/>
  <c r="W93" i="13"/>
  <c r="W8" i="13"/>
  <c r="W78" i="13"/>
  <c r="W71" i="13"/>
  <c r="W23" i="13"/>
  <c r="W90" i="13"/>
  <c r="W39" i="13"/>
  <c r="W74" i="13"/>
  <c r="W67" i="13"/>
  <c r="W75" i="13"/>
  <c r="W69" i="13"/>
  <c r="W33" i="13"/>
  <c r="W110" i="13"/>
  <c r="W103" i="13"/>
  <c r="W19" i="13"/>
  <c r="W31" i="13"/>
  <c r="W84" i="13"/>
  <c r="W109" i="13"/>
  <c r="W40" i="13"/>
  <c r="W17" i="13"/>
  <c r="W21" i="13"/>
  <c r="W104" i="13"/>
  <c r="W28" i="13"/>
  <c r="W44" i="13"/>
  <c r="W64" i="13"/>
  <c r="W24" i="13"/>
  <c r="W92" i="13"/>
  <c r="W85" i="13"/>
  <c r="W20" i="13"/>
  <c r="W22" i="13"/>
  <c r="W77" i="13"/>
  <c r="W15" i="13"/>
  <c r="W79" i="13"/>
  <c r="W30" i="13"/>
  <c r="W96" i="13"/>
  <c r="W7" i="13"/>
  <c r="W12" i="13"/>
  <c r="W14" i="13"/>
  <c r="W94" i="13"/>
  <c r="W87" i="13"/>
  <c r="W37" i="13"/>
  <c r="W80" i="13"/>
  <c r="W25" i="13"/>
  <c r="W81" i="13"/>
  <c r="W32" i="13"/>
  <c r="W9" i="13"/>
  <c r="W66" i="13"/>
  <c r="W70" i="13"/>
  <c r="W95" i="13"/>
  <c r="W26" i="13"/>
  <c r="W42" i="13"/>
  <c r="W102" i="13"/>
  <c r="W89" i="13"/>
  <c r="W43" i="13"/>
  <c r="W34" i="13"/>
  <c r="W98" i="13"/>
  <c r="W27" i="13"/>
  <c r="W16" i="13"/>
  <c r="W18" i="13"/>
  <c r="W97" i="13"/>
  <c r="W105" i="13"/>
  <c r="W41" i="13"/>
  <c r="W82" i="13"/>
  <c r="W45" i="13"/>
  <c r="W83" i="13"/>
  <c r="W13" i="13"/>
  <c r="W68" i="13"/>
  <c r="W76" i="13"/>
  <c r="W46" i="13"/>
  <c r="W5" i="14"/>
  <c r="AS26" i="14"/>
  <c r="AR26" i="13"/>
  <c r="AW31" i="12"/>
  <c r="AZ31" i="12"/>
  <c r="AG31" i="12"/>
  <c r="R12" i="19"/>
  <c r="AX31" i="13"/>
  <c r="AE31" i="13"/>
  <c r="R13" i="19"/>
  <c r="AW32" i="12"/>
  <c r="AZ32" i="12"/>
  <c r="AG32" i="12"/>
  <c r="AX32" i="13"/>
  <c r="AE32" i="13"/>
  <c r="R24" i="19"/>
  <c r="AW43" i="12"/>
  <c r="AX43" i="13"/>
  <c r="AE43" i="13"/>
  <c r="AZ43" i="12"/>
  <c r="AG43" i="12"/>
  <c r="AZ35" i="13"/>
  <c r="AG35" i="13"/>
  <c r="AW35" i="13"/>
  <c r="T16" i="19"/>
  <c r="AX35" i="14"/>
  <c r="AE35" i="14"/>
  <c r="AR38" i="13"/>
  <c r="AS38" i="14"/>
  <c r="R8" i="19"/>
  <c r="AZ27" i="12"/>
  <c r="AG27" i="12"/>
  <c r="AW27" i="12"/>
  <c r="AX27" i="13"/>
  <c r="AE27" i="13"/>
  <c r="AR45" i="10"/>
  <c r="AR29" i="11"/>
  <c r="AS29" i="12"/>
  <c r="AZ34" i="12"/>
  <c r="AG34" i="12"/>
  <c r="AW34" i="12"/>
  <c r="R15" i="19"/>
  <c r="AX34" i="13"/>
  <c r="AE34" i="13"/>
  <c r="AT45" i="12"/>
  <c r="AT34" i="13"/>
  <c r="AZ37" i="12"/>
  <c r="AG37" i="12"/>
  <c r="AW37" i="12"/>
  <c r="R18" i="19"/>
  <c r="AX37" i="13"/>
  <c r="AE37" i="13"/>
  <c r="AS23" i="13"/>
  <c r="AR23" i="12"/>
  <c r="AA18" i="12"/>
  <c r="AE13" i="12"/>
  <c r="Q54" i="12"/>
  <c r="S54" i="12"/>
  <c r="AQ42" i="15"/>
  <c r="AQ45" i="14"/>
  <c r="AR43" i="11"/>
  <c r="AS43" i="12"/>
  <c r="Z6" i="14"/>
  <c r="BY48" i="26"/>
  <c r="V50" i="22"/>
  <c r="Z17" i="13"/>
  <c r="AA4" i="13"/>
  <c r="AZ40" i="12"/>
  <c r="AG40" i="12"/>
  <c r="R21" i="19"/>
  <c r="AW40" i="12"/>
  <c r="AX40" i="13"/>
  <c r="AE40" i="13"/>
  <c r="T9" i="19"/>
  <c r="AW28" i="13"/>
  <c r="AZ28" i="13"/>
  <c r="AG28" i="13"/>
  <c r="AX28" i="14"/>
  <c r="AE28" i="14"/>
  <c r="AR28" i="13"/>
  <c r="AS28" i="14"/>
  <c r="R23" i="19"/>
  <c r="AZ42" i="12"/>
  <c r="AG42" i="12"/>
  <c r="AX42" i="13"/>
  <c r="AE42" i="13"/>
  <c r="AW42" i="12"/>
  <c r="AZ44" i="13"/>
  <c r="AG44" i="13"/>
  <c r="AW44" i="13"/>
  <c r="T25" i="19"/>
  <c r="AX44" i="14"/>
  <c r="AE44" i="14"/>
  <c r="AS40" i="14"/>
  <c r="AR40" i="13"/>
  <c r="AR44" i="12"/>
  <c r="AS44" i="13"/>
  <c r="AS26" i="15"/>
  <c r="AR26" i="14"/>
  <c r="AZ27" i="13"/>
  <c r="AG27" i="13"/>
  <c r="T8" i="19"/>
  <c r="AX27" i="14"/>
  <c r="AE27" i="14"/>
  <c r="AW27" i="13"/>
  <c r="W23" i="14"/>
  <c r="W13" i="14"/>
  <c r="W103" i="14"/>
  <c r="W67" i="14"/>
  <c r="W21" i="14"/>
  <c r="W102" i="14"/>
  <c r="W31" i="14"/>
  <c r="W93" i="14"/>
  <c r="W32" i="14"/>
  <c r="W10" i="14"/>
  <c r="W66" i="14"/>
  <c r="W46" i="14"/>
  <c r="W5" i="15"/>
  <c r="W81" i="14"/>
  <c r="W68" i="14"/>
  <c r="W27" i="14"/>
  <c r="W7" i="14"/>
  <c r="W82" i="14"/>
  <c r="W69" i="14"/>
  <c r="W73" i="14"/>
  <c r="W40" i="14"/>
  <c r="W34" i="14"/>
  <c r="W38" i="14"/>
  <c r="W96" i="14"/>
  <c r="W29" i="14"/>
  <c r="W95" i="14"/>
  <c r="W16" i="14"/>
  <c r="W26" i="14"/>
  <c r="W11" i="14"/>
  <c r="W86" i="14"/>
  <c r="W43" i="14"/>
  <c r="W85" i="14"/>
  <c r="W39" i="14"/>
  <c r="W33" i="14"/>
  <c r="W76" i="14"/>
  <c r="W99" i="14"/>
  <c r="W92" i="14"/>
  <c r="W107" i="14"/>
  <c r="W22" i="14"/>
  <c r="W74" i="14"/>
  <c r="W72" i="14"/>
  <c r="W105" i="14"/>
  <c r="W19" i="14"/>
  <c r="W41" i="14"/>
  <c r="W88" i="14"/>
  <c r="W24" i="14"/>
  <c r="W79" i="14"/>
  <c r="W36" i="14"/>
  <c r="W30" i="14"/>
  <c r="W75" i="14"/>
  <c r="W78" i="14"/>
  <c r="W8" i="14"/>
  <c r="W70" i="14"/>
  <c r="W44" i="14"/>
  <c r="W17" i="14"/>
  <c r="W100" i="14"/>
  <c r="W9" i="14"/>
  <c r="W91" i="14"/>
  <c r="W94" i="14"/>
  <c r="W109" i="14"/>
  <c r="W104" i="14"/>
  <c r="W106" i="14"/>
  <c r="W97" i="14"/>
  <c r="W14" i="14"/>
  <c r="W98" i="14"/>
  <c r="W25" i="14"/>
  <c r="W80" i="14"/>
  <c r="W71" i="14"/>
  <c r="W20" i="14"/>
  <c r="W37" i="14"/>
  <c r="W77" i="14"/>
  <c r="W110" i="14"/>
  <c r="W101" i="14"/>
  <c r="W87" i="14"/>
  <c r="W28" i="14"/>
  <c r="W42" i="14"/>
  <c r="W84" i="14"/>
  <c r="W65" i="14"/>
  <c r="W83" i="14"/>
  <c r="W12" i="14"/>
  <c r="W45" i="14"/>
  <c r="W90" i="14"/>
  <c r="W35" i="14"/>
  <c r="W89" i="14"/>
  <c r="W18" i="14"/>
  <c r="W108" i="14"/>
  <c r="W15" i="14"/>
  <c r="W64" i="14"/>
  <c r="T10" i="19"/>
  <c r="AZ29" i="13"/>
  <c r="AG29" i="13"/>
  <c r="AX29" i="14"/>
  <c r="AE29" i="14"/>
  <c r="AW29" i="13"/>
  <c r="AX35" i="15"/>
  <c r="AE35" i="15"/>
  <c r="V16" i="19"/>
  <c r="AW35" i="14"/>
  <c r="AZ35" i="14"/>
  <c r="AG35" i="14"/>
  <c r="AZ32" i="13"/>
  <c r="AG32" i="13"/>
  <c r="T13" i="19"/>
  <c r="AX32" i="14"/>
  <c r="AE32" i="14"/>
  <c r="AW32" i="13"/>
  <c r="AZ31" i="13"/>
  <c r="AG31" i="13"/>
  <c r="T12" i="19"/>
  <c r="AX31" i="14"/>
  <c r="AE31" i="14"/>
  <c r="AW31" i="13"/>
  <c r="AV23" i="15"/>
  <c r="AV45" i="14"/>
  <c r="AZ24" i="13"/>
  <c r="AG24" i="13"/>
  <c r="T5" i="19"/>
  <c r="AW24" i="13"/>
  <c r="AX24" i="14"/>
  <c r="AE24" i="14"/>
  <c r="AR37" i="14"/>
  <c r="AS37" i="15"/>
  <c r="AW30" i="13"/>
  <c r="AZ30" i="13"/>
  <c r="AG30" i="13"/>
  <c r="AX30" i="14"/>
  <c r="AE30" i="14"/>
  <c r="T11" i="19"/>
  <c r="AS36" i="15"/>
  <c r="AR36" i="14"/>
  <c r="T14" i="19"/>
  <c r="AX33" i="14"/>
  <c r="AE33" i="14"/>
  <c r="AW33" i="13"/>
  <c r="AZ33" i="13"/>
  <c r="AG33" i="13"/>
  <c r="AR24" i="12"/>
  <c r="AS45" i="12"/>
  <c r="AS24" i="13"/>
  <c r="R20" i="19"/>
  <c r="AZ39" i="12"/>
  <c r="AG39" i="12"/>
  <c r="AW39" i="12"/>
  <c r="AX39" i="13"/>
  <c r="AE39" i="13"/>
  <c r="AX37" i="14"/>
  <c r="AE37" i="14"/>
  <c r="AW37" i="13"/>
  <c r="T18" i="19"/>
  <c r="AZ37" i="13"/>
  <c r="AG37" i="13"/>
  <c r="AT45" i="13"/>
  <c r="AT34" i="14"/>
  <c r="AW43" i="13"/>
  <c r="T24" i="19"/>
  <c r="AZ43" i="13"/>
  <c r="AG43" i="13"/>
  <c r="AX43" i="14"/>
  <c r="AE43" i="14"/>
  <c r="AS38" i="15"/>
  <c r="AR38" i="14"/>
  <c r="AW23" i="9"/>
  <c r="AW45" i="9"/>
  <c r="L4" i="19"/>
  <c r="AE15" i="9"/>
  <c r="AZ23" i="9"/>
  <c r="AG23" i="9"/>
  <c r="AX23" i="10"/>
  <c r="AE45" i="9"/>
  <c r="AW36" i="13"/>
  <c r="T17" i="19"/>
  <c r="AX36" i="14"/>
  <c r="AE36" i="14"/>
  <c r="AZ36" i="13"/>
  <c r="AG36" i="13"/>
  <c r="AS27" i="15"/>
  <c r="AR27" i="14"/>
  <c r="AR42" i="13"/>
  <c r="AS42" i="14"/>
  <c r="AZ34" i="13"/>
  <c r="AG34" i="13"/>
  <c r="AX34" i="14"/>
  <c r="AE34" i="14"/>
  <c r="T15" i="19"/>
  <c r="AW34" i="13"/>
  <c r="AS29" i="13"/>
  <c r="AR29" i="12"/>
  <c r="AR45" i="11"/>
  <c r="AW26" i="12"/>
  <c r="R7" i="19"/>
  <c r="AZ26" i="12"/>
  <c r="AG26" i="12"/>
  <c r="AX26" i="13"/>
  <c r="AE26" i="13"/>
  <c r="AZ25" i="13"/>
  <c r="AG25" i="13"/>
  <c r="AW25" i="13"/>
  <c r="AX25" i="14"/>
  <c r="AE25" i="14"/>
  <c r="T6" i="19"/>
  <c r="AW28" i="14"/>
  <c r="AZ28" i="14"/>
  <c r="AG28" i="14"/>
  <c r="V9" i="19"/>
  <c r="AX28" i="15"/>
  <c r="AE28" i="15"/>
  <c r="T21" i="19"/>
  <c r="AW40" i="13"/>
  <c r="AZ40" i="13"/>
  <c r="AG40" i="13"/>
  <c r="AX40" i="14"/>
  <c r="AE40" i="14"/>
  <c r="AA18" i="13"/>
  <c r="AE13" i="13"/>
  <c r="Q54" i="13"/>
  <c r="S54" i="13"/>
  <c r="AR43" i="12"/>
  <c r="AS43" i="13"/>
  <c r="AR40" i="14"/>
  <c r="AS40" i="15"/>
  <c r="AR45" i="12"/>
  <c r="AR44" i="13"/>
  <c r="AS44" i="14"/>
  <c r="AX44" i="15"/>
  <c r="AE44" i="15"/>
  <c r="AW44" i="14"/>
  <c r="V25" i="19"/>
  <c r="AZ44" i="14"/>
  <c r="AG44" i="14"/>
  <c r="AR28" i="14"/>
  <c r="AS28" i="15"/>
  <c r="AZ42" i="13"/>
  <c r="AG42" i="13"/>
  <c r="AX42" i="14"/>
  <c r="AE42" i="14"/>
  <c r="T23" i="19"/>
  <c r="AW42" i="13"/>
  <c r="BZ48" i="26"/>
  <c r="W50" i="22"/>
  <c r="Z6" i="15"/>
  <c r="Z17" i="14"/>
  <c r="AA4" i="14"/>
  <c r="AQ42" i="16"/>
  <c r="AQ45" i="15"/>
  <c r="AR23" i="13"/>
  <c r="AS23" i="14"/>
  <c r="AR38" i="15"/>
  <c r="AS38" i="16"/>
  <c r="V10" i="19"/>
  <c r="AZ29" i="14"/>
  <c r="AG29" i="14"/>
  <c r="AX29" i="15"/>
  <c r="AE29" i="15"/>
  <c r="AW29" i="14"/>
  <c r="AS42" i="15"/>
  <c r="AR42" i="14"/>
  <c r="AZ43" i="14"/>
  <c r="AG43" i="14"/>
  <c r="V24" i="19"/>
  <c r="AW43" i="14"/>
  <c r="AX43" i="15"/>
  <c r="AE43" i="15"/>
  <c r="AT34" i="15"/>
  <c r="AT45" i="14"/>
  <c r="AZ24" i="14"/>
  <c r="AG24" i="14"/>
  <c r="AW24" i="14"/>
  <c r="V5" i="19"/>
  <c r="AX24" i="15"/>
  <c r="AE24" i="15"/>
  <c r="AR29" i="13"/>
  <c r="AS29" i="14"/>
  <c r="AS27" i="16"/>
  <c r="AR27" i="15"/>
  <c r="AX30" i="15"/>
  <c r="AE30" i="15"/>
  <c r="AW30" i="14"/>
  <c r="V11" i="19"/>
  <c r="AZ30" i="14"/>
  <c r="AG30" i="14"/>
  <c r="V12" i="19"/>
  <c r="AW31" i="14"/>
  <c r="AZ31" i="14"/>
  <c r="AG31" i="14"/>
  <c r="AX31" i="15"/>
  <c r="AE31" i="15"/>
  <c r="T7" i="19"/>
  <c r="AZ26" i="13"/>
  <c r="AG26" i="13"/>
  <c r="AX26" i="14"/>
  <c r="AE26" i="14"/>
  <c r="AW26" i="13"/>
  <c r="V17" i="19"/>
  <c r="AW36" i="14"/>
  <c r="AZ36" i="14"/>
  <c r="AG36" i="14"/>
  <c r="AX36" i="15"/>
  <c r="AE36" i="15"/>
  <c r="AE23" i="10"/>
  <c r="AX45" i="10"/>
  <c r="V18" i="19"/>
  <c r="AW37" i="14"/>
  <c r="AZ37" i="14"/>
  <c r="AG37" i="14"/>
  <c r="AX37" i="15"/>
  <c r="AE37" i="15"/>
  <c r="AS45" i="13"/>
  <c r="AS24" i="14"/>
  <c r="AR24" i="13"/>
  <c r="AR36" i="15"/>
  <c r="AS36" i="16"/>
  <c r="AV23" i="16"/>
  <c r="AV45" i="15"/>
  <c r="AW35" i="15"/>
  <c r="X16" i="19"/>
  <c r="AX35" i="16"/>
  <c r="AE35" i="16"/>
  <c r="AZ35" i="15"/>
  <c r="AG35" i="15"/>
  <c r="W10" i="15"/>
  <c r="W32" i="15"/>
  <c r="W35" i="15"/>
  <c r="W81" i="15"/>
  <c r="W41" i="15"/>
  <c r="W70" i="15"/>
  <c r="W45" i="15"/>
  <c r="W106" i="15"/>
  <c r="W8" i="15"/>
  <c r="W86" i="15"/>
  <c r="W87" i="15"/>
  <c r="W91" i="15"/>
  <c r="W39" i="15"/>
  <c r="W75" i="15"/>
  <c r="W83" i="15"/>
  <c r="W24" i="15"/>
  <c r="W73" i="15"/>
  <c r="W38" i="15"/>
  <c r="W69" i="15"/>
  <c r="W74" i="15"/>
  <c r="W101" i="15"/>
  <c r="W46" i="15"/>
  <c r="W5" i="16"/>
  <c r="W29" i="15"/>
  <c r="W71" i="15"/>
  <c r="W72" i="15"/>
  <c r="W80" i="15"/>
  <c r="W107" i="15"/>
  <c r="W36" i="15"/>
  <c r="W18" i="15"/>
  <c r="W26" i="15"/>
  <c r="W103" i="15"/>
  <c r="W30" i="15"/>
  <c r="W67" i="15"/>
  <c r="W19" i="15"/>
  <c r="W66" i="15"/>
  <c r="W20" i="15"/>
  <c r="W22" i="15"/>
  <c r="W90" i="15"/>
  <c r="W88" i="15"/>
  <c r="W92" i="15"/>
  <c r="W33" i="15"/>
  <c r="W76" i="15"/>
  <c r="W84" i="15"/>
  <c r="W16" i="15"/>
  <c r="W31" i="15"/>
  <c r="W85" i="15"/>
  <c r="W109" i="15"/>
  <c r="W15" i="15"/>
  <c r="W82" i="15"/>
  <c r="W93" i="15"/>
  <c r="W97" i="15"/>
  <c r="W110" i="15"/>
  <c r="W9" i="15"/>
  <c r="W25" i="15"/>
  <c r="W104" i="15"/>
  <c r="W108" i="15"/>
  <c r="W40" i="15"/>
  <c r="W42" i="15"/>
  <c r="W68" i="15"/>
  <c r="W98" i="15"/>
  <c r="W65" i="15"/>
  <c r="W78" i="15"/>
  <c r="W21" i="15"/>
  <c r="W14" i="15"/>
  <c r="W7" i="15"/>
  <c r="W43" i="15"/>
  <c r="W37" i="15"/>
  <c r="W95" i="15"/>
  <c r="W100" i="15"/>
  <c r="W89" i="15"/>
  <c r="W17" i="15"/>
  <c r="W11" i="15"/>
  <c r="W96" i="15"/>
  <c r="W13" i="15"/>
  <c r="W79" i="15"/>
  <c r="W77" i="15"/>
  <c r="W105" i="15"/>
  <c r="W12" i="15"/>
  <c r="W94" i="15"/>
  <c r="W102" i="15"/>
  <c r="W28" i="15"/>
  <c r="W44" i="15"/>
  <c r="W99" i="15"/>
  <c r="W34" i="15"/>
  <c r="W64" i="15"/>
  <c r="W27" i="15"/>
  <c r="W23" i="15"/>
  <c r="AX32" i="15"/>
  <c r="AE32" i="15"/>
  <c r="AZ32" i="14"/>
  <c r="AG32" i="14"/>
  <c r="AW32" i="14"/>
  <c r="V13" i="19"/>
  <c r="V6" i="19"/>
  <c r="AX25" i="15"/>
  <c r="AE25" i="15"/>
  <c r="AZ25" i="14"/>
  <c r="AG25" i="14"/>
  <c r="AW25" i="14"/>
  <c r="AW34" i="14"/>
  <c r="V15" i="19"/>
  <c r="AZ34" i="14"/>
  <c r="AG34" i="14"/>
  <c r="AX34" i="15"/>
  <c r="AE34" i="15"/>
  <c r="AX39" i="14"/>
  <c r="AE39" i="14"/>
  <c r="T20" i="19"/>
  <c r="AZ39" i="13"/>
  <c r="AG39" i="13"/>
  <c r="AW39" i="13"/>
  <c r="AX33" i="15"/>
  <c r="AE33" i="15"/>
  <c r="AZ33" i="14"/>
  <c r="AG33" i="14"/>
  <c r="AW33" i="14"/>
  <c r="V14" i="19"/>
  <c r="AR37" i="15"/>
  <c r="AS37" i="16"/>
  <c r="AX27" i="15"/>
  <c r="AE27" i="15"/>
  <c r="AW27" i="14"/>
  <c r="V8" i="19"/>
  <c r="AZ27" i="14"/>
  <c r="AG27" i="14"/>
  <c r="AR26" i="15"/>
  <c r="AS26" i="16"/>
  <c r="AQ42" i="17"/>
  <c r="AQ45" i="17"/>
  <c r="AQ45" i="16"/>
  <c r="AR43" i="13"/>
  <c r="AS43" i="14"/>
  <c r="V21" i="19"/>
  <c r="AZ40" i="14"/>
  <c r="AG40" i="14"/>
  <c r="AW40" i="14"/>
  <c r="AX40" i="15"/>
  <c r="AE40" i="15"/>
  <c r="AZ28" i="15"/>
  <c r="AG28" i="15"/>
  <c r="AW28" i="15"/>
  <c r="AX28" i="16"/>
  <c r="AE28" i="16"/>
  <c r="X9" i="19"/>
  <c r="AR23" i="14"/>
  <c r="AS23" i="15"/>
  <c r="AA18" i="14"/>
  <c r="AE13" i="14"/>
  <c r="Q54" i="14"/>
  <c r="S54" i="14"/>
  <c r="AR28" i="15"/>
  <c r="AS28" i="16"/>
  <c r="AR45" i="13"/>
  <c r="Z6" i="16"/>
  <c r="CA48" i="26"/>
  <c r="X50" i="22"/>
  <c r="Z17" i="15"/>
  <c r="AA4" i="15"/>
  <c r="AW44" i="15"/>
  <c r="AX44" i="16"/>
  <c r="AE44" i="16"/>
  <c r="X25" i="19"/>
  <c r="AZ44" i="15"/>
  <c r="AG44" i="15"/>
  <c r="AR40" i="15"/>
  <c r="AS40" i="16"/>
  <c r="V23" i="19"/>
  <c r="AW42" i="14"/>
  <c r="AX42" i="15"/>
  <c r="AE42" i="15"/>
  <c r="AZ42" i="14"/>
  <c r="AG42" i="14"/>
  <c r="AR44" i="14"/>
  <c r="AS44" i="15"/>
  <c r="X14" i="19"/>
  <c r="AW33" i="15"/>
  <c r="AZ33" i="15"/>
  <c r="AG33" i="15"/>
  <c r="AX33" i="16"/>
  <c r="AE33" i="16"/>
  <c r="AX39" i="15"/>
  <c r="AE39" i="15"/>
  <c r="AW39" i="14"/>
  <c r="V20" i="19"/>
  <c r="AZ39" i="14"/>
  <c r="AG39" i="14"/>
  <c r="AZ32" i="15"/>
  <c r="AG32" i="15"/>
  <c r="X13" i="19"/>
  <c r="AW32" i="15"/>
  <c r="AX32" i="16"/>
  <c r="AE32" i="16"/>
  <c r="N4" i="19"/>
  <c r="AZ23" i="10"/>
  <c r="AG23" i="10"/>
  <c r="AX23" i="11"/>
  <c r="AW23" i="10"/>
  <c r="AW45" i="10"/>
  <c r="AE15" i="10"/>
  <c r="AE45" i="10"/>
  <c r="AW30" i="15"/>
  <c r="AZ30" i="15"/>
  <c r="AG30" i="15"/>
  <c r="AX30" i="16"/>
  <c r="AE30" i="16"/>
  <c r="X11" i="19"/>
  <c r="AR42" i="15"/>
  <c r="AS42" i="16"/>
  <c r="AR37" i="16"/>
  <c r="AS37" i="17"/>
  <c r="AR37" i="17"/>
  <c r="AW37" i="15"/>
  <c r="X18" i="19"/>
  <c r="AZ37" i="15"/>
  <c r="AG37" i="15"/>
  <c r="AX37" i="16"/>
  <c r="AE37" i="16"/>
  <c r="AS26" i="17"/>
  <c r="AR26" i="17"/>
  <c r="AR26" i="16"/>
  <c r="X15" i="19"/>
  <c r="AZ34" i="15"/>
  <c r="AG34" i="15"/>
  <c r="AW34" i="15"/>
  <c r="AX34" i="16"/>
  <c r="AE34" i="16"/>
  <c r="Z16" i="19"/>
  <c r="AX35" i="17"/>
  <c r="AE35" i="17"/>
  <c r="AW35" i="16"/>
  <c r="AZ35" i="16"/>
  <c r="AG35" i="16"/>
  <c r="AV45" i="16"/>
  <c r="AV23" i="17"/>
  <c r="AV45" i="17"/>
  <c r="AS24" i="15"/>
  <c r="AR24" i="14"/>
  <c r="AS45" i="14"/>
  <c r="X17" i="19"/>
  <c r="AW36" i="15"/>
  <c r="AZ36" i="15"/>
  <c r="AG36" i="15"/>
  <c r="AX36" i="16"/>
  <c r="AE36" i="16"/>
  <c r="AW31" i="15"/>
  <c r="AX31" i="16"/>
  <c r="AE31" i="16"/>
  <c r="X12" i="19"/>
  <c r="AZ31" i="15"/>
  <c r="AG31" i="15"/>
  <c r="AX24" i="16"/>
  <c r="AE24" i="16"/>
  <c r="AZ24" i="15"/>
  <c r="AG24" i="15"/>
  <c r="AW24" i="15"/>
  <c r="X5" i="19"/>
  <c r="AS38" i="17"/>
  <c r="AR38" i="17"/>
  <c r="AR38" i="16"/>
  <c r="X6" i="19"/>
  <c r="AX25" i="16"/>
  <c r="AE25" i="16"/>
  <c r="AZ25" i="15"/>
  <c r="AG25" i="15"/>
  <c r="AW25" i="15"/>
  <c r="AS29" i="15"/>
  <c r="AR29" i="14"/>
  <c r="X24" i="19"/>
  <c r="AW43" i="15"/>
  <c r="AX43" i="16"/>
  <c r="AE43" i="16"/>
  <c r="AZ43" i="15"/>
  <c r="AG43" i="15"/>
  <c r="AW27" i="15"/>
  <c r="X8" i="19"/>
  <c r="AZ27" i="15"/>
  <c r="AG27" i="15"/>
  <c r="AX27" i="16"/>
  <c r="AE27" i="16"/>
  <c r="W81" i="16"/>
  <c r="W95" i="16"/>
  <c r="W18" i="16"/>
  <c r="W21" i="16"/>
  <c r="W92" i="16"/>
  <c r="W35" i="16"/>
  <c r="W11" i="16"/>
  <c r="W27" i="16"/>
  <c r="W109" i="16"/>
  <c r="W77" i="16"/>
  <c r="W78" i="16"/>
  <c r="W97" i="16"/>
  <c r="W75" i="16"/>
  <c r="W15" i="16"/>
  <c r="W98" i="16"/>
  <c r="W25" i="16"/>
  <c r="W13" i="16"/>
  <c r="W38" i="16"/>
  <c r="W104" i="16"/>
  <c r="W20" i="16"/>
  <c r="W12" i="16"/>
  <c r="W43" i="16"/>
  <c r="W9" i="16"/>
  <c r="W85" i="16"/>
  <c r="W66" i="16"/>
  <c r="W73" i="16"/>
  <c r="W83" i="16"/>
  <c r="W40" i="16"/>
  <c r="W80" i="16"/>
  <c r="W102" i="16"/>
  <c r="W33" i="16"/>
  <c r="W88" i="16"/>
  <c r="W74" i="16"/>
  <c r="W94" i="16"/>
  <c r="W101" i="16"/>
  <c r="W37" i="16"/>
  <c r="W76" i="16"/>
  <c r="W103" i="16"/>
  <c r="W105" i="16"/>
  <c r="W14" i="16"/>
  <c r="W70" i="16"/>
  <c r="W7" i="16"/>
  <c r="W46" i="16"/>
  <c r="W5" i="17"/>
  <c r="W69" i="16"/>
  <c r="W31" i="16"/>
  <c r="W26" i="16"/>
  <c r="W110" i="16"/>
  <c r="W64" i="16"/>
  <c r="W99" i="16"/>
  <c r="W79" i="16"/>
  <c r="W45" i="16"/>
  <c r="W91" i="16"/>
  <c r="W17" i="16"/>
  <c r="W10" i="16"/>
  <c r="W84" i="16"/>
  <c r="W36" i="16"/>
  <c r="W72" i="16"/>
  <c r="W44" i="16"/>
  <c r="W30" i="16"/>
  <c r="W32" i="16"/>
  <c r="W89" i="16"/>
  <c r="W93" i="16"/>
  <c r="W34" i="16"/>
  <c r="W90" i="16"/>
  <c r="W23" i="16"/>
  <c r="W29" i="16"/>
  <c r="W68" i="16"/>
  <c r="W22" i="16"/>
  <c r="W42" i="16"/>
  <c r="W96" i="16"/>
  <c r="W82" i="16"/>
  <c r="W19" i="16"/>
  <c r="W65" i="16"/>
  <c r="W87" i="16"/>
  <c r="W41" i="16"/>
  <c r="W28" i="16"/>
  <c r="W39" i="16"/>
  <c r="W71" i="16"/>
  <c r="W106" i="16"/>
  <c r="W67" i="16"/>
  <c r="W100" i="16"/>
  <c r="W107" i="16"/>
  <c r="W8" i="16"/>
  <c r="W16" i="16"/>
  <c r="W86" i="16"/>
  <c r="W108" i="16"/>
  <c r="W24" i="16"/>
  <c r="AR36" i="16"/>
  <c r="AS36" i="17"/>
  <c r="AR36" i="17"/>
  <c r="AW26" i="14"/>
  <c r="AZ26" i="14"/>
  <c r="AG26" i="14"/>
  <c r="V7" i="19"/>
  <c r="AX26" i="15"/>
  <c r="AE26" i="15"/>
  <c r="AS27" i="17"/>
  <c r="AR27" i="17"/>
  <c r="AR27" i="16"/>
  <c r="AT45" i="15"/>
  <c r="AT34" i="16"/>
  <c r="AX29" i="16"/>
  <c r="AE29" i="16"/>
  <c r="AW29" i="15"/>
  <c r="AZ29" i="15"/>
  <c r="AG29" i="15"/>
  <c r="X10" i="19"/>
  <c r="AX42" i="16"/>
  <c r="AE42" i="16"/>
  <c r="AW42" i="15"/>
  <c r="X23" i="19"/>
  <c r="AZ42" i="15"/>
  <c r="AG42" i="15"/>
  <c r="CB48" i="26"/>
  <c r="Y50" i="22"/>
  <c r="Z6" i="17"/>
  <c r="Z17" i="16"/>
  <c r="AA4" i="16"/>
  <c r="AW40" i="15"/>
  <c r="AZ40" i="15"/>
  <c r="AG40" i="15"/>
  <c r="AX40" i="16"/>
  <c r="AE40" i="16"/>
  <c r="X21" i="19"/>
  <c r="AR43" i="14"/>
  <c r="AS43" i="15"/>
  <c r="AR44" i="15"/>
  <c r="AS44" i="16"/>
  <c r="AA18" i="15"/>
  <c r="AE13" i="15"/>
  <c r="Q54" i="15"/>
  <c r="S54" i="15"/>
  <c r="AX28" i="17"/>
  <c r="AE28" i="17"/>
  <c r="AW28" i="16"/>
  <c r="Z9" i="19"/>
  <c r="AZ28" i="16"/>
  <c r="AG28" i="16"/>
  <c r="AS28" i="17"/>
  <c r="AR28" i="17"/>
  <c r="AR28" i="16"/>
  <c r="AR23" i="15"/>
  <c r="AS23" i="16"/>
  <c r="AR40" i="16"/>
  <c r="AS40" i="17"/>
  <c r="AR40" i="17"/>
  <c r="AW44" i="16"/>
  <c r="AZ44" i="16"/>
  <c r="AG44" i="16"/>
  <c r="Z25" i="19"/>
  <c r="AX44" i="17"/>
  <c r="AE44" i="17"/>
  <c r="AX25" i="17"/>
  <c r="AE25" i="17"/>
  <c r="Z6" i="19"/>
  <c r="AW25" i="16"/>
  <c r="AZ25" i="16"/>
  <c r="AG25" i="16"/>
  <c r="AX36" i="17"/>
  <c r="AE36" i="17"/>
  <c r="Z17" i="19"/>
  <c r="AZ36" i="16"/>
  <c r="AG36" i="16"/>
  <c r="AW36" i="16"/>
  <c r="AX32" i="17"/>
  <c r="AE32" i="17"/>
  <c r="Z13" i="19"/>
  <c r="AW32" i="16"/>
  <c r="AZ32" i="16"/>
  <c r="AG32" i="16"/>
  <c r="Z14" i="19"/>
  <c r="AX33" i="17"/>
  <c r="AE33" i="17"/>
  <c r="AZ33" i="16"/>
  <c r="AG33" i="16"/>
  <c r="AW33" i="16"/>
  <c r="W15" i="17"/>
  <c r="W40" i="17"/>
  <c r="W103" i="17"/>
  <c r="W101" i="17"/>
  <c r="W33" i="17"/>
  <c r="W79" i="17"/>
  <c r="W72" i="17"/>
  <c r="W83" i="17"/>
  <c r="W65" i="17"/>
  <c r="W98" i="17"/>
  <c r="W37" i="17"/>
  <c r="W105" i="17"/>
  <c r="W80" i="17"/>
  <c r="W85" i="17"/>
  <c r="W8" i="17"/>
  <c r="W10" i="17"/>
  <c r="W87" i="17"/>
  <c r="W21" i="17"/>
  <c r="W106" i="17"/>
  <c r="W109" i="17"/>
  <c r="W29" i="17"/>
  <c r="W70" i="17"/>
  <c r="W32" i="17"/>
  <c r="W91" i="17"/>
  <c r="W25" i="17"/>
  <c r="W92" i="17"/>
  <c r="W14" i="17"/>
  <c r="W89" i="17"/>
  <c r="W82" i="17"/>
  <c r="W26" i="17"/>
  <c r="W69" i="17"/>
  <c r="W102" i="17"/>
  <c r="W24" i="17"/>
  <c r="W27" i="17"/>
  <c r="W97" i="17"/>
  <c r="W64" i="17"/>
  <c r="W110" i="17"/>
  <c r="W28" i="17"/>
  <c r="W30" i="17"/>
  <c r="W38" i="17"/>
  <c r="W73" i="17"/>
  <c r="W12" i="17"/>
  <c r="W88" i="17"/>
  <c r="W96" i="17"/>
  <c r="W19" i="17"/>
  <c r="W42" i="17"/>
  <c r="W90" i="17"/>
  <c r="W34" i="17"/>
  <c r="W107" i="17"/>
  <c r="W100" i="17"/>
  <c r="W39" i="17"/>
  <c r="W108" i="17"/>
  <c r="W95" i="17"/>
  <c r="W41" i="17"/>
  <c r="W99" i="17"/>
  <c r="W35" i="17"/>
  <c r="W44" i="17"/>
  <c r="W74" i="17"/>
  <c r="W104" i="17"/>
  <c r="W75" i="17"/>
  <c r="W68" i="17"/>
  <c r="W94" i="17"/>
  <c r="W77" i="17"/>
  <c r="W45" i="17"/>
  <c r="W23" i="17"/>
  <c r="W71" i="17"/>
  <c r="W9" i="17"/>
  <c r="W84" i="17"/>
  <c r="W11" i="17"/>
  <c r="W20" i="17"/>
  <c r="W22" i="17"/>
  <c r="W78" i="17"/>
  <c r="W16" i="17"/>
  <c r="W18" i="17"/>
  <c r="W31" i="17"/>
  <c r="W43" i="17"/>
  <c r="W76" i="17"/>
  <c r="W17" i="17"/>
  <c r="W81" i="17"/>
  <c r="W46" i="17"/>
  <c r="D9" i="25"/>
  <c r="W67" i="17"/>
  <c r="W36" i="17"/>
  <c r="W93" i="17"/>
  <c r="W13" i="17"/>
  <c r="W66" i="17"/>
  <c r="W86" i="17"/>
  <c r="W7" i="17"/>
  <c r="AX43" i="17"/>
  <c r="AE43" i="17"/>
  <c r="AZ43" i="16"/>
  <c r="AG43" i="16"/>
  <c r="AW43" i="16"/>
  <c r="Z24" i="19"/>
  <c r="AR29" i="15"/>
  <c r="AS29" i="16"/>
  <c r="AR45" i="14"/>
  <c r="AW34" i="16"/>
  <c r="Z15" i="19"/>
  <c r="AZ34" i="16"/>
  <c r="AG34" i="16"/>
  <c r="AX34" i="17"/>
  <c r="AE34" i="17"/>
  <c r="AE23" i="11"/>
  <c r="AX45" i="11"/>
  <c r="Z8" i="19"/>
  <c r="AW27" i="16"/>
  <c r="AX27" i="17"/>
  <c r="AE27" i="17"/>
  <c r="AZ27" i="16"/>
  <c r="AG27" i="16"/>
  <c r="AR42" i="16"/>
  <c r="AS42" i="17"/>
  <c r="AR42" i="17"/>
  <c r="Z10" i="19"/>
  <c r="AW29" i="16"/>
  <c r="AZ29" i="16"/>
  <c r="AG29" i="16"/>
  <c r="AX29" i="17"/>
  <c r="AE29" i="17"/>
  <c r="Z12" i="19"/>
  <c r="AX31" i="17"/>
  <c r="AE31" i="17"/>
  <c r="AZ31" i="16"/>
  <c r="AG31" i="16"/>
  <c r="AW31" i="16"/>
  <c r="AR24" i="15"/>
  <c r="AS45" i="15"/>
  <c r="AS24" i="16"/>
  <c r="AW37" i="16"/>
  <c r="AZ37" i="16"/>
  <c r="AG37" i="16"/>
  <c r="AX37" i="17"/>
  <c r="AE37" i="17"/>
  <c r="Z18" i="19"/>
  <c r="AT34" i="17"/>
  <c r="AT45" i="17"/>
  <c r="AT45" i="16"/>
  <c r="AZ26" i="15"/>
  <c r="AG26" i="15"/>
  <c r="AW26" i="15"/>
  <c r="AX26" i="16"/>
  <c r="AE26" i="16"/>
  <c r="X7" i="19"/>
  <c r="AX24" i="17"/>
  <c r="AE24" i="17"/>
  <c r="AZ24" i="16"/>
  <c r="AG24" i="16"/>
  <c r="AW24" i="16"/>
  <c r="Z5" i="19"/>
  <c r="AB16" i="19"/>
  <c r="AW35" i="17"/>
  <c r="AZ35" i="17"/>
  <c r="AG35" i="17"/>
  <c r="AW30" i="16"/>
  <c r="Z11" i="19"/>
  <c r="AX30" i="17"/>
  <c r="AE30" i="17"/>
  <c r="AZ30" i="16"/>
  <c r="AG30" i="16"/>
  <c r="X20" i="19"/>
  <c r="AW39" i="15"/>
  <c r="AZ39" i="15"/>
  <c r="AG39" i="15"/>
  <c r="AX39" i="16"/>
  <c r="AE39" i="16"/>
  <c r="AB25" i="19"/>
  <c r="AZ44" i="17"/>
  <c r="AG44" i="17"/>
  <c r="AW44" i="17"/>
  <c r="AR44" i="16"/>
  <c r="AS44" i="17"/>
  <c r="AR44" i="17"/>
  <c r="AA18" i="16"/>
  <c r="AE13" i="16"/>
  <c r="Q54" i="16"/>
  <c r="S54" i="16"/>
  <c r="AW28" i="17"/>
  <c r="AZ28" i="17"/>
  <c r="AG28" i="17"/>
  <c r="AB9" i="19"/>
  <c r="AX40" i="17"/>
  <c r="AE40" i="17"/>
  <c r="AW40" i="16"/>
  <c r="Z21" i="19"/>
  <c r="AZ40" i="16"/>
  <c r="AG40" i="16"/>
  <c r="Z50" i="22"/>
  <c r="CC48" i="26"/>
  <c r="Z17" i="17"/>
  <c r="AA4" i="17"/>
  <c r="AS23" i="17"/>
  <c r="AR23" i="17"/>
  <c r="AR23" i="16"/>
  <c r="AS43" i="16"/>
  <c r="AR43" i="15"/>
  <c r="AX42" i="17"/>
  <c r="AE42" i="17"/>
  <c r="Z23" i="19"/>
  <c r="AZ42" i="16"/>
  <c r="AG42" i="16"/>
  <c r="AW42" i="16"/>
  <c r="AB24" i="19"/>
  <c r="AZ43" i="17"/>
  <c r="AG43" i="17"/>
  <c r="AW43" i="17"/>
  <c r="AB5" i="19"/>
  <c r="AZ24" i="17"/>
  <c r="AG24" i="17"/>
  <c r="AW24" i="17"/>
  <c r="AZ37" i="17"/>
  <c r="AG37" i="17"/>
  <c r="AW37" i="17"/>
  <c r="AB18" i="19"/>
  <c r="AR45" i="15"/>
  <c r="AB8" i="19"/>
  <c r="AZ27" i="17"/>
  <c r="AG27" i="17"/>
  <c r="AW27" i="17"/>
  <c r="AZ23" i="11"/>
  <c r="AG23" i="11"/>
  <c r="AX23" i="12"/>
  <c r="P4" i="19"/>
  <c r="AW23" i="11"/>
  <c r="AW45" i="11"/>
  <c r="AE15" i="11"/>
  <c r="AE45" i="11"/>
  <c r="AZ31" i="17"/>
  <c r="AG31" i="17"/>
  <c r="AW31" i="17"/>
  <c r="AB12" i="19"/>
  <c r="AB10" i="19"/>
  <c r="AW29" i="17"/>
  <c r="AZ29" i="17"/>
  <c r="AG29" i="17"/>
  <c r="AZ34" i="17"/>
  <c r="AG34" i="17"/>
  <c r="AB15" i="19"/>
  <c r="AW34" i="17"/>
  <c r="AW33" i="17"/>
  <c r="AB14" i="19"/>
  <c r="AZ33" i="17"/>
  <c r="AG33" i="17"/>
  <c r="AB11" i="19"/>
  <c r="AW30" i="17"/>
  <c r="AZ30" i="17"/>
  <c r="AG30" i="17"/>
  <c r="AW39" i="16"/>
  <c r="AX39" i="17"/>
  <c r="AE39" i="17"/>
  <c r="Z20" i="19"/>
  <c r="AZ39" i="16"/>
  <c r="AG39" i="16"/>
  <c r="AZ26" i="16"/>
  <c r="AG26" i="16"/>
  <c r="Z7" i="19"/>
  <c r="AW26" i="16"/>
  <c r="AX26" i="17"/>
  <c r="AE26" i="17"/>
  <c r="AS45" i="16"/>
  <c r="AR24" i="16"/>
  <c r="AS24" i="17"/>
  <c r="AR29" i="16"/>
  <c r="AS29" i="17"/>
  <c r="AR29" i="17"/>
  <c r="AB13" i="19"/>
  <c r="AW32" i="17"/>
  <c r="AZ32" i="17"/>
  <c r="AG32" i="17"/>
  <c r="AW36" i="17"/>
  <c r="AB17" i="19"/>
  <c r="AZ36" i="17"/>
  <c r="AG36" i="17"/>
  <c r="AB6" i="19"/>
  <c r="AZ25" i="17"/>
  <c r="AG25" i="17"/>
  <c r="AW25" i="17"/>
  <c r="AR43" i="16"/>
  <c r="AS43" i="17"/>
  <c r="AR43" i="17"/>
  <c r="AB21" i="19"/>
  <c r="AZ40" i="17"/>
  <c r="AG40" i="17"/>
  <c r="AW40" i="17"/>
  <c r="AB23" i="19"/>
  <c r="AZ42" i="17"/>
  <c r="AG42" i="17"/>
  <c r="AW42" i="17"/>
  <c r="AR45" i="16"/>
  <c r="AA18" i="17"/>
  <c r="AE13" i="17"/>
  <c r="C29" i="19"/>
  <c r="C33" i="19"/>
  <c r="Q54" i="17"/>
  <c r="S54" i="17"/>
  <c r="AE23" i="12"/>
  <c r="AX45" i="12"/>
  <c r="AB7" i="19"/>
  <c r="AW26" i="17"/>
  <c r="AZ26" i="17"/>
  <c r="AG26" i="17"/>
  <c r="AB20" i="19"/>
  <c r="AW39" i="17"/>
  <c r="AZ39" i="17"/>
  <c r="AG39" i="17"/>
  <c r="AR24" i="17"/>
  <c r="AR45" i="17"/>
  <c r="AS45" i="17"/>
  <c r="AZ23" i="12"/>
  <c r="AG23" i="12"/>
  <c r="R4" i="19"/>
  <c r="AW23" i="12"/>
  <c r="AW45" i="12"/>
  <c r="AE15" i="12"/>
  <c r="AX23" i="13"/>
  <c r="AE45" i="12"/>
  <c r="AE23" i="13"/>
  <c r="AX45" i="13"/>
  <c r="AX23" i="14"/>
  <c r="T4" i="19"/>
  <c r="AZ23" i="13"/>
  <c r="AG23" i="13"/>
  <c r="AW23" i="13"/>
  <c r="AW45" i="13"/>
  <c r="AE15" i="13"/>
  <c r="AE45" i="13"/>
  <c r="AE23" i="14"/>
  <c r="AX45" i="14"/>
  <c r="V4" i="19"/>
  <c r="AX23" i="15"/>
  <c r="AZ23" i="14"/>
  <c r="AG23" i="14"/>
  <c r="AW23" i="14"/>
  <c r="AW45" i="14"/>
  <c r="AE15" i="14"/>
  <c r="AE45" i="14"/>
  <c r="AE23" i="15"/>
  <c r="AX45" i="15"/>
  <c r="AX23" i="16"/>
  <c r="AW23" i="15"/>
  <c r="AW45" i="15"/>
  <c r="AE15" i="15"/>
  <c r="X4" i="19"/>
  <c r="AZ23" i="15"/>
  <c r="AG23" i="15"/>
  <c r="AE45" i="15"/>
  <c r="AE23" i="16"/>
  <c r="AX45" i="16"/>
  <c r="Z4" i="19"/>
  <c r="AZ23" i="16"/>
  <c r="AG23" i="16"/>
  <c r="AE15" i="16"/>
  <c r="AX23" i="17"/>
  <c r="AW23" i="16"/>
  <c r="AW45" i="16"/>
  <c r="AE45" i="16"/>
  <c r="AE23" i="17"/>
  <c r="AX45" i="17"/>
  <c r="AW23" i="17"/>
  <c r="AW45" i="17"/>
  <c r="AE45" i="17"/>
  <c r="AZ23" i="17"/>
  <c r="AG23" i="17"/>
  <c r="AE15" i="17"/>
  <c r="AB4" i="19"/>
  <c r="AC8" i="26"/>
  <c r="AB7" i="26"/>
  <c r="I5" i="26"/>
  <c r="AG5" i="26"/>
  <c r="Z5" i="26"/>
  <c r="Z6" i="26"/>
  <c r="I6" i="26"/>
  <c r="AG6" i="26"/>
  <c r="Z7" i="26"/>
  <c r="I7" i="26"/>
  <c r="AG7" i="26"/>
  <c r="AB8" i="26"/>
  <c r="AC9" i="26"/>
  <c r="AA8" i="26"/>
  <c r="AD8" i="26"/>
  <c r="AE8" i="26"/>
  <c r="Z8" i="26"/>
  <c r="I8" i="26"/>
  <c r="AG8" i="26"/>
  <c r="AA9" i="26"/>
  <c r="AD9" i="26"/>
  <c r="AE9" i="26"/>
  <c r="AB9" i="26"/>
  <c r="AC10" i="26"/>
  <c r="AC11" i="26"/>
  <c r="AB10" i="26"/>
  <c r="AA10" i="26"/>
  <c r="AD10" i="26"/>
  <c r="AE10" i="26"/>
  <c r="Z9" i="26"/>
  <c r="I9" i="26"/>
  <c r="AG9" i="26"/>
  <c r="I10" i="26"/>
  <c r="AG10" i="26"/>
  <c r="Z10" i="26"/>
  <c r="AC12" i="26"/>
  <c r="AB11" i="26"/>
  <c r="AA11" i="26"/>
  <c r="AD11" i="26"/>
  <c r="AE11" i="26"/>
  <c r="Z11" i="26"/>
  <c r="I11" i="26"/>
  <c r="AG11" i="26"/>
  <c r="AB12" i="26"/>
  <c r="AA12" i="26"/>
  <c r="AD12" i="26"/>
  <c r="AE12" i="26"/>
  <c r="AC13" i="26"/>
  <c r="AA13" i="26"/>
  <c r="AD13" i="26"/>
  <c r="AB13" i="26"/>
  <c r="AC14" i="26"/>
  <c r="Z12" i="26"/>
  <c r="I12" i="26"/>
  <c r="AG12" i="26"/>
  <c r="AC15" i="26"/>
  <c r="AA14" i="26"/>
  <c r="AD14" i="26"/>
  <c r="AE14" i="26"/>
  <c r="AB14" i="26"/>
  <c r="AE13" i="26"/>
  <c r="Z14" i="26"/>
  <c r="I14" i="26"/>
  <c r="AG14" i="26"/>
  <c r="I13" i="26"/>
  <c r="AG13" i="26"/>
  <c r="Z13" i="26"/>
  <c r="AC16" i="26"/>
  <c r="AB15" i="26"/>
  <c r="AA15" i="26"/>
  <c r="AD15" i="26"/>
  <c r="AE15" i="26"/>
  <c r="AC17" i="26"/>
  <c r="AB16" i="26"/>
  <c r="AA16" i="26"/>
  <c r="AD16" i="26"/>
  <c r="AE16" i="26"/>
  <c r="I15" i="26"/>
  <c r="AG15" i="26"/>
  <c r="Z15" i="26"/>
  <c r="AB17" i="26"/>
  <c r="AA17" i="26"/>
  <c r="AD17" i="26"/>
  <c r="AE17" i="26"/>
  <c r="AC18" i="26"/>
  <c r="I16" i="26"/>
  <c r="AG16" i="26"/>
  <c r="Z16" i="26"/>
  <c r="I17" i="26"/>
  <c r="AG17" i="26"/>
  <c r="Z17" i="26"/>
  <c r="AC19" i="26"/>
  <c r="AA18" i="26"/>
  <c r="AD18" i="26"/>
  <c r="AE18" i="26"/>
  <c r="AB18" i="26"/>
  <c r="AA19" i="26"/>
  <c r="AD19" i="26"/>
  <c r="AE19" i="26"/>
  <c r="AC20" i="26"/>
  <c r="AB19" i="26"/>
  <c r="Z18" i="26"/>
  <c r="I18" i="26"/>
  <c r="AG18" i="26"/>
  <c r="I19" i="26"/>
  <c r="AG19" i="26"/>
  <c r="Z19" i="26"/>
  <c r="AB20" i="26"/>
  <c r="AA20" i="26"/>
  <c r="AD20" i="26"/>
  <c r="AE20" i="26"/>
  <c r="AC21" i="26"/>
  <c r="Z20" i="26"/>
  <c r="I20" i="26"/>
  <c r="AG20" i="26"/>
  <c r="AA21" i="26"/>
  <c r="AD21" i="26"/>
  <c r="AE21" i="26"/>
  <c r="AC22" i="26"/>
  <c r="AB21" i="26"/>
  <c r="AC23" i="26"/>
  <c r="AB22" i="26"/>
  <c r="AA22" i="26"/>
  <c r="AD22" i="26"/>
  <c r="AE22" i="26"/>
  <c r="Z21" i="26"/>
  <c r="I21" i="26"/>
  <c r="AG21" i="26"/>
  <c r="AB23" i="26"/>
  <c r="AA23" i="26"/>
  <c r="AD23" i="26"/>
  <c r="AE23" i="26"/>
  <c r="AC24" i="26"/>
  <c r="I22" i="26"/>
  <c r="AG22" i="26"/>
  <c r="Z22" i="26"/>
  <c r="AA24" i="26"/>
  <c r="AD24" i="26"/>
  <c r="AE24" i="26"/>
  <c r="AC25" i="26"/>
  <c r="AB24" i="26"/>
  <c r="Z23" i="26"/>
  <c r="I23" i="26"/>
  <c r="AG23" i="26"/>
  <c r="AA25" i="26"/>
  <c r="AD25" i="26"/>
  <c r="AE25" i="26"/>
  <c r="AB25" i="26"/>
  <c r="AC26" i="26"/>
  <c r="I24" i="26"/>
  <c r="AG24" i="26"/>
  <c r="Z24" i="26"/>
  <c r="AC27" i="26"/>
  <c r="AB26" i="26"/>
  <c r="AA26" i="26"/>
  <c r="AD26" i="26"/>
  <c r="AE26" i="26"/>
  <c r="Z25" i="26"/>
  <c r="I25" i="26"/>
  <c r="AG25" i="26"/>
  <c r="AB27" i="26"/>
  <c r="AC28" i="26"/>
  <c r="AA27" i="26"/>
  <c r="AD27" i="26"/>
  <c r="AE27" i="26"/>
  <c r="I26" i="26"/>
  <c r="AG26" i="26"/>
  <c r="Z26" i="26"/>
  <c r="I27" i="26"/>
  <c r="AG27" i="26"/>
  <c r="Z27" i="26"/>
  <c r="AB28" i="26"/>
  <c r="AC29" i="26"/>
  <c r="AA28" i="26"/>
  <c r="AD28" i="26"/>
  <c r="AE28" i="26"/>
  <c r="AB29" i="26"/>
  <c r="AA29" i="26"/>
  <c r="AD29" i="26"/>
  <c r="AE29" i="26"/>
  <c r="AC30" i="26"/>
  <c r="I28" i="26"/>
  <c r="AG28" i="26"/>
  <c r="Z28" i="26"/>
  <c r="AC31" i="26"/>
  <c r="AA30" i="26"/>
  <c r="AD30" i="26"/>
  <c r="AE30" i="26"/>
  <c r="AB30" i="26"/>
  <c r="Z29" i="26"/>
  <c r="I29" i="26"/>
  <c r="AG29" i="26"/>
  <c r="Z30" i="26"/>
  <c r="I30" i="26"/>
  <c r="AG30" i="26"/>
  <c r="AB31" i="26"/>
  <c r="AC32" i="26"/>
  <c r="AA31" i="26"/>
  <c r="AD31" i="26"/>
  <c r="AE31" i="26"/>
  <c r="AB32" i="26"/>
  <c r="AA32" i="26"/>
  <c r="AD32" i="26"/>
  <c r="AE32" i="26"/>
  <c r="AC33" i="26"/>
  <c r="I31" i="26"/>
  <c r="AG31" i="26"/>
  <c r="Z31" i="26"/>
  <c r="AB33" i="26"/>
  <c r="AC34" i="26"/>
  <c r="AA33" i="26"/>
  <c r="AD33" i="26"/>
  <c r="AE33" i="26"/>
  <c r="Z32" i="26"/>
  <c r="I32" i="26"/>
  <c r="AG32" i="26"/>
  <c r="Z33" i="26"/>
  <c r="I33" i="26"/>
  <c r="AG33" i="26"/>
  <c r="AC35" i="26"/>
  <c r="AB34" i="26"/>
  <c r="AA34" i="26"/>
  <c r="AD34" i="26"/>
  <c r="AE34" i="26"/>
  <c r="AA35" i="26"/>
  <c r="AD35" i="26"/>
  <c r="AE35" i="26"/>
  <c r="AC36" i="26"/>
  <c r="AB35" i="26"/>
  <c r="I34" i="26"/>
  <c r="AG34" i="26"/>
  <c r="Z34" i="26"/>
  <c r="AA36" i="26"/>
  <c r="AD36" i="26"/>
  <c r="AE36" i="26"/>
  <c r="AC37" i="26"/>
  <c r="AB36" i="26"/>
  <c r="Z35" i="26"/>
  <c r="I35" i="26"/>
  <c r="AG35" i="26"/>
  <c r="AA37" i="26"/>
  <c r="AD37" i="26"/>
  <c r="AE37" i="26"/>
  <c r="AC38" i="26"/>
  <c r="AB37" i="26"/>
  <c r="I36" i="26"/>
  <c r="AG36" i="26"/>
  <c r="Z36" i="26"/>
  <c r="AC39" i="26"/>
  <c r="AA38" i="26"/>
  <c r="AD38" i="26"/>
  <c r="AE38" i="26"/>
  <c r="AB38" i="26"/>
  <c r="Z37" i="26"/>
  <c r="I37" i="26"/>
  <c r="AG37" i="26"/>
  <c r="Z38" i="26"/>
  <c r="I38" i="26"/>
  <c r="AG38" i="26"/>
  <c r="AA39" i="26"/>
  <c r="AD39" i="26"/>
  <c r="AE39" i="26"/>
  <c r="AC40" i="26"/>
  <c r="AB39" i="26"/>
  <c r="AC41" i="26"/>
  <c r="AB40" i="26"/>
  <c r="AA40" i="26"/>
  <c r="AD40" i="26"/>
  <c r="AE40" i="26"/>
  <c r="Z39" i="26"/>
  <c r="I39" i="26"/>
  <c r="AG39" i="26"/>
  <c r="Z40" i="26"/>
  <c r="I40" i="26"/>
  <c r="AG40" i="26"/>
  <c r="AA41" i="26"/>
  <c r="AD41" i="26"/>
  <c r="AE41" i="26"/>
  <c r="AB41" i="26"/>
  <c r="AC42" i="26"/>
  <c r="Z41" i="26"/>
  <c r="I41" i="26"/>
  <c r="AG41" i="26"/>
  <c r="AC43" i="26"/>
  <c r="AA42" i="26"/>
  <c r="AD42" i="26"/>
  <c r="AE42" i="26"/>
  <c r="AB42" i="26"/>
  <c r="Z42" i="26"/>
  <c r="I42" i="26"/>
  <c r="AG42" i="26"/>
  <c r="AC44" i="26"/>
  <c r="AB43" i="26"/>
  <c r="AA43" i="26"/>
  <c r="AD43" i="26"/>
  <c r="AE43" i="26"/>
  <c r="AB44" i="26"/>
  <c r="AC45" i="26"/>
  <c r="AA44" i="26"/>
  <c r="AD44" i="26"/>
  <c r="AE44" i="26"/>
  <c r="I43" i="26"/>
  <c r="AG43" i="26"/>
  <c r="Z43" i="26"/>
  <c r="I44" i="26"/>
  <c r="AG44" i="26"/>
  <c r="Z44" i="26"/>
  <c r="AA45" i="26"/>
  <c r="AD45" i="26"/>
  <c r="AE45" i="26"/>
  <c r="AB45" i="26"/>
  <c r="AC46" i="26"/>
  <c r="I45" i="26"/>
  <c r="AG45" i="26"/>
  <c r="Z45" i="26"/>
  <c r="AC47" i="26"/>
  <c r="AB46" i="26"/>
  <c r="AA46" i="26"/>
  <c r="AD46" i="26"/>
  <c r="AE46" i="26"/>
  <c r="AB47" i="26"/>
  <c r="AC48" i="26"/>
  <c r="AA47" i="26"/>
  <c r="AD47" i="26"/>
  <c r="AE47" i="26"/>
  <c r="Z46" i="26"/>
  <c r="I46" i="26"/>
  <c r="AG46" i="26"/>
  <c r="Z47" i="26"/>
  <c r="I47" i="26"/>
  <c r="AG47" i="26"/>
  <c r="AC49" i="26"/>
  <c r="AB48" i="26"/>
  <c r="AA48" i="26"/>
  <c r="AD48" i="26"/>
  <c r="AE48" i="26"/>
  <c r="AB49" i="26"/>
  <c r="AC50" i="26"/>
  <c r="AA49" i="26"/>
  <c r="AD49" i="26"/>
  <c r="AE49" i="26"/>
  <c r="Z48" i="26"/>
  <c r="I48" i="26"/>
  <c r="AG48" i="26"/>
  <c r="Z49" i="26"/>
  <c r="I49" i="26"/>
  <c r="AG49" i="26"/>
  <c r="AC51" i="26"/>
  <c r="AA50" i="26"/>
  <c r="AD50" i="26"/>
  <c r="AE50" i="26"/>
  <c r="AB50" i="26"/>
  <c r="I50" i="26"/>
  <c r="AG50" i="26"/>
  <c r="Z50" i="26"/>
  <c r="AC52" i="26"/>
  <c r="AA51" i="26"/>
  <c r="AD51" i="26"/>
  <c r="AE51" i="26"/>
  <c r="AB51" i="26"/>
  <c r="Z51" i="26"/>
  <c r="I51" i="26"/>
  <c r="AG51" i="26"/>
  <c r="AB52" i="26"/>
  <c r="AC53" i="26"/>
  <c r="AA52" i="26"/>
  <c r="AD52" i="26"/>
  <c r="AE52" i="26"/>
  <c r="AB53" i="26"/>
  <c r="AC54" i="26"/>
  <c r="AA53" i="26"/>
  <c r="AD53" i="26"/>
  <c r="AE53" i="26"/>
  <c r="Z52" i="26"/>
  <c r="I52" i="26"/>
  <c r="AG52" i="26"/>
  <c r="Z53" i="26"/>
  <c r="I53" i="26"/>
  <c r="AG53" i="26"/>
  <c r="AC55" i="26"/>
  <c r="AB54" i="26"/>
  <c r="AA54" i="26"/>
  <c r="AD54" i="26"/>
  <c r="AE54" i="26"/>
  <c r="AC56" i="26"/>
  <c r="AB55" i="26"/>
  <c r="AA55" i="26"/>
  <c r="AD55" i="26"/>
  <c r="AE55" i="26"/>
  <c r="Z54" i="26"/>
  <c r="I54" i="26"/>
  <c r="AG54" i="26"/>
  <c r="Z55" i="26"/>
  <c r="I55" i="26"/>
  <c r="AG55" i="26"/>
  <c r="AB56" i="26"/>
  <c r="AC57" i="26"/>
  <c r="AA56" i="26"/>
  <c r="AD56" i="26"/>
  <c r="AE56" i="26"/>
  <c r="I56" i="26"/>
  <c r="AG56" i="26"/>
  <c r="Z56" i="26"/>
  <c r="AB57" i="26"/>
  <c r="AA57" i="26"/>
  <c r="AD57" i="26"/>
  <c r="AE57" i="26"/>
  <c r="AC58" i="26"/>
  <c r="Z57" i="26"/>
  <c r="I57" i="26"/>
  <c r="AG57" i="26"/>
  <c r="AC59" i="26"/>
  <c r="AB58" i="26"/>
  <c r="AA58" i="26"/>
  <c r="AD58" i="26"/>
  <c r="AE58" i="26"/>
  <c r="Z58" i="26"/>
  <c r="I58" i="26"/>
  <c r="AG58" i="26"/>
  <c r="AB59" i="26"/>
  <c r="AC60" i="26"/>
  <c r="AA59" i="26"/>
  <c r="AD59" i="26"/>
  <c r="AE59" i="26"/>
  <c r="I59" i="26"/>
  <c r="AG59" i="26"/>
  <c r="Z59" i="26"/>
  <c r="AC61" i="26"/>
  <c r="AA60" i="26"/>
  <c r="AD60" i="26"/>
  <c r="AE60" i="26"/>
  <c r="AB60" i="26"/>
  <c r="Z60" i="26"/>
  <c r="I60" i="26"/>
  <c r="AG60" i="26"/>
  <c r="AB61" i="26"/>
  <c r="AA61" i="26"/>
  <c r="AD61" i="26"/>
  <c r="AE61" i="26"/>
  <c r="AC62" i="26"/>
  <c r="I61" i="26"/>
  <c r="AG61" i="26"/>
  <c r="Z61" i="26"/>
  <c r="AC63" i="26"/>
  <c r="AA62" i="26"/>
  <c r="AD62" i="26"/>
  <c r="AE62" i="26"/>
  <c r="AB62" i="26"/>
  <c r="Z62" i="26"/>
  <c r="I62" i="26"/>
  <c r="AG62" i="26"/>
  <c r="AB63" i="26"/>
  <c r="AA63" i="26"/>
  <c r="AD63" i="26"/>
  <c r="AE63" i="26"/>
  <c r="I63" i="26"/>
  <c r="AG63" i="26"/>
  <c r="I1" i="26"/>
  <c r="Z63" i="26"/>
  <c r="CZ1" i="26"/>
  <c r="G16" i="26"/>
  <c r="CY16" i="26"/>
  <c r="G15" i="26"/>
  <c r="CY15" i="26"/>
  <c r="G18" i="26"/>
  <c r="CY18" i="26"/>
  <c r="G44" i="26"/>
  <c r="CY44" i="26"/>
  <c r="G58" i="26"/>
  <c r="CY58" i="26"/>
  <c r="G36" i="26"/>
  <c r="CY36" i="26"/>
  <c r="G48" i="26"/>
  <c r="CY48" i="26"/>
  <c r="G24" i="26"/>
  <c r="CY24" i="26"/>
  <c r="G39" i="26"/>
  <c r="CY39" i="26"/>
  <c r="G53" i="26"/>
  <c r="CY53" i="26"/>
  <c r="G4" i="26"/>
  <c r="CY4" i="26"/>
  <c r="G31" i="26"/>
  <c r="CY31" i="26"/>
  <c r="G52" i="26"/>
  <c r="CY52" i="26"/>
  <c r="G5" i="26"/>
  <c r="CY5" i="26"/>
  <c r="G46" i="26"/>
  <c r="CY46" i="26"/>
  <c r="G60" i="26"/>
  <c r="CY60" i="26"/>
  <c r="G7" i="26"/>
  <c r="CY7" i="26"/>
  <c r="G13" i="26"/>
  <c r="CY13" i="26"/>
  <c r="G17" i="26"/>
  <c r="CY17" i="26"/>
  <c r="G20" i="26"/>
  <c r="CY20" i="26"/>
  <c r="G37" i="26"/>
  <c r="CY37" i="26"/>
  <c r="G49" i="26"/>
  <c r="CY49" i="26"/>
  <c r="G35" i="26"/>
  <c r="CY35" i="26"/>
  <c r="G57" i="26"/>
  <c r="CY57" i="26"/>
  <c r="G54" i="26"/>
  <c r="CY54" i="26"/>
  <c r="G23" i="26"/>
  <c r="CY23" i="26"/>
  <c r="G55" i="26"/>
  <c r="CY55" i="26"/>
  <c r="G50" i="26"/>
  <c r="CY50" i="26"/>
  <c r="G33" i="26"/>
  <c r="CY33" i="26"/>
  <c r="G45" i="26"/>
  <c r="CY45" i="26"/>
  <c r="G22" i="26"/>
  <c r="CY22" i="26"/>
  <c r="G34" i="26"/>
  <c r="CY34" i="26"/>
  <c r="G32" i="26"/>
  <c r="CY32" i="26"/>
  <c r="G26" i="26"/>
  <c r="CY26" i="26"/>
  <c r="G47" i="26"/>
  <c r="CY47" i="26"/>
  <c r="G42" i="26"/>
  <c r="CY42" i="26"/>
  <c r="G38" i="26"/>
  <c r="CY38" i="26"/>
  <c r="G10" i="26"/>
  <c r="CY10" i="26"/>
  <c r="G28" i="26"/>
  <c r="CY28" i="26"/>
  <c r="G12" i="26"/>
  <c r="CY12" i="26"/>
  <c r="G29" i="26"/>
  <c r="CY29" i="26"/>
  <c r="G19" i="26"/>
  <c r="CY19" i="26"/>
  <c r="G25" i="26"/>
  <c r="CY25" i="26"/>
  <c r="G59" i="26"/>
  <c r="CY59" i="26"/>
  <c r="G51" i="26"/>
  <c r="CY51" i="26"/>
  <c r="G27" i="26"/>
  <c r="CY27" i="26"/>
  <c r="G11" i="26"/>
  <c r="CY11" i="26"/>
  <c r="G8" i="26"/>
  <c r="CY8" i="26"/>
  <c r="G21" i="26"/>
  <c r="CY21" i="26"/>
  <c r="G43" i="26"/>
  <c r="CY43" i="26"/>
  <c r="G30" i="26"/>
  <c r="CY30" i="26"/>
  <c r="G41" i="26"/>
  <c r="CY41" i="26"/>
  <c r="G14" i="26"/>
  <c r="CY14" i="26"/>
  <c r="G6" i="26"/>
  <c r="CY6" i="26"/>
  <c r="G56" i="26"/>
  <c r="CY56" i="26"/>
  <c r="G9" i="26"/>
  <c r="CY9" i="26"/>
  <c r="G40" i="26"/>
  <c r="CY40" i="26"/>
  <c r="F13" i="26"/>
  <c r="CX13" i="26"/>
  <c r="F35" i="26"/>
  <c r="CX35" i="26"/>
  <c r="F12" i="26"/>
  <c r="CX12" i="26"/>
  <c r="F46" i="26"/>
  <c r="CX46" i="26"/>
  <c r="F59" i="26"/>
  <c r="CX59" i="26"/>
  <c r="F34" i="26"/>
  <c r="CX34" i="26"/>
  <c r="F58" i="26"/>
  <c r="CX58" i="26"/>
  <c r="F45" i="26"/>
  <c r="CX45" i="26"/>
  <c r="AF5" i="26"/>
  <c r="BG6" i="24"/>
  <c r="BI6" i="24" l="1"/>
  <c r="BK6" i="24"/>
  <c r="C28" i="4" s="1"/>
  <c r="BH6" i="24"/>
  <c r="B28" i="4" s="1"/>
  <c r="B28" i="5" s="1"/>
  <c r="B28" i="8" s="1"/>
  <c r="B28" i="9" s="1"/>
  <c r="B28" i="10" s="1"/>
  <c r="B28" i="11" s="1"/>
  <c r="B28" i="12" s="1"/>
  <c r="B28" i="13" s="1"/>
  <c r="B28" i="14" s="1"/>
  <c r="B28" i="15" s="1"/>
  <c r="B28" i="16" s="1"/>
  <c r="B28" i="17" s="1"/>
  <c r="BM6" i="24"/>
  <c r="BL6" i="24"/>
  <c r="BJ6" i="24"/>
  <c r="BG7" i="24"/>
  <c r="AF6" i="26"/>
  <c r="BI7" i="24" l="1"/>
  <c r="BL7" i="24"/>
  <c r="BK7" i="24"/>
  <c r="C29" i="4" s="1"/>
  <c r="C29" i="5" s="1"/>
  <c r="C29" i="8" s="1"/>
  <c r="C29" i="9" s="1"/>
  <c r="C29" i="10" s="1"/>
  <c r="C29" i="11" s="1"/>
  <c r="C29" i="12" s="1"/>
  <c r="C29" i="13" s="1"/>
  <c r="C29" i="14" s="1"/>
  <c r="C29" i="15" s="1"/>
  <c r="C29" i="16" s="1"/>
  <c r="C29" i="17" s="1"/>
  <c r="BM7" i="24"/>
  <c r="BJ7" i="24"/>
  <c r="BH7" i="24"/>
  <c r="B29" i="4" s="1"/>
  <c r="B29" i="5" s="1"/>
  <c r="B29" i="8" s="1"/>
  <c r="B29" i="9" s="1"/>
  <c r="B29" i="10" s="1"/>
  <c r="B29" i="11" s="1"/>
  <c r="B29" i="12" s="1"/>
  <c r="B29" i="13" s="1"/>
  <c r="B29" i="14" s="1"/>
  <c r="B29" i="15" s="1"/>
  <c r="B29" i="16" s="1"/>
  <c r="B29" i="17" s="1"/>
  <c r="C28" i="5"/>
  <c r="AF7" i="26"/>
  <c r="BG8" i="24"/>
  <c r="BL8" i="24" l="1"/>
  <c r="BJ8" i="24"/>
  <c r="BK8" i="24"/>
  <c r="C30" i="4" s="1"/>
  <c r="BM8" i="24"/>
  <c r="BH8" i="24"/>
  <c r="B30" i="4" s="1"/>
  <c r="B30" i="5" s="1"/>
  <c r="B30" i="8" s="1"/>
  <c r="B30" i="9" s="1"/>
  <c r="B30" i="10" s="1"/>
  <c r="B30" i="11" s="1"/>
  <c r="B30" i="12" s="1"/>
  <c r="B30" i="13" s="1"/>
  <c r="B30" i="14" s="1"/>
  <c r="B30" i="15" s="1"/>
  <c r="B30" i="16" s="1"/>
  <c r="B30" i="17" s="1"/>
  <c r="BI8" i="24"/>
  <c r="C28" i="8"/>
  <c r="BG9" i="24"/>
  <c r="AF8" i="26"/>
  <c r="BL9" i="24" l="1"/>
  <c r="BM9" i="24"/>
  <c r="BI9" i="24"/>
  <c r="BJ9" i="24"/>
  <c r="BH9" i="24"/>
  <c r="B31" i="4" s="1"/>
  <c r="B31" i="5" s="1"/>
  <c r="B31" i="8" s="1"/>
  <c r="B31" i="9" s="1"/>
  <c r="B31" i="10" s="1"/>
  <c r="B31" i="11" s="1"/>
  <c r="B31" i="12" s="1"/>
  <c r="B31" i="13" s="1"/>
  <c r="B31" i="14" s="1"/>
  <c r="B31" i="15" s="1"/>
  <c r="B31" i="16" s="1"/>
  <c r="B31" i="17" s="1"/>
  <c r="BK9" i="24"/>
  <c r="C31" i="4" s="1"/>
  <c r="C31" i="5" s="1"/>
  <c r="C31" i="8" s="1"/>
  <c r="C31" i="9" s="1"/>
  <c r="C31" i="10" s="1"/>
  <c r="C31" i="11" s="1"/>
  <c r="C31" i="12" s="1"/>
  <c r="C31" i="13" s="1"/>
  <c r="C31" i="14" s="1"/>
  <c r="C31" i="15" s="1"/>
  <c r="C31" i="16" s="1"/>
  <c r="C31" i="17" s="1"/>
  <c r="C30" i="5"/>
  <c r="C28" i="9"/>
  <c r="AF9" i="26"/>
  <c r="BG10" i="24"/>
  <c r="BM10" i="24" l="1"/>
  <c r="BK10" i="24"/>
  <c r="C32" i="4" s="1"/>
  <c r="BH10" i="24"/>
  <c r="B32" i="4" s="1"/>
  <c r="B32" i="5" s="1"/>
  <c r="B32" i="8" s="1"/>
  <c r="B32" i="9" s="1"/>
  <c r="B32" i="10" s="1"/>
  <c r="B32" i="11" s="1"/>
  <c r="B32" i="12" s="1"/>
  <c r="B32" i="13" s="1"/>
  <c r="B32" i="14" s="1"/>
  <c r="B32" i="15" s="1"/>
  <c r="B32" i="16" s="1"/>
  <c r="B32" i="17" s="1"/>
  <c r="BI10" i="24"/>
  <c r="BJ10" i="24"/>
  <c r="BL10" i="24"/>
  <c r="C28" i="10"/>
  <c r="C30" i="8"/>
  <c r="AF10" i="26"/>
  <c r="BG11" i="24"/>
  <c r="BH11" i="24" l="1"/>
  <c r="B33" i="4" s="1"/>
  <c r="B33" i="5" s="1"/>
  <c r="B33" i="8" s="1"/>
  <c r="B33" i="9" s="1"/>
  <c r="B33" i="10" s="1"/>
  <c r="B33" i="11" s="1"/>
  <c r="B33" i="12" s="1"/>
  <c r="B33" i="13" s="1"/>
  <c r="B33" i="14" s="1"/>
  <c r="B33" i="15" s="1"/>
  <c r="B33" i="16" s="1"/>
  <c r="B33" i="17" s="1"/>
  <c r="BL11" i="24"/>
  <c r="BK11" i="24"/>
  <c r="C33" i="4" s="1"/>
  <c r="C33" i="5" s="1"/>
  <c r="C33" i="8" s="1"/>
  <c r="C33" i="9" s="1"/>
  <c r="C33" i="10" s="1"/>
  <c r="C33" i="11" s="1"/>
  <c r="C33" i="12" s="1"/>
  <c r="C33" i="13" s="1"/>
  <c r="C33" i="14" s="1"/>
  <c r="C33" i="15" s="1"/>
  <c r="C33" i="16" s="1"/>
  <c r="C33" i="17" s="1"/>
  <c r="BM11" i="24"/>
  <c r="BI11" i="24"/>
  <c r="BJ11" i="24"/>
  <c r="C30" i="9"/>
  <c r="C32" i="5"/>
  <c r="C28" i="11"/>
  <c r="BG12" i="24"/>
  <c r="AF11" i="26"/>
  <c r="BL12" i="24" l="1"/>
  <c r="BJ12" i="24"/>
  <c r="BK12" i="24"/>
  <c r="C34" i="4" s="1"/>
  <c r="C34" i="5" s="1"/>
  <c r="C34" i="8" s="1"/>
  <c r="C34" i="9" s="1"/>
  <c r="C34" i="10" s="1"/>
  <c r="C34" i="11" s="1"/>
  <c r="C34" i="12" s="1"/>
  <c r="C34" i="13" s="1"/>
  <c r="C34" i="14" s="1"/>
  <c r="C34" i="15" s="1"/>
  <c r="C34" i="16" s="1"/>
  <c r="C34" i="17" s="1"/>
  <c r="BH12" i="24"/>
  <c r="B34" i="4" s="1"/>
  <c r="B34" i="5" s="1"/>
  <c r="B34" i="8" s="1"/>
  <c r="B34" i="9" s="1"/>
  <c r="B34" i="10" s="1"/>
  <c r="B34" i="11" s="1"/>
  <c r="B34" i="12" s="1"/>
  <c r="B34" i="13" s="1"/>
  <c r="B34" i="14" s="1"/>
  <c r="B34" i="15" s="1"/>
  <c r="B34" i="16" s="1"/>
  <c r="B34" i="17" s="1"/>
  <c r="BI12" i="24"/>
  <c r="BM12" i="24"/>
  <c r="C32" i="8"/>
  <c r="C28" i="12"/>
  <c r="C30" i="10"/>
  <c r="BG13" i="24"/>
  <c r="AF12" i="26"/>
  <c r="BJ13" i="24" l="1"/>
  <c r="BI13" i="24"/>
  <c r="BL13" i="24"/>
  <c r="BH13" i="24"/>
  <c r="B35" i="4" s="1"/>
  <c r="B35" i="5" s="1"/>
  <c r="B35" i="8" s="1"/>
  <c r="B35" i="9" s="1"/>
  <c r="B35" i="10" s="1"/>
  <c r="B35" i="11" s="1"/>
  <c r="B35" i="12" s="1"/>
  <c r="B35" i="13" s="1"/>
  <c r="B35" i="14" s="1"/>
  <c r="B35" i="15" s="1"/>
  <c r="B35" i="16" s="1"/>
  <c r="B35" i="17" s="1"/>
  <c r="BK13" i="24"/>
  <c r="C35" i="4" s="1"/>
  <c r="BM13" i="24"/>
  <c r="C32" i="9"/>
  <c r="C28" i="13"/>
  <c r="C30" i="11"/>
  <c r="AF13" i="26"/>
  <c r="BG14" i="24"/>
  <c r="BH14" i="24" l="1"/>
  <c r="B36" i="4" s="1"/>
  <c r="B36" i="5" s="1"/>
  <c r="B36" i="8" s="1"/>
  <c r="B36" i="9" s="1"/>
  <c r="B36" i="10" s="1"/>
  <c r="B36" i="11" s="1"/>
  <c r="B36" i="12" s="1"/>
  <c r="B36" i="13" s="1"/>
  <c r="B36" i="14" s="1"/>
  <c r="B36" i="15" s="1"/>
  <c r="B36" i="16" s="1"/>
  <c r="B36" i="17" s="1"/>
  <c r="BI14" i="24"/>
  <c r="BM14" i="24"/>
  <c r="BL14" i="24"/>
  <c r="BK14" i="24"/>
  <c r="C36" i="4" s="1"/>
  <c r="C36" i="5" s="1"/>
  <c r="C36" i="8" s="1"/>
  <c r="C36" i="9" s="1"/>
  <c r="C36" i="10" s="1"/>
  <c r="C36" i="11" s="1"/>
  <c r="C36" i="12" s="1"/>
  <c r="C36" i="13" s="1"/>
  <c r="C36" i="14" s="1"/>
  <c r="C36" i="15" s="1"/>
  <c r="C36" i="16" s="1"/>
  <c r="C36" i="17" s="1"/>
  <c r="BJ14" i="24"/>
  <c r="C28" i="14"/>
  <c r="C30" i="12"/>
  <c r="C32" i="10"/>
  <c r="C35" i="5"/>
  <c r="BG15" i="24"/>
  <c r="AF14" i="26"/>
  <c r="BH15" i="24" l="1"/>
  <c r="B37" i="4" s="1"/>
  <c r="B37" i="5" s="1"/>
  <c r="B37" i="8" s="1"/>
  <c r="B37" i="9" s="1"/>
  <c r="B37" i="10" s="1"/>
  <c r="B37" i="11" s="1"/>
  <c r="B37" i="12" s="1"/>
  <c r="B37" i="13" s="1"/>
  <c r="B37" i="14" s="1"/>
  <c r="B37" i="15" s="1"/>
  <c r="B37" i="16" s="1"/>
  <c r="B37" i="17" s="1"/>
  <c r="BM15" i="24"/>
  <c r="BK15" i="24"/>
  <c r="C37" i="4" s="1"/>
  <c r="C37" i="5" s="1"/>
  <c r="C37" i="8" s="1"/>
  <c r="C37" i="9" s="1"/>
  <c r="C37" i="10" s="1"/>
  <c r="C37" i="11" s="1"/>
  <c r="C37" i="12" s="1"/>
  <c r="C37" i="13" s="1"/>
  <c r="C37" i="14" s="1"/>
  <c r="C37" i="15" s="1"/>
  <c r="C37" i="16" s="1"/>
  <c r="C37" i="17" s="1"/>
  <c r="BI15" i="24"/>
  <c r="BL15" i="24"/>
  <c r="BJ15" i="24"/>
  <c r="C32" i="11"/>
  <c r="C28" i="15"/>
  <c r="C35" i="8"/>
  <c r="C30" i="13"/>
  <c r="AF15" i="26"/>
  <c r="BG16" i="24"/>
  <c r="BL16" i="24" l="1"/>
  <c r="BJ16" i="24"/>
  <c r="BH16" i="24"/>
  <c r="B38" i="4" s="1"/>
  <c r="B38" i="5" s="1"/>
  <c r="B38" i="8" s="1"/>
  <c r="B38" i="9" s="1"/>
  <c r="B38" i="10" s="1"/>
  <c r="B38" i="11" s="1"/>
  <c r="B38" i="12" s="1"/>
  <c r="B38" i="13" s="1"/>
  <c r="B38" i="14" s="1"/>
  <c r="B38" i="15" s="1"/>
  <c r="B38" i="16" s="1"/>
  <c r="B38" i="17" s="1"/>
  <c r="BM16" i="24"/>
  <c r="BK16" i="24"/>
  <c r="C38" i="4" s="1"/>
  <c r="C38" i="5" s="1"/>
  <c r="BI16" i="24"/>
  <c r="C35" i="9"/>
  <c r="C32" i="12"/>
  <c r="C30" i="14"/>
  <c r="C28" i="16"/>
  <c r="BG17" i="24"/>
  <c r="AF16" i="26"/>
  <c r="BI17" i="24" l="1"/>
  <c r="BJ17" i="24"/>
  <c r="BM17" i="24"/>
  <c r="BL17" i="24"/>
  <c r="BK17" i="24"/>
  <c r="C39" i="4" s="1"/>
  <c r="BH17" i="24"/>
  <c r="B39" i="4" s="1"/>
  <c r="B39" i="5" s="1"/>
  <c r="B39" i="8" s="1"/>
  <c r="B39" i="9" s="1"/>
  <c r="B39" i="10" s="1"/>
  <c r="B39" i="11" s="1"/>
  <c r="B39" i="12" s="1"/>
  <c r="B39" i="13" s="1"/>
  <c r="B39" i="14" s="1"/>
  <c r="B39" i="15" s="1"/>
  <c r="B39" i="16" s="1"/>
  <c r="B39" i="17" s="1"/>
  <c r="C30" i="15"/>
  <c r="C38" i="8"/>
  <c r="C35" i="10"/>
  <c r="C28" i="17"/>
  <c r="C32" i="13"/>
  <c r="AF17" i="26"/>
  <c r="BG18" i="24"/>
  <c r="BM18" i="24" l="1"/>
  <c r="BJ18" i="24"/>
  <c r="BL18" i="24"/>
  <c r="BK18" i="24"/>
  <c r="C65" i="4" s="1"/>
  <c r="C65" i="5" s="1"/>
  <c r="C65" i="8" s="1"/>
  <c r="C65" i="9" s="1"/>
  <c r="C65" i="10" s="1"/>
  <c r="C65" i="11" s="1"/>
  <c r="C65" i="12" s="1"/>
  <c r="C65" i="13" s="1"/>
  <c r="C65" i="14" s="1"/>
  <c r="C65" i="15" s="1"/>
  <c r="C65" i="16" s="1"/>
  <c r="C65" i="17" s="1"/>
  <c r="BH18" i="24"/>
  <c r="B65" i="4" s="1"/>
  <c r="B65" i="5" s="1"/>
  <c r="B65" i="8" s="1"/>
  <c r="B65" i="9" s="1"/>
  <c r="B65" i="10" s="1"/>
  <c r="B65" i="11" s="1"/>
  <c r="B65" i="12" s="1"/>
  <c r="B65" i="13" s="1"/>
  <c r="B65" i="14" s="1"/>
  <c r="B65" i="15" s="1"/>
  <c r="B65" i="16" s="1"/>
  <c r="B65" i="17" s="1"/>
  <c r="BI18" i="24"/>
  <c r="C32" i="14"/>
  <c r="C35" i="11"/>
  <c r="C30" i="16"/>
  <c r="C38" i="9"/>
  <c r="C39" i="5"/>
  <c r="AF18" i="26"/>
  <c r="BG19" i="24"/>
  <c r="BI19" i="24" l="1"/>
  <c r="BM19" i="24"/>
  <c r="BH19" i="24"/>
  <c r="B66" i="4" s="1"/>
  <c r="B66" i="5" s="1"/>
  <c r="B66" i="8" s="1"/>
  <c r="B66" i="9" s="1"/>
  <c r="B66" i="10" s="1"/>
  <c r="B66" i="11" s="1"/>
  <c r="B66" i="12" s="1"/>
  <c r="B66" i="13" s="1"/>
  <c r="B66" i="14" s="1"/>
  <c r="B66" i="15" s="1"/>
  <c r="B66" i="16" s="1"/>
  <c r="B66" i="17" s="1"/>
  <c r="BJ19" i="24"/>
  <c r="BL19" i="24"/>
  <c r="BK19" i="24"/>
  <c r="C66" i="4" s="1"/>
  <c r="C35" i="12"/>
  <c r="C39" i="8"/>
  <c r="C38" i="10"/>
  <c r="C30" i="17"/>
  <c r="C32" i="15"/>
  <c r="AF19" i="26"/>
  <c r="BG20" i="24"/>
  <c r="BL20" i="24" l="1"/>
  <c r="BJ20" i="24"/>
  <c r="BH20" i="24"/>
  <c r="B67" i="4" s="1"/>
  <c r="B67" i="5" s="1"/>
  <c r="B67" i="8" s="1"/>
  <c r="B67" i="9" s="1"/>
  <c r="B67" i="10" s="1"/>
  <c r="B67" i="11" s="1"/>
  <c r="B67" i="12" s="1"/>
  <c r="B67" i="13" s="1"/>
  <c r="B67" i="14" s="1"/>
  <c r="B67" i="15" s="1"/>
  <c r="B67" i="16" s="1"/>
  <c r="B67" i="17" s="1"/>
  <c r="BI20" i="24"/>
  <c r="BK20" i="24"/>
  <c r="C67" i="4" s="1"/>
  <c r="C67" i="5" s="1"/>
  <c r="C67" i="8" s="1"/>
  <c r="C67" i="9" s="1"/>
  <c r="C67" i="10" s="1"/>
  <c r="C67" i="11" s="1"/>
  <c r="C67" i="12" s="1"/>
  <c r="C67" i="13" s="1"/>
  <c r="C67" i="14" s="1"/>
  <c r="C67" i="15" s="1"/>
  <c r="C67" i="16" s="1"/>
  <c r="C67" i="17" s="1"/>
  <c r="BM20" i="24"/>
  <c r="C32" i="16"/>
  <c r="C66" i="5"/>
  <c r="C38" i="11"/>
  <c r="C35" i="13"/>
  <c r="C39" i="9"/>
  <c r="BG21" i="24"/>
  <c r="AF20" i="26"/>
  <c r="BL21" i="24" l="1"/>
  <c r="BM21" i="24"/>
  <c r="BH21" i="24"/>
  <c r="B68" i="4" s="1"/>
  <c r="B68" i="5" s="1"/>
  <c r="B68" i="8" s="1"/>
  <c r="B68" i="9" s="1"/>
  <c r="B68" i="10" s="1"/>
  <c r="B68" i="11" s="1"/>
  <c r="B68" i="12" s="1"/>
  <c r="B68" i="13" s="1"/>
  <c r="B68" i="14" s="1"/>
  <c r="B68" i="15" s="1"/>
  <c r="B68" i="16" s="1"/>
  <c r="B68" i="17" s="1"/>
  <c r="BJ21" i="24"/>
  <c r="BK21" i="24"/>
  <c r="C68" i="4" s="1"/>
  <c r="C68" i="5" s="1"/>
  <c r="C68" i="8" s="1"/>
  <c r="C68" i="9" s="1"/>
  <c r="C68" i="10" s="1"/>
  <c r="C68" i="11" s="1"/>
  <c r="C68" i="12" s="1"/>
  <c r="C68" i="13" s="1"/>
  <c r="C68" i="14" s="1"/>
  <c r="C68" i="15" s="1"/>
  <c r="C68" i="16" s="1"/>
  <c r="C68" i="17" s="1"/>
  <c r="BI21" i="24"/>
  <c r="C39" i="10"/>
  <c r="C35" i="14"/>
  <c r="C66" i="8"/>
  <c r="C38" i="12"/>
  <c r="C32" i="17"/>
  <c r="BG22" i="24"/>
  <c r="AF21" i="26"/>
  <c r="BJ22" i="24" l="1"/>
  <c r="BL22" i="24"/>
  <c r="BI22" i="24"/>
  <c r="BH22" i="24"/>
  <c r="B69" i="4" s="1"/>
  <c r="B69" i="5" s="1"/>
  <c r="B69" i="8" s="1"/>
  <c r="B69" i="9" s="1"/>
  <c r="B69" i="10" s="1"/>
  <c r="B69" i="11" s="1"/>
  <c r="B69" i="12" s="1"/>
  <c r="B69" i="13" s="1"/>
  <c r="B69" i="14" s="1"/>
  <c r="B69" i="15" s="1"/>
  <c r="B69" i="16" s="1"/>
  <c r="B69" i="17" s="1"/>
  <c r="BM22" i="24"/>
  <c r="BK22" i="24"/>
  <c r="C69" i="4" s="1"/>
  <c r="C38" i="13"/>
  <c r="C35" i="15"/>
  <c r="C66" i="9"/>
  <c r="C39" i="11"/>
  <c r="AF22" i="26"/>
  <c r="BG23" i="24"/>
  <c r="BJ23" i="24" l="1"/>
  <c r="BL23" i="24"/>
  <c r="BM23" i="24"/>
  <c r="BH23" i="24"/>
  <c r="B70" i="4" s="1"/>
  <c r="B70" i="5" s="1"/>
  <c r="B70" i="8" s="1"/>
  <c r="B70" i="9" s="1"/>
  <c r="B70" i="10" s="1"/>
  <c r="B70" i="11" s="1"/>
  <c r="B70" i="12" s="1"/>
  <c r="B70" i="13" s="1"/>
  <c r="B70" i="14" s="1"/>
  <c r="B70" i="15" s="1"/>
  <c r="B70" i="16" s="1"/>
  <c r="B70" i="17" s="1"/>
  <c r="BK23" i="24"/>
  <c r="C70" i="4" s="1"/>
  <c r="C70" i="5" s="1"/>
  <c r="C70" i="8" s="1"/>
  <c r="C70" i="9" s="1"/>
  <c r="C70" i="10" s="1"/>
  <c r="C70" i="11" s="1"/>
  <c r="C70" i="12" s="1"/>
  <c r="C70" i="13" s="1"/>
  <c r="C70" i="14" s="1"/>
  <c r="C70" i="15" s="1"/>
  <c r="C70" i="16" s="1"/>
  <c r="C70" i="17" s="1"/>
  <c r="BI23" i="24"/>
  <c r="C66" i="10"/>
  <c r="C69" i="5"/>
  <c r="C38" i="14"/>
  <c r="C39" i="12"/>
  <c r="C35" i="16"/>
  <c r="BG24" i="24"/>
  <c r="AF23" i="26"/>
  <c r="BM24" i="24" l="1"/>
  <c r="BI24" i="24"/>
  <c r="BH24" i="24"/>
  <c r="B71" i="4" s="1"/>
  <c r="B71" i="5" s="1"/>
  <c r="B71" i="8" s="1"/>
  <c r="B71" i="9" s="1"/>
  <c r="B71" i="10" s="1"/>
  <c r="B71" i="11" s="1"/>
  <c r="B71" i="12" s="1"/>
  <c r="B71" i="13" s="1"/>
  <c r="B71" i="14" s="1"/>
  <c r="B71" i="15" s="1"/>
  <c r="B71" i="16" s="1"/>
  <c r="B71" i="17" s="1"/>
  <c r="BL24" i="24"/>
  <c r="BK24" i="24"/>
  <c r="C71" i="4" s="1"/>
  <c r="C71" i="5" s="1"/>
  <c r="C71" i="8" s="1"/>
  <c r="C71" i="9" s="1"/>
  <c r="C71" i="10" s="1"/>
  <c r="C71" i="11" s="1"/>
  <c r="C71" i="12" s="1"/>
  <c r="C71" i="13" s="1"/>
  <c r="C71" i="14" s="1"/>
  <c r="C71" i="15" s="1"/>
  <c r="C71" i="16" s="1"/>
  <c r="C71" i="17" s="1"/>
  <c r="BJ24" i="24"/>
  <c r="C66" i="11"/>
  <c r="C35" i="17"/>
  <c r="C38" i="15"/>
  <c r="C39" i="13"/>
  <c r="C69" i="8"/>
  <c r="BG25" i="24"/>
  <c r="AF24" i="26"/>
  <c r="BM25" i="24" l="1"/>
  <c r="BH25" i="24"/>
  <c r="B72" i="4" s="1"/>
  <c r="B72" i="5" s="1"/>
  <c r="B72" i="8" s="1"/>
  <c r="B72" i="9" s="1"/>
  <c r="B72" i="10" s="1"/>
  <c r="B72" i="11" s="1"/>
  <c r="B72" i="12" s="1"/>
  <c r="B72" i="13" s="1"/>
  <c r="B72" i="14" s="1"/>
  <c r="B72" i="15" s="1"/>
  <c r="B72" i="16" s="1"/>
  <c r="B72" i="17" s="1"/>
  <c r="BJ25" i="24"/>
  <c r="BL25" i="24"/>
  <c r="BI25" i="24"/>
  <c r="BK25" i="24"/>
  <c r="C72" i="4" s="1"/>
  <c r="C72" i="5" s="1"/>
  <c r="C69" i="9"/>
  <c r="C39" i="14"/>
  <c r="C38" i="16"/>
  <c r="C66" i="12"/>
  <c r="BG26" i="24"/>
  <c r="AF25" i="26"/>
  <c r="BJ26" i="24" l="1"/>
  <c r="BL26" i="24"/>
  <c r="BM26" i="24"/>
  <c r="BI26" i="24"/>
  <c r="BK26" i="24"/>
  <c r="C73" i="4" s="1"/>
  <c r="C73" i="5" s="1"/>
  <c r="C73" i="8" s="1"/>
  <c r="C73" i="9" s="1"/>
  <c r="C73" i="10" s="1"/>
  <c r="C73" i="11" s="1"/>
  <c r="C73" i="12" s="1"/>
  <c r="C73" i="13" s="1"/>
  <c r="C73" i="14" s="1"/>
  <c r="C73" i="15" s="1"/>
  <c r="C73" i="16" s="1"/>
  <c r="C73" i="17" s="1"/>
  <c r="BH26" i="24"/>
  <c r="B73" i="4" s="1"/>
  <c r="B73" i="5" s="1"/>
  <c r="B73" i="8" s="1"/>
  <c r="B73" i="9" s="1"/>
  <c r="B73" i="10" s="1"/>
  <c r="B73" i="11" s="1"/>
  <c r="B73" i="12" s="1"/>
  <c r="B73" i="13" s="1"/>
  <c r="B73" i="14" s="1"/>
  <c r="B73" i="15" s="1"/>
  <c r="B73" i="16" s="1"/>
  <c r="B73" i="17" s="1"/>
  <c r="C38" i="17"/>
  <c r="C66" i="13"/>
  <c r="C39" i="15"/>
  <c r="C72" i="8"/>
  <c r="C69" i="10"/>
  <c r="BG27" i="24"/>
  <c r="AF26" i="26"/>
  <c r="BK27" i="24" l="1"/>
  <c r="C74" i="4" s="1"/>
  <c r="C74" i="5" s="1"/>
  <c r="C74" i="8" s="1"/>
  <c r="C74" i="9" s="1"/>
  <c r="C74" i="10" s="1"/>
  <c r="C74" i="11" s="1"/>
  <c r="C74" i="12" s="1"/>
  <c r="C74" i="13" s="1"/>
  <c r="C74" i="14" s="1"/>
  <c r="C74" i="15" s="1"/>
  <c r="C74" i="16" s="1"/>
  <c r="C74" i="17" s="1"/>
  <c r="BM27" i="24"/>
  <c r="BI27" i="24"/>
  <c r="BL27" i="24"/>
  <c r="BH27" i="24"/>
  <c r="B74" i="4" s="1"/>
  <c r="B74" i="5" s="1"/>
  <c r="B74" i="8" s="1"/>
  <c r="B74" i="9" s="1"/>
  <c r="B74" i="10" s="1"/>
  <c r="B74" i="11" s="1"/>
  <c r="B74" i="12" s="1"/>
  <c r="B74" i="13" s="1"/>
  <c r="B74" i="14" s="1"/>
  <c r="B74" i="15" s="1"/>
  <c r="B74" i="16" s="1"/>
  <c r="B74" i="17" s="1"/>
  <c r="BJ27" i="24"/>
  <c r="C72" i="9"/>
  <c r="C66" i="14"/>
  <c r="C69" i="11"/>
  <c r="C39" i="16"/>
  <c r="BG28" i="24"/>
  <c r="AF27" i="26"/>
  <c r="BM28" i="24" l="1"/>
  <c r="BI28" i="24"/>
  <c r="BJ28" i="24"/>
  <c r="BH28" i="24"/>
  <c r="B75" i="4" s="1"/>
  <c r="B75" i="5" s="1"/>
  <c r="B75" i="8" s="1"/>
  <c r="B75" i="9" s="1"/>
  <c r="B75" i="10" s="1"/>
  <c r="B75" i="11" s="1"/>
  <c r="B75" i="12" s="1"/>
  <c r="B75" i="13" s="1"/>
  <c r="B75" i="14" s="1"/>
  <c r="B75" i="15" s="1"/>
  <c r="B75" i="16" s="1"/>
  <c r="B75" i="17" s="1"/>
  <c r="BK28" i="24"/>
  <c r="C75" i="4" s="1"/>
  <c r="C75" i="5" s="1"/>
  <c r="C75" i="8" s="1"/>
  <c r="C75" i="9" s="1"/>
  <c r="C75" i="10" s="1"/>
  <c r="C75" i="11" s="1"/>
  <c r="C75" i="12" s="1"/>
  <c r="C75" i="13" s="1"/>
  <c r="C75" i="14" s="1"/>
  <c r="C75" i="15" s="1"/>
  <c r="C75" i="16" s="1"/>
  <c r="C75" i="17" s="1"/>
  <c r="BL28" i="24"/>
  <c r="C39" i="17"/>
  <c r="C66" i="15"/>
  <c r="C69" i="12"/>
  <c r="C72" i="10"/>
  <c r="AF28" i="26"/>
  <c r="BG29" i="24"/>
  <c r="BM29" i="24" l="1"/>
  <c r="BI29" i="24"/>
  <c r="BL29" i="24"/>
  <c r="BJ29" i="24"/>
  <c r="BK29" i="24"/>
  <c r="C76" i="4" s="1"/>
  <c r="C76" i="5" s="1"/>
  <c r="C76" i="8" s="1"/>
  <c r="C76" i="9" s="1"/>
  <c r="C76" i="10" s="1"/>
  <c r="C76" i="11" s="1"/>
  <c r="C76" i="12" s="1"/>
  <c r="C76" i="13" s="1"/>
  <c r="C76" i="14" s="1"/>
  <c r="C76" i="15" s="1"/>
  <c r="C76" i="16" s="1"/>
  <c r="C76" i="17" s="1"/>
  <c r="BH29" i="24"/>
  <c r="B76" i="4" s="1"/>
  <c r="B76" i="5" s="1"/>
  <c r="B76" i="8" s="1"/>
  <c r="B76" i="9" s="1"/>
  <c r="B76" i="10" s="1"/>
  <c r="B76" i="11" s="1"/>
  <c r="B76" i="12" s="1"/>
  <c r="B76" i="13" s="1"/>
  <c r="B76" i="14" s="1"/>
  <c r="B76" i="15" s="1"/>
  <c r="B76" i="16" s="1"/>
  <c r="B76" i="17" s="1"/>
  <c r="C72" i="11"/>
  <c r="C66" i="16"/>
  <c r="C69" i="13"/>
  <c r="AF29" i="26"/>
  <c r="BG30" i="24"/>
  <c r="BM30" i="24" l="1"/>
  <c r="BI30" i="24"/>
  <c r="BL30" i="24"/>
  <c r="BH30" i="24"/>
  <c r="B77" i="4" s="1"/>
  <c r="B77" i="5" s="1"/>
  <c r="B77" i="8" s="1"/>
  <c r="B77" i="9" s="1"/>
  <c r="B77" i="10" s="1"/>
  <c r="B77" i="11" s="1"/>
  <c r="B77" i="12" s="1"/>
  <c r="B77" i="13" s="1"/>
  <c r="B77" i="14" s="1"/>
  <c r="B77" i="15" s="1"/>
  <c r="B77" i="16" s="1"/>
  <c r="B77" i="17" s="1"/>
  <c r="BJ30" i="24"/>
  <c r="BK30" i="24"/>
  <c r="C77" i="4" s="1"/>
  <c r="C77" i="5" s="1"/>
  <c r="C77" i="8" s="1"/>
  <c r="C77" i="9" s="1"/>
  <c r="C77" i="10" s="1"/>
  <c r="C69" i="14"/>
  <c r="C72" i="12"/>
  <c r="C66" i="17"/>
  <c r="AF30" i="26"/>
  <c r="BG31" i="24"/>
  <c r="BM31" i="24" l="1"/>
  <c r="BH31" i="24"/>
  <c r="B78" i="4" s="1"/>
  <c r="B78" i="5" s="1"/>
  <c r="B78" i="8" s="1"/>
  <c r="B78" i="9" s="1"/>
  <c r="B78" i="10" s="1"/>
  <c r="B78" i="11" s="1"/>
  <c r="B78" i="12" s="1"/>
  <c r="B78" i="13" s="1"/>
  <c r="B78" i="14" s="1"/>
  <c r="B78" i="15" s="1"/>
  <c r="B78" i="16" s="1"/>
  <c r="B78" i="17" s="1"/>
  <c r="BK31" i="24"/>
  <c r="C78" i="4" s="1"/>
  <c r="C78" i="5" s="1"/>
  <c r="C78" i="8" s="1"/>
  <c r="C78" i="9" s="1"/>
  <c r="C78" i="10" s="1"/>
  <c r="C78" i="11" s="1"/>
  <c r="C78" i="12" s="1"/>
  <c r="C78" i="13" s="1"/>
  <c r="C78" i="14" s="1"/>
  <c r="C78" i="15" s="1"/>
  <c r="C78" i="16" s="1"/>
  <c r="C78" i="17" s="1"/>
  <c r="BI31" i="24"/>
  <c r="BL31" i="24"/>
  <c r="BJ31" i="24"/>
  <c r="C69" i="15"/>
  <c r="C77" i="11"/>
  <c r="C72" i="13"/>
  <c r="BG32" i="24"/>
  <c r="AF31" i="26"/>
  <c r="BJ32" i="24" l="1"/>
  <c r="BK32" i="24"/>
  <c r="C79" i="4" s="1"/>
  <c r="C79" i="5" s="1"/>
  <c r="C79" i="8" s="1"/>
  <c r="C79" i="9" s="1"/>
  <c r="C79" i="10" s="1"/>
  <c r="C79" i="11" s="1"/>
  <c r="C79" i="12" s="1"/>
  <c r="C79" i="13" s="1"/>
  <c r="C79" i="14" s="1"/>
  <c r="C79" i="15" s="1"/>
  <c r="C79" i="16" s="1"/>
  <c r="C79" i="17" s="1"/>
  <c r="BH32" i="24"/>
  <c r="B79" i="4" s="1"/>
  <c r="B79" i="5" s="1"/>
  <c r="B79" i="8" s="1"/>
  <c r="B79" i="9" s="1"/>
  <c r="B79" i="10" s="1"/>
  <c r="B79" i="11" s="1"/>
  <c r="B79" i="12" s="1"/>
  <c r="B79" i="13" s="1"/>
  <c r="B79" i="14" s="1"/>
  <c r="B79" i="15" s="1"/>
  <c r="B79" i="16" s="1"/>
  <c r="B79" i="17" s="1"/>
  <c r="BM32" i="24"/>
  <c r="BI32" i="24"/>
  <c r="BL32" i="24"/>
  <c r="C77" i="12"/>
  <c r="C72" i="14"/>
  <c r="C69" i="16"/>
  <c r="BG33" i="24"/>
  <c r="AF32" i="26"/>
  <c r="BK33" i="24" l="1"/>
  <c r="C80" i="4" s="1"/>
  <c r="C80" i="5" s="1"/>
  <c r="C80" i="8" s="1"/>
  <c r="C80" i="9" s="1"/>
  <c r="C80" i="10" s="1"/>
  <c r="C80" i="11" s="1"/>
  <c r="C80" i="12" s="1"/>
  <c r="C80" i="13" s="1"/>
  <c r="C80" i="14" s="1"/>
  <c r="C80" i="15" s="1"/>
  <c r="C80" i="16" s="1"/>
  <c r="C80" i="17" s="1"/>
  <c r="BL33" i="24"/>
  <c r="BH33" i="24"/>
  <c r="B80" i="4" s="1"/>
  <c r="B80" i="5" s="1"/>
  <c r="B80" i="8" s="1"/>
  <c r="B80" i="9" s="1"/>
  <c r="B80" i="10" s="1"/>
  <c r="B80" i="11" s="1"/>
  <c r="B80" i="12" s="1"/>
  <c r="B80" i="13" s="1"/>
  <c r="B80" i="14" s="1"/>
  <c r="B80" i="15" s="1"/>
  <c r="B80" i="16" s="1"/>
  <c r="B80" i="17" s="1"/>
  <c r="BI33" i="24"/>
  <c r="BJ33" i="24"/>
  <c r="BM33" i="24"/>
  <c r="C72" i="15"/>
  <c r="C69" i="17"/>
  <c r="C77" i="13"/>
  <c r="AF33" i="26"/>
  <c r="BG34" i="24"/>
  <c r="BH34" i="24" l="1"/>
  <c r="B81" i="4" s="1"/>
  <c r="B81" i="5" s="1"/>
  <c r="B81" i="8" s="1"/>
  <c r="B81" i="9" s="1"/>
  <c r="B81" i="10" s="1"/>
  <c r="B81" i="11" s="1"/>
  <c r="B81" i="12" s="1"/>
  <c r="B81" i="13" s="1"/>
  <c r="B81" i="14" s="1"/>
  <c r="B81" i="15" s="1"/>
  <c r="B81" i="16" s="1"/>
  <c r="B81" i="17" s="1"/>
  <c r="BI34" i="24"/>
  <c r="BJ34" i="24"/>
  <c r="BM34" i="24"/>
  <c r="BL34" i="24"/>
  <c r="BK34" i="24"/>
  <c r="C81" i="4" s="1"/>
  <c r="C81" i="5" s="1"/>
  <c r="C81" i="8" s="1"/>
  <c r="C81" i="9" s="1"/>
  <c r="C81" i="10" s="1"/>
  <c r="C81" i="11" s="1"/>
  <c r="C81" i="12" s="1"/>
  <c r="C81" i="13" s="1"/>
  <c r="C81" i="14" s="1"/>
  <c r="C81" i="15" s="1"/>
  <c r="C81" i="16" s="1"/>
  <c r="C81" i="17" s="1"/>
  <c r="C77" i="14"/>
  <c r="C72" i="16"/>
  <c r="AF34" i="26"/>
  <c r="BG35" i="24"/>
  <c r="BM35" i="24" l="1"/>
  <c r="BK35" i="24"/>
  <c r="C82" i="4" s="1"/>
  <c r="C82" i="5" s="1"/>
  <c r="C82" i="8" s="1"/>
  <c r="C82" i="9" s="1"/>
  <c r="C82" i="10" s="1"/>
  <c r="C82" i="11" s="1"/>
  <c r="C82" i="12" s="1"/>
  <c r="C82" i="13" s="1"/>
  <c r="C82" i="14" s="1"/>
  <c r="C82" i="15" s="1"/>
  <c r="C82" i="16" s="1"/>
  <c r="C82" i="17" s="1"/>
  <c r="BI35" i="24"/>
  <c r="BL35" i="24"/>
  <c r="BJ35" i="24"/>
  <c r="BH35" i="24"/>
  <c r="B82" i="4" s="1"/>
  <c r="B82" i="5" s="1"/>
  <c r="B82" i="8" s="1"/>
  <c r="B82" i="9" s="1"/>
  <c r="B82" i="10" s="1"/>
  <c r="B82" i="11" s="1"/>
  <c r="B82" i="12" s="1"/>
  <c r="B82" i="13" s="1"/>
  <c r="B82" i="14" s="1"/>
  <c r="B82" i="15" s="1"/>
  <c r="B82" i="16" s="1"/>
  <c r="B82" i="17" s="1"/>
  <c r="C72" i="17"/>
  <c r="C77" i="15"/>
  <c r="BG36" i="24"/>
  <c r="AF35" i="26"/>
  <c r="BM36" i="24" l="1"/>
  <c r="BH36" i="24"/>
  <c r="B83" i="4" s="1"/>
  <c r="B83" i="5" s="1"/>
  <c r="B83" i="8" s="1"/>
  <c r="B83" i="9" s="1"/>
  <c r="B83" i="10" s="1"/>
  <c r="B83" i="11" s="1"/>
  <c r="B83" i="12" s="1"/>
  <c r="B83" i="13" s="1"/>
  <c r="B83" i="14" s="1"/>
  <c r="B83" i="15" s="1"/>
  <c r="B83" i="16" s="1"/>
  <c r="B83" i="17" s="1"/>
  <c r="BI36" i="24"/>
  <c r="BK36" i="24"/>
  <c r="C83" i="4" s="1"/>
  <c r="C83" i="5" s="1"/>
  <c r="C83" i="8" s="1"/>
  <c r="C83" i="9" s="1"/>
  <c r="C83" i="10" s="1"/>
  <c r="C83" i="11" s="1"/>
  <c r="C83" i="12" s="1"/>
  <c r="C83" i="13" s="1"/>
  <c r="C83" i="14" s="1"/>
  <c r="C83" i="15" s="1"/>
  <c r="C83" i="16" s="1"/>
  <c r="C83" i="17" s="1"/>
  <c r="BJ36" i="24"/>
  <c r="BL36" i="24"/>
  <c r="C77" i="16"/>
  <c r="AF36" i="26"/>
  <c r="BG37" i="24"/>
  <c r="BH37" i="24" l="1"/>
  <c r="B84" i="4" s="1"/>
  <c r="B84" i="5" s="1"/>
  <c r="B84" i="8" s="1"/>
  <c r="B84" i="9" s="1"/>
  <c r="B84" i="10" s="1"/>
  <c r="B84" i="11" s="1"/>
  <c r="B84" i="12" s="1"/>
  <c r="B84" i="13" s="1"/>
  <c r="B84" i="14" s="1"/>
  <c r="B84" i="15" s="1"/>
  <c r="B84" i="16" s="1"/>
  <c r="B84" i="17" s="1"/>
  <c r="BL37" i="24"/>
  <c r="BM37" i="24"/>
  <c r="BI37" i="24"/>
  <c r="BK37" i="24"/>
  <c r="C84" i="4" s="1"/>
  <c r="C84" i="5" s="1"/>
  <c r="C84" i="8" s="1"/>
  <c r="C84" i="9" s="1"/>
  <c r="C84" i="10" s="1"/>
  <c r="C84" i="11" s="1"/>
  <c r="C84" i="12" s="1"/>
  <c r="C84" i="13" s="1"/>
  <c r="C84" i="14" s="1"/>
  <c r="C84" i="15" s="1"/>
  <c r="C84" i="16" s="1"/>
  <c r="C84" i="17" s="1"/>
  <c r="BJ37" i="24"/>
  <c r="C77" i="17"/>
  <c r="BG38" i="24"/>
  <c r="AF37" i="26"/>
  <c r="BM38" i="24" l="1"/>
  <c r="BK38" i="24"/>
  <c r="C85" i="4" s="1"/>
  <c r="C85" i="5" s="1"/>
  <c r="C85" i="8" s="1"/>
  <c r="C85" i="9" s="1"/>
  <c r="C85" i="10" s="1"/>
  <c r="C85" i="11" s="1"/>
  <c r="C85" i="12" s="1"/>
  <c r="C85" i="13" s="1"/>
  <c r="C85" i="14" s="1"/>
  <c r="C85" i="15" s="1"/>
  <c r="C85" i="16" s="1"/>
  <c r="C85" i="17" s="1"/>
  <c r="BI38" i="24"/>
  <c r="BH38" i="24"/>
  <c r="B85" i="4" s="1"/>
  <c r="B85" i="5" s="1"/>
  <c r="B85" i="8" s="1"/>
  <c r="B85" i="9" s="1"/>
  <c r="B85" i="10" s="1"/>
  <c r="B85" i="11" s="1"/>
  <c r="B85" i="12" s="1"/>
  <c r="B85" i="13" s="1"/>
  <c r="B85" i="14" s="1"/>
  <c r="B85" i="15" s="1"/>
  <c r="B85" i="16" s="1"/>
  <c r="B85" i="17" s="1"/>
  <c r="BJ38" i="24"/>
  <c r="BL38" i="24"/>
  <c r="BG39" i="24"/>
  <c r="AF38" i="26"/>
  <c r="BJ39" i="24" l="1"/>
  <c r="BL39" i="24"/>
  <c r="BI39" i="24"/>
  <c r="BK39" i="24"/>
  <c r="C86" i="4" s="1"/>
  <c r="BM39" i="24"/>
  <c r="BH39" i="24"/>
  <c r="B86" i="4" s="1"/>
  <c r="B86" i="5" s="1"/>
  <c r="B86" i="8" s="1"/>
  <c r="B86" i="9" s="1"/>
  <c r="B86" i="10" s="1"/>
  <c r="B86" i="11" s="1"/>
  <c r="B86" i="12" s="1"/>
  <c r="B86" i="13" s="1"/>
  <c r="B86" i="14" s="1"/>
  <c r="B86" i="15" s="1"/>
  <c r="B86" i="16" s="1"/>
  <c r="B86" i="17" s="1"/>
  <c r="BG40" i="24"/>
  <c r="AF39" i="26"/>
  <c r="BM40" i="24" l="1"/>
  <c r="BH40" i="24"/>
  <c r="BK40" i="24"/>
  <c r="BI40" i="24"/>
  <c r="BJ40" i="24"/>
  <c r="BL40" i="24"/>
  <c r="C86" i="5"/>
  <c r="C40" i="4"/>
  <c r="AF40" i="26"/>
  <c r="C41" i="4" l="1"/>
  <c r="C23" i="4"/>
  <c r="Q55" i="4"/>
  <c r="BR61" i="26"/>
  <c r="C86" i="8"/>
  <c r="C40" i="5"/>
  <c r="AF41" i="26"/>
  <c r="C41" i="5" l="1"/>
  <c r="Q55" i="5"/>
  <c r="BS61" i="26"/>
  <c r="C23" i="5"/>
  <c r="S55" i="4"/>
  <c r="S56" i="4" s="1"/>
  <c r="C64" i="22"/>
  <c r="C65" i="22" s="1"/>
  <c r="Q56" i="4"/>
  <c r="C86" i="9"/>
  <c r="C40" i="8"/>
  <c r="B42" i="4"/>
  <c r="N53" i="4"/>
  <c r="M56" i="4"/>
  <c r="M58" i="4" s="1"/>
  <c r="M5" i="5" s="1"/>
  <c r="M54" i="5" s="1"/>
  <c r="N56" i="4"/>
  <c r="AF42" i="26"/>
  <c r="C86" i="10" l="1"/>
  <c r="C40" i="9"/>
  <c r="Q56" i="5"/>
  <c r="P64" i="22"/>
  <c r="P67" i="22" s="1"/>
  <c r="S55" i="5"/>
  <c r="S56" i="5" s="1"/>
  <c r="C23" i="8"/>
  <c r="C41" i="8"/>
  <c r="Q55" i="8"/>
  <c r="BT61" i="26"/>
  <c r="B42" i="5"/>
  <c r="N53" i="5"/>
  <c r="N56" i="5"/>
  <c r="M56" i="5"/>
  <c r="M58" i="5" s="1"/>
  <c r="M5" i="8" s="1"/>
  <c r="M54" i="8" s="1"/>
  <c r="AF43" i="26"/>
  <c r="Q64" i="22" l="1"/>
  <c r="Q67" i="22" s="1"/>
  <c r="S55" i="8"/>
  <c r="S56" i="8" s="1"/>
  <c r="Q56" i="8"/>
  <c r="BU61" i="26"/>
  <c r="C41" i="9"/>
  <c r="C23" i="9"/>
  <c r="Q55" i="9"/>
  <c r="C86" i="11"/>
  <c r="C40" i="10"/>
  <c r="D64" i="22"/>
  <c r="D41" i="22"/>
  <c r="D6" i="22"/>
  <c r="D28" i="22"/>
  <c r="D54" i="22"/>
  <c r="D45" i="22"/>
  <c r="D31" i="22"/>
  <c r="D29" i="22"/>
  <c r="D36" i="22"/>
  <c r="D47" i="22"/>
  <c r="D21" i="22"/>
  <c r="D30" i="22"/>
  <c r="D52" i="22"/>
  <c r="D17" i="22"/>
  <c r="D25" i="22"/>
  <c r="D43" i="22"/>
  <c r="D8" i="22"/>
  <c r="D9" i="22"/>
  <c r="D32" i="22"/>
  <c r="D15" i="22"/>
  <c r="D19" i="22"/>
  <c r="D50" i="22"/>
  <c r="D4" i="22"/>
  <c r="D60" i="22"/>
  <c r="D33" i="22"/>
  <c r="D59" i="22"/>
  <c r="D26" i="22"/>
  <c r="D23" i="22"/>
  <c r="D40" i="22"/>
  <c r="D13" i="22"/>
  <c r="D5" i="22"/>
  <c r="D44" i="22"/>
  <c r="D57" i="22"/>
  <c r="D11" i="22"/>
  <c r="D7" i="22"/>
  <c r="D35" i="22"/>
  <c r="D18" i="22"/>
  <c r="D16" i="22"/>
  <c r="D27" i="22"/>
  <c r="D53" i="22"/>
  <c r="D55" i="22"/>
  <c r="D10" i="22"/>
  <c r="D22" i="22"/>
  <c r="D37" i="22"/>
  <c r="D38" i="22"/>
  <c r="D56" i="22"/>
  <c r="D20" i="22"/>
  <c r="D42" i="22"/>
  <c r="D46" i="22"/>
  <c r="D39" i="22"/>
  <c r="D34" i="22"/>
  <c r="D14" i="22"/>
  <c r="D58" i="22"/>
  <c r="D51" i="22"/>
  <c r="D3" i="22"/>
  <c r="D12" i="22"/>
  <c r="D24" i="22"/>
  <c r="M56" i="8"/>
  <c r="M58" i="8" s="1"/>
  <c r="M5" i="9" s="1"/>
  <c r="M54" i="9" s="1"/>
  <c r="N53" i="8"/>
  <c r="B42" i="8"/>
  <c r="N56" i="8"/>
  <c r="AF44" i="26"/>
  <c r="D61" i="22" l="1"/>
  <c r="Q55" i="10"/>
  <c r="C23" i="10"/>
  <c r="C41" i="10"/>
  <c r="BV61" i="26"/>
  <c r="E13" i="22"/>
  <c r="E47" i="22"/>
  <c r="E56" i="22"/>
  <c r="E14" i="22"/>
  <c r="E19" i="22"/>
  <c r="E43" i="22"/>
  <c r="E38" i="22"/>
  <c r="E51" i="22"/>
  <c r="E27" i="22"/>
  <c r="E45" i="22"/>
  <c r="E23" i="22"/>
  <c r="E17" i="22"/>
  <c r="E15" i="22"/>
  <c r="E50" i="22"/>
  <c r="E28" i="22"/>
  <c r="E57" i="22"/>
  <c r="E18" i="22"/>
  <c r="E22" i="22"/>
  <c r="E16" i="22"/>
  <c r="E21" i="22"/>
  <c r="E44" i="22"/>
  <c r="E59" i="22"/>
  <c r="E33" i="22"/>
  <c r="E30" i="22"/>
  <c r="E6" i="22"/>
  <c r="E29" i="22"/>
  <c r="E4" i="22"/>
  <c r="E24" i="22"/>
  <c r="E3" i="22"/>
  <c r="E11" i="22"/>
  <c r="E12" i="22"/>
  <c r="E40" i="22"/>
  <c r="E5" i="22"/>
  <c r="E20" i="22"/>
  <c r="E32" i="22"/>
  <c r="E52" i="22"/>
  <c r="E64" i="22"/>
  <c r="E25" i="22"/>
  <c r="E54" i="22"/>
  <c r="E37" i="22"/>
  <c r="E10" i="22"/>
  <c r="E60" i="22"/>
  <c r="E7" i="22"/>
  <c r="E53" i="22"/>
  <c r="E8" i="22"/>
  <c r="E35" i="22"/>
  <c r="E34" i="22"/>
  <c r="E36" i="22"/>
  <c r="E9" i="22"/>
  <c r="E55" i="22"/>
  <c r="E46" i="22"/>
  <c r="E39" i="22"/>
  <c r="E58" i="22"/>
  <c r="E31" i="22"/>
  <c r="E41" i="22"/>
  <c r="E26" i="22"/>
  <c r="E42" i="22"/>
  <c r="N56" i="9"/>
  <c r="N53" i="9"/>
  <c r="B42" i="9"/>
  <c r="M56" i="9"/>
  <c r="M58" i="9" s="1"/>
  <c r="M5" i="10" s="1"/>
  <c r="M54" i="10" s="1"/>
  <c r="D48" i="22"/>
  <c r="C86" i="12"/>
  <c r="C40" i="11"/>
  <c r="S55" i="9"/>
  <c r="S56" i="9" s="1"/>
  <c r="R64" i="22"/>
  <c r="R67" i="22" s="1"/>
  <c r="Q56" i="9"/>
  <c r="AF45" i="26"/>
  <c r="E61" i="22" l="1"/>
  <c r="E48" i="22"/>
  <c r="S55" i="10"/>
  <c r="S56" i="10" s="1"/>
  <c r="Q56" i="10"/>
  <c r="S64" i="22"/>
  <c r="S67" i="22" s="1"/>
  <c r="BW61" i="26"/>
  <c r="Q55" i="11"/>
  <c r="C23" i="11"/>
  <c r="C41" i="11"/>
  <c r="D63" i="22"/>
  <c r="D65" i="22" s="1"/>
  <c r="F53" i="22"/>
  <c r="F23" i="22"/>
  <c r="F4" i="22"/>
  <c r="F31" i="22"/>
  <c r="F22" i="22"/>
  <c r="F38" i="22"/>
  <c r="F51" i="22"/>
  <c r="F39" i="22"/>
  <c r="F15" i="22"/>
  <c r="F54" i="22"/>
  <c r="F13" i="22"/>
  <c r="F55" i="22"/>
  <c r="F10" i="22"/>
  <c r="F42" i="22"/>
  <c r="F12" i="22"/>
  <c r="F36" i="22"/>
  <c r="F27" i="22"/>
  <c r="F64" i="22"/>
  <c r="F46" i="22"/>
  <c r="F56" i="22"/>
  <c r="F17" i="22"/>
  <c r="F58" i="22"/>
  <c r="F34" i="22"/>
  <c r="F60" i="22"/>
  <c r="F6" i="22"/>
  <c r="F30" i="22"/>
  <c r="F32" i="22"/>
  <c r="F19" i="22"/>
  <c r="F9" i="22"/>
  <c r="F14" i="22"/>
  <c r="F21" i="22"/>
  <c r="F40" i="22"/>
  <c r="F7" i="22"/>
  <c r="F43" i="22"/>
  <c r="F18" i="22"/>
  <c r="F35" i="22"/>
  <c r="F24" i="22"/>
  <c r="F44" i="22"/>
  <c r="F25" i="22"/>
  <c r="F52" i="22"/>
  <c r="F5" i="22"/>
  <c r="F8" i="22"/>
  <c r="F37" i="22"/>
  <c r="F33" i="22"/>
  <c r="F29" i="22"/>
  <c r="F26" i="22"/>
  <c r="F16" i="22"/>
  <c r="F11" i="22"/>
  <c r="F41" i="22"/>
  <c r="F57" i="22"/>
  <c r="F47" i="22"/>
  <c r="F20" i="22"/>
  <c r="F50" i="22"/>
  <c r="F45" i="22"/>
  <c r="F59" i="22"/>
  <c r="F3" i="22"/>
  <c r="F28" i="22"/>
  <c r="C86" i="13"/>
  <c r="C40" i="12"/>
  <c r="M56" i="10"/>
  <c r="M58" i="10" s="1"/>
  <c r="M5" i="11" s="1"/>
  <c r="M54" i="11" s="1"/>
  <c r="N56" i="10"/>
  <c r="B42" i="10"/>
  <c r="N53" i="10"/>
  <c r="AF46" i="26"/>
  <c r="E63" i="22" l="1"/>
  <c r="E65" i="22" s="1"/>
  <c r="F61" i="22"/>
  <c r="F48" i="22"/>
  <c r="G53" i="22"/>
  <c r="G32" i="22"/>
  <c r="G59" i="22"/>
  <c r="G60" i="22"/>
  <c r="G7" i="22"/>
  <c r="G56" i="22"/>
  <c r="G41" i="22"/>
  <c r="G9" i="22"/>
  <c r="G30" i="22"/>
  <c r="G13" i="22"/>
  <c r="G5" i="22"/>
  <c r="G22" i="22"/>
  <c r="G35" i="22"/>
  <c r="G52" i="22"/>
  <c r="G12" i="22"/>
  <c r="G21" i="22"/>
  <c r="G31" i="22"/>
  <c r="G36" i="22"/>
  <c r="G44" i="22"/>
  <c r="G26" i="22"/>
  <c r="G50" i="22"/>
  <c r="G46" i="22"/>
  <c r="G11" i="22"/>
  <c r="G24" i="22"/>
  <c r="G43" i="22"/>
  <c r="G10" i="22"/>
  <c r="G64" i="22"/>
  <c r="G45" i="22"/>
  <c r="G42" i="22"/>
  <c r="G55" i="22"/>
  <c r="G47" i="22"/>
  <c r="G37" i="22"/>
  <c r="G54" i="22"/>
  <c r="G16" i="22"/>
  <c r="G40" i="22"/>
  <c r="G38" i="22"/>
  <c r="G33" i="22"/>
  <c r="G6" i="22"/>
  <c r="G17" i="22"/>
  <c r="G29" i="22"/>
  <c r="G23" i="22"/>
  <c r="G58" i="22"/>
  <c r="G25" i="22"/>
  <c r="G20" i="22"/>
  <c r="G3" i="22"/>
  <c r="G19" i="22"/>
  <c r="G15" i="22"/>
  <c r="G18" i="22"/>
  <c r="G39" i="22"/>
  <c r="G8" i="22"/>
  <c r="G27" i="22"/>
  <c r="G4" i="22"/>
  <c r="G28" i="22"/>
  <c r="G14" i="22"/>
  <c r="G57" i="22"/>
  <c r="G51" i="22"/>
  <c r="G34" i="22"/>
  <c r="BX61" i="26"/>
  <c r="Q55" i="12"/>
  <c r="C41" i="12"/>
  <c r="C23" i="12"/>
  <c r="M56" i="11"/>
  <c r="M58" i="11" s="1"/>
  <c r="M5" i="12" s="1"/>
  <c r="M54" i="12" s="1"/>
  <c r="N56" i="11"/>
  <c r="B42" i="11"/>
  <c r="N53" i="11"/>
  <c r="C86" i="14"/>
  <c r="C40" i="13"/>
  <c r="S55" i="11"/>
  <c r="S56" i="11" s="1"/>
  <c r="T64" i="22"/>
  <c r="T67" i="22" s="1"/>
  <c r="Q56" i="11"/>
  <c r="AF47" i="26"/>
  <c r="F63" i="22" l="1"/>
  <c r="F65" i="22" s="1"/>
  <c r="G48" i="22"/>
  <c r="G61" i="22"/>
  <c r="M56" i="12"/>
  <c r="M58" i="12" s="1"/>
  <c r="M5" i="13" s="1"/>
  <c r="M54" i="13" s="1"/>
  <c r="N56" i="12"/>
  <c r="B42" i="12"/>
  <c r="N53" i="12"/>
  <c r="Q55" i="13"/>
  <c r="C41" i="13"/>
  <c r="C23" i="13"/>
  <c r="BY61" i="26"/>
  <c r="U64" i="22"/>
  <c r="U67" i="22" s="1"/>
  <c r="Q56" i="12"/>
  <c r="S55" i="12"/>
  <c r="S56" i="12" s="1"/>
  <c r="C86" i="15"/>
  <c r="C40" i="14"/>
  <c r="H28" i="22"/>
  <c r="H23" i="22"/>
  <c r="H52" i="22"/>
  <c r="H37" i="22"/>
  <c r="H51" i="22"/>
  <c r="H40" i="22"/>
  <c r="H24" i="22"/>
  <c r="H15" i="22"/>
  <c r="H47" i="22"/>
  <c r="H43" i="22"/>
  <c r="H33" i="22"/>
  <c r="H57" i="22"/>
  <c r="H53" i="22"/>
  <c r="H12" i="22"/>
  <c r="H59" i="22"/>
  <c r="H32" i="22"/>
  <c r="H44" i="22"/>
  <c r="H60" i="22"/>
  <c r="H27" i="22"/>
  <c r="H46" i="22"/>
  <c r="H42" i="22"/>
  <c r="H17" i="22"/>
  <c r="H19" i="22"/>
  <c r="H7" i="22"/>
  <c r="H22" i="22"/>
  <c r="H30" i="22"/>
  <c r="H45" i="22"/>
  <c r="H58" i="22"/>
  <c r="H38" i="22"/>
  <c r="H56" i="22"/>
  <c r="H13" i="22"/>
  <c r="H41" i="22"/>
  <c r="H3" i="22"/>
  <c r="H34" i="22"/>
  <c r="H54" i="22"/>
  <c r="H20" i="22"/>
  <c r="H55" i="22"/>
  <c r="H50" i="22"/>
  <c r="H5" i="22"/>
  <c r="H16" i="22"/>
  <c r="H39" i="22"/>
  <c r="H29" i="22"/>
  <c r="H36" i="22"/>
  <c r="H14" i="22"/>
  <c r="H31" i="22"/>
  <c r="H21" i="22"/>
  <c r="H35" i="22"/>
  <c r="H10" i="22"/>
  <c r="H9" i="22"/>
  <c r="H26" i="22"/>
  <c r="H6" i="22"/>
  <c r="H4" i="22"/>
  <c r="H11" i="22"/>
  <c r="H64" i="22"/>
  <c r="H8" i="22"/>
  <c r="H18" i="22"/>
  <c r="H25" i="22"/>
  <c r="AF48" i="26"/>
  <c r="H61" i="22" l="1"/>
  <c r="C41" i="14"/>
  <c r="BZ61" i="26"/>
  <c r="C23" i="14"/>
  <c r="Q55" i="14"/>
  <c r="S55" i="13"/>
  <c r="S56" i="13" s="1"/>
  <c r="V64" i="22"/>
  <c r="V67" i="22" s="1"/>
  <c r="Q56" i="13"/>
  <c r="C86" i="16"/>
  <c r="C40" i="15"/>
  <c r="G63" i="22"/>
  <c r="G65" i="22" s="1"/>
  <c r="H48" i="22"/>
  <c r="B42" i="13"/>
  <c r="N56" i="13"/>
  <c r="N53" i="13"/>
  <c r="M56" i="13"/>
  <c r="M58" i="13" s="1"/>
  <c r="M5" i="14" s="1"/>
  <c r="M54" i="14" s="1"/>
  <c r="I40" i="22"/>
  <c r="I5" i="22"/>
  <c r="I50" i="22"/>
  <c r="I6" i="22"/>
  <c r="I58" i="22"/>
  <c r="I21" i="22"/>
  <c r="I7" i="22"/>
  <c r="I9" i="22"/>
  <c r="I35" i="22"/>
  <c r="I43" i="22"/>
  <c r="I54" i="22"/>
  <c r="I45" i="22"/>
  <c r="I11" i="22"/>
  <c r="I16" i="22"/>
  <c r="I28" i="22"/>
  <c r="I20" i="22"/>
  <c r="I18" i="22"/>
  <c r="I14" i="22"/>
  <c r="I27" i="22"/>
  <c r="I30" i="22"/>
  <c r="I24" i="22"/>
  <c r="I57" i="22"/>
  <c r="I33" i="22"/>
  <c r="I53" i="22"/>
  <c r="I29" i="22"/>
  <c r="I42" i="22"/>
  <c r="I44" i="22"/>
  <c r="I51" i="22"/>
  <c r="I13" i="22"/>
  <c r="I38" i="22"/>
  <c r="I31" i="22"/>
  <c r="I34" i="22"/>
  <c r="I47" i="22"/>
  <c r="I52" i="22"/>
  <c r="I25" i="22"/>
  <c r="I15" i="22"/>
  <c r="I32" i="22"/>
  <c r="I46" i="22"/>
  <c r="I10" i="22"/>
  <c r="I12" i="22"/>
  <c r="I26" i="22"/>
  <c r="I41" i="22"/>
  <c r="I4" i="22"/>
  <c r="I39" i="22"/>
  <c r="I8" i="22"/>
  <c r="I23" i="22"/>
  <c r="I56" i="22"/>
  <c r="I22" i="22"/>
  <c r="I55" i="22"/>
  <c r="I37" i="22"/>
  <c r="I36" i="22"/>
  <c r="I17" i="22"/>
  <c r="I59" i="22"/>
  <c r="I19" i="22"/>
  <c r="I64" i="22"/>
  <c r="I60" i="22"/>
  <c r="I3" i="22"/>
  <c r="AF49" i="26"/>
  <c r="H63" i="22" l="1"/>
  <c r="H65" i="22" s="1"/>
  <c r="I61" i="22"/>
  <c r="J47" i="22"/>
  <c r="J54" i="22"/>
  <c r="J55" i="22"/>
  <c r="J36" i="22"/>
  <c r="J45" i="22"/>
  <c r="J11" i="22"/>
  <c r="J21" i="22"/>
  <c r="J15" i="22"/>
  <c r="J58" i="22"/>
  <c r="J23" i="22"/>
  <c r="J27" i="22"/>
  <c r="J18" i="22"/>
  <c r="J3" i="22"/>
  <c r="J37" i="22"/>
  <c r="J31" i="22"/>
  <c r="J35" i="22"/>
  <c r="J6" i="22"/>
  <c r="J9" i="22"/>
  <c r="J22" i="22"/>
  <c r="J7" i="22"/>
  <c r="J26" i="22"/>
  <c r="J64" i="22"/>
  <c r="J17" i="22"/>
  <c r="J28" i="22"/>
  <c r="J10" i="22"/>
  <c r="J52" i="22"/>
  <c r="J60" i="22"/>
  <c r="J19" i="22"/>
  <c r="J40" i="22"/>
  <c r="J4" i="22"/>
  <c r="J59" i="22"/>
  <c r="J16" i="22"/>
  <c r="J42" i="22"/>
  <c r="J30" i="22"/>
  <c r="J39" i="22"/>
  <c r="J33" i="22"/>
  <c r="J29" i="22"/>
  <c r="J25" i="22"/>
  <c r="J8" i="22"/>
  <c r="J32" i="22"/>
  <c r="J24" i="22"/>
  <c r="J5" i="22"/>
  <c r="J38" i="22"/>
  <c r="J20" i="22"/>
  <c r="J43" i="22"/>
  <c r="J41" i="22"/>
  <c r="J56" i="22"/>
  <c r="J14" i="22"/>
  <c r="J51" i="22"/>
  <c r="J34" i="22"/>
  <c r="J46" i="22"/>
  <c r="J12" i="22"/>
  <c r="J53" i="22"/>
  <c r="J13" i="22"/>
  <c r="J57" i="22"/>
  <c r="J50" i="22"/>
  <c r="J44" i="22"/>
  <c r="C41" i="15"/>
  <c r="Q55" i="15"/>
  <c r="C23" i="15"/>
  <c r="CA61" i="26"/>
  <c r="M56" i="14"/>
  <c r="M58" i="14" s="1"/>
  <c r="M5" i="15" s="1"/>
  <c r="M54" i="15" s="1"/>
  <c r="N53" i="14"/>
  <c r="B42" i="14"/>
  <c r="N56" i="14"/>
  <c r="I48" i="22"/>
  <c r="C86" i="17"/>
  <c r="C40" i="17" s="1"/>
  <c r="C40" i="16"/>
  <c r="W64" i="22"/>
  <c r="W67" i="22" s="1"/>
  <c r="S55" i="14"/>
  <c r="S56" i="14" s="1"/>
  <c r="Q56" i="14"/>
  <c r="AF50" i="26"/>
  <c r="J61" i="22" l="1"/>
  <c r="K6" i="22"/>
  <c r="K10" i="22"/>
  <c r="K34" i="22"/>
  <c r="K21" i="22"/>
  <c r="K55" i="22"/>
  <c r="K45" i="22"/>
  <c r="K38" i="22"/>
  <c r="K3" i="22"/>
  <c r="K39" i="22"/>
  <c r="K11" i="22"/>
  <c r="K50" i="22"/>
  <c r="K15" i="22"/>
  <c r="K24" i="22"/>
  <c r="K23" i="22"/>
  <c r="K29" i="22"/>
  <c r="K25" i="22"/>
  <c r="K59" i="22"/>
  <c r="K60" i="22"/>
  <c r="K51" i="22"/>
  <c r="K9" i="22"/>
  <c r="K47" i="22"/>
  <c r="K46" i="22"/>
  <c r="K17" i="22"/>
  <c r="K32" i="22"/>
  <c r="K54" i="22"/>
  <c r="K37" i="22"/>
  <c r="K14" i="22"/>
  <c r="K27" i="22"/>
  <c r="K42" i="22"/>
  <c r="K13" i="22"/>
  <c r="K30" i="22"/>
  <c r="K43" i="22"/>
  <c r="K33" i="22"/>
  <c r="K44" i="22"/>
  <c r="K26" i="22"/>
  <c r="K4" i="22"/>
  <c r="K20" i="22"/>
  <c r="K18" i="22"/>
  <c r="K28" i="22"/>
  <c r="K7" i="22"/>
  <c r="K22" i="22"/>
  <c r="K8" i="22"/>
  <c r="K16" i="22"/>
  <c r="K52" i="22"/>
  <c r="K19" i="22"/>
  <c r="K31" i="22"/>
  <c r="K56" i="22"/>
  <c r="K58" i="22"/>
  <c r="K53" i="22"/>
  <c r="K5" i="22"/>
  <c r="K12" i="22"/>
  <c r="K64" i="22"/>
  <c r="K41" i="22"/>
  <c r="K40" i="22"/>
  <c r="K36" i="22"/>
  <c r="K57" i="22"/>
  <c r="K35" i="22"/>
  <c r="J48" i="22"/>
  <c r="I63" i="22"/>
  <c r="I65" i="22" s="1"/>
  <c r="Q55" i="16"/>
  <c r="C23" i="16"/>
  <c r="CB61" i="26"/>
  <c r="C41" i="16"/>
  <c r="C23" i="17"/>
  <c r="Q55" i="17"/>
  <c r="C34" i="19"/>
  <c r="C35" i="19" s="1"/>
  <c r="CC61" i="26"/>
  <c r="C41" i="17"/>
  <c r="S55" i="15"/>
  <c r="S56" i="15" s="1"/>
  <c r="X64" i="22"/>
  <c r="X67" i="22" s="1"/>
  <c r="Q56" i="15"/>
  <c r="N56" i="15"/>
  <c r="B42" i="15"/>
  <c r="N53" i="15"/>
  <c r="M56" i="15"/>
  <c r="M58" i="15" s="1"/>
  <c r="M5" i="16" s="1"/>
  <c r="M54" i="16" s="1"/>
  <c r="AF51" i="26"/>
  <c r="J63" i="22" l="1"/>
  <c r="J65" i="22" s="1"/>
  <c r="Q56" i="17"/>
  <c r="Z64" i="22"/>
  <c r="Z67" i="22" s="1"/>
  <c r="S55" i="17"/>
  <c r="S56" i="17" s="1"/>
  <c r="N53" i="17"/>
  <c r="B42" i="17"/>
  <c r="N56" i="17"/>
  <c r="M56" i="17"/>
  <c r="Y64" i="22"/>
  <c r="Y67" i="22" s="1"/>
  <c r="S55" i="16"/>
  <c r="S56" i="16" s="1"/>
  <c r="Q56" i="16"/>
  <c r="K48" i="22"/>
  <c r="L9" i="22"/>
  <c r="L39" i="22"/>
  <c r="L45" i="22"/>
  <c r="L64" i="22"/>
  <c r="L24" i="22"/>
  <c r="L7" i="22"/>
  <c r="L30" i="22"/>
  <c r="L11" i="22"/>
  <c r="L4" i="22"/>
  <c r="L32" i="22"/>
  <c r="L15" i="22"/>
  <c r="L55" i="22"/>
  <c r="L29" i="22"/>
  <c r="L54" i="22"/>
  <c r="L33" i="22"/>
  <c r="L43" i="22"/>
  <c r="L27" i="22"/>
  <c r="L42" i="22"/>
  <c r="L60" i="22"/>
  <c r="L52" i="22"/>
  <c r="L38" i="22"/>
  <c r="L22" i="22"/>
  <c r="L12" i="22"/>
  <c r="L26" i="22"/>
  <c r="L58" i="22"/>
  <c r="L16" i="22"/>
  <c r="L59" i="22"/>
  <c r="L35" i="22"/>
  <c r="L53" i="22"/>
  <c r="L34" i="22"/>
  <c r="L31" i="22"/>
  <c r="L40" i="22"/>
  <c r="L47" i="22"/>
  <c r="L19" i="22"/>
  <c r="L36" i="22"/>
  <c r="L25" i="22"/>
  <c r="L8" i="22"/>
  <c r="L5" i="22"/>
  <c r="L57" i="22"/>
  <c r="L41" i="22"/>
  <c r="L21" i="22"/>
  <c r="L14" i="22"/>
  <c r="L17" i="22"/>
  <c r="L20" i="22"/>
  <c r="L10" i="22"/>
  <c r="L6" i="22"/>
  <c r="L37" i="22"/>
  <c r="L50" i="22"/>
  <c r="L18" i="22"/>
  <c r="L28" i="22"/>
  <c r="L3" i="22"/>
  <c r="L56" i="22"/>
  <c r="L13" i="22"/>
  <c r="L23" i="22"/>
  <c r="L46" i="22"/>
  <c r="L44" i="22"/>
  <c r="L51" i="22"/>
  <c r="N53" i="16"/>
  <c r="M56" i="16"/>
  <c r="M58" i="16" s="1"/>
  <c r="M5" i="17" s="1"/>
  <c r="M54" i="17" s="1"/>
  <c r="B42" i="16"/>
  <c r="N56" i="16"/>
  <c r="K61" i="22"/>
  <c r="AF52" i="26"/>
  <c r="K63" i="22" l="1"/>
  <c r="K65" i="22" s="1"/>
  <c r="M58" i="17"/>
  <c r="D8" i="25" s="1"/>
  <c r="L48" i="22"/>
  <c r="N20" i="22"/>
  <c r="N41" i="22"/>
  <c r="N32" i="22"/>
  <c r="N5" i="22"/>
  <c r="N40" i="22"/>
  <c r="N44" i="22"/>
  <c r="N6" i="22"/>
  <c r="N60" i="22"/>
  <c r="N28" i="22"/>
  <c r="N42" i="22"/>
  <c r="N38" i="22"/>
  <c r="N43" i="22"/>
  <c r="N33" i="22"/>
  <c r="N34" i="22"/>
  <c r="N54" i="22"/>
  <c r="N12" i="22"/>
  <c r="N35" i="22"/>
  <c r="N29" i="22"/>
  <c r="N58" i="22"/>
  <c r="N23" i="22"/>
  <c r="N64" i="22"/>
  <c r="N22" i="22"/>
  <c r="N18" i="22"/>
  <c r="N45" i="22"/>
  <c r="N9" i="22"/>
  <c r="N13" i="22"/>
  <c r="N11" i="22"/>
  <c r="N14" i="22"/>
  <c r="N39" i="22"/>
  <c r="N17" i="22"/>
  <c r="N16" i="22"/>
  <c r="N59" i="22"/>
  <c r="N19" i="22"/>
  <c r="N56" i="22"/>
  <c r="N27" i="22"/>
  <c r="N36" i="22"/>
  <c r="N51" i="22"/>
  <c r="N4" i="22"/>
  <c r="N30" i="22"/>
  <c r="N46" i="22"/>
  <c r="N3" i="22"/>
  <c r="N26" i="22"/>
  <c r="N57" i="22"/>
  <c r="N25" i="22"/>
  <c r="N37" i="22"/>
  <c r="N8" i="22"/>
  <c r="N24" i="22"/>
  <c r="N31" i="22"/>
  <c r="N55" i="22"/>
  <c r="N50" i="22"/>
  <c r="N47" i="22"/>
  <c r="N15" i="22"/>
  <c r="N7" i="22"/>
  <c r="N52" i="22"/>
  <c r="N21" i="22"/>
  <c r="N10" i="22"/>
  <c r="N53" i="22"/>
  <c r="M34" i="22"/>
  <c r="M56" i="22"/>
  <c r="M46" i="22"/>
  <c r="M29" i="22"/>
  <c r="M47" i="22"/>
  <c r="M6" i="22"/>
  <c r="M12" i="22"/>
  <c r="M9" i="22"/>
  <c r="M20" i="22"/>
  <c r="M38" i="22"/>
  <c r="M33" i="22"/>
  <c r="M32" i="22"/>
  <c r="M30" i="22"/>
  <c r="M14" i="22"/>
  <c r="M37" i="22"/>
  <c r="M54" i="22"/>
  <c r="M11" i="22"/>
  <c r="M19" i="22"/>
  <c r="M4" i="22"/>
  <c r="M10" i="22"/>
  <c r="M51" i="22"/>
  <c r="M8" i="22"/>
  <c r="M41" i="22"/>
  <c r="M39" i="22"/>
  <c r="M64" i="22"/>
  <c r="M45" i="22"/>
  <c r="M27" i="22"/>
  <c r="M24" i="22"/>
  <c r="M7" i="22"/>
  <c r="M13" i="22"/>
  <c r="M15" i="22"/>
  <c r="M22" i="22"/>
  <c r="M50" i="22"/>
  <c r="M23" i="22"/>
  <c r="M43" i="22"/>
  <c r="M42" i="22"/>
  <c r="M36" i="22"/>
  <c r="M58" i="22"/>
  <c r="M60" i="22"/>
  <c r="M53" i="22"/>
  <c r="M35" i="22"/>
  <c r="M55" i="22"/>
  <c r="M3" i="22"/>
  <c r="M44" i="22"/>
  <c r="M59" i="22"/>
  <c r="M31" i="22"/>
  <c r="M17" i="22"/>
  <c r="M26" i="22"/>
  <c r="M52" i="22"/>
  <c r="M57" i="22"/>
  <c r="M18" i="22"/>
  <c r="M25" i="22"/>
  <c r="M28" i="22"/>
  <c r="M40" i="22"/>
  <c r="M16" i="22"/>
  <c r="M21" i="22"/>
  <c r="M5" i="22"/>
  <c r="L61" i="22"/>
  <c r="AF53" i="26"/>
  <c r="L63" i="22" l="1"/>
  <c r="L65" i="22" s="1"/>
  <c r="M61" i="22"/>
  <c r="N61" i="22"/>
  <c r="N48" i="22"/>
  <c r="M48" i="22"/>
  <c r="AF54" i="26"/>
  <c r="N63" i="22" l="1"/>
  <c r="N65" i="22" s="1"/>
  <c r="M63" i="22"/>
  <c r="M65" i="22" s="1"/>
  <c r="AF55" i="26"/>
  <c r="AF56" i="26"/>
  <c r="AF57" i="26"/>
  <c r="AF58" i="26"/>
  <c r="AF59" i="26"/>
  <c r="AF60" i="26"/>
  <c r="AF61" i="26"/>
  <c r="AF62" i="26"/>
  <c r="AF63" i="26"/>
</calcChain>
</file>

<file path=xl/comments1.xml><?xml version="1.0" encoding="utf-8"?>
<comments xmlns="http://schemas.openxmlformats.org/spreadsheetml/2006/main">
  <authors>
    <author>Jacob</author>
  </authors>
  <commentList>
    <comment ref="Y6" authorId="0">
      <text>
        <r>
          <rPr>
            <b/>
            <sz val="9"/>
            <color indexed="81"/>
            <rFont val="Tahoma"/>
            <family val="2"/>
          </rPr>
          <t>יש לרשום את הנטו בתלוש המשכורת ולא את הנטו לתשלום.</t>
        </r>
      </text>
    </comment>
    <comment ref="AE21" authorId="0">
      <text>
        <r>
          <rPr>
            <b/>
            <sz val="9"/>
            <color indexed="81"/>
            <rFont val="Tahoma"/>
            <family val="2"/>
          </rPr>
          <t>נכון לתקציב שהוגדר בחודש זה</t>
        </r>
      </text>
    </comment>
  </commentList>
</comments>
</file>

<file path=xl/comments2.xml><?xml version="1.0" encoding="utf-8"?>
<comments xmlns="http://schemas.openxmlformats.org/spreadsheetml/2006/main">
  <authors>
    <author>Jacob</author>
  </authors>
  <commentList>
    <comment ref="Y6" authorId="0">
      <text>
        <r>
          <rPr>
            <b/>
            <sz val="9"/>
            <color indexed="81"/>
            <rFont val="Tahoma"/>
            <family val="2"/>
          </rPr>
          <t>יש לרשום את הנטו בתלוש המשכורת ולא את הנטו לתשלום.</t>
        </r>
      </text>
    </comment>
    <comment ref="AE21" authorId="0">
      <text>
        <r>
          <rPr>
            <b/>
            <sz val="9"/>
            <color indexed="81"/>
            <rFont val="Tahoma"/>
            <family val="2"/>
          </rPr>
          <t>נכון לתקציב שהוגדר בחודש זה</t>
        </r>
      </text>
    </comment>
  </commentList>
</comments>
</file>

<file path=xl/comments3.xml><?xml version="1.0" encoding="utf-8"?>
<comments xmlns="http://schemas.openxmlformats.org/spreadsheetml/2006/main">
  <authors>
    <author>Jacob</author>
  </authors>
  <commentList>
    <comment ref="Y6" authorId="0">
      <text>
        <r>
          <rPr>
            <b/>
            <sz val="9"/>
            <color indexed="81"/>
            <rFont val="Tahoma"/>
            <family val="2"/>
          </rPr>
          <t>יש לרשום את הנטו בתלוש המשכורת ולא את הנטו לתשלום.</t>
        </r>
      </text>
    </comment>
    <comment ref="AE21" authorId="0">
      <text>
        <r>
          <rPr>
            <b/>
            <sz val="9"/>
            <color indexed="81"/>
            <rFont val="Tahoma"/>
            <family val="2"/>
          </rPr>
          <t>נכון לתקציב שהוגדר בחודש זה</t>
        </r>
      </text>
    </comment>
  </commentList>
</comments>
</file>

<file path=xl/comments4.xml><?xml version="1.0" encoding="utf-8"?>
<comments xmlns="http://schemas.openxmlformats.org/spreadsheetml/2006/main">
  <authors>
    <author>Jacob</author>
  </authors>
  <commentList>
    <comment ref="Y6" authorId="0">
      <text>
        <r>
          <rPr>
            <b/>
            <sz val="9"/>
            <color indexed="81"/>
            <rFont val="Tahoma"/>
            <family val="2"/>
          </rPr>
          <t>יש לרשום את הנטו בתלוש המשכורת ולא את הנטו לתשלום.</t>
        </r>
      </text>
    </comment>
    <comment ref="AE21" authorId="0">
      <text>
        <r>
          <rPr>
            <b/>
            <sz val="9"/>
            <color indexed="81"/>
            <rFont val="Tahoma"/>
            <family val="2"/>
          </rPr>
          <t>נכון לתקציב שהוגדר בחודש זה</t>
        </r>
      </text>
    </comment>
  </commentList>
</comments>
</file>

<file path=xl/comments5.xml><?xml version="1.0" encoding="utf-8"?>
<comments xmlns="http://schemas.openxmlformats.org/spreadsheetml/2006/main">
  <authors>
    <author>Jacob</author>
  </authors>
  <commentList>
    <comment ref="Y6" authorId="0">
      <text>
        <r>
          <rPr>
            <b/>
            <sz val="9"/>
            <color indexed="81"/>
            <rFont val="Tahoma"/>
            <family val="2"/>
          </rPr>
          <t>יש לרשום את הנטו בתלוש המשכורת ולא את הנטו לתשלום.</t>
        </r>
      </text>
    </comment>
    <comment ref="AE21" authorId="0">
      <text>
        <r>
          <rPr>
            <b/>
            <sz val="9"/>
            <color indexed="81"/>
            <rFont val="Tahoma"/>
            <family val="2"/>
          </rPr>
          <t>נכון לתקציב שהוגדר בחודש זה</t>
        </r>
      </text>
    </comment>
  </commentList>
</comments>
</file>

<file path=xl/comments6.xml><?xml version="1.0" encoding="utf-8"?>
<comments xmlns="http://schemas.openxmlformats.org/spreadsheetml/2006/main">
  <authors>
    <author>Jacob</author>
  </authors>
  <commentList>
    <comment ref="Y6" authorId="0">
      <text>
        <r>
          <rPr>
            <b/>
            <sz val="9"/>
            <color indexed="81"/>
            <rFont val="Tahoma"/>
            <family val="2"/>
          </rPr>
          <t>יש לרשום את הנטו בתלוש המשכורת ולא את הנטו לתשלום.</t>
        </r>
      </text>
    </comment>
    <comment ref="AE21" authorId="0">
      <text>
        <r>
          <rPr>
            <b/>
            <sz val="9"/>
            <color indexed="81"/>
            <rFont val="Tahoma"/>
            <family val="2"/>
          </rPr>
          <t>נכון לתקציב שהוגדר בחודש זה</t>
        </r>
      </text>
    </comment>
  </commentList>
</comments>
</file>

<file path=xl/comments7.xml><?xml version="1.0" encoding="utf-8"?>
<comments xmlns="http://schemas.openxmlformats.org/spreadsheetml/2006/main">
  <authors>
    <author>Jacob</author>
  </authors>
  <commentList>
    <comment ref="Y6" authorId="0">
      <text>
        <r>
          <rPr>
            <b/>
            <sz val="9"/>
            <color indexed="81"/>
            <rFont val="Tahoma"/>
            <family val="2"/>
          </rPr>
          <t>יש לרשום את הנטו בתלוש המשכורת ולא את הנטו לתשלום.</t>
        </r>
      </text>
    </comment>
    <comment ref="AE21" authorId="0">
      <text>
        <r>
          <rPr>
            <b/>
            <sz val="9"/>
            <color indexed="81"/>
            <rFont val="Tahoma"/>
            <family val="2"/>
          </rPr>
          <t>נכון לתקציב שהוגדר בחודש זה</t>
        </r>
      </text>
    </comment>
  </commentList>
</comments>
</file>

<file path=xl/comments8.xml><?xml version="1.0" encoding="utf-8"?>
<comments xmlns="http://schemas.openxmlformats.org/spreadsheetml/2006/main">
  <authors>
    <author>Jacob</author>
  </authors>
  <commentList>
    <comment ref="Y6" authorId="0">
      <text>
        <r>
          <rPr>
            <b/>
            <sz val="9"/>
            <color indexed="81"/>
            <rFont val="Tahoma"/>
            <family val="2"/>
          </rPr>
          <t>יש לרשום את הנטו בתלוש המשכורת ולא את הנטו לתשלום.</t>
        </r>
      </text>
    </comment>
    <comment ref="AE21" authorId="0">
      <text>
        <r>
          <rPr>
            <b/>
            <sz val="9"/>
            <color indexed="81"/>
            <rFont val="Tahoma"/>
            <family val="2"/>
          </rPr>
          <t>נכון לתקציב שהוגדר בחודש זה</t>
        </r>
      </text>
    </comment>
  </commentList>
</comments>
</file>

<file path=xl/comments9.xml><?xml version="1.0" encoding="utf-8"?>
<comments xmlns="http://schemas.openxmlformats.org/spreadsheetml/2006/main">
  <authors>
    <author>Jacob</author>
  </authors>
  <commentList>
    <comment ref="Y6" authorId="0">
      <text>
        <r>
          <rPr>
            <b/>
            <sz val="9"/>
            <color indexed="81"/>
            <rFont val="Tahoma"/>
            <family val="2"/>
          </rPr>
          <t>יש לרשום את הנטו בתלוש המשכורת ולא את הנטו לתשלום.</t>
        </r>
      </text>
    </comment>
    <comment ref="AE21" authorId="0">
      <text>
        <r>
          <rPr>
            <b/>
            <sz val="9"/>
            <color indexed="81"/>
            <rFont val="Tahoma"/>
            <family val="2"/>
          </rPr>
          <t>נכון לתקציב שהוגדר בחודש זה</t>
        </r>
      </text>
    </comment>
  </commentList>
</comments>
</file>

<file path=xl/comments10.xml><?xml version="1.0" encoding="utf-8"?>
<comments xmlns="http://schemas.openxmlformats.org/spreadsheetml/2006/main">
  <authors>
    <author>Jacob</author>
  </authors>
  <commentList>
    <comment ref="Y6" authorId="0">
      <text>
        <r>
          <rPr>
            <b/>
            <sz val="9"/>
            <color indexed="81"/>
            <rFont val="Tahoma"/>
            <family val="2"/>
          </rPr>
          <t>יש לרשום את הנטו בתלוש המשכורת ולא את הנטו לתשלום.</t>
        </r>
      </text>
    </comment>
    <comment ref="AE21" authorId="0">
      <text>
        <r>
          <rPr>
            <b/>
            <sz val="9"/>
            <color indexed="81"/>
            <rFont val="Tahoma"/>
            <family val="2"/>
          </rPr>
          <t>נכון לתקציב שהוגדר בחודש זה</t>
        </r>
      </text>
    </comment>
  </commentList>
</comments>
</file>

<file path=xl/comments11.xml><?xml version="1.0" encoding="utf-8"?>
<comments xmlns="http://schemas.openxmlformats.org/spreadsheetml/2006/main">
  <authors>
    <author>Jacob</author>
  </authors>
  <commentList>
    <comment ref="Y6" authorId="0">
      <text>
        <r>
          <rPr>
            <b/>
            <sz val="9"/>
            <color indexed="81"/>
            <rFont val="Tahoma"/>
            <family val="2"/>
          </rPr>
          <t>יש לרשום את הנטו בתלוש המשכורת ולא את הנטו לתשלום.</t>
        </r>
      </text>
    </comment>
    <comment ref="AE21" authorId="0">
      <text>
        <r>
          <rPr>
            <b/>
            <sz val="9"/>
            <color indexed="81"/>
            <rFont val="Tahoma"/>
            <family val="2"/>
          </rPr>
          <t>נכון לתקציב שהוגדר בחודש זה</t>
        </r>
      </text>
    </comment>
  </commentList>
</comments>
</file>

<file path=xl/comments12.xml><?xml version="1.0" encoding="utf-8"?>
<comments xmlns="http://schemas.openxmlformats.org/spreadsheetml/2006/main">
  <authors>
    <author>Jacob</author>
  </authors>
  <commentList>
    <comment ref="T4" authorId="0">
      <text>
        <r>
          <rPr>
            <b/>
            <sz val="9"/>
            <color indexed="81"/>
            <rFont val="Tahoma"/>
            <family val="2"/>
          </rPr>
          <t>עסקאות תשלומים שלא הסתיימו השנה, יסומנו ברקע צהוב.</t>
        </r>
      </text>
    </comment>
    <comment ref="Y6" authorId="0">
      <text>
        <r>
          <rPr>
            <b/>
            <sz val="9"/>
            <color indexed="81"/>
            <rFont val="Tahoma"/>
            <family val="2"/>
          </rPr>
          <t>יש לרשום את הנטו בתלוש המשכורת ולא את הנטו לתשלום.</t>
        </r>
      </text>
    </comment>
    <comment ref="AE21" authorId="0">
      <text>
        <r>
          <rPr>
            <b/>
            <sz val="9"/>
            <color indexed="81"/>
            <rFont val="Tahoma"/>
            <family val="2"/>
          </rPr>
          <t>נכון לתקציב שהוגדר בחודש זה</t>
        </r>
      </text>
    </comment>
  </commentList>
</comments>
</file>

<file path=xl/comments13.xml><?xml version="1.0" encoding="utf-8"?>
<comments xmlns="http://schemas.openxmlformats.org/spreadsheetml/2006/main">
  <authors>
    <author>Jacob</author>
  </authors>
  <commentList>
    <comment ref="C2" authorId="0">
      <text>
        <r>
          <rPr>
            <b/>
            <sz val="9"/>
            <color indexed="81"/>
            <rFont val="Tahoma"/>
            <family val="2"/>
          </rPr>
          <t>התקציב המוצג הוא התקציב האחרון</t>
        </r>
      </text>
    </comment>
    <comment ref="D2" authorId="0">
      <text>
        <r>
          <rPr>
            <b/>
            <sz val="9"/>
            <color indexed="81"/>
            <rFont val="Tahoma"/>
            <family val="2"/>
          </rPr>
          <t>תקציב לשנה לפי התקציב אחרון.
(תקציב אחרון * 12)</t>
        </r>
      </text>
    </comment>
    <comment ref="F3" authorId="0">
      <text>
        <r>
          <rPr>
            <b/>
            <sz val="9"/>
            <color indexed="81"/>
            <rFont val="Tahoma"/>
            <family val="2"/>
          </rPr>
          <t>בהתאם לתקציב/ים שנקבע/ו בשנה שבקובץ.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בהתאם לתקציב/ים שנקבע/ו בשנה שבקובץ.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בהתאם לתקציב/ים שנקבע/ו בשנה שבקובץ.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בהתאם לתקציב/ים שנקבע/ו בשנה שבקובץ.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בהתאם לתקציב/ים שנקבע/ו בשנה שבקובץ.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בהתאם לתקציב/ים שנקבע/ו בשנה שבקובץ.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בהתאם לתקציב/ים שנקבע/ו בשנה שבקובץ.</t>
        </r>
      </text>
    </comment>
    <comment ref="T3" authorId="0">
      <text>
        <r>
          <rPr>
            <b/>
            <sz val="9"/>
            <color indexed="81"/>
            <rFont val="Tahoma"/>
            <family val="2"/>
          </rPr>
          <t>בהתאם לתקציב/ים שנקבע/ו בשנה שבקובץ.</t>
        </r>
      </text>
    </comment>
    <comment ref="V3" authorId="0">
      <text>
        <r>
          <rPr>
            <b/>
            <sz val="9"/>
            <color indexed="81"/>
            <rFont val="Tahoma"/>
            <family val="2"/>
          </rPr>
          <t>בהתאם לתקציב/ים שנקבע/ו בשנה שבקובץ.</t>
        </r>
      </text>
    </comment>
    <comment ref="X3" authorId="0">
      <text>
        <r>
          <rPr>
            <b/>
            <sz val="9"/>
            <color indexed="81"/>
            <rFont val="Tahoma"/>
            <family val="2"/>
          </rPr>
          <t>בהתאם לתקציב/ים שנקבע/ו בשנה שבקובץ.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בהתאם לתקציב/ים שנקבע/ו בשנה שבקובץ.</t>
        </r>
      </text>
    </comment>
    <comment ref="AB3" authorId="0">
      <text>
        <r>
          <rPr>
            <b/>
            <sz val="9"/>
            <color indexed="81"/>
            <rFont val="Tahoma"/>
            <family val="2"/>
          </rPr>
          <t>בהתאם לתקציב/ים שנקבע/ו בשנה שבקובץ.</t>
        </r>
      </text>
    </comment>
    <comment ref="C28" authorId="0">
      <text>
        <r>
          <rPr>
            <b/>
            <sz val="9"/>
            <color indexed="81"/>
            <rFont val="Tahoma"/>
            <family val="2"/>
          </rPr>
          <t>התקציב המוצג הוא התקציב האחרון</t>
        </r>
      </text>
    </comment>
  </commentList>
</comments>
</file>

<file path=xl/comments14.xml><?xml version="1.0" encoding="utf-8"?>
<comments xmlns="http://schemas.openxmlformats.org/spreadsheetml/2006/main">
  <authors>
    <author>Jacob</author>
  </authors>
  <commentList>
    <comment ref="CX1" authorId="0">
      <text>
        <r>
          <rPr>
            <b/>
            <sz val="9"/>
            <color indexed="81"/>
            <rFont val="Tahoma"/>
            <family val="2"/>
          </rPr>
          <t>חודש הביצוע או התקציב</t>
        </r>
      </text>
    </comment>
    <comment ref="CY1" authorId="0">
      <text>
        <r>
          <rPr>
            <b/>
            <sz val="9"/>
            <color indexed="81"/>
            <rFont val="Tahoma"/>
            <family val="2"/>
          </rPr>
          <t>שיקוף / ביצוע / תקציב</t>
        </r>
      </text>
    </comment>
    <comment ref="CZ1" authorId="0">
      <text>
        <r>
          <rPr>
            <b/>
            <sz val="9"/>
            <color indexed="81"/>
            <rFont val="Tahoma"/>
            <family val="2"/>
          </rPr>
          <t>מוכן ליבוא או לא.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מיקום השם ברשימת התוכנה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סידור ברצף של מספרי השורות לסעיפים שלהתאים</t>
        </r>
      </text>
    </comment>
    <comment ref="AF4" authorId="0">
      <text>
        <r>
          <rPr>
            <b/>
            <sz val="9"/>
            <color indexed="81"/>
            <rFont val="Tahoma"/>
            <family val="2"/>
          </rPr>
          <t>ערך התחלתי</t>
        </r>
      </text>
    </comment>
    <comment ref="AP61" authorId="0">
      <text>
        <r>
          <rPr>
            <b/>
            <sz val="9"/>
            <color indexed="81"/>
            <rFont val="Tahoma"/>
            <family val="2"/>
          </rPr>
          <t>מקרה מיוחד. שם הסעיף נקבע מראש ולא נלקח מהשיקוף או מגליונות החודשים.</t>
        </r>
      </text>
    </comment>
  </commentList>
</comments>
</file>

<file path=xl/sharedStrings.xml><?xml version="1.0" encoding="utf-8"?>
<sst xmlns="http://schemas.openxmlformats.org/spreadsheetml/2006/main" count="2754" uniqueCount="541">
  <si>
    <t>יתרת תקציב שנתית</t>
  </si>
  <si>
    <t/>
  </si>
  <si>
    <t>סכום עסקה</t>
  </si>
  <si>
    <t>לקיזוז משוטפות</t>
  </si>
  <si>
    <t>חישוב עזר</t>
  </si>
  <si>
    <t>חודש מס'</t>
  </si>
  <si>
    <t>ביצוע מצטבר</t>
  </si>
  <si>
    <t>קיזוז מצטבר</t>
  </si>
  <si>
    <t>עסקאות מצטברות</t>
  </si>
  <si>
    <t>(בחודש זה)</t>
  </si>
  <si>
    <t>עד (ובלי) חודש זה</t>
  </si>
  <si>
    <t>יתרת תקציב שנתית לפני קיזוז חודש זה</t>
  </si>
  <si>
    <t>חודשים שנותרו עד</t>
  </si>
  <si>
    <t>סוף השנה</t>
  </si>
  <si>
    <t xml:space="preserve">תקציב מתוכנן </t>
  </si>
  <si>
    <t>בתחילת החודש</t>
  </si>
  <si>
    <t>בתוספת יתרה</t>
  </si>
  <si>
    <t>מחודש קודם</t>
  </si>
  <si>
    <t>חריגה שנתית</t>
  </si>
  <si>
    <t>לפני קיזוז חודש זה</t>
  </si>
  <si>
    <t>חישובי עזר לתקופתיות</t>
  </si>
  <si>
    <t>חובות שאינם בהסדר</t>
  </si>
  <si>
    <t>חובות בהסדר</t>
  </si>
  <si>
    <t>חלק מהעמודות תחת משבצת זו, אינם בשימוש. בהזדמנות - לעשות נקיון.</t>
  </si>
  <si>
    <t>חישובי עזר</t>
  </si>
  <si>
    <t>לא</t>
  </si>
  <si>
    <t>כן</t>
  </si>
  <si>
    <t>להפוך טור תקציב לתקציב חודש א'?</t>
  </si>
  <si>
    <r>
      <t xml:space="preserve">העמודות </t>
    </r>
    <r>
      <rPr>
        <sz val="11"/>
        <color indexed="22"/>
        <rFont val="Arial"/>
        <family val="2"/>
      </rPr>
      <t>באפור</t>
    </r>
    <r>
      <rPr>
        <sz val="11"/>
        <color theme="1"/>
        <rFont val="Arial"/>
        <family val="2"/>
        <charset val="177"/>
        <scheme val="minor"/>
      </rPr>
      <t xml:space="preserve"> אינן בשימוש.</t>
    </r>
  </si>
  <si>
    <r>
      <t xml:space="preserve">העמודות </t>
    </r>
    <r>
      <rPr>
        <sz val="11"/>
        <color indexed="22"/>
        <rFont val="Arial"/>
        <family val="2"/>
      </rPr>
      <t>באפור</t>
    </r>
    <r>
      <rPr>
        <sz val="11"/>
        <color indexed="8"/>
        <rFont val="Arial"/>
        <family val="2"/>
      </rPr>
      <t xml:space="preserve"> אינן בשימוש.</t>
    </r>
  </si>
  <si>
    <t>אופן התשלום</t>
  </si>
  <si>
    <t>% הקדמה</t>
  </si>
  <si>
    <t>&gt;100%</t>
  </si>
  <si>
    <t>***</t>
  </si>
  <si>
    <t>&gt;90%</t>
  </si>
  <si>
    <t>&gt;80%</t>
  </si>
  <si>
    <t>&gt;70%</t>
  </si>
  <si>
    <t>&gt;60%</t>
  </si>
  <si>
    <t>&gt;50%</t>
  </si>
  <si>
    <t>&gt;40%</t>
  </si>
  <si>
    <t>&gt;30%</t>
  </si>
  <si>
    <t>&gt;20%</t>
  </si>
  <si>
    <t>שם משתנה בין חודשים</t>
  </si>
  <si>
    <r>
      <t xml:space="preserve">( </t>
    </r>
    <r>
      <rPr>
        <b/>
        <u/>
        <sz val="11"/>
        <color indexed="9"/>
        <rFont val="Arial"/>
        <family val="2"/>
      </rPr>
      <t>כולל</t>
    </r>
    <r>
      <rPr>
        <b/>
        <sz val="11"/>
        <color indexed="9"/>
        <rFont val="Arial"/>
        <family val="2"/>
      </rPr>
      <t xml:space="preserve"> תקציב לחובות שבהסדר)</t>
    </r>
  </si>
  <si>
    <t>זהה</t>
  </si>
  <si>
    <t>לא זהה</t>
  </si>
  <si>
    <t>שמות סעיפים</t>
  </si>
  <si>
    <t>ביצועים</t>
  </si>
  <si>
    <t>תקציבים</t>
  </si>
  <si>
    <t>חודש א</t>
  </si>
  <si>
    <t>ב</t>
  </si>
  <si>
    <t>ג</t>
  </si>
  <si>
    <t>ד</t>
  </si>
  <si>
    <t>ה</t>
  </si>
  <si>
    <t>ו</t>
  </si>
  <si>
    <t>ז</t>
  </si>
  <si>
    <t>ח</t>
  </si>
  <si>
    <t>ט</t>
  </si>
  <si>
    <t>י</t>
  </si>
  <si>
    <t>יא</t>
  </si>
  <si>
    <t>יב</t>
  </si>
  <si>
    <t>מותאמים</t>
  </si>
  <si>
    <t>נתונים להצגה:</t>
  </si>
  <si>
    <t>שמות הסעיפים בתוכנה</t>
  </si>
  <si>
    <t>רשימה נבחרת מקורית</t>
  </si>
  <si>
    <t>אינדקס עזר</t>
  </si>
  <si>
    <t>שם</t>
  </si>
  <si>
    <t>ערך</t>
  </si>
  <si>
    <t>להתאים?</t>
  </si>
  <si>
    <t>שמות</t>
  </si>
  <si>
    <t>לתוכנה</t>
  </si>
  <si>
    <t>mortgage</t>
  </si>
  <si>
    <t>mortgage_insurance</t>
  </si>
  <si>
    <t>rent</t>
  </si>
  <si>
    <t>residency_taxes</t>
  </si>
  <si>
    <t>other_insurances_not_car</t>
  </si>
  <si>
    <t>standing_order_for_saving</t>
  </si>
  <si>
    <t>subscriptions</t>
  </si>
  <si>
    <t>fixed_monthly_donations</t>
  </si>
  <si>
    <t>expense_custom1</t>
  </si>
  <si>
    <t>expense_custom5</t>
  </si>
  <si>
    <t>property_tax</t>
  </si>
  <si>
    <t>water_sewage_tax</t>
  </si>
  <si>
    <t>electricity</t>
  </si>
  <si>
    <t>gas</t>
  </si>
  <si>
    <t>heating</t>
  </si>
  <si>
    <t>education_books_tutors</t>
  </si>
  <si>
    <t>extracurricular_activity_and_camps</t>
  </si>
  <si>
    <t>car_insurance_maintenance</t>
  </si>
  <si>
    <t>car_maintenance</t>
  </si>
  <si>
    <t>clothing_shoes</t>
  </si>
  <si>
    <t>medicines_and_health_clinic</t>
  </si>
  <si>
    <t>banks_commisions_intrests</t>
  </si>
  <si>
    <t>dental_treatments</t>
  </si>
  <si>
    <t>glasses_contact_lenses_solution</t>
  </si>
  <si>
    <t>vacations_trips_recreations_restaurant</t>
  </si>
  <si>
    <t>holidays_religion_related</t>
  </si>
  <si>
    <t>gifts</t>
  </si>
  <si>
    <t>shoppings_acquisitions</t>
  </si>
  <si>
    <t>haircuts_cosmetics</t>
  </si>
  <si>
    <t>social_insurance</t>
  </si>
  <si>
    <t>expense_custom</t>
  </si>
  <si>
    <t>expense_custom4</t>
  </si>
  <si>
    <t>food</t>
  </si>
  <si>
    <t>transportation</t>
  </si>
  <si>
    <t>car_gas_parking</t>
  </si>
  <si>
    <t>phone_bill_long_distant_calls</t>
  </si>
  <si>
    <t>cellular_phones</t>
  </si>
  <si>
    <t>house_maintenance</t>
  </si>
  <si>
    <t>housemaid_babysitter</t>
  </si>
  <si>
    <t>cigarettes</t>
  </si>
  <si>
    <t>extras</t>
  </si>
  <si>
    <t>expense_custom3</t>
  </si>
  <si>
    <t>expense_custom6</t>
  </si>
  <si>
    <t>husband_job_1</t>
  </si>
  <si>
    <t>husband_job_2</t>
  </si>
  <si>
    <t>wife_job_1</t>
  </si>
  <si>
    <t>wife_job_2</t>
  </si>
  <si>
    <t>social_insurance_child_pension</t>
  </si>
  <si>
    <t>disability_pension</t>
  </si>
  <si>
    <t>rent_assistance</t>
  </si>
  <si>
    <t>alimony</t>
  </si>
  <si>
    <t>income_from_property</t>
  </si>
  <si>
    <t>parental_help</t>
  </si>
  <si>
    <t>additional_income</t>
  </si>
  <si>
    <t>misc_income_1</t>
  </si>
  <si>
    <t>misc_income_2</t>
  </si>
  <si>
    <t>debts</t>
  </si>
  <si>
    <t>Names</t>
  </si>
  <si>
    <t>Values</t>
  </si>
  <si>
    <t>01-</t>
  </si>
  <si>
    <t>02-</t>
  </si>
  <si>
    <t>03-</t>
  </si>
  <si>
    <t>04-</t>
  </si>
  <si>
    <t>05-</t>
  </si>
  <si>
    <t>06-</t>
  </si>
  <si>
    <t>07-</t>
  </si>
  <si>
    <t>08-</t>
  </si>
  <si>
    <t>09-</t>
  </si>
  <si>
    <t>10-</t>
  </si>
  <si>
    <t>11-</t>
  </si>
  <si>
    <t>12-</t>
  </si>
  <si>
    <t>FOR PROGRAMER</t>
  </si>
  <si>
    <t>300314</t>
  </si>
  <si>
    <t>Mortgage Payments</t>
  </si>
  <si>
    <t>Life Insurance</t>
  </si>
  <si>
    <t>Home Insurance</t>
  </si>
  <si>
    <t>Medical Insurance</t>
  </si>
  <si>
    <t>Medical Insurance - Extra</t>
  </si>
  <si>
    <t>Mortgage Insurance</t>
  </si>
  <si>
    <t>Rent</t>
  </si>
  <si>
    <t>Fixed Expenses</t>
  </si>
  <si>
    <t>Town Taxes / Maintenance Fees</t>
  </si>
  <si>
    <t xml:space="preserve">Insurance (excl. car) </t>
  </si>
  <si>
    <t>Bank Savings Program</t>
  </si>
  <si>
    <t>Subscriptions</t>
  </si>
  <si>
    <t>Donations</t>
  </si>
  <si>
    <t>Newspaper</t>
  </si>
  <si>
    <t>Cable-TV/Hot/Yes</t>
  </si>
  <si>
    <t>Library</t>
  </si>
  <si>
    <t>Lotteries</t>
  </si>
  <si>
    <t>Sports/Gym</t>
  </si>
  <si>
    <t>Mortgage 1</t>
  </si>
  <si>
    <t>Mortgage 2</t>
  </si>
  <si>
    <t>Mortgage 3</t>
  </si>
  <si>
    <t>Mortgage 4</t>
  </si>
  <si>
    <t>Mortgage 5</t>
  </si>
  <si>
    <t>Mortgage 6</t>
  </si>
  <si>
    <t>Eligible/Complementary</t>
  </si>
  <si>
    <t>Eligible</t>
  </si>
  <si>
    <t>Complementary</t>
  </si>
  <si>
    <t>Total per Month</t>
  </si>
  <si>
    <t>Municipal Taxes</t>
  </si>
  <si>
    <t>Water and Sewage</t>
  </si>
  <si>
    <t>Electricity</t>
  </si>
  <si>
    <t>Gas</t>
  </si>
  <si>
    <t>Heating</t>
  </si>
  <si>
    <t>Education/Schoolbooks</t>
  </si>
  <si>
    <t>Name / Age</t>
  </si>
  <si>
    <t>Total</t>
  </si>
  <si>
    <t>Transportation, meals</t>
  </si>
  <si>
    <t>Payments to the institute</t>
  </si>
  <si>
    <t>Afternoon program / Nanny</t>
  </si>
  <si>
    <t>Private Lessons</t>
  </si>
  <si>
    <t>Parent payments / School trips</t>
  </si>
  <si>
    <t>Books / Stationery</t>
  </si>
  <si>
    <t>Payment per Year (PPY)*</t>
  </si>
  <si>
    <t>PPY*</t>
  </si>
  <si>
    <t>PPM*</t>
  </si>
  <si>
    <t>Extracurricular Activities/Camps/Pool</t>
  </si>
  <si>
    <t xml:space="preserve">  Car Insurance and Licensing</t>
  </si>
  <si>
    <t>Car Maintenance</t>
  </si>
  <si>
    <t>Clothing and Shoes</t>
  </si>
  <si>
    <t>Medicine/Treatment</t>
  </si>
  <si>
    <t>Children activities</t>
  </si>
  <si>
    <t>Parents activities</t>
  </si>
  <si>
    <t>Camps</t>
  </si>
  <si>
    <t>Youth Movement</t>
  </si>
  <si>
    <t>Lectures</t>
  </si>
  <si>
    <t>Studies</t>
  </si>
  <si>
    <t>Pool</t>
  </si>
  <si>
    <t>Other</t>
  </si>
  <si>
    <t>PPY</t>
  </si>
  <si>
    <t>PPM</t>
  </si>
  <si>
    <r>
      <t>*</t>
    </r>
    <r>
      <rPr>
        <b/>
        <sz val="8"/>
        <rFont val="Arial"/>
        <family val="2"/>
      </rPr>
      <t>PPY</t>
    </r>
    <r>
      <rPr>
        <sz val="8"/>
        <rFont val="Arial"/>
        <family val="2"/>
      </rPr>
      <t xml:space="preserve"> = </t>
    </r>
    <r>
      <rPr>
        <b/>
        <sz val="8"/>
        <rFont val="Arial"/>
        <family val="2"/>
      </rPr>
      <t>Actual</t>
    </r>
    <r>
      <rPr>
        <sz val="8"/>
        <rFont val="Arial"/>
        <family val="2"/>
      </rPr>
      <t xml:space="preserve"> mothly payment X number of months to pay in a year</t>
    </r>
  </si>
  <si>
    <r>
      <t xml:space="preserve"> </t>
    </r>
    <r>
      <rPr>
        <b/>
        <sz val="8"/>
        <rFont val="Arial"/>
        <family val="2"/>
      </rPr>
      <t>PPM</t>
    </r>
    <r>
      <rPr>
        <sz val="8"/>
        <rFont val="Arial"/>
        <family val="2"/>
      </rPr>
      <t xml:space="preserve"> = Payment per Month = PPY/12*</t>
    </r>
  </si>
  <si>
    <t>Comprehensive insurance</t>
  </si>
  <si>
    <t>Required insurance</t>
  </si>
  <si>
    <t>Periodic maintenance</t>
  </si>
  <si>
    <t>Tires / Accessories</t>
  </si>
  <si>
    <t>Brit</t>
  </si>
  <si>
    <t>Events at work</t>
  </si>
  <si>
    <t>Kindergarten Teacher / Teacher</t>
  </si>
  <si>
    <t>Parents Summer</t>
  </si>
  <si>
    <t>Parents Winter</t>
  </si>
  <si>
    <t>Children Summer</t>
  </si>
  <si>
    <t>Children Winter</t>
  </si>
  <si>
    <t>Shoes</t>
  </si>
  <si>
    <t>Small Items</t>
  </si>
  <si>
    <t>Expert Consulting</t>
  </si>
  <si>
    <t>Medical instruments</t>
  </si>
  <si>
    <t>Ambulance / Hospital</t>
  </si>
  <si>
    <t>Alternative Medication</t>
  </si>
  <si>
    <t>Medicine</t>
  </si>
  <si>
    <t>Clinic / Professional Doctor</t>
  </si>
  <si>
    <t>Bank Interest and Fees</t>
  </si>
  <si>
    <t>Dental treatments</t>
  </si>
  <si>
    <t>Eyeglasses/Contact Lens</t>
  </si>
  <si>
    <t>Vacations</t>
  </si>
  <si>
    <t>Religious expenses</t>
  </si>
  <si>
    <t>Gifts</t>
  </si>
  <si>
    <t>House Repairs / Small Purchases</t>
  </si>
  <si>
    <t>Haircuts / Cosmetics Treatments</t>
  </si>
  <si>
    <t>National Insurance</t>
  </si>
  <si>
    <t>Holidays</t>
  </si>
  <si>
    <t>Tefilin / Mezuza</t>
  </si>
  <si>
    <t>Seforim</t>
  </si>
  <si>
    <t>Charity / Shul</t>
  </si>
  <si>
    <t>Mikveh / Yizkor</t>
  </si>
  <si>
    <t>Electrical appliances</t>
  </si>
  <si>
    <t>Plumbing</t>
  </si>
  <si>
    <t>Sewing</t>
  </si>
  <si>
    <t>Games / Toys</t>
  </si>
  <si>
    <t>Tools</t>
  </si>
  <si>
    <t>Linens / Towels</t>
  </si>
  <si>
    <t>Bicycles / Stroller</t>
  </si>
  <si>
    <t>Children's driving license</t>
  </si>
  <si>
    <t>Stationery</t>
  </si>
  <si>
    <t>Home Decor</t>
  </si>
  <si>
    <t>Laundry / Dry cleaning</t>
  </si>
  <si>
    <t>Books</t>
  </si>
  <si>
    <t>Computer</t>
  </si>
  <si>
    <t>Photography</t>
  </si>
  <si>
    <t>Lawyer / Accounting / Tax advisor</t>
  </si>
  <si>
    <t>IBA Toll</t>
  </si>
  <si>
    <t>per Month</t>
  </si>
  <si>
    <t>Calculators</t>
  </si>
  <si>
    <t>Calculators (cont.)</t>
  </si>
  <si>
    <t>Monthly Expenses</t>
  </si>
  <si>
    <t>Monthly Income</t>
  </si>
  <si>
    <t>Food</t>
  </si>
  <si>
    <t>Public Transportation</t>
  </si>
  <si>
    <t>Gas and Parking</t>
  </si>
  <si>
    <t>Telephone-Landline/Long Distance</t>
  </si>
  <si>
    <t>Cell Phones</t>
  </si>
  <si>
    <t>How many? __</t>
  </si>
  <si>
    <t>Home</t>
  </si>
  <si>
    <t>Cleaning help / Babysitter</t>
  </si>
  <si>
    <t>Cigarettes</t>
  </si>
  <si>
    <t>Everyday
Expenses</t>
  </si>
  <si>
    <t>Periodical 
Expenses</t>
  </si>
  <si>
    <t>Sum- to date</t>
  </si>
  <si>
    <t>New Budget</t>
  </si>
  <si>
    <t>Monthly Summary</t>
  </si>
  <si>
    <t>Expenses</t>
  </si>
  <si>
    <t>Incone</t>
  </si>
  <si>
    <t>Husband job 1</t>
  </si>
  <si>
    <t>Husband job 2</t>
  </si>
  <si>
    <t>Wife job 1</t>
  </si>
  <si>
    <t>Wife job 2</t>
  </si>
  <si>
    <t>National Social Security for Children</t>
  </si>
  <si>
    <t>Rent Assistance</t>
  </si>
  <si>
    <t>Food Packages</t>
  </si>
  <si>
    <t>Help from parents</t>
  </si>
  <si>
    <t>Total Income</t>
  </si>
  <si>
    <t>Income Type</t>
  </si>
  <si>
    <t>Source</t>
  </si>
  <si>
    <t>Expenses Summary</t>
  </si>
  <si>
    <t>Category</t>
  </si>
  <si>
    <t>Debts Summary</t>
  </si>
  <si>
    <t>Debt Type</t>
  </si>
  <si>
    <t>Amount</t>
  </si>
  <si>
    <t>Total Debts</t>
  </si>
  <si>
    <t>Total debts returns per month</t>
  </si>
  <si>
    <t xml:space="preserve"> NON Arrangement</t>
  </si>
  <si>
    <t>Arrangement</t>
  </si>
  <si>
    <t>Income</t>
  </si>
  <si>
    <t>Expense</t>
  </si>
  <si>
    <t>Diff</t>
  </si>
  <si>
    <t>Diff including debt returns</t>
  </si>
  <si>
    <t>Savings</t>
  </si>
  <si>
    <t>Saving Type</t>
  </si>
  <si>
    <t>Monthly amount</t>
  </si>
  <si>
    <t>Cumulative Sum</t>
  </si>
  <si>
    <t>Availability</t>
  </si>
  <si>
    <t>Periodical</t>
  </si>
  <si>
    <t>Everyday</t>
  </si>
  <si>
    <t>Fixed per Month</t>
  </si>
  <si>
    <t>Total Expenses</t>
  </si>
  <si>
    <t>Grocery</t>
  </si>
  <si>
    <t>Meat</t>
  </si>
  <si>
    <t>Vegetables</t>
  </si>
  <si>
    <t>Organic Food</t>
  </si>
  <si>
    <t>Mineral Water</t>
  </si>
  <si>
    <t>Food at work</t>
  </si>
  <si>
    <t>Catering</t>
  </si>
  <si>
    <t>Supermarkets</t>
  </si>
  <si>
    <t>Parking fees</t>
  </si>
  <si>
    <t>Penalties</t>
  </si>
  <si>
    <t>Toll roads</t>
  </si>
  <si>
    <t>Entertainment</t>
  </si>
  <si>
    <t>Pocket money</t>
  </si>
  <si>
    <t>Restaurants</t>
  </si>
  <si>
    <t>Pets</t>
  </si>
  <si>
    <t>Hobbies</t>
  </si>
  <si>
    <t>Cinema / Videos</t>
  </si>
  <si>
    <t>Occasional / small donations</t>
  </si>
  <si>
    <t>Bicycle Fixing</t>
  </si>
  <si>
    <t>Debts Current Status</t>
  </si>
  <si>
    <t>The Creditor</t>
  </si>
  <si>
    <t>Total Amount</t>
  </si>
  <si>
    <t>on date</t>
  </si>
  <si>
    <t>Interest rate</t>
  </si>
  <si>
    <t>Monthly payment</t>
  </si>
  <si>
    <t>Remaining</t>
  </si>
  <si>
    <t>Comments</t>
  </si>
  <si>
    <t>Total Month payment</t>
  </si>
  <si>
    <t>Total Debts not arranged</t>
  </si>
  <si>
    <t>Type</t>
  </si>
  <si>
    <t>Monthly sum</t>
  </si>
  <si>
    <t>Remaining months</t>
  </si>
  <si>
    <t>Interest Rate</t>
  </si>
  <si>
    <t>Remaining Debt</t>
  </si>
  <si>
    <t>on (date)</t>
  </si>
  <si>
    <t>to Spouse / to children</t>
  </si>
  <si>
    <t>List Everyday Expenses</t>
  </si>
  <si>
    <t>List Periodic Expenses</t>
  </si>
  <si>
    <t>Month</t>
  </si>
  <si>
    <t>Fixed Monthly Expenses</t>
  </si>
  <si>
    <t>Debts Return</t>
  </si>
  <si>
    <t>Periodic Expenses Summary</t>
  </si>
  <si>
    <t>Everyday Expenses summary</t>
  </si>
  <si>
    <t>Planned budget for Fixed Expenses</t>
  </si>
  <si>
    <t>Expense Name</t>
  </si>
  <si>
    <t>Budget</t>
  </si>
  <si>
    <t>actual amount</t>
  </si>
  <si>
    <t>day</t>
  </si>
  <si>
    <t>Expense name</t>
  </si>
  <si>
    <t>Actual amount</t>
  </si>
  <si>
    <t>Total deal</t>
  </si>
  <si>
    <t>payment
number</t>
  </si>
  <si>
    <t>out of</t>
  </si>
  <si>
    <t>Planned Budget for Everyday Expenses</t>
  </si>
  <si>
    <t>Planned Budget for Income</t>
  </si>
  <si>
    <t>Income Name</t>
  </si>
  <si>
    <t>Average Income so far</t>
  </si>
  <si>
    <t>Cummulative Difference in Income</t>
  </si>
  <si>
    <t>Budget to Actual Difference</t>
  </si>
  <si>
    <t>other Allowances</t>
  </si>
  <si>
    <t>Income from Property</t>
  </si>
  <si>
    <t>Debts</t>
  </si>
  <si>
    <t>Year</t>
  </si>
  <si>
    <t>Data from last year's Rishumon</t>
  </si>
  <si>
    <t>Use this part only if you've completed 12 months</t>
  </si>
  <si>
    <t>in previous workbook and you're now opening a new one.</t>
  </si>
  <si>
    <t>See sheet "Next Year" in the workbook you've completed.</t>
  </si>
  <si>
    <t xml:space="preserve">Remining budget Everyday Ex:   </t>
  </si>
  <si>
    <t xml:space="preserve">Remaining budget Periodic Ex:   </t>
  </si>
  <si>
    <t xml:space="preserve">Balance in Bank/s:   </t>
  </si>
  <si>
    <t xml:space="preserve">Balance in Bank/s at end of year:   </t>
  </si>
  <si>
    <t>Payment Method</t>
  </si>
  <si>
    <t>To add "Payment Method" and "Comments",</t>
  </si>
  <si>
    <t>In order to get additional lines for listing</t>
  </si>
  <si>
    <t>press the</t>
  </si>
  <si>
    <t>button to the right.</t>
  </si>
  <si>
    <t>(Macros must be enabled)</t>
  </si>
  <si>
    <t>Method</t>
  </si>
  <si>
    <t>Planned budget for Debts</t>
  </si>
  <si>
    <t>Creditor name</t>
  </si>
  <si>
    <t>Remaining Budget</t>
  </si>
  <si>
    <t>pay #</t>
  </si>
  <si>
    <t xml:space="preserve"> out of</t>
  </si>
  <si>
    <t>End of Month</t>
  </si>
  <si>
    <t>Difference in Fixed Expenses</t>
  </si>
  <si>
    <t>Difference in Debts Returns</t>
  </si>
  <si>
    <t>Month Summary</t>
  </si>
  <si>
    <t>Periodic Expenses</t>
  </si>
  <si>
    <t>Everyday Expenses</t>
  </si>
  <si>
    <t>Actual</t>
  </si>
  <si>
    <t>at end of month</t>
  </si>
  <si>
    <t>Balance in bank/s</t>
  </si>
  <si>
    <t>Offset for yearly budget overrun in Periodic Expenses</t>
  </si>
  <si>
    <t>For each expense name with budget overrun, choose one of the following:</t>
  </si>
  <si>
    <t xml:space="preserve">1- Automatic offset using Everyday Expenses budget.                </t>
  </si>
  <si>
    <t>Color Map</t>
  </si>
  <si>
    <t>%</t>
  </si>
  <si>
    <t>Yearly Remaining Budget</t>
  </si>
  <si>
    <t>color</t>
  </si>
  <si>
    <t>No</t>
  </si>
  <si>
    <t>Yes</t>
  </si>
  <si>
    <t>Pass</t>
  </si>
  <si>
    <t>Don't Pass</t>
  </si>
  <si>
    <t>Periodic Expenses Deals</t>
  </si>
  <si>
    <t>expense name</t>
  </si>
  <si>
    <t>Monthly Budget</t>
  </si>
  <si>
    <t>Yearly Budget</t>
  </si>
  <si>
    <t>Deal amount</t>
  </si>
  <si>
    <t>Yearly budget left</t>
  </si>
  <si>
    <t>Monthly Actuals Summary</t>
  </si>
  <si>
    <t>Income-Expenses Diff</t>
  </si>
  <si>
    <t>Difference (Debts included)</t>
  </si>
  <si>
    <t>Actuals</t>
  </si>
  <si>
    <t>Periodical Expenses</t>
  </si>
  <si>
    <t>Income-Expenses Difference</t>
  </si>
  <si>
    <t>Shikuf</t>
  </si>
  <si>
    <t>Other Income</t>
  </si>
  <si>
    <t>Here you may need to map between names you used and those used by the software</t>
  </si>
  <si>
    <t>Planned Budget 
for Everyday Expenses</t>
  </si>
  <si>
    <t>Planned budget 
for Debts</t>
  </si>
  <si>
    <t>Budget to pass to next month's Periodic Expense Budget</t>
  </si>
  <si>
    <t>Remaining budget, Everyday exp.</t>
  </si>
  <si>
    <t>Pass to next month's Everyday Exp. Budget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</si>
  <si>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</si>
  <si>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</si>
  <si>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</si>
  <si>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</si>
  <si>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</si>
  <si>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</si>
  <si>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</si>
  <si>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</si>
  <si>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</si>
  <si>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</si>
  <si>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</si>
  <si>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</si>
  <si>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r>
      <t>Average</t>
    </r>
    <r>
      <rPr>
        <sz val="11"/>
        <rFont val="Arial"/>
        <family val="2"/>
      </rPr>
      <t xml:space="preserve"> from:</t>
    </r>
  </si>
  <si>
    <t>To:</t>
  </si>
  <si>
    <t>Remaining payments</t>
  </si>
  <si>
    <t xml:space="preserve">Here you'll find a list of actions you need to do in order to have a smooth continuity between the two files. </t>
  </si>
  <si>
    <t>1. Copy the latest budget (from worksheet L) into worksheet "Month A" of the new file. Make budget changes, if needed.</t>
  </si>
  <si>
    <t>2. Copy the following 3 numbers  into worksheet "Month A" of the new file.</t>
  </si>
  <si>
    <t>3. Move credit card delayed payments to the new year's file.</t>
  </si>
  <si>
    <t xml:space="preserve">   In next year's file you will need to write the 2nd half of the deal. Which is 1,400 NIS in 7 payments, starting on 'Month A'.</t>
  </si>
  <si>
    <t xml:space="preserve">   How should this be inserted to the Rishumon?</t>
  </si>
  <si>
    <t>Name</t>
  </si>
  <si>
    <t># of payments</t>
  </si>
  <si>
    <t>Example: 2nd half of the heater deal on the 10th month</t>
  </si>
  <si>
    <t>Towards next year…</t>
  </si>
  <si>
    <t xml:space="preserve">rev: </t>
  </si>
  <si>
    <t>General Rules</t>
  </si>
  <si>
    <t>Choose what to import:</t>
  </si>
  <si>
    <t xml:space="preserve"> - In the 'Shikuf' as well as in the 12 months worksheets:</t>
  </si>
  <si>
    <t>Internet supplier</t>
  </si>
  <si>
    <t>Licensing + Test</t>
  </si>
  <si>
    <t>Yearly difference (including debts)</t>
  </si>
  <si>
    <t xml:space="preserve">If you have completed filling 12 months of this year and you want to open a new year, this worksheet is relevant to you. </t>
  </si>
  <si>
    <t>Don't forget credit card payments*</t>
  </si>
  <si>
    <t xml:space="preserve">0 - Change budget starting next month (requires manual change) </t>
  </si>
  <si>
    <t>Planned Budget for 
Periodic Expenses</t>
  </si>
  <si>
    <t xml:space="preserve">       click the</t>
  </si>
  <si>
    <t>Budget                                               Name</t>
  </si>
  <si>
    <t>Balance in bank/s at end of month</t>
  </si>
  <si>
    <t>Month                                                 Name</t>
  </si>
  <si>
    <r>
      <t xml:space="preserve">  This number should be copied to cell </t>
    </r>
    <r>
      <rPr>
        <b/>
        <sz val="11"/>
        <color indexed="8"/>
        <rFont val="Arial"/>
        <family val="2"/>
      </rPr>
      <t>Y54</t>
    </r>
    <r>
      <rPr>
        <sz val="11"/>
        <color theme="1"/>
        <rFont val="Arial"/>
        <family val="2"/>
        <charset val="177"/>
        <scheme val="minor"/>
      </rPr>
      <t xml:space="preserve"> in worksheet "Month A" of the new file</t>
    </r>
  </si>
  <si>
    <r>
      <t xml:space="preserve">  This number should be copied to cell </t>
    </r>
    <r>
      <rPr>
        <b/>
        <sz val="11"/>
        <color indexed="8"/>
        <rFont val="Arial"/>
        <family val="2"/>
      </rPr>
      <t>Y55</t>
    </r>
    <r>
      <rPr>
        <sz val="11"/>
        <color theme="1"/>
        <rFont val="Arial"/>
        <family val="2"/>
        <charset val="177"/>
        <scheme val="minor"/>
      </rPr>
      <t xml:space="preserve"> in worksheet "Month A" of the new file</t>
    </r>
  </si>
  <si>
    <r>
      <t xml:space="preserve">  And this one should be copied to cell </t>
    </r>
    <r>
      <rPr>
        <b/>
        <sz val="11"/>
        <color indexed="8"/>
        <rFont val="Arial"/>
        <family val="2"/>
      </rPr>
      <t>Y56</t>
    </r>
    <r>
      <rPr>
        <sz val="11"/>
        <color theme="1"/>
        <rFont val="Arial"/>
        <family val="2"/>
        <charset val="177"/>
        <scheme val="minor"/>
      </rPr>
      <t xml:space="preserve"> in worksheet "Month A" of the new file</t>
    </r>
  </si>
  <si>
    <t xml:space="preserve">       buttons on top (Macros must be enabled!).</t>
  </si>
  <si>
    <t>Cash</t>
  </si>
  <si>
    <t>Check</t>
  </si>
  <si>
    <t>Credit Card</t>
  </si>
  <si>
    <t>Vouchers</t>
  </si>
  <si>
    <t>Direct Debit</t>
  </si>
  <si>
    <t>Bar/Bat Mitzvah</t>
  </si>
  <si>
    <t>Weddings</t>
  </si>
  <si>
    <t>Birthdays</t>
  </si>
  <si>
    <t>Diapers / Baby food</t>
  </si>
  <si>
    <t>Kitchen accesories / furniture</t>
  </si>
  <si>
    <t>Garden</t>
  </si>
  <si>
    <t>Small Purchases</t>
  </si>
  <si>
    <t xml:space="preserve">         www.paamonim.org</t>
  </si>
  <si>
    <t>www.paamonim.org</t>
  </si>
  <si>
    <r>
      <t xml:space="preserve">                                      </t>
    </r>
    <r>
      <rPr>
        <sz val="11"/>
        <color indexed="36"/>
        <rFont val="Arial"/>
        <family val="2"/>
      </rPr>
      <t>www.paamonim.org</t>
    </r>
  </si>
  <si>
    <t xml:space="preserve">                                      www.paamonim.org</t>
  </si>
  <si>
    <t>Warnings</t>
  </si>
  <si>
    <t>Debts return</t>
  </si>
  <si>
    <t>Actual Amount</t>
  </si>
  <si>
    <t xml:space="preserve">Remaining budget Everyday Ex:   </t>
  </si>
  <si>
    <r>
      <t xml:space="preserve">   </t>
    </r>
    <r>
      <rPr>
        <b/>
        <u/>
        <sz val="11"/>
        <color indexed="8"/>
        <rFont val="Arial"/>
        <family val="2"/>
      </rPr>
      <t>Example:</t>
    </r>
    <r>
      <rPr>
        <sz val="11"/>
        <color theme="1"/>
        <rFont val="Arial"/>
        <family val="2"/>
        <charset val="177"/>
        <scheme val="minor"/>
      </rPr>
      <t xml:space="preserve"> During the 10th month you purchased an electric heater. Total cost was 2,000 NIS, and you choose 10 equal payments.</t>
    </r>
  </si>
  <si>
    <t xml:space="preserve">  To remember this 2nd half, write it down in the table below (as in this example), and pass it on to the next year's file, once you start using it.</t>
  </si>
  <si>
    <t>Repairs</t>
  </si>
  <si>
    <t>- You can add a comment to any cell by right-clicking it and selecting 'add comment'.</t>
  </si>
  <si>
    <t>- Macros must be enabled in order to open the hidden columns for 'Payment Method' and 'Comments'</t>
  </si>
  <si>
    <t>Fixed - Custom Field1</t>
  </si>
  <si>
    <t>Fixed - Custom Field2</t>
  </si>
  <si>
    <t>Periodic - Custom Field1</t>
  </si>
  <si>
    <t>Periodic - Custom Field2</t>
  </si>
  <si>
    <t>Everyday - Custom Field1</t>
  </si>
  <si>
    <t>Everyday - Custom Field2</t>
  </si>
  <si>
    <t>Income - Custom Field1</t>
  </si>
  <si>
    <t>Income - Custom Field2</t>
  </si>
  <si>
    <t>Total Debts in Arrangement</t>
  </si>
  <si>
    <r>
      <t xml:space="preserve">   In order not to forget, it's recommended to </t>
    </r>
    <r>
      <rPr>
        <b/>
        <sz val="11"/>
        <color indexed="8"/>
        <rFont val="Arial"/>
        <family val="2"/>
      </rPr>
      <t>write them down immediately when the deal is listed.</t>
    </r>
    <r>
      <rPr>
        <sz val="11"/>
        <color theme="1"/>
        <rFont val="Arial"/>
        <family val="2"/>
        <charset val="177"/>
        <scheme val="minor"/>
      </rPr>
      <t xml:space="preserve"> Follow the Example bellow.</t>
    </r>
  </si>
  <si>
    <t xml:space="preserve">   Well, in this year's file, on the 10th month under 'House Repairs / Small Purchases', write a deal of 600 NIS in 3 payments, 200 NIS each.</t>
  </si>
  <si>
    <t>Budgets (a budget will appear only if there's a change from the previous month's budget)</t>
  </si>
  <si>
    <t xml:space="preserve">Step A: Figure out what's your current status - 'Shikuf' sheet </t>
  </si>
  <si>
    <t>3. Fill in the savings table (columns J K L, lines 43-49).</t>
  </si>
  <si>
    <t>4. Make sure that the budget cells are filled (all areas marked with a purple frame, 5 areas). If not, fill them.</t>
  </si>
  <si>
    <t xml:space="preserve">1. On the top of 'Month A' sheet, fill in 'Month' and 'Year' (cells M2 &amp; N2). </t>
  </si>
  <si>
    <t xml:space="preserve">2. Check the expense names classification, according to the following definitions: </t>
  </si>
  <si>
    <t xml:space="preserve">      Everyday Expenses - occur every month in varying amounts. </t>
  </si>
  <si>
    <t xml:space="preserve">      Periodic Expenses - do not occur every month. </t>
  </si>
  <si>
    <t xml:space="preserve">Step B: preparing a budget – : 'Shikuf' sheet </t>
  </si>
  <si>
    <t xml:space="preserve">Step C: Preparing the monthly sheets – sheet 'Month A' to sheet 'L'. </t>
  </si>
  <si>
    <t xml:space="preserve">Step D: Activity registration and control - 'Month A' to 'L' spreadsheets. </t>
  </si>
  <si>
    <t xml:space="preserve">1. During the month, write down any financial activity - Income or expense, on a daily basis. (columns H and O.).                                     </t>
  </si>
  <si>
    <t xml:space="preserve">2. Make sure not to exceed the remaining budget for Everyday Expenses (column M).                                       </t>
  </si>
  <si>
    <t>5. For peace of mind, it's recommended to write the balance in the bank account/s at the end of each month (cell R59).</t>
  </si>
  <si>
    <t xml:space="preserve">    For Periodic Expenses, make sure not to exceed the remaining budget (column W) AND not to exceed the yearly remaining budget for any expense name (column AE).                                                </t>
  </si>
  <si>
    <t>3. If necessary, you may move an expense name by deleting it and re-writing it in the right category. Please note! Do NOT drag the expense name and do NOT use cut &amp; paste.</t>
  </si>
  <si>
    <r>
      <t xml:space="preserve">4. Look out for potential warnings. These will always appear as </t>
    </r>
    <r>
      <rPr>
        <b/>
        <sz val="11"/>
        <color rgb="FFFF0000"/>
        <rFont val="Arial"/>
        <family val="2"/>
        <scheme val="minor"/>
      </rPr>
      <t>bold red text on a yellow background</t>
    </r>
    <r>
      <rPr>
        <sz val="11"/>
        <color theme="1"/>
        <rFont val="Arial"/>
        <family val="2"/>
        <charset val="177"/>
        <scheme val="minor"/>
      </rPr>
      <t>. Look at the warnings and take action, if necessary.</t>
    </r>
  </si>
  <si>
    <t xml:space="preserve">1. Fill in column F for each expense name. The amount to write, is the monthly average based on last year recorded expenses. </t>
  </si>
  <si>
    <t xml:space="preserve">    Using the calculator can assist you in getting the right monthly amount you pay for this expense name. </t>
  </si>
  <si>
    <t>3. At the end of the month, make sure you didn't forget anything, and if needed, complete what is missing.</t>
  </si>
  <si>
    <t xml:space="preserve">     Colored cells are automatically calculated, and in most cases cannot be changed by the user. They are password protected.</t>
  </si>
  <si>
    <t xml:space="preserve">2. Fill in column K for all of the income types. The amount to write, is the monthly average based on last year recorded incomes. </t>
  </si>
  <si>
    <t>Now you can see and understand your current status. In row 33, cells I-l, you can see your monthly balance. This will assist you in preparing your budget.</t>
  </si>
  <si>
    <t>1. Fill in the budget column for expenses (column G) and the budget column for income (column L). Refer to the 'Sum- to date' column to your left, and try to make the budget better.</t>
  </si>
  <si>
    <t xml:space="preserve">      Fixed Monthly Expenses - occur every month at a fixed amount. </t>
  </si>
  <si>
    <t>- The three sheets after the month's sheets (starting with "Yearly Sum" worksheet), are for display only. They cannot be changed by the user.</t>
  </si>
  <si>
    <t xml:space="preserve">   Some of the entries have a clickable icon next to it. If you click on it, you will be automatically transferred to another area with a list of sub-categories for this expense. </t>
  </si>
  <si>
    <t xml:space="preserve">2. The budget you've created will become the reference budget in the individual months spreadsheets. </t>
  </si>
  <si>
    <t xml:space="preserve">     White cells within a table should be filled by the user.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</si>
</sst>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 * #,##0.00_ ;_ * \-#,##0.00_ ;_ * &quot;-&quot;??_ ;_ @_ "/>
    <numFmt numFmtId="164" formatCode="_ * #,##0_ ;_ * \-#,##0_ ;_ * &quot;-&quot;??_ ;_ @_ "/>
    <numFmt numFmtId="165" formatCode="#,##0_ ;\-#,##0\ "/>
    <numFmt numFmtId="166" formatCode="General;;"/>
    <numFmt numFmtId="167" formatCode="#,##0_ ;[Red]\-#,##0\ "/>
    <numFmt numFmtId="168" formatCode="[$-1010000]d/m/yyyy;@"/>
    <numFmt numFmtId="169" formatCode="[=0]&quot;&quot;;0"/>
  </numFmts>
  <fonts count="133">
    <font>
      <sz val="11"/>
      <color theme="1"/>
      <name val="Arial"/>
      <family val="2"/>
      <charset val="177"/>
      <scheme val="minor"/>
    </font>
    <font>
      <sz val="11"/>
      <color theme="1"/>
      <name val="Arial"/>
      <family val="2"/>
      <scheme val="minor"/>
    </font>
    <font>
      <b/>
      <sz val="12"/>
      <name val="Arial"/>
      <family val="2"/>
    </font>
    <font>
      <b/>
      <sz val="12"/>
      <name val="David"/>
      <family val="2"/>
      <charset val="177"/>
    </font>
    <font>
      <b/>
      <sz val="11"/>
      <color indexed="8"/>
      <name val="Arial"/>
      <family val="2"/>
    </font>
    <font>
      <sz val="12"/>
      <name val="David"/>
      <family val="2"/>
      <charset val="177"/>
    </font>
    <font>
      <sz val="12"/>
      <name val="Arial"/>
      <family val="2"/>
    </font>
    <font>
      <sz val="11"/>
      <name val="Arial"/>
      <family val="2"/>
    </font>
    <font>
      <b/>
      <sz val="14"/>
      <name val="David"/>
      <family val="2"/>
      <charset val="177"/>
    </font>
    <font>
      <b/>
      <sz val="10"/>
      <name val="David"/>
      <family val="2"/>
      <charset val="177"/>
    </font>
    <font>
      <b/>
      <sz val="11"/>
      <name val="David"/>
      <family val="2"/>
      <charset val="177"/>
    </font>
    <font>
      <b/>
      <sz val="11.6"/>
      <name val="David"/>
      <family val="2"/>
      <charset val="177"/>
    </font>
    <font>
      <b/>
      <sz val="12"/>
      <color indexed="8"/>
      <name val="David"/>
      <family val="2"/>
      <charset val="177"/>
    </font>
    <font>
      <sz val="9"/>
      <name val="David"/>
      <family val="2"/>
      <charset val="177"/>
    </font>
    <font>
      <sz val="11"/>
      <name val="David"/>
      <family val="2"/>
      <charset val="177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b/>
      <sz val="12"/>
      <color indexed="8"/>
      <name val="Tahoma"/>
      <family val="2"/>
    </font>
    <font>
      <b/>
      <sz val="10"/>
      <name val="Tahoma"/>
      <family val="2"/>
    </font>
    <font>
      <b/>
      <sz val="9"/>
      <name val="Tahoma"/>
      <family val="2"/>
    </font>
    <font>
      <sz val="9"/>
      <color indexed="8"/>
      <name val="Tahoma"/>
      <family val="2"/>
    </font>
    <font>
      <sz val="9"/>
      <name val="Tahoma"/>
      <family val="2"/>
    </font>
    <font>
      <b/>
      <sz val="9"/>
      <color indexed="81"/>
      <name val="Tahoma"/>
      <family val="2"/>
    </font>
    <font>
      <b/>
      <u/>
      <sz val="11"/>
      <color indexed="8"/>
      <name val="Arial"/>
      <family val="2"/>
    </font>
    <font>
      <b/>
      <sz val="9"/>
      <color indexed="8"/>
      <name val="Tahoma"/>
      <family val="2"/>
    </font>
    <font>
      <sz val="10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color indexed="8"/>
      <name val="Arial"/>
      <family val="2"/>
      <charset val="177"/>
    </font>
    <font>
      <b/>
      <sz val="8"/>
      <color indexed="8"/>
      <name val="Arial"/>
      <family val="2"/>
      <charset val="177"/>
    </font>
    <font>
      <b/>
      <sz val="8"/>
      <name val="Arial"/>
      <family val="2"/>
    </font>
    <font>
      <b/>
      <sz val="8"/>
      <color indexed="63"/>
      <name val="Arial"/>
      <family val="2"/>
    </font>
    <font>
      <b/>
      <sz val="9"/>
      <color indexed="8"/>
      <name val="Arial"/>
      <family val="2"/>
    </font>
    <font>
      <b/>
      <u/>
      <sz val="11"/>
      <color indexed="9"/>
      <name val="Arial"/>
      <family val="2"/>
    </font>
    <font>
      <sz val="9"/>
      <color indexed="8"/>
      <name val="Arial"/>
      <family val="2"/>
      <charset val="177"/>
    </font>
    <font>
      <sz val="11"/>
      <color indexed="8"/>
      <name val="Arial"/>
      <family val="2"/>
      <charset val="177"/>
    </font>
    <font>
      <b/>
      <sz val="9"/>
      <color indexed="63"/>
      <name val="Arial"/>
      <family val="2"/>
    </font>
    <font>
      <sz val="9"/>
      <color indexed="8"/>
      <name val="Wingdings 3"/>
      <family val="1"/>
      <charset val="2"/>
    </font>
    <font>
      <b/>
      <sz val="9"/>
      <name val="Arial"/>
      <family val="2"/>
    </font>
    <font>
      <sz val="9"/>
      <color indexed="8"/>
      <name val="Arial"/>
      <family val="2"/>
    </font>
    <font>
      <b/>
      <sz val="11"/>
      <color indexed="9"/>
      <name val="Arial"/>
      <family val="2"/>
    </font>
    <font>
      <b/>
      <u/>
      <sz val="14"/>
      <color indexed="8"/>
      <name val="David"/>
      <family val="2"/>
      <charset val="177"/>
    </font>
    <font>
      <sz val="11"/>
      <color indexed="36"/>
      <name val="Arial"/>
      <family val="2"/>
    </font>
    <font>
      <sz val="11"/>
      <color indexed="22"/>
      <name val="Arial"/>
      <family val="2"/>
    </font>
    <font>
      <b/>
      <sz val="10"/>
      <color indexed="8"/>
      <name val="Arial"/>
      <family val="2"/>
    </font>
    <font>
      <b/>
      <u/>
      <sz val="12"/>
      <name val="David"/>
      <family val="2"/>
      <charset val="177"/>
    </font>
    <font>
      <b/>
      <sz val="12"/>
      <name val="David"/>
      <family val="2"/>
    </font>
    <font>
      <b/>
      <u/>
      <sz val="14"/>
      <name val="David"/>
      <family val="2"/>
    </font>
    <font>
      <sz val="11"/>
      <color theme="1"/>
      <name val="Arial"/>
      <family val="2"/>
      <charset val="177"/>
      <scheme val="minor"/>
    </font>
    <font>
      <sz val="11"/>
      <color theme="1"/>
      <name val="Tahoma"/>
      <family val="2"/>
      <charset val="177"/>
    </font>
    <font>
      <sz val="11"/>
      <color theme="0"/>
      <name val="Tahoma"/>
      <family val="2"/>
      <charset val="177"/>
    </font>
    <font>
      <sz val="11"/>
      <color theme="1"/>
      <name val="Arial"/>
      <family val="2"/>
      <charset val="177"/>
    </font>
    <font>
      <u/>
      <sz val="8.8000000000000007"/>
      <color theme="10"/>
      <name val="Calibri"/>
      <family val="2"/>
      <charset val="177"/>
    </font>
    <font>
      <b/>
      <sz val="11"/>
      <color rgb="FFFA7D00"/>
      <name val="Tahoma"/>
      <family val="2"/>
      <charset val="177"/>
    </font>
    <font>
      <sz val="11"/>
      <color rgb="FF006100"/>
      <name val="Tahoma"/>
      <family val="2"/>
      <charset val="177"/>
    </font>
    <font>
      <sz val="11"/>
      <color rgb="FFFF0000"/>
      <name val="Tahoma"/>
      <family val="2"/>
      <charset val="177"/>
    </font>
    <font>
      <i/>
      <sz val="11"/>
      <color rgb="FF7F7F7F"/>
      <name val="Tahoma"/>
      <family val="2"/>
      <charset val="177"/>
    </font>
    <font>
      <sz val="18"/>
      <color theme="3"/>
      <name val="Times New Roman"/>
      <family val="2"/>
      <charset val="177"/>
      <scheme val="major"/>
    </font>
    <font>
      <b/>
      <sz val="15"/>
      <color theme="3"/>
      <name val="Tahoma"/>
      <family val="2"/>
      <charset val="177"/>
    </font>
    <font>
      <b/>
      <sz val="13"/>
      <color theme="3"/>
      <name val="Tahoma"/>
      <family val="2"/>
      <charset val="177"/>
    </font>
    <font>
      <b/>
      <sz val="11"/>
      <color theme="3"/>
      <name val="Tahoma"/>
      <family val="2"/>
      <charset val="177"/>
    </font>
    <font>
      <sz val="11"/>
      <color rgb="FF9C6500"/>
      <name val="Tahoma"/>
      <family val="2"/>
      <charset val="177"/>
    </font>
    <font>
      <b/>
      <sz val="11"/>
      <color theme="1"/>
      <name val="Tahoma"/>
      <family val="2"/>
      <charset val="177"/>
    </font>
    <font>
      <b/>
      <sz val="11"/>
      <color rgb="FF3F3F3F"/>
      <name val="Tahoma"/>
      <family val="2"/>
      <charset val="177"/>
    </font>
    <font>
      <sz val="11"/>
      <color rgb="FF3F3F76"/>
      <name val="Tahoma"/>
      <family val="2"/>
      <charset val="177"/>
    </font>
    <font>
      <sz val="11"/>
      <color rgb="FF9C0006"/>
      <name val="Tahoma"/>
      <family val="2"/>
      <charset val="177"/>
    </font>
    <font>
      <b/>
      <sz val="11"/>
      <color theme="0"/>
      <name val="Tahoma"/>
      <family val="2"/>
      <charset val="177"/>
    </font>
    <font>
      <sz val="11"/>
      <color rgb="FFFA7D00"/>
      <name val="Tahoma"/>
      <family val="2"/>
      <charset val="177"/>
    </font>
    <font>
      <sz val="12"/>
      <color theme="1"/>
      <name val="David"/>
      <family val="2"/>
      <charset val="177"/>
    </font>
    <font>
      <b/>
      <sz val="12"/>
      <color theme="1"/>
      <name val="David"/>
      <family val="2"/>
      <charset val="177"/>
    </font>
    <font>
      <b/>
      <sz val="9"/>
      <color theme="1"/>
      <name val="David"/>
      <family val="2"/>
      <charset val="177"/>
    </font>
    <font>
      <b/>
      <sz val="14"/>
      <color theme="1"/>
      <name val="Arial"/>
      <family val="2"/>
      <charset val="177"/>
      <scheme val="minor"/>
    </font>
    <font>
      <sz val="9"/>
      <color theme="1"/>
      <name val="Tahoma"/>
      <family val="2"/>
    </font>
    <font>
      <b/>
      <sz val="11"/>
      <color theme="1"/>
      <name val="Arial"/>
      <family val="2"/>
      <scheme val="minor"/>
    </font>
    <font>
      <b/>
      <u/>
      <sz val="16"/>
      <color theme="8" tint="0.59999389629810485"/>
      <name val="Arial"/>
      <family val="2"/>
      <scheme val="minor"/>
    </font>
    <font>
      <b/>
      <u/>
      <sz val="14"/>
      <color theme="8" tint="0.59999389629810485"/>
      <name val="Arial"/>
      <family val="2"/>
      <scheme val="minor"/>
    </font>
    <font>
      <b/>
      <sz val="11"/>
      <color theme="1"/>
      <name val="Arial"/>
      <family val="2"/>
      <charset val="177"/>
    </font>
    <font>
      <b/>
      <sz val="11"/>
      <color rgb="FFFF0000"/>
      <name val="Arial"/>
      <family val="2"/>
      <scheme val="minor"/>
    </font>
    <font>
      <u/>
      <sz val="11"/>
      <color theme="1"/>
      <name val="Arial"/>
      <family val="2"/>
      <charset val="177"/>
      <scheme val="minor"/>
    </font>
    <font>
      <b/>
      <sz val="14"/>
      <color theme="8" tint="0.59999389629810485"/>
      <name val="Arial"/>
      <family val="2"/>
      <scheme val="minor"/>
    </font>
    <font>
      <b/>
      <sz val="14"/>
      <color indexed="44" tint="0.59999389629810485"/>
      <name val="Arial"/>
      <family val="2"/>
      <scheme val="minor"/>
    </font>
    <font>
      <b/>
      <sz val="14"/>
      <color indexed="44"/>
      <name val="Arial"/>
      <family val="2"/>
      <scheme val="minor"/>
    </font>
    <font>
      <b/>
      <sz val="11"/>
      <name val="Arial"/>
      <family val="2"/>
      <charset val="177"/>
      <scheme val="minor"/>
    </font>
    <font>
      <sz val="11"/>
      <name val="Arial"/>
      <family val="2"/>
      <scheme val="minor"/>
    </font>
    <font>
      <b/>
      <u/>
      <sz val="11"/>
      <color theme="1"/>
      <name val="Arial"/>
      <family val="2"/>
      <scheme val="minor"/>
    </font>
    <font>
      <sz val="8"/>
      <color theme="1"/>
      <name val="Arial"/>
      <family val="2"/>
      <charset val="177"/>
      <scheme val="minor"/>
    </font>
    <font>
      <b/>
      <sz val="8"/>
      <color theme="1"/>
      <name val="Arial"/>
      <family val="2"/>
      <scheme val="minor"/>
    </font>
    <font>
      <b/>
      <sz val="8"/>
      <color theme="1"/>
      <name val="Arial"/>
      <family val="2"/>
      <charset val="177"/>
      <scheme val="minor"/>
    </font>
    <font>
      <sz val="11"/>
      <color theme="1"/>
      <name val="Arial"/>
      <family val="2"/>
      <scheme val="minor"/>
    </font>
    <font>
      <sz val="12"/>
      <color theme="1"/>
      <name val="Geula"/>
    </font>
    <font>
      <u val="double"/>
      <sz val="12"/>
      <color theme="1"/>
      <name val="Geula"/>
    </font>
    <font>
      <b/>
      <sz val="12"/>
      <color theme="1"/>
      <name val="Geula"/>
      <charset val="177"/>
    </font>
    <font>
      <b/>
      <sz val="9"/>
      <color theme="0"/>
      <name val="Arial"/>
      <family val="2"/>
    </font>
    <font>
      <sz val="14"/>
      <color theme="1"/>
      <name val="Arial"/>
      <family val="2"/>
      <charset val="177"/>
      <scheme val="minor"/>
    </font>
    <font>
      <b/>
      <sz val="12"/>
      <color rgb="FFFF0000"/>
      <name val="Arial"/>
      <family val="2"/>
      <scheme val="minor"/>
    </font>
    <font>
      <b/>
      <sz val="14"/>
      <color theme="1"/>
      <name val="David"/>
      <family val="2"/>
      <charset val="177"/>
    </font>
    <font>
      <b/>
      <sz val="12"/>
      <color theme="0"/>
      <name val="David"/>
      <family val="2"/>
      <charset val="177"/>
    </font>
    <font>
      <b/>
      <sz val="11"/>
      <color theme="1"/>
      <name val="Arial"/>
      <family val="2"/>
    </font>
    <font>
      <b/>
      <sz val="10"/>
      <color theme="1"/>
      <name val="Tahoma"/>
      <family val="2"/>
    </font>
    <font>
      <b/>
      <sz val="11"/>
      <color theme="0"/>
      <name val="Arial"/>
      <family val="2"/>
      <scheme val="minor"/>
    </font>
    <font>
      <u/>
      <sz val="8.8000000000000007"/>
      <color theme="10"/>
      <name val="Wingdings 2"/>
      <family val="1"/>
      <charset val="2"/>
    </font>
    <font>
      <sz val="11"/>
      <color rgb="FF7030A0"/>
      <name val="Arial"/>
      <family val="2"/>
      <scheme val="minor"/>
    </font>
    <font>
      <sz val="11"/>
      <color theme="3" tint="0.79998168889431442"/>
      <name val="Arial"/>
      <family val="2"/>
      <charset val="177"/>
      <scheme val="minor"/>
    </font>
    <font>
      <u/>
      <sz val="11"/>
      <color theme="0" tint="-0.14999847407452621"/>
      <name val="Arial"/>
      <family val="2"/>
      <charset val="177"/>
      <scheme val="minor"/>
    </font>
    <font>
      <sz val="11"/>
      <color theme="0" tint="-0.1499984740745262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b/>
      <sz val="11"/>
      <color theme="1"/>
      <name val="Arial"/>
      <family val="2"/>
      <charset val="177"/>
      <scheme val="minor"/>
    </font>
    <font>
      <b/>
      <u/>
      <sz val="14"/>
      <color theme="1"/>
      <name val="David"/>
      <family val="2"/>
      <charset val="177"/>
    </font>
    <font>
      <sz val="11"/>
      <color theme="1"/>
      <name val="Arial"/>
      <family val="2"/>
    </font>
    <font>
      <sz val="14"/>
      <color theme="1"/>
      <name val="David"/>
      <family val="2"/>
      <charset val="177"/>
    </font>
    <font>
      <sz val="10"/>
      <color theme="1"/>
      <name val="Arial Unicode MS"/>
      <family val="2"/>
    </font>
    <font>
      <sz val="11"/>
      <color theme="0" tint="-0.249977111117893"/>
      <name val="Arial"/>
      <family val="2"/>
      <charset val="177"/>
      <scheme val="minor"/>
    </font>
    <font>
      <sz val="11"/>
      <color theme="6" tint="0.59999389629810485"/>
      <name val="Arial"/>
      <family val="2"/>
      <charset val="177"/>
      <scheme val="minor"/>
    </font>
    <font>
      <b/>
      <sz val="11"/>
      <color theme="6" tint="0.79998168889431442"/>
      <name val="Arial"/>
      <family val="2"/>
      <charset val="177"/>
      <scheme val="minor"/>
    </font>
    <font>
      <sz val="11"/>
      <color theme="6" tint="0.79998168889431442"/>
      <name val="Arial"/>
      <family val="2"/>
      <charset val="177"/>
      <scheme val="minor"/>
    </font>
    <font>
      <b/>
      <sz val="11"/>
      <color indexed="10"/>
      <name val="Arial"/>
      <family val="2"/>
      <scheme val="minor"/>
    </font>
    <font>
      <b/>
      <u/>
      <sz val="11"/>
      <color theme="5" tint="-0.249977111117893"/>
      <name val="Arial"/>
      <family val="2"/>
      <scheme val="minor"/>
    </font>
    <font>
      <sz val="11"/>
      <name val="Arial"/>
      <family val="2"/>
      <charset val="177"/>
      <scheme val="minor"/>
    </font>
    <font>
      <b/>
      <sz val="11"/>
      <name val="Arial"/>
      <family val="2"/>
      <scheme val="minor"/>
    </font>
    <font>
      <u/>
      <sz val="14"/>
      <color theme="10"/>
      <name val="Calibri"/>
      <family val="2"/>
      <charset val="177"/>
    </font>
    <font>
      <sz val="14"/>
      <color theme="0"/>
      <name val="Arial"/>
      <family val="2"/>
      <scheme val="minor"/>
    </font>
    <font>
      <b/>
      <u/>
      <sz val="11"/>
      <color theme="0"/>
      <name val="Arial"/>
      <family val="2"/>
      <scheme val="minor"/>
    </font>
    <font>
      <sz val="11"/>
      <color theme="0"/>
      <name val="Arial"/>
      <family val="2"/>
      <scheme val="minor"/>
    </font>
    <font>
      <sz val="16"/>
      <color theme="1"/>
      <name val="Arial"/>
      <family val="2"/>
      <charset val="177"/>
      <scheme val="minor"/>
    </font>
    <font>
      <sz val="9.5"/>
      <color theme="1"/>
      <name val="Arial"/>
      <family val="2"/>
      <charset val="177"/>
      <scheme val="minor"/>
    </font>
    <font>
      <b/>
      <sz val="12.5"/>
      <color theme="1"/>
      <name val="David"/>
      <family val="2"/>
      <charset val="177"/>
    </font>
    <font>
      <b/>
      <sz val="10"/>
      <color theme="1"/>
      <name val="Arial"/>
      <family val="2"/>
      <scheme val="minor"/>
    </font>
    <font>
      <sz val="8"/>
      <color theme="1"/>
      <name val="Arial"/>
      <family val="2"/>
      <scheme val="minor"/>
    </font>
    <font>
      <b/>
      <sz val="11"/>
      <color indexed="8"/>
      <name val="Arial"/>
      <family val="2"/>
      <scheme val="minor"/>
    </font>
    <font>
      <b/>
      <sz val="10"/>
      <color indexed="8"/>
      <name val="Arial"/>
      <family val="2"/>
      <scheme val="minor"/>
    </font>
    <font>
      <sz val="10"/>
      <color rgb="FF7030A0"/>
      <name val="Arial"/>
      <family val="2"/>
      <scheme val="minor"/>
    </font>
    <font>
      <b/>
      <sz val="10"/>
      <color rgb="FFFF0000"/>
      <name val="Arial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FFCC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8BA4A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7A63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DE0000"/>
        <bgColor indexed="64"/>
      </patternFill>
    </fill>
    <fill>
      <patternFill patternType="solid">
        <fgColor rgb="FFFF0505"/>
        <bgColor indexed="64"/>
      </patternFill>
    </fill>
    <fill>
      <patternFill patternType="solid">
        <fgColor rgb="FFFF2828"/>
        <bgColor indexed="64"/>
      </patternFill>
    </fill>
    <fill>
      <patternFill patternType="solid">
        <fgColor rgb="FFFF4646"/>
        <bgColor indexed="64"/>
      </patternFill>
    </fill>
    <fill>
      <patternFill patternType="solid">
        <fgColor rgb="FFFF6464"/>
        <bgColor indexed="64"/>
      </patternFill>
    </fill>
    <fill>
      <patternFill patternType="solid">
        <fgColor rgb="FFFF8282"/>
        <bgColor indexed="64"/>
      </patternFill>
    </fill>
    <fill>
      <patternFill patternType="solid">
        <fgColor rgb="FFFFA0A0"/>
        <bgColor indexed="64"/>
      </patternFill>
    </fill>
    <fill>
      <patternFill patternType="solid">
        <fgColor rgb="FFFFBEBE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7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 diagonalUp="1">
      <left style="medium">
        <color indexed="64"/>
      </left>
      <right/>
      <top style="medium">
        <color indexed="64"/>
      </top>
      <bottom style="medium">
        <color indexed="64"/>
      </bottom>
      <diagonal style="medium">
        <color indexed="64"/>
      </diagonal>
    </border>
    <border diagonalUp="1">
      <left/>
      <right style="medium">
        <color indexed="64"/>
      </right>
      <top style="medium">
        <color indexed="64"/>
      </top>
      <bottom style="medium">
        <color indexed="64"/>
      </bottom>
      <diagonal style="medium">
        <color indexed="64"/>
      </diagonal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ck">
        <color rgb="FFD60093"/>
      </left>
      <right style="thick">
        <color rgb="FFD60093"/>
      </right>
      <top style="thick">
        <color rgb="FFD60093"/>
      </top>
      <bottom style="thin">
        <color indexed="64"/>
      </bottom>
      <diagonal/>
    </border>
    <border>
      <left style="thick">
        <color rgb="FFD60093"/>
      </left>
      <right style="thick">
        <color rgb="FFD60093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ck">
        <color rgb="FFFF0000"/>
      </bottom>
      <diagonal/>
    </border>
    <border>
      <left/>
      <right style="thick">
        <color rgb="FFFF0000"/>
      </right>
      <top/>
      <bottom/>
      <diagonal/>
    </border>
    <border>
      <left style="thin">
        <color indexed="64"/>
      </left>
      <right style="thin">
        <color indexed="64"/>
      </right>
      <top style="medium">
        <color theme="3" tint="0.39997558519241921"/>
      </top>
      <bottom style="medium">
        <color theme="3" tint="0.39997558519241921"/>
      </bottom>
      <diagonal/>
    </border>
    <border>
      <left style="thin">
        <color indexed="64"/>
      </left>
      <right style="medium">
        <color theme="3" tint="0.39997558519241921"/>
      </right>
      <top style="medium">
        <color theme="3" tint="0.39997558519241921"/>
      </top>
      <bottom style="medium">
        <color theme="3" tint="0.39997558519241921"/>
      </bottom>
      <diagonal/>
    </border>
    <border>
      <left style="medium">
        <color rgb="FFFFC000"/>
      </left>
      <right style="medium">
        <color rgb="FFC00000"/>
      </right>
      <top style="medium">
        <color rgb="FFC00000"/>
      </top>
      <bottom style="medium">
        <color rgb="FFFFC000"/>
      </bottom>
      <diagonal/>
    </border>
    <border>
      <left style="medium">
        <color rgb="FFFFC000"/>
      </left>
      <right style="medium">
        <color rgb="FFC00000"/>
      </right>
      <top style="medium">
        <color rgb="FFFFC000"/>
      </top>
      <bottom/>
      <diagonal/>
    </border>
    <border>
      <left style="thin">
        <color indexed="64"/>
      </left>
      <right style="medium">
        <color indexed="64"/>
      </right>
      <top style="medium">
        <color theme="3" tint="0.39997558519241921"/>
      </top>
      <bottom/>
      <diagonal/>
    </border>
    <border>
      <left/>
      <right/>
      <top style="medium">
        <color theme="3" tint="0.39997558519241921"/>
      </top>
      <bottom/>
      <diagonal/>
    </border>
    <border>
      <left style="thick">
        <color rgb="FFFF0000"/>
      </left>
      <right/>
      <top/>
      <bottom/>
      <diagonal/>
    </border>
    <border>
      <left style="thick">
        <color rgb="FFD60093"/>
      </left>
      <right style="thick">
        <color rgb="FFD60093"/>
      </right>
      <top style="thin">
        <color indexed="64"/>
      </top>
      <bottom style="thick">
        <color rgb="FFD600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theme="3" tint="0.39997558519241921"/>
      </bottom>
      <diagonal/>
    </border>
    <border>
      <left/>
      <right style="thick">
        <color theme="3" tint="0.39997558519241921"/>
      </right>
      <top/>
      <bottom/>
      <diagonal/>
    </border>
    <border>
      <left style="thick">
        <color theme="3" tint="0.39997558519241921"/>
      </left>
      <right style="thick">
        <color theme="3" tint="0.39997558519241921"/>
      </right>
      <top style="thick">
        <color theme="3" tint="0.39997558519241921"/>
      </top>
      <bottom style="thick">
        <color theme="3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thick">
        <color theme="3" tint="0.39997558519241921"/>
      </left>
      <right/>
      <top style="thick">
        <color theme="3" tint="0.39997558519241921"/>
      </top>
      <bottom style="thick">
        <color theme="3" tint="0.39997558519241921"/>
      </bottom>
      <diagonal/>
    </border>
    <border>
      <left style="thick">
        <color theme="3" tint="0.39997558519241921"/>
      </left>
      <right style="medium">
        <color theme="1"/>
      </right>
      <top/>
      <bottom/>
      <diagonal/>
    </border>
    <border>
      <left/>
      <right/>
      <top style="thick">
        <color theme="3" tint="0.3999755851924192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/>
      <right/>
      <top style="thin">
        <color indexed="64"/>
      </top>
      <bottom style="medium">
        <color theme="1"/>
      </bottom>
      <diagonal/>
    </border>
    <border>
      <left style="medium">
        <color theme="1"/>
      </left>
      <right style="medium">
        <color indexed="64"/>
      </right>
      <top/>
      <bottom/>
      <diagonal/>
    </border>
    <border>
      <left style="thin">
        <color theme="1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/>
      <top style="medium">
        <color theme="1"/>
      </top>
      <bottom style="thin">
        <color indexed="64"/>
      </bottom>
      <diagonal/>
    </border>
    <border>
      <left style="thin">
        <color theme="1"/>
      </left>
      <right style="medium">
        <color theme="1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 style="thick">
        <color theme="3" tint="0.39997558519241921"/>
      </left>
      <right style="thick">
        <color theme="3" tint="0.39997558519241921"/>
      </right>
      <top style="thick">
        <color theme="3" tint="0.3999755851924192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thick">
        <color rgb="FFD60093"/>
      </left>
      <right style="thick">
        <color rgb="FFD60093"/>
      </right>
      <top/>
      <bottom style="thin">
        <color indexed="64"/>
      </bottom>
      <diagonal/>
    </border>
    <border>
      <left/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theme="3" tint="0.39997558519241921"/>
      </left>
      <right/>
      <top/>
      <bottom style="medium">
        <color indexed="64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/>
      <diagonal/>
    </border>
    <border>
      <left style="thin">
        <color indexed="64"/>
      </left>
      <right style="medium">
        <color theme="1"/>
      </right>
      <top/>
      <bottom style="thin">
        <color indexed="64"/>
      </bottom>
      <diagonal/>
    </border>
    <border>
      <left/>
      <right style="medium">
        <color theme="1"/>
      </right>
      <top/>
      <bottom style="thin">
        <color indexed="64"/>
      </bottom>
      <diagonal/>
    </border>
    <border>
      <left/>
      <right style="medium">
        <color theme="1"/>
      </right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 style="medium">
        <color indexed="64"/>
      </top>
      <bottom/>
      <diagonal/>
    </border>
    <border>
      <left style="medium">
        <color theme="3" tint="0.39997558519241921"/>
      </left>
      <right/>
      <top style="medium">
        <color theme="3" tint="0.39997558519241921"/>
      </top>
      <bottom style="medium">
        <color theme="3" tint="0.39997558519241921"/>
      </bottom>
      <diagonal/>
    </border>
    <border>
      <left/>
      <right/>
      <top style="medium">
        <color theme="3" tint="0.39997558519241921"/>
      </top>
      <bottom style="medium">
        <color theme="3" tint="0.39997558519241921"/>
      </bottom>
      <diagonal/>
    </border>
    <border>
      <left/>
      <right/>
      <top style="thick">
        <color rgb="FFD60093"/>
      </top>
      <bottom style="thick">
        <color rgb="FFD60093"/>
      </bottom>
      <diagonal/>
    </border>
    <border>
      <left style="thick">
        <color rgb="FFFF33CC"/>
      </left>
      <right/>
      <top/>
      <bottom/>
      <diagonal/>
    </border>
    <border>
      <left style="thick">
        <color rgb="FFFF33CC"/>
      </left>
      <right/>
      <top style="thick">
        <color rgb="FFD60093"/>
      </top>
      <bottom style="thick">
        <color rgb="FFD60093"/>
      </bottom>
      <diagonal/>
    </border>
  </borders>
  <cellStyleXfs count="53">
    <xf numFmtId="0" fontId="0" fillId="0" borderId="0"/>
    <xf numFmtId="0" fontId="50" fillId="4" borderId="0" applyNumberFormat="0" applyBorder="0" applyAlignment="0" applyProtection="0"/>
    <xf numFmtId="0" fontId="50" fillId="5" borderId="0" applyNumberFormat="0" applyBorder="0" applyAlignment="0" applyProtection="0"/>
    <xf numFmtId="0" fontId="50" fillId="6" borderId="0" applyNumberFormat="0" applyBorder="0" applyAlignment="0" applyProtection="0"/>
    <xf numFmtId="0" fontId="50" fillId="7" borderId="0" applyNumberFormat="0" applyBorder="0" applyAlignment="0" applyProtection="0"/>
    <xf numFmtId="0" fontId="50" fillId="8" borderId="0" applyNumberFormat="0" applyBorder="0" applyAlignment="0" applyProtection="0"/>
    <xf numFmtId="0" fontId="50" fillId="9" borderId="0" applyNumberFormat="0" applyBorder="0" applyAlignment="0" applyProtection="0"/>
    <xf numFmtId="0" fontId="50" fillId="10" borderId="0" applyNumberFormat="0" applyBorder="0" applyAlignment="0" applyProtection="0"/>
    <xf numFmtId="0" fontId="50" fillId="11" borderId="0" applyNumberFormat="0" applyBorder="0" applyAlignment="0" applyProtection="0"/>
    <xf numFmtId="0" fontId="50" fillId="12" borderId="0" applyNumberFormat="0" applyBorder="0" applyAlignment="0" applyProtection="0"/>
    <xf numFmtId="0" fontId="50" fillId="13" borderId="0" applyNumberFormat="0" applyBorder="0" applyAlignment="0" applyProtection="0"/>
    <xf numFmtId="0" fontId="50" fillId="14" borderId="0" applyNumberFormat="0" applyBorder="0" applyAlignment="0" applyProtection="0"/>
    <xf numFmtId="0" fontId="50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17" borderId="0" applyNumberFormat="0" applyBorder="0" applyAlignment="0" applyProtection="0"/>
    <xf numFmtId="0" fontId="51" fillId="18" borderId="0" applyNumberFormat="0" applyBorder="0" applyAlignment="0" applyProtection="0"/>
    <xf numFmtId="0" fontId="51" fillId="19" borderId="0" applyNumberFormat="0" applyBorder="0" applyAlignment="0" applyProtection="0"/>
    <xf numFmtId="0" fontId="51" fillId="20" borderId="0" applyNumberFormat="0" applyBorder="0" applyAlignment="0" applyProtection="0"/>
    <xf numFmtId="0" fontId="51" fillId="21" borderId="0" applyNumberFormat="0" applyBorder="0" applyAlignment="0" applyProtection="0"/>
    <xf numFmtId="43" fontId="49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49" fillId="0" borderId="0" applyFont="0" applyFill="0" applyBorder="0" applyAlignment="0" applyProtection="0"/>
    <xf numFmtId="0" fontId="52" fillId="0" borderId="0"/>
    <xf numFmtId="0" fontId="25" fillId="0" borderId="0"/>
    <xf numFmtId="0" fontId="25" fillId="0" borderId="0"/>
    <xf numFmtId="0" fontId="50" fillId="0" borderId="0"/>
    <xf numFmtId="9" fontId="49" fillId="0" borderId="0" applyFont="0" applyFill="0" applyBorder="0" applyAlignment="0" applyProtection="0"/>
    <xf numFmtId="9" fontId="36" fillId="0" borderId="0" applyFont="0" applyFill="0" applyBorder="0" applyAlignment="0" applyProtection="0"/>
    <xf numFmtId="0" fontId="51" fillId="22" borderId="0" applyNumberFormat="0" applyBorder="0" applyAlignment="0" applyProtection="0"/>
    <xf numFmtId="0" fontId="51" fillId="23" borderId="0" applyNumberFormat="0" applyBorder="0" applyAlignment="0" applyProtection="0"/>
    <xf numFmtId="0" fontId="51" fillId="24" borderId="0" applyNumberFormat="0" applyBorder="0" applyAlignment="0" applyProtection="0"/>
    <xf numFmtId="0" fontId="51" fillId="25" borderId="0" applyNumberFormat="0" applyBorder="0" applyAlignment="0" applyProtection="0"/>
    <xf numFmtId="0" fontId="51" fillId="26" borderId="0" applyNumberFormat="0" applyBorder="0" applyAlignment="0" applyProtection="0"/>
    <xf numFmtId="0" fontId="51" fillId="27" borderId="0" applyNumberFormat="0" applyBorder="0" applyAlignment="0" applyProtection="0"/>
    <xf numFmtId="0" fontId="53" fillId="0" borderId="0" applyNumberFormat="0" applyFill="0" applyBorder="0" applyAlignment="0" applyProtection="0">
      <alignment vertical="top"/>
      <protection locked="0"/>
    </xf>
    <xf numFmtId="0" fontId="50" fillId="28" borderId="78" applyNumberFormat="0" applyFont="0" applyAlignment="0" applyProtection="0"/>
    <xf numFmtId="0" fontId="54" fillId="29" borderId="79" applyNumberFormat="0" applyAlignment="0" applyProtection="0"/>
    <xf numFmtId="0" fontId="55" fillId="30" borderId="0" applyNumberFormat="0" applyBorder="0" applyAlignment="0" applyProtection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80" applyNumberFormat="0" applyFill="0" applyAlignment="0" applyProtection="0"/>
    <xf numFmtId="0" fontId="60" fillId="0" borderId="81" applyNumberFormat="0" applyFill="0" applyAlignment="0" applyProtection="0"/>
    <xf numFmtId="0" fontId="61" fillId="0" borderId="82" applyNumberFormat="0" applyFill="0" applyAlignment="0" applyProtection="0"/>
    <xf numFmtId="0" fontId="61" fillId="0" borderId="0" applyNumberFormat="0" applyFill="0" applyBorder="0" applyAlignment="0" applyProtection="0"/>
    <xf numFmtId="0" fontId="62" fillId="31" borderId="0" applyNumberFormat="0" applyBorder="0" applyAlignment="0" applyProtection="0"/>
    <xf numFmtId="0" fontId="63" fillId="0" borderId="83" applyNumberFormat="0" applyFill="0" applyAlignment="0" applyProtection="0"/>
    <xf numFmtId="0" fontId="64" fillId="29" borderId="84" applyNumberFormat="0" applyAlignment="0" applyProtection="0"/>
    <xf numFmtId="0" fontId="65" fillId="32" borderId="79" applyNumberFormat="0" applyAlignment="0" applyProtection="0"/>
    <xf numFmtId="0" fontId="66" fillId="33" borderId="0" applyNumberFormat="0" applyBorder="0" applyAlignment="0" applyProtection="0"/>
    <xf numFmtId="0" fontId="67" fillId="34" borderId="85" applyNumberFormat="0" applyAlignment="0" applyProtection="0"/>
    <xf numFmtId="0" fontId="68" fillId="0" borderId="86" applyNumberFormat="0" applyFill="0" applyAlignment="0" applyProtection="0"/>
  </cellStyleXfs>
  <cellXfs count="1325">
    <xf numFmtId="0" fontId="0" fillId="0" borderId="0" xfId="0"/>
    <xf numFmtId="165" fontId="0" fillId="35" borderId="1" xfId="0" applyNumberFormat="1" applyFill="1" applyBorder="1" applyProtection="1">
      <protection hidden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69" fillId="0" borderId="0" xfId="0" applyFont="1" applyBorder="1" applyProtection="1">
      <protection locked="0"/>
    </xf>
    <xf numFmtId="0" fontId="70" fillId="0" borderId="2" xfId="0" applyFont="1" applyBorder="1" applyAlignment="1" applyProtection="1">
      <alignment horizontal="center"/>
      <protection locked="0"/>
    </xf>
    <xf numFmtId="0" fontId="69" fillId="0" borderId="3" xfId="0" applyFont="1" applyBorder="1" applyProtection="1"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0" fontId="0" fillId="0" borderId="0" xfId="0" applyFill="1" applyBorder="1" applyAlignment="1" applyProtection="1">
      <alignment wrapText="1"/>
      <protection locked="0"/>
    </xf>
    <xf numFmtId="0" fontId="70" fillId="36" borderId="0" xfId="0" applyFont="1" applyFill="1" applyAlignment="1" applyProtection="1">
      <alignment horizontal="center" vertical="center" wrapText="1"/>
      <protection locked="0"/>
    </xf>
    <xf numFmtId="0" fontId="3" fillId="35" borderId="4" xfId="0" applyFont="1" applyFill="1" applyBorder="1" applyProtection="1">
      <protection locked="0"/>
    </xf>
    <xf numFmtId="0" fontId="0" fillId="36" borderId="0" xfId="0" applyFill="1" applyBorder="1" applyAlignment="1" applyProtection="1">
      <protection locked="0"/>
    </xf>
    <xf numFmtId="0" fontId="71" fillId="36" borderId="0" xfId="0" applyFont="1" applyFill="1" applyBorder="1" applyAlignment="1" applyProtection="1">
      <alignment horizontal="right" vertical="top" readingOrder="2"/>
      <protection locked="0"/>
    </xf>
    <xf numFmtId="0" fontId="0" fillId="36" borderId="0" xfId="0" applyFill="1" applyBorder="1" applyProtection="1">
      <protection locked="0"/>
    </xf>
    <xf numFmtId="0" fontId="0" fillId="0" borderId="0" xfId="0" applyFill="1" applyProtection="1">
      <protection locked="0"/>
    </xf>
    <xf numFmtId="0" fontId="3" fillId="37" borderId="2" xfId="0" applyFont="1" applyFill="1" applyBorder="1" applyAlignment="1" applyProtection="1">
      <alignment horizontal="left"/>
      <protection locked="0"/>
    </xf>
    <xf numFmtId="164" fontId="69" fillId="37" borderId="3" xfId="19" applyNumberFormat="1" applyFont="1" applyFill="1" applyBorder="1" applyProtection="1">
      <protection hidden="1"/>
    </xf>
    <xf numFmtId="0" fontId="70" fillId="37" borderId="2" xfId="0" applyFont="1" applyFill="1" applyBorder="1" applyAlignment="1" applyProtection="1">
      <alignment horizontal="left"/>
      <protection locked="0"/>
    </xf>
    <xf numFmtId="164" fontId="5" fillId="37" borderId="5" xfId="19" applyNumberFormat="1" applyFont="1" applyFill="1" applyBorder="1" applyProtection="1">
      <protection hidden="1"/>
    </xf>
    <xf numFmtId="164" fontId="69" fillId="37" borderId="5" xfId="19" applyNumberFormat="1" applyFont="1" applyFill="1" applyBorder="1" applyProtection="1">
      <protection hidden="1"/>
    </xf>
    <xf numFmtId="164" fontId="69" fillId="37" borderId="5" xfId="19" applyNumberFormat="1" applyFont="1" applyFill="1" applyBorder="1" applyAlignment="1" applyProtection="1">
      <alignment horizontal="center"/>
      <protection hidden="1"/>
    </xf>
    <xf numFmtId="164" fontId="49" fillId="37" borderId="0" xfId="19" applyNumberFormat="1" applyFont="1" applyFill="1" applyBorder="1" applyProtection="1">
      <protection hidden="1"/>
    </xf>
    <xf numFmtId="164" fontId="5" fillId="37" borderId="6" xfId="19" applyNumberFormat="1" applyFont="1" applyFill="1" applyBorder="1" applyAlignment="1" applyProtection="1">
      <alignment vertical="center" wrapText="1"/>
      <protection hidden="1"/>
    </xf>
    <xf numFmtId="164" fontId="49" fillId="37" borderId="0" xfId="19" applyNumberFormat="1" applyFont="1" applyFill="1" applyProtection="1">
      <protection hidden="1"/>
    </xf>
    <xf numFmtId="0" fontId="0" fillId="0" borderId="0" xfId="0" applyProtection="1">
      <protection locked="0" hidden="1"/>
    </xf>
    <xf numFmtId="49" fontId="0" fillId="0" borderId="0" xfId="0" applyNumberFormat="1" applyProtection="1">
      <protection locked="0"/>
    </xf>
    <xf numFmtId="0" fontId="72" fillId="0" borderId="0" xfId="0" applyFont="1" applyBorder="1" applyAlignment="1" applyProtection="1">
      <alignment horizontal="center"/>
      <protection locked="0"/>
    </xf>
    <xf numFmtId="164" fontId="69" fillId="37" borderId="7" xfId="19" applyNumberFormat="1" applyFont="1" applyFill="1" applyBorder="1" applyAlignment="1" applyProtection="1">
      <alignment horizontal="center"/>
      <protection hidden="1"/>
    </xf>
    <xf numFmtId="164" fontId="69" fillId="37" borderId="7" xfId="19" applyNumberFormat="1" applyFont="1" applyFill="1" applyBorder="1" applyProtection="1">
      <protection hidden="1"/>
    </xf>
    <xf numFmtId="164" fontId="69" fillId="37" borderId="8" xfId="19" applyNumberFormat="1" applyFont="1" applyFill="1" applyBorder="1" applyProtection="1">
      <protection hidden="1"/>
    </xf>
    <xf numFmtId="0" fontId="70" fillId="0" borderId="0" xfId="0" applyFont="1" applyBorder="1" applyAlignment="1" applyProtection="1">
      <alignment horizontal="center"/>
      <protection locked="0"/>
    </xf>
    <xf numFmtId="164" fontId="69" fillId="0" borderId="0" xfId="19" applyNumberFormat="1" applyFont="1" applyBorder="1" applyProtection="1">
      <protection locked="0"/>
    </xf>
    <xf numFmtId="164" fontId="5" fillId="37" borderId="0" xfId="19" applyNumberFormat="1" applyFont="1" applyFill="1" applyBorder="1" applyProtection="1">
      <protection hidden="1"/>
    </xf>
    <xf numFmtId="164" fontId="70" fillId="38" borderId="0" xfId="19" applyNumberFormat="1" applyFont="1" applyFill="1" applyBorder="1" applyProtection="1">
      <protection hidden="1"/>
    </xf>
    <xf numFmtId="164" fontId="69" fillId="37" borderId="0" xfId="19" applyNumberFormat="1" applyFont="1" applyFill="1" applyBorder="1" applyAlignment="1" applyProtection="1">
      <alignment horizontal="center"/>
      <protection hidden="1"/>
    </xf>
    <xf numFmtId="164" fontId="69" fillId="37" borderId="0" xfId="19" applyNumberFormat="1" applyFont="1" applyFill="1" applyBorder="1" applyProtection="1">
      <protection hidden="1"/>
    </xf>
    <xf numFmtId="3" fontId="70" fillId="39" borderId="0" xfId="0" applyNumberFormat="1" applyFont="1" applyFill="1" applyBorder="1" applyAlignment="1" applyProtection="1">
      <alignment horizontal="center"/>
      <protection hidden="1"/>
    </xf>
    <xf numFmtId="0" fontId="13" fillId="0" borderId="0" xfId="23" applyFont="1" applyProtection="1">
      <protection hidden="1"/>
    </xf>
    <xf numFmtId="0" fontId="52" fillId="0" borderId="0" xfId="23" applyProtection="1">
      <protection hidden="1"/>
    </xf>
    <xf numFmtId="0" fontId="52" fillId="0" borderId="0" xfId="23" applyNumberFormat="1" applyProtection="1">
      <protection hidden="1"/>
    </xf>
    <xf numFmtId="164" fontId="21" fillId="0" borderId="2" xfId="19" applyNumberFormat="1" applyFont="1" applyBorder="1" applyProtection="1">
      <protection hidden="1"/>
    </xf>
    <xf numFmtId="164" fontId="21" fillId="0" borderId="5" xfId="19" applyNumberFormat="1" applyFont="1" applyBorder="1" applyAlignment="1" applyProtection="1">
      <alignment horizontal="center"/>
      <protection hidden="1"/>
    </xf>
    <xf numFmtId="164" fontId="21" fillId="0" borderId="5" xfId="19" applyNumberFormat="1" applyFont="1" applyBorder="1" applyProtection="1">
      <protection hidden="1"/>
    </xf>
    <xf numFmtId="164" fontId="73" fillId="0" borderId="5" xfId="19" applyNumberFormat="1" applyFont="1" applyBorder="1" applyProtection="1">
      <protection hidden="1"/>
    </xf>
    <xf numFmtId="164" fontId="73" fillId="0" borderId="2" xfId="19" applyNumberFormat="1" applyFont="1" applyBorder="1" applyProtection="1">
      <protection hidden="1"/>
    </xf>
    <xf numFmtId="164" fontId="21" fillId="0" borderId="4" xfId="19" applyNumberFormat="1" applyFont="1" applyBorder="1" applyProtection="1">
      <protection hidden="1"/>
    </xf>
    <xf numFmtId="164" fontId="21" fillId="0" borderId="1" xfId="19" applyNumberFormat="1" applyFont="1" applyBorder="1" applyProtection="1">
      <protection hidden="1"/>
    </xf>
    <xf numFmtId="164" fontId="73" fillId="0" borderId="1" xfId="19" applyNumberFormat="1" applyFont="1" applyBorder="1" applyProtection="1">
      <protection hidden="1"/>
    </xf>
    <xf numFmtId="164" fontId="73" fillId="0" borderId="4" xfId="19" applyNumberFormat="1" applyFont="1" applyBorder="1" applyProtection="1">
      <protection hidden="1"/>
    </xf>
    <xf numFmtId="164" fontId="49" fillId="37" borderId="5" xfId="19" applyNumberFormat="1" applyFont="1" applyFill="1" applyBorder="1" applyProtection="1">
      <protection hidden="1"/>
    </xf>
    <xf numFmtId="164" fontId="0" fillId="0" borderId="0" xfId="0" applyNumberFormat="1" applyProtection="1">
      <protection hidden="1"/>
    </xf>
    <xf numFmtId="0" fontId="0" fillId="0" borderId="0" xfId="0" applyProtection="1">
      <protection hidden="1"/>
    </xf>
    <xf numFmtId="164" fontId="49" fillId="0" borderId="9" xfId="19" applyNumberFormat="1" applyFont="1" applyBorder="1" applyProtection="1">
      <protection hidden="1"/>
    </xf>
    <xf numFmtId="164" fontId="49" fillId="0" borderId="10" xfId="19" applyNumberFormat="1" applyFont="1" applyBorder="1" applyProtection="1">
      <protection hidden="1"/>
    </xf>
    <xf numFmtId="164" fontId="49" fillId="0" borderId="3" xfId="19" applyNumberFormat="1" applyFont="1" applyBorder="1" applyProtection="1">
      <protection hidden="1"/>
    </xf>
    <xf numFmtId="164" fontId="49" fillId="0" borderId="5" xfId="19" applyNumberFormat="1" applyFont="1" applyBorder="1" applyProtection="1">
      <protection hidden="1"/>
    </xf>
    <xf numFmtId="164" fontId="49" fillId="0" borderId="11" xfId="19" applyNumberFormat="1" applyFont="1" applyBorder="1" applyProtection="1">
      <protection hidden="1"/>
    </xf>
    <xf numFmtId="164" fontId="49" fillId="0" borderId="1" xfId="19" applyNumberFormat="1" applyFont="1" applyBorder="1" applyProtection="1">
      <protection hidden="1"/>
    </xf>
    <xf numFmtId="164" fontId="74" fillId="0" borderId="12" xfId="19" applyNumberFormat="1" applyFont="1" applyBorder="1" applyProtection="1">
      <protection hidden="1"/>
    </xf>
    <xf numFmtId="164" fontId="74" fillId="0" borderId="13" xfId="19" applyNumberFormat="1" applyFont="1" applyBorder="1" applyProtection="1">
      <protection hidden="1"/>
    </xf>
    <xf numFmtId="164" fontId="74" fillId="0" borderId="9" xfId="19" applyNumberFormat="1" applyFont="1" applyBorder="1" applyProtection="1">
      <protection hidden="1"/>
    </xf>
    <xf numFmtId="164" fontId="74" fillId="0" borderId="10" xfId="19" applyNumberFormat="1" applyFont="1" applyBorder="1" applyProtection="1">
      <protection hidden="1"/>
    </xf>
    <xf numFmtId="164" fontId="74" fillId="0" borderId="3" xfId="19" applyNumberFormat="1" applyFont="1" applyBorder="1" applyProtection="1">
      <protection hidden="1"/>
    </xf>
    <xf numFmtId="164" fontId="74" fillId="0" borderId="5" xfId="19" applyNumberFormat="1" applyFont="1" applyBorder="1" applyProtection="1">
      <protection hidden="1"/>
    </xf>
    <xf numFmtId="164" fontId="74" fillId="0" borderId="11" xfId="19" applyNumberFormat="1" applyFont="1" applyBorder="1" applyProtection="1">
      <protection hidden="1"/>
    </xf>
    <xf numFmtId="164" fontId="74" fillId="0" borderId="1" xfId="19" applyNumberFormat="1" applyFont="1" applyBorder="1" applyProtection="1">
      <protection hidden="1"/>
    </xf>
    <xf numFmtId="0" fontId="75" fillId="40" borderId="0" xfId="0" applyNumberFormat="1" applyFont="1" applyFill="1" applyAlignment="1" applyProtection="1">
      <alignment shrinkToFit="1"/>
      <protection hidden="1"/>
    </xf>
    <xf numFmtId="49" fontId="76" fillId="40" borderId="0" xfId="0" applyNumberFormat="1" applyFont="1" applyFill="1" applyAlignment="1" applyProtection="1">
      <alignment horizontal="center" shrinkToFit="1"/>
      <protection locked="0" hidden="1"/>
    </xf>
    <xf numFmtId="164" fontId="69" fillId="0" borderId="7" xfId="19" applyNumberFormat="1" applyFont="1" applyBorder="1" applyProtection="1">
      <protection locked="0"/>
    </xf>
    <xf numFmtId="0" fontId="77" fillId="0" borderId="0" xfId="23" applyFont="1" applyProtection="1">
      <protection hidden="1"/>
    </xf>
    <xf numFmtId="0" fontId="0" fillId="38" borderId="14" xfId="0" applyFill="1" applyBorder="1" applyProtection="1">
      <protection hidden="1"/>
    </xf>
    <xf numFmtId="0" fontId="0" fillId="38" borderId="15" xfId="0" applyFill="1" applyBorder="1" applyProtection="1">
      <protection hidden="1"/>
    </xf>
    <xf numFmtId="0" fontId="0" fillId="38" borderId="16" xfId="0" applyFill="1" applyBorder="1" applyProtection="1">
      <protection hidden="1"/>
    </xf>
    <xf numFmtId="164" fontId="5" fillId="0" borderId="5" xfId="19" applyNumberFormat="1" applyFont="1" applyBorder="1" applyAlignment="1" applyProtection="1">
      <alignment horizontal="right"/>
      <protection locked="0"/>
    </xf>
    <xf numFmtId="164" fontId="5" fillId="37" borderId="7" xfId="19" applyNumberFormat="1" applyFont="1" applyFill="1" applyBorder="1" applyAlignment="1" applyProtection="1">
      <alignment horizontal="right"/>
      <protection locked="0" hidden="1"/>
    </xf>
    <xf numFmtId="164" fontId="5" fillId="37" borderId="7" xfId="19" applyNumberFormat="1" applyFont="1" applyFill="1" applyBorder="1" applyAlignment="1" applyProtection="1">
      <alignment horizontal="right"/>
      <protection hidden="1"/>
    </xf>
    <xf numFmtId="164" fontId="5" fillId="37" borderId="8" xfId="19" applyNumberFormat="1" applyFont="1" applyFill="1" applyBorder="1" applyAlignment="1" applyProtection="1">
      <alignment horizontal="right"/>
      <protection hidden="1"/>
    </xf>
    <xf numFmtId="164" fontId="5" fillId="0" borderId="7" xfId="19" applyNumberFormat="1" applyFont="1" applyBorder="1" applyAlignment="1" applyProtection="1">
      <alignment horizontal="right"/>
      <protection locked="0"/>
    </xf>
    <xf numFmtId="164" fontId="5" fillId="0" borderId="17" xfId="19" applyNumberFormat="1" applyFont="1" applyBorder="1" applyAlignment="1" applyProtection="1">
      <alignment horizontal="right" wrapText="1"/>
      <protection locked="0"/>
    </xf>
    <xf numFmtId="164" fontId="49" fillId="37" borderId="7" xfId="19" applyNumberFormat="1" applyFont="1" applyFill="1" applyBorder="1" applyProtection="1">
      <protection hidden="1"/>
    </xf>
    <xf numFmtId="0" fontId="0" fillId="0" borderId="0" xfId="0" applyAlignment="1" applyProtection="1">
      <alignment readingOrder="2"/>
      <protection hidden="1"/>
    </xf>
    <xf numFmtId="0" fontId="0" fillId="41" borderId="0" xfId="0" applyFill="1" applyAlignment="1" applyProtection="1">
      <alignment readingOrder="2"/>
      <protection hidden="1"/>
    </xf>
    <xf numFmtId="0" fontId="78" fillId="41" borderId="0" xfId="0" applyFont="1" applyFill="1" applyAlignment="1" applyProtection="1">
      <alignment readingOrder="2"/>
      <protection hidden="1"/>
    </xf>
    <xf numFmtId="0" fontId="0" fillId="36" borderId="0" xfId="0" applyFill="1" applyAlignment="1" applyProtection="1">
      <alignment horizontal="right" vertical="top" readingOrder="2"/>
      <protection hidden="1"/>
    </xf>
    <xf numFmtId="0" fontId="0" fillId="36" borderId="0" xfId="0" applyFill="1" applyAlignment="1" applyProtection="1">
      <alignment horizontal="right" readingOrder="2"/>
      <protection hidden="1"/>
    </xf>
    <xf numFmtId="0" fontId="0" fillId="36" borderId="0" xfId="0" applyFill="1" applyProtection="1">
      <protection hidden="1"/>
    </xf>
    <xf numFmtId="0" fontId="0" fillId="0" borderId="0" xfId="0" applyAlignment="1" applyProtection="1">
      <alignment vertical="top"/>
      <protection hidden="1"/>
    </xf>
    <xf numFmtId="0" fontId="0" fillId="0" borderId="0" xfId="0" applyAlignment="1" applyProtection="1">
      <alignment horizontal="center" vertical="center"/>
      <protection hidden="1"/>
    </xf>
    <xf numFmtId="0" fontId="79" fillId="0" borderId="0" xfId="0" applyFont="1" applyProtection="1">
      <protection hidden="1"/>
    </xf>
    <xf numFmtId="0" fontId="0" fillId="0" borderId="0" xfId="0" applyAlignment="1" applyProtection="1">
      <alignment horizontal="center"/>
      <protection hidden="1"/>
    </xf>
    <xf numFmtId="49" fontId="80" fillId="40" borderId="0" xfId="0" applyNumberFormat="1" applyFont="1" applyFill="1" applyProtection="1">
      <protection hidden="1"/>
    </xf>
    <xf numFmtId="0" fontId="80" fillId="40" borderId="0" xfId="0" applyFont="1" applyFill="1" applyProtection="1">
      <protection hidden="1"/>
    </xf>
    <xf numFmtId="0" fontId="81" fillId="40" borderId="0" xfId="0" applyFont="1" applyFill="1" applyProtection="1">
      <protection hidden="1"/>
    </xf>
    <xf numFmtId="0" fontId="82" fillId="40" borderId="0" xfId="0" applyFont="1" applyFill="1" applyProtection="1">
      <protection hidden="1"/>
    </xf>
    <xf numFmtId="0" fontId="3" fillId="43" borderId="4" xfId="0" applyFont="1" applyFill="1" applyBorder="1" applyProtection="1">
      <protection locked="0"/>
    </xf>
    <xf numFmtId="164" fontId="5" fillId="43" borderId="18" xfId="19" applyNumberFormat="1" applyFont="1" applyFill="1" applyBorder="1" applyAlignment="1" applyProtection="1">
      <alignment horizontal="right"/>
      <protection locked="0" hidden="1"/>
    </xf>
    <xf numFmtId="164" fontId="83" fillId="43" borderId="19" xfId="19" applyNumberFormat="1" applyFont="1" applyFill="1" applyBorder="1" applyAlignment="1" applyProtection="1">
      <alignment horizontal="right"/>
      <protection hidden="1"/>
    </xf>
    <xf numFmtId="164" fontId="5" fillId="43" borderId="18" xfId="19" applyNumberFormat="1" applyFont="1" applyFill="1" applyBorder="1" applyAlignment="1" applyProtection="1">
      <alignment horizontal="right"/>
      <protection locked="0"/>
    </xf>
    <xf numFmtId="164" fontId="84" fillId="43" borderId="5" xfId="0" applyNumberFormat="1" applyFont="1" applyFill="1" applyBorder="1" applyProtection="1">
      <protection hidden="1"/>
    </xf>
    <xf numFmtId="0" fontId="3" fillId="44" borderId="20" xfId="0" applyFont="1" applyFill="1" applyBorder="1" applyProtection="1">
      <protection locked="0"/>
    </xf>
    <xf numFmtId="0" fontId="3" fillId="44" borderId="4" xfId="0" applyFont="1" applyFill="1" applyBorder="1" applyProtection="1">
      <protection locked="0"/>
    </xf>
    <xf numFmtId="164" fontId="0" fillId="44" borderId="5" xfId="0" applyNumberFormat="1" applyFill="1" applyBorder="1" applyProtection="1">
      <protection hidden="1"/>
    </xf>
    <xf numFmtId="165" fontId="74" fillId="45" borderId="21" xfId="19" applyNumberFormat="1" applyFont="1" applyFill="1" applyBorder="1" applyAlignment="1" applyProtection="1">
      <protection hidden="1"/>
    </xf>
    <xf numFmtId="0" fontId="70" fillId="0" borderId="22" xfId="0" applyFont="1" applyFill="1" applyBorder="1" applyAlignment="1" applyProtection="1">
      <alignment horizontal="center"/>
      <protection locked="0"/>
    </xf>
    <xf numFmtId="0" fontId="70" fillId="0" borderId="3" xfId="0" applyFont="1" applyFill="1" applyBorder="1" applyAlignment="1" applyProtection="1">
      <alignment horizontal="center"/>
      <protection locked="0"/>
    </xf>
    <xf numFmtId="0" fontId="5" fillId="0" borderId="23" xfId="0" applyFont="1" applyBorder="1" applyAlignment="1" applyProtection="1">
      <alignment horizontal="center"/>
      <protection locked="0"/>
    </xf>
    <xf numFmtId="0" fontId="5" fillId="0" borderId="24" xfId="0" applyFont="1" applyBorder="1" applyAlignment="1" applyProtection="1">
      <alignment horizontal="center"/>
      <protection locked="0"/>
    </xf>
    <xf numFmtId="0" fontId="20" fillId="46" borderId="25" xfId="23" applyFont="1" applyFill="1" applyBorder="1" applyAlignment="1" applyProtection="1">
      <alignment vertical="center"/>
      <protection hidden="1"/>
    </xf>
    <xf numFmtId="0" fontId="20" fillId="43" borderId="25" xfId="23" applyFont="1" applyFill="1" applyBorder="1" applyAlignment="1" applyProtection="1">
      <alignment vertical="center"/>
      <protection hidden="1"/>
    </xf>
    <xf numFmtId="0" fontId="20" fillId="44" borderId="25" xfId="23" applyFont="1" applyFill="1" applyBorder="1" applyAlignment="1" applyProtection="1">
      <alignment vertical="center"/>
      <protection hidden="1"/>
    </xf>
    <xf numFmtId="0" fontId="20" fillId="35" borderId="25" xfId="23" applyFont="1" applyFill="1" applyBorder="1" applyAlignment="1" applyProtection="1">
      <alignment vertical="center"/>
      <protection hidden="1"/>
    </xf>
    <xf numFmtId="0" fontId="0" fillId="43" borderId="26" xfId="0" applyFill="1" applyBorder="1" applyProtection="1">
      <protection hidden="1"/>
    </xf>
    <xf numFmtId="0" fontId="0" fillId="43" borderId="2" xfId="0" applyFill="1" applyBorder="1" applyProtection="1">
      <protection hidden="1"/>
    </xf>
    <xf numFmtId="0" fontId="0" fillId="43" borderId="4" xfId="0" applyFill="1" applyBorder="1" applyProtection="1">
      <protection hidden="1"/>
    </xf>
    <xf numFmtId="0" fontId="0" fillId="43" borderId="27" xfId="0" applyFill="1" applyBorder="1" applyProtection="1">
      <protection hidden="1"/>
    </xf>
    <xf numFmtId="0" fontId="0" fillId="43" borderId="15" xfId="0" applyFill="1" applyBorder="1" applyProtection="1">
      <protection hidden="1"/>
    </xf>
    <xf numFmtId="0" fontId="0" fillId="43" borderId="16" xfId="0" applyFill="1" applyBorder="1" applyProtection="1">
      <protection hidden="1"/>
    </xf>
    <xf numFmtId="0" fontId="0" fillId="44" borderId="14" xfId="0" applyFill="1" applyBorder="1" applyProtection="1">
      <protection hidden="1"/>
    </xf>
    <xf numFmtId="0" fontId="0" fillId="44" borderId="15" xfId="0" applyFill="1" applyBorder="1" applyProtection="1">
      <protection hidden="1"/>
    </xf>
    <xf numFmtId="0" fontId="0" fillId="44" borderId="16" xfId="0" applyFill="1" applyBorder="1" applyProtection="1">
      <protection hidden="1"/>
    </xf>
    <xf numFmtId="164" fontId="70" fillId="46" borderId="1" xfId="19" applyNumberFormat="1" applyFont="1" applyFill="1" applyBorder="1" applyProtection="1">
      <protection hidden="1"/>
    </xf>
    <xf numFmtId="0" fontId="0" fillId="46" borderId="14" xfId="0" applyFill="1" applyBorder="1" applyProtection="1">
      <protection hidden="1"/>
    </xf>
    <xf numFmtId="0" fontId="0" fillId="46" borderId="15" xfId="0" applyFill="1" applyBorder="1" applyProtection="1">
      <protection hidden="1"/>
    </xf>
    <xf numFmtId="0" fontId="0" fillId="46" borderId="28" xfId="0" applyFill="1" applyBorder="1" applyProtection="1">
      <protection hidden="1"/>
    </xf>
    <xf numFmtId="0" fontId="70" fillId="47" borderId="4" xfId="0" applyFont="1" applyFill="1" applyBorder="1" applyAlignment="1" applyProtection="1">
      <alignment horizontal="center" vertical="center"/>
      <protection locked="0"/>
    </xf>
    <xf numFmtId="164" fontId="21" fillId="47" borderId="2" xfId="19" applyNumberFormat="1" applyFont="1" applyFill="1" applyBorder="1" applyProtection="1">
      <protection hidden="1"/>
    </xf>
    <xf numFmtId="164" fontId="21" fillId="47" borderId="5" xfId="19" applyNumberFormat="1" applyFont="1" applyFill="1" applyBorder="1" applyProtection="1">
      <protection hidden="1"/>
    </xf>
    <xf numFmtId="164" fontId="21" fillId="47" borderId="4" xfId="19" applyNumberFormat="1" applyFont="1" applyFill="1" applyBorder="1" applyProtection="1">
      <protection hidden="1"/>
    </xf>
    <xf numFmtId="164" fontId="21" fillId="47" borderId="1" xfId="19" applyNumberFormat="1" applyFont="1" applyFill="1" applyBorder="1" applyProtection="1">
      <protection hidden="1"/>
    </xf>
    <xf numFmtId="0" fontId="20" fillId="47" borderId="25" xfId="23" applyFont="1" applyFill="1" applyBorder="1" applyAlignment="1" applyProtection="1">
      <alignment vertical="center"/>
      <protection hidden="1"/>
    </xf>
    <xf numFmtId="0" fontId="16" fillId="48" borderId="29" xfId="23" applyFont="1" applyFill="1" applyBorder="1" applyAlignment="1" applyProtection="1">
      <protection hidden="1"/>
    </xf>
    <xf numFmtId="0" fontId="18" fillId="48" borderId="30" xfId="23" applyFont="1" applyFill="1" applyBorder="1" applyAlignment="1" applyProtection="1">
      <alignment vertical="center"/>
      <protection hidden="1"/>
    </xf>
    <xf numFmtId="49" fontId="18" fillId="48" borderId="14" xfId="23" applyNumberFormat="1" applyFont="1" applyFill="1" applyBorder="1" applyAlignment="1" applyProtection="1">
      <alignment vertical="center" shrinkToFit="1"/>
      <protection hidden="1"/>
    </xf>
    <xf numFmtId="0" fontId="18" fillId="48" borderId="31" xfId="23" applyFont="1" applyFill="1" applyBorder="1" applyAlignment="1" applyProtection="1">
      <alignment vertical="center"/>
      <protection hidden="1"/>
    </xf>
    <xf numFmtId="0" fontId="18" fillId="48" borderId="14" xfId="23" applyFont="1" applyFill="1" applyBorder="1" applyAlignment="1" applyProtection="1">
      <alignment vertical="center" shrinkToFit="1"/>
      <protection hidden="1"/>
    </xf>
    <xf numFmtId="0" fontId="18" fillId="48" borderId="32" xfId="23" applyFont="1" applyFill="1" applyBorder="1" applyAlignment="1" applyProtection="1">
      <alignment vertical="center" shrinkToFit="1"/>
      <protection hidden="1"/>
    </xf>
    <xf numFmtId="0" fontId="24" fillId="48" borderId="25" xfId="23" applyFont="1" applyFill="1" applyBorder="1" applyAlignment="1" applyProtection="1">
      <alignment vertical="center"/>
      <protection hidden="1"/>
    </xf>
    <xf numFmtId="0" fontId="24" fillId="48" borderId="33" xfId="23" applyFont="1" applyFill="1" applyBorder="1" applyAlignment="1" applyProtection="1">
      <alignment vertical="center"/>
      <protection hidden="1"/>
    </xf>
    <xf numFmtId="0" fontId="19" fillId="48" borderId="2" xfId="23" applyFont="1" applyFill="1" applyBorder="1" applyAlignment="1" applyProtection="1">
      <alignment vertical="center" wrapText="1"/>
      <protection hidden="1"/>
    </xf>
    <xf numFmtId="0" fontId="19" fillId="48" borderId="5" xfId="23" applyFont="1" applyFill="1" applyBorder="1" applyAlignment="1" applyProtection="1">
      <alignment vertical="center" wrapText="1"/>
      <protection hidden="1"/>
    </xf>
    <xf numFmtId="0" fontId="0" fillId="47" borderId="14" xfId="0" applyFill="1" applyBorder="1" applyProtection="1">
      <protection hidden="1"/>
    </xf>
    <xf numFmtId="0" fontId="0" fillId="47" borderId="15" xfId="0" applyFill="1" applyBorder="1" applyProtection="1">
      <protection hidden="1"/>
    </xf>
    <xf numFmtId="0" fontId="0" fillId="47" borderId="16" xfId="0" applyFill="1" applyBorder="1" applyProtection="1">
      <protection hidden="1"/>
    </xf>
    <xf numFmtId="166" fontId="12" fillId="49" borderId="2" xfId="0" applyNumberFormat="1" applyFont="1" applyFill="1" applyBorder="1" applyAlignment="1" applyProtection="1">
      <alignment vertical="center"/>
      <protection locked="0" hidden="1"/>
    </xf>
    <xf numFmtId="166" fontId="12" fillId="49" borderId="34" xfId="0" applyNumberFormat="1" applyFont="1" applyFill="1" applyBorder="1" applyAlignment="1" applyProtection="1">
      <alignment vertical="center"/>
      <protection locked="0" hidden="1"/>
    </xf>
    <xf numFmtId="49" fontId="74" fillId="48" borderId="24" xfId="0" applyNumberFormat="1" applyFont="1" applyFill="1" applyBorder="1" applyAlignment="1" applyProtection="1">
      <alignment horizontal="center"/>
      <protection hidden="1"/>
    </xf>
    <xf numFmtId="0" fontId="74" fillId="48" borderId="22" xfId="0" applyFont="1" applyFill="1" applyBorder="1" applyAlignment="1" applyProtection="1">
      <alignment horizontal="center"/>
      <protection hidden="1"/>
    </xf>
    <xf numFmtId="0" fontId="74" fillId="48" borderId="35" xfId="0" applyFont="1" applyFill="1" applyBorder="1" applyAlignment="1" applyProtection="1">
      <alignment horizontal="center"/>
      <protection hidden="1"/>
    </xf>
    <xf numFmtId="0" fontId="85" fillId="41" borderId="0" xfId="0" applyFont="1" applyFill="1" applyAlignment="1" applyProtection="1">
      <alignment horizontal="right" vertical="top"/>
      <protection hidden="1"/>
    </xf>
    <xf numFmtId="164" fontId="49" fillId="37" borderId="36" xfId="19" applyNumberFormat="1" applyFont="1" applyFill="1" applyBorder="1" applyProtection="1">
      <protection hidden="1"/>
    </xf>
    <xf numFmtId="0" fontId="0" fillId="36" borderId="0" xfId="0" applyFill="1"/>
    <xf numFmtId="0" fontId="15" fillId="36" borderId="0" xfId="0" applyFont="1" applyFill="1" applyAlignment="1">
      <alignment horizontal="center" vertical="center" wrapText="1" readingOrder="2"/>
    </xf>
    <xf numFmtId="0" fontId="27" fillId="36" borderId="0" xfId="0" applyFont="1" applyFill="1" applyAlignment="1">
      <alignment horizontal="center" vertical="center" wrapText="1" readingOrder="2"/>
    </xf>
    <xf numFmtId="0" fontId="35" fillId="36" borderId="0" xfId="0" applyFont="1" applyFill="1"/>
    <xf numFmtId="0" fontId="26" fillId="36" borderId="0" xfId="24" applyFont="1" applyFill="1" applyProtection="1">
      <protection hidden="1"/>
    </xf>
    <xf numFmtId="0" fontId="26" fillId="36" borderId="0" xfId="24" applyFont="1" applyFill="1"/>
    <xf numFmtId="0" fontId="15" fillId="36" borderId="0" xfId="0" applyFont="1" applyFill="1" applyBorder="1" applyAlignment="1">
      <alignment horizontal="center"/>
    </xf>
    <xf numFmtId="0" fontId="74" fillId="35" borderId="3" xfId="0" applyFont="1" applyFill="1" applyBorder="1" applyAlignment="1">
      <alignment horizontal="center"/>
    </xf>
    <xf numFmtId="0" fontId="74" fillId="35" borderId="3" xfId="0" applyFont="1" applyFill="1" applyBorder="1" applyAlignment="1">
      <alignment horizontal="center" vertical="center"/>
    </xf>
    <xf numFmtId="0" fontId="33" fillId="45" borderId="16" xfId="0" applyFont="1" applyFill="1" applyBorder="1" applyAlignment="1">
      <alignment horizontal="center" vertical="center"/>
    </xf>
    <xf numFmtId="0" fontId="33" fillId="45" borderId="1" xfId="0" applyFont="1" applyFill="1" applyBorder="1" applyAlignment="1">
      <alignment horizontal="center" vertical="center"/>
    </xf>
    <xf numFmtId="0" fontId="33" fillId="45" borderId="4" xfId="0" applyFont="1" applyFill="1" applyBorder="1" applyAlignment="1">
      <alignment horizontal="center" wrapText="1" readingOrder="2"/>
    </xf>
    <xf numFmtId="0" fontId="33" fillId="45" borderId="11" xfId="0" applyFont="1" applyFill="1" applyBorder="1" applyAlignment="1">
      <alignment vertical="center" wrapText="1" readingOrder="2"/>
    </xf>
    <xf numFmtId="0" fontId="29" fillId="0" borderId="3" xfId="24" applyFont="1" applyFill="1" applyBorder="1" applyAlignment="1" applyProtection="1">
      <alignment horizontal="center" vertical="center"/>
      <protection hidden="1"/>
    </xf>
    <xf numFmtId="0" fontId="29" fillId="0" borderId="3" xfId="24" applyFont="1" applyFill="1" applyBorder="1" applyAlignment="1" applyProtection="1">
      <alignment horizontal="center" vertical="center" wrapText="1"/>
      <protection hidden="1"/>
    </xf>
    <xf numFmtId="0" fontId="26" fillId="36" borderId="0" xfId="24" applyFont="1" applyFill="1" applyAlignment="1" applyProtection="1">
      <alignment horizontal="center"/>
      <protection hidden="1"/>
    </xf>
    <xf numFmtId="0" fontId="27" fillId="0" borderId="3" xfId="24" applyFont="1" applyFill="1" applyBorder="1" applyAlignment="1" applyProtection="1">
      <alignment horizontal="center" vertical="center"/>
      <protection hidden="1"/>
    </xf>
    <xf numFmtId="0" fontId="35" fillId="36" borderId="0" xfId="0" applyFont="1" applyFill="1" applyBorder="1" applyAlignment="1">
      <alignment horizontal="center"/>
    </xf>
    <xf numFmtId="0" fontId="74" fillId="0" borderId="3" xfId="0" applyFont="1" applyBorder="1" applyAlignment="1" applyProtection="1">
      <alignment horizontal="right"/>
      <protection locked="0"/>
    </xf>
    <xf numFmtId="165" fontId="49" fillId="0" borderId="3" xfId="20" applyNumberFormat="1" applyFont="1" applyFill="1" applyBorder="1" applyAlignment="1" applyProtection="1">
      <alignment horizontal="right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165" fontId="49" fillId="0" borderId="3" xfId="20" applyNumberFormat="1" applyFont="1" applyBorder="1" applyAlignment="1" applyProtection="1">
      <alignment horizontal="right"/>
      <protection locked="0"/>
    </xf>
    <xf numFmtId="0" fontId="0" fillId="0" borderId="3" xfId="0" applyBorder="1" applyAlignment="1" applyProtection="1">
      <alignment horizontal="right"/>
      <protection locked="0"/>
    </xf>
    <xf numFmtId="0" fontId="35" fillId="0" borderId="8" xfId="0" applyFont="1" applyBorder="1" applyProtection="1">
      <protection locked="0"/>
    </xf>
    <xf numFmtId="3" fontId="29" fillId="0" borderId="3" xfId="20" applyNumberFormat="1" applyFont="1" applyFill="1" applyBorder="1" applyAlignment="1" applyProtection="1">
      <alignment horizontal="right" vertical="center"/>
      <protection locked="0" hidden="1"/>
    </xf>
    <xf numFmtId="0" fontId="29" fillId="0" borderId="3" xfId="24" applyFont="1" applyFill="1" applyBorder="1" applyAlignment="1" applyProtection="1">
      <alignment horizontal="center" vertical="center"/>
      <protection locked="0" hidden="1"/>
    </xf>
    <xf numFmtId="0" fontId="0" fillId="36" borderId="0" xfId="0" applyFill="1" applyAlignment="1">
      <alignment horizontal="center"/>
    </xf>
    <xf numFmtId="165" fontId="29" fillId="0" borderId="3" xfId="20" applyNumberFormat="1" applyFont="1" applyFill="1" applyBorder="1" applyAlignment="1" applyProtection="1">
      <alignment horizontal="right"/>
      <protection locked="0"/>
    </xf>
    <xf numFmtId="165" fontId="86" fillId="0" borderId="3" xfId="20" applyNumberFormat="1" applyFont="1" applyFill="1" applyBorder="1" applyAlignment="1" applyProtection="1">
      <alignment horizontal="right" vertical="center"/>
      <protection locked="0"/>
    </xf>
    <xf numFmtId="0" fontId="32" fillId="2" borderId="34" xfId="0" applyFont="1" applyFill="1" applyBorder="1" applyAlignment="1">
      <alignment horizontal="center" vertical="center" textRotation="255"/>
    </xf>
    <xf numFmtId="3" fontId="35" fillId="0" borderId="3" xfId="20" applyNumberFormat="1" applyFont="1" applyBorder="1" applyAlignment="1" applyProtection="1">
      <alignment horizontal="right"/>
      <protection locked="0"/>
    </xf>
    <xf numFmtId="0" fontId="35" fillId="0" borderId="3" xfId="0" applyFont="1" applyBorder="1" applyProtection="1">
      <protection locked="0"/>
    </xf>
    <xf numFmtId="165" fontId="29" fillId="0" borderId="3" xfId="20" applyNumberFormat="1" applyFont="1" applyFill="1" applyBorder="1" applyAlignment="1" applyProtection="1">
      <alignment horizontal="right" vertical="center"/>
      <protection locked="0"/>
    </xf>
    <xf numFmtId="0" fontId="0" fillId="0" borderId="3" xfId="0" applyFill="1" applyBorder="1" applyAlignment="1" applyProtection="1">
      <alignment horizontal="center" vertical="center"/>
      <protection locked="0"/>
    </xf>
    <xf numFmtId="3" fontId="27" fillId="43" borderId="3" xfId="20" applyNumberFormat="1" applyFont="1" applyFill="1" applyBorder="1" applyAlignment="1" applyProtection="1">
      <alignment horizontal="right" vertical="center"/>
      <protection hidden="1"/>
    </xf>
    <xf numFmtId="0" fontId="29" fillId="36" borderId="0" xfId="24" applyFont="1" applyFill="1" applyBorder="1" applyAlignment="1" applyProtection="1">
      <alignment horizontal="center" vertical="center"/>
      <protection hidden="1"/>
    </xf>
    <xf numFmtId="165" fontId="87" fillId="0" borderId="3" xfId="20" applyNumberFormat="1" applyFont="1" applyFill="1" applyBorder="1" applyAlignment="1" applyProtection="1">
      <alignment horizontal="right" vertical="center"/>
      <protection locked="0"/>
    </xf>
    <xf numFmtId="0" fontId="38" fillId="36" borderId="0" xfId="0" applyFont="1" applyFill="1"/>
    <xf numFmtId="165" fontId="27" fillId="50" borderId="3" xfId="20" applyNumberFormat="1" applyFont="1" applyFill="1" applyBorder="1" applyAlignment="1" applyProtection="1">
      <alignment horizontal="right" vertical="center"/>
      <protection hidden="1"/>
    </xf>
    <xf numFmtId="0" fontId="35" fillId="36" borderId="0" xfId="0" applyFont="1" applyFill="1" applyBorder="1" applyAlignment="1">
      <alignment horizontal="center" vertical="center"/>
    </xf>
    <xf numFmtId="0" fontId="35" fillId="36" borderId="0" xfId="0" applyFont="1" applyFill="1" applyBorder="1" applyAlignment="1">
      <alignment horizontal="center" vertical="center" wrapText="1"/>
    </xf>
    <xf numFmtId="0" fontId="27" fillId="36" borderId="0" xfId="24" applyFont="1" applyFill="1" applyBorder="1" applyAlignment="1" applyProtection="1">
      <alignment vertical="center"/>
      <protection hidden="1"/>
    </xf>
    <xf numFmtId="0" fontId="26" fillId="36" borderId="0" xfId="24" applyFont="1" applyFill="1" applyBorder="1"/>
    <xf numFmtId="0" fontId="33" fillId="36" borderId="0" xfId="0" applyFont="1" applyFill="1" applyBorder="1" applyAlignment="1">
      <alignment horizontal="center"/>
    </xf>
    <xf numFmtId="3" fontId="86" fillId="0" borderId="3" xfId="20" applyNumberFormat="1" applyFont="1" applyBorder="1" applyAlignment="1" applyProtection="1">
      <alignment horizontal="right" vertical="center"/>
      <protection locked="0" hidden="1"/>
    </xf>
    <xf numFmtId="3" fontId="26" fillId="0" borderId="3" xfId="20" applyNumberFormat="1" applyFont="1" applyBorder="1" applyAlignment="1" applyProtection="1">
      <alignment horizontal="right"/>
      <protection locked="0"/>
    </xf>
    <xf numFmtId="165" fontId="88" fillId="50" borderId="3" xfId="20" applyNumberFormat="1" applyFont="1" applyFill="1" applyBorder="1" applyAlignment="1" applyProtection="1">
      <alignment horizontal="right" vertical="center"/>
      <protection hidden="1"/>
    </xf>
    <xf numFmtId="0" fontId="35" fillId="0" borderId="22" xfId="0" applyFont="1" applyBorder="1" applyProtection="1">
      <protection locked="0"/>
    </xf>
    <xf numFmtId="3" fontId="26" fillId="0" borderId="3" xfId="20" applyNumberFormat="1" applyFont="1" applyFill="1" applyBorder="1" applyAlignment="1" applyProtection="1">
      <alignment horizontal="right"/>
      <protection locked="0"/>
    </xf>
    <xf numFmtId="165" fontId="26" fillId="0" borderId="3" xfId="20" applyNumberFormat="1" applyFont="1" applyFill="1" applyBorder="1" applyAlignment="1" applyProtection="1">
      <alignment horizontal="right"/>
      <protection locked="0"/>
    </xf>
    <xf numFmtId="165" fontId="35" fillId="0" borderId="12" xfId="20" applyNumberFormat="1" applyFont="1" applyBorder="1" applyAlignment="1" applyProtection="1">
      <alignment horizontal="right"/>
      <protection hidden="1"/>
    </xf>
    <xf numFmtId="165" fontId="35" fillId="0" borderId="13" xfId="20" applyNumberFormat="1" applyFont="1" applyBorder="1" applyAlignment="1" applyProtection="1">
      <alignment horizontal="right"/>
      <protection hidden="1"/>
    </xf>
    <xf numFmtId="3" fontId="29" fillId="0" borderId="3" xfId="20" applyNumberFormat="1" applyFont="1" applyFill="1" applyBorder="1" applyAlignment="1" applyProtection="1">
      <alignment horizontal="right"/>
      <protection locked="0" hidden="1"/>
    </xf>
    <xf numFmtId="0" fontId="29" fillId="36" borderId="0" xfId="24" applyFont="1" applyFill="1" applyBorder="1" applyProtection="1">
      <protection hidden="1"/>
    </xf>
    <xf numFmtId="0" fontId="35" fillId="36" borderId="0" xfId="0" applyFont="1" applyFill="1" applyBorder="1"/>
    <xf numFmtId="0" fontId="27" fillId="36" borderId="0" xfId="24" applyFont="1" applyFill="1" applyBorder="1" applyAlignment="1" applyProtection="1">
      <alignment horizontal="center" vertical="center"/>
      <protection hidden="1"/>
    </xf>
    <xf numFmtId="3" fontId="27" fillId="36" borderId="0" xfId="24" applyNumberFormat="1" applyFont="1" applyFill="1" applyBorder="1" applyAlignment="1" applyProtection="1">
      <alignment horizontal="center" vertical="center"/>
      <protection hidden="1"/>
    </xf>
    <xf numFmtId="0" fontId="33" fillId="45" borderId="26" xfId="0" applyFont="1" applyFill="1" applyBorder="1" applyAlignment="1">
      <alignment horizontal="center"/>
    </xf>
    <xf numFmtId="0" fontId="33" fillId="45" borderId="9" xfId="0" applyFont="1" applyFill="1" applyBorder="1" applyAlignment="1">
      <alignment horizontal="center"/>
    </xf>
    <xf numFmtId="0" fontId="33" fillId="45" borderId="10" xfId="0" applyFont="1" applyFill="1" applyBorder="1" applyAlignment="1">
      <alignment horizontal="center"/>
    </xf>
    <xf numFmtId="0" fontId="39" fillId="43" borderId="2" xfId="0" applyFont="1" applyFill="1" applyBorder="1" applyAlignment="1">
      <alignment horizontal="center"/>
    </xf>
    <xf numFmtId="3" fontId="35" fillId="0" borderId="3" xfId="20" applyNumberFormat="1" applyFont="1" applyBorder="1" applyAlignment="1" applyProtection="1">
      <alignment horizontal="right"/>
      <protection hidden="1"/>
    </xf>
    <xf numFmtId="3" fontId="35" fillId="0" borderId="5" xfId="20" applyNumberFormat="1" applyFont="1" applyBorder="1" applyAlignment="1" applyProtection="1">
      <alignment horizontal="right"/>
      <protection hidden="1"/>
    </xf>
    <xf numFmtId="0" fontId="39" fillId="50" borderId="2" xfId="0" applyFont="1" applyFill="1" applyBorder="1" applyAlignment="1">
      <alignment horizontal="center"/>
    </xf>
    <xf numFmtId="3" fontId="0" fillId="36" borderId="0" xfId="0" applyNumberFormat="1" applyFill="1"/>
    <xf numFmtId="165" fontId="49" fillId="0" borderId="37" xfId="20" applyNumberFormat="1" applyFont="1" applyBorder="1" applyAlignment="1" applyProtection="1">
      <alignment horizontal="right"/>
      <protection locked="0"/>
    </xf>
    <xf numFmtId="0" fontId="39" fillId="44" borderId="24" xfId="0" applyFont="1" applyFill="1" applyBorder="1" applyAlignment="1">
      <alignment horizontal="center"/>
    </xf>
    <xf numFmtId="3" fontId="35" fillId="0" borderId="22" xfId="20" applyNumberFormat="1" applyFont="1" applyBorder="1" applyAlignment="1" applyProtection="1">
      <alignment horizontal="right"/>
      <protection hidden="1"/>
    </xf>
    <xf numFmtId="3" fontId="35" fillId="0" borderId="35" xfId="20" applyNumberFormat="1" applyFont="1" applyBorder="1" applyAlignment="1" applyProtection="1">
      <alignment horizontal="right"/>
      <protection hidden="1"/>
    </xf>
    <xf numFmtId="164" fontId="74" fillId="36" borderId="0" xfId="20" applyNumberFormat="1" applyFont="1" applyFill="1" applyBorder="1"/>
    <xf numFmtId="0" fontId="74" fillId="36" borderId="0" xfId="0" applyFont="1" applyFill="1" applyBorder="1" applyAlignment="1">
      <alignment horizontal="center" vertical="center"/>
    </xf>
    <xf numFmtId="0" fontId="74" fillId="0" borderId="0" xfId="0" applyFont="1" applyFill="1" applyBorder="1"/>
    <xf numFmtId="0" fontId="39" fillId="2" borderId="38" xfId="0" applyFont="1" applyFill="1" applyBorder="1" applyAlignment="1">
      <alignment horizontal="center"/>
    </xf>
    <xf numFmtId="3" fontId="35" fillId="0" borderId="12" xfId="20" applyNumberFormat="1" applyFont="1" applyBorder="1" applyAlignment="1" applyProtection="1">
      <alignment horizontal="right"/>
      <protection hidden="1"/>
    </xf>
    <xf numFmtId="3" fontId="35" fillId="0" borderId="13" xfId="20" applyNumberFormat="1" applyFont="1" applyBorder="1" applyAlignment="1" applyProtection="1">
      <alignment horizontal="right"/>
      <protection hidden="1"/>
    </xf>
    <xf numFmtId="0" fontId="0" fillId="36" borderId="0" xfId="0" applyFill="1" applyAlignment="1">
      <alignment horizontal="center" vertical="center"/>
    </xf>
    <xf numFmtId="0" fontId="0" fillId="0" borderId="0" xfId="0" applyFill="1" applyBorder="1" applyProtection="1">
      <protection hidden="1"/>
    </xf>
    <xf numFmtId="0" fontId="39" fillId="2" borderId="0" xfId="0" applyFont="1" applyFill="1" applyBorder="1" applyAlignment="1">
      <alignment horizontal="center"/>
    </xf>
    <xf numFmtId="0" fontId="89" fillId="36" borderId="0" xfId="0" applyFont="1" applyFill="1"/>
    <xf numFmtId="0" fontId="90" fillId="0" borderId="0" xfId="0" applyFont="1" applyFill="1" applyAlignment="1">
      <alignment readingOrder="2"/>
    </xf>
    <xf numFmtId="165" fontId="27" fillId="50" borderId="3" xfId="20" applyNumberFormat="1" applyFont="1" applyFill="1" applyBorder="1" applyAlignment="1" applyProtection="1">
      <alignment vertical="center"/>
      <protection hidden="1"/>
    </xf>
    <xf numFmtId="0" fontId="90" fillId="36" borderId="0" xfId="0" applyFont="1" applyFill="1" applyAlignment="1">
      <alignment readingOrder="2"/>
    </xf>
    <xf numFmtId="0" fontId="33" fillId="45" borderId="30" xfId="0" applyFont="1" applyFill="1" applyBorder="1" applyAlignment="1">
      <alignment horizontal="center"/>
    </xf>
    <xf numFmtId="0" fontId="33" fillId="45" borderId="39" xfId="0" applyFont="1" applyFill="1" applyBorder="1" applyAlignment="1">
      <alignment horizontal="center"/>
    </xf>
    <xf numFmtId="0" fontId="27" fillId="36" borderId="0" xfId="24" applyFont="1" applyFill="1" applyBorder="1" applyAlignment="1" applyProtection="1">
      <alignment horizontal="center"/>
      <protection hidden="1"/>
    </xf>
    <xf numFmtId="0" fontId="27" fillId="36" borderId="0" xfId="24" applyFont="1" applyFill="1" applyBorder="1" applyProtection="1">
      <protection hidden="1"/>
    </xf>
    <xf numFmtId="0" fontId="91" fillId="36" borderId="0" xfId="0" applyFont="1" applyFill="1" applyAlignment="1">
      <alignment readingOrder="2"/>
    </xf>
    <xf numFmtId="0" fontId="35" fillId="0" borderId="2" xfId="0" applyFont="1" applyFill="1" applyBorder="1" applyAlignment="1">
      <alignment horizontal="center"/>
    </xf>
    <xf numFmtId="3" fontId="35" fillId="0" borderId="37" xfId="20" applyNumberFormat="1" applyFont="1" applyFill="1" applyBorder="1" applyAlignment="1" applyProtection="1">
      <alignment horizontal="right"/>
      <protection hidden="1"/>
    </xf>
    <xf numFmtId="0" fontId="29" fillId="0" borderId="3" xfId="24" applyFont="1" applyBorder="1" applyAlignment="1" applyProtection="1">
      <alignment horizontal="center" vertical="center"/>
      <protection locked="0" hidden="1"/>
    </xf>
    <xf numFmtId="0" fontId="35" fillId="0" borderId="4" xfId="0" applyFont="1" applyBorder="1" applyAlignment="1">
      <alignment horizontal="center"/>
    </xf>
    <xf numFmtId="3" fontId="35" fillId="0" borderId="11" xfId="20" applyNumberFormat="1" applyFont="1" applyBorder="1" applyAlignment="1" applyProtection="1">
      <alignment horizontal="right"/>
      <protection hidden="1"/>
    </xf>
    <xf numFmtId="3" fontId="49" fillId="35" borderId="19" xfId="20" applyNumberFormat="1" applyFont="1" applyFill="1" applyBorder="1" applyAlignment="1" applyProtection="1">
      <alignment horizontal="right"/>
      <protection hidden="1"/>
    </xf>
    <xf numFmtId="0" fontId="29" fillId="0" borderId="3" xfId="24" applyFont="1" applyBorder="1" applyAlignment="1" applyProtection="1">
      <alignment horizontal="center" vertical="center"/>
      <protection locked="0"/>
    </xf>
    <xf numFmtId="165" fontId="29" fillId="0" borderId="3" xfId="20" applyNumberFormat="1" applyFont="1" applyBorder="1" applyAlignment="1" applyProtection="1">
      <alignment horizontal="right" vertical="center"/>
      <protection locked="0"/>
    </xf>
    <xf numFmtId="0" fontId="40" fillId="36" borderId="0" xfId="0" applyFont="1" applyFill="1" applyBorder="1" applyAlignment="1">
      <alignment horizontal="center" vertical="center" wrapText="1"/>
    </xf>
    <xf numFmtId="0" fontId="35" fillId="36" borderId="0" xfId="0" applyFont="1" applyFill="1" applyBorder="1" applyAlignment="1">
      <alignment horizontal="center" wrapText="1"/>
    </xf>
    <xf numFmtId="0" fontId="33" fillId="35" borderId="40" xfId="0" applyFont="1" applyFill="1" applyBorder="1" applyAlignment="1">
      <alignment horizontal="center"/>
    </xf>
    <xf numFmtId="3" fontId="35" fillId="0" borderId="41" xfId="20" applyNumberFormat="1" applyFont="1" applyBorder="1" applyAlignment="1" applyProtection="1">
      <alignment horizontal="right"/>
      <protection hidden="1"/>
    </xf>
    <xf numFmtId="0" fontId="0" fillId="36" borderId="0" xfId="0" applyFill="1" applyBorder="1" applyAlignment="1">
      <alignment horizontal="center"/>
    </xf>
    <xf numFmtId="165" fontId="49" fillId="35" borderId="10" xfId="20" applyNumberFormat="1" applyFont="1" applyFill="1" applyBorder="1" applyAlignment="1" applyProtection="1">
      <alignment horizontal="right"/>
      <protection hidden="1"/>
    </xf>
    <xf numFmtId="0" fontId="0" fillId="36" borderId="0" xfId="0" applyFill="1" applyBorder="1"/>
    <xf numFmtId="165" fontId="86" fillId="0" borderId="3" xfId="20" applyNumberFormat="1" applyFont="1" applyBorder="1" applyAlignment="1" applyProtection="1">
      <alignment horizontal="right" vertical="center"/>
      <protection locked="0"/>
    </xf>
    <xf numFmtId="0" fontId="33" fillId="36" borderId="0" xfId="0" applyFont="1" applyFill="1" applyBorder="1" applyAlignment="1">
      <alignment horizontal="center" vertical="center" wrapText="1"/>
    </xf>
    <xf numFmtId="165" fontId="49" fillId="35" borderId="1" xfId="20" applyNumberFormat="1" applyFont="1" applyFill="1" applyBorder="1" applyAlignment="1" applyProtection="1">
      <alignment horizontal="right"/>
      <protection hidden="1"/>
    </xf>
    <xf numFmtId="0" fontId="0" fillId="36" borderId="0" xfId="0" applyFill="1" applyAlignment="1">
      <alignment horizontal="left" vertical="center"/>
    </xf>
    <xf numFmtId="164" fontId="92" fillId="36" borderId="0" xfId="20" applyNumberFormat="1" applyFont="1" applyFill="1" applyAlignment="1">
      <alignment horizontal="right" vertical="center" readingOrder="2"/>
    </xf>
    <xf numFmtId="3" fontId="35" fillId="0" borderId="11" xfId="20" applyNumberFormat="1" applyFont="1" applyBorder="1" applyAlignment="1" applyProtection="1">
      <alignment horizontal="right"/>
      <protection locked="0"/>
    </xf>
    <xf numFmtId="0" fontId="0" fillId="36" borderId="0" xfId="0" applyFill="1" applyAlignment="1">
      <alignment horizontal="left"/>
    </xf>
    <xf numFmtId="165" fontId="49" fillId="35" borderId="13" xfId="20" applyNumberFormat="1" applyFont="1" applyFill="1" applyBorder="1" applyAlignment="1" applyProtection="1">
      <alignment horizontal="right" vertical="center"/>
      <protection hidden="1"/>
    </xf>
    <xf numFmtId="3" fontId="35" fillId="0" borderId="23" xfId="20" applyNumberFormat="1" applyFont="1" applyBorder="1" applyAlignment="1" applyProtection="1">
      <alignment horizontal="center"/>
      <protection hidden="1"/>
    </xf>
    <xf numFmtId="3" fontId="35" fillId="0" borderId="8" xfId="20" applyNumberFormat="1" applyFont="1" applyBorder="1" applyAlignment="1" applyProtection="1">
      <alignment horizontal="center"/>
      <protection hidden="1"/>
    </xf>
    <xf numFmtId="3" fontId="35" fillId="0" borderId="5" xfId="20" applyNumberFormat="1" applyFont="1" applyBorder="1" applyAlignment="1" applyProtection="1">
      <alignment horizontal="center"/>
      <protection hidden="1"/>
    </xf>
    <xf numFmtId="0" fontId="30" fillId="0" borderId="3" xfId="24" applyFont="1" applyFill="1" applyBorder="1" applyAlignment="1" applyProtection="1">
      <alignment horizontal="left" vertical="center"/>
      <protection hidden="1"/>
    </xf>
    <xf numFmtId="165" fontId="30" fillId="0" borderId="15" xfId="20" applyNumberFormat="1" applyFont="1" applyFill="1" applyBorder="1" applyAlignment="1" applyProtection="1">
      <alignment horizontal="right" vertical="center"/>
      <protection hidden="1"/>
    </xf>
    <xf numFmtId="165" fontId="27" fillId="0" borderId="3" xfId="20" applyNumberFormat="1" applyFont="1" applyFill="1" applyBorder="1" applyAlignment="1" applyProtection="1">
      <alignment horizontal="right" vertical="center"/>
      <protection hidden="1"/>
    </xf>
    <xf numFmtId="0" fontId="40" fillId="36" borderId="0" xfId="0" applyFont="1" applyFill="1" applyBorder="1" applyAlignment="1">
      <alignment horizontal="center"/>
    </xf>
    <xf numFmtId="0" fontId="26" fillId="36" borderId="0" xfId="24" applyFont="1" applyFill="1" applyAlignment="1">
      <alignment horizontal="center" vertical="center" wrapText="1" readingOrder="2"/>
    </xf>
    <xf numFmtId="0" fontId="27" fillId="0" borderId="3" xfId="24" applyFont="1" applyFill="1" applyBorder="1" applyAlignment="1" applyProtection="1">
      <alignment horizontal="center"/>
      <protection hidden="1"/>
    </xf>
    <xf numFmtId="165" fontId="28" fillId="0" borderId="3" xfId="20" applyNumberFormat="1" applyFont="1" applyFill="1" applyBorder="1" applyAlignment="1" applyProtection="1">
      <alignment horizontal="right"/>
      <protection locked="0"/>
    </xf>
    <xf numFmtId="0" fontId="35" fillId="0" borderId="2" xfId="0" applyFont="1" applyBorder="1" applyAlignment="1" applyProtection="1">
      <alignment horizontal="center"/>
      <protection locked="0"/>
    </xf>
    <xf numFmtId="0" fontId="35" fillId="0" borderId="5" xfId="0" applyFont="1" applyBorder="1" applyProtection="1">
      <protection locked="0"/>
    </xf>
    <xf numFmtId="165" fontId="27" fillId="44" borderId="3" xfId="20" applyNumberFormat="1" applyFont="1" applyFill="1" applyBorder="1" applyAlignment="1" applyProtection="1">
      <alignment horizontal="right" vertical="center"/>
      <protection hidden="1"/>
    </xf>
    <xf numFmtId="0" fontId="37" fillId="2" borderId="0" xfId="0" applyFont="1" applyFill="1" applyBorder="1" applyAlignment="1">
      <alignment vertical="center" textRotation="255"/>
    </xf>
    <xf numFmtId="3" fontId="35" fillId="0" borderId="13" xfId="20" applyNumberFormat="1" applyFont="1" applyBorder="1" applyAlignment="1">
      <alignment horizontal="right"/>
    </xf>
    <xf numFmtId="165" fontId="87" fillId="50" borderId="3" xfId="20" applyNumberFormat="1" applyFont="1" applyFill="1" applyBorder="1" applyAlignment="1" applyProtection="1">
      <alignment horizontal="right" vertical="center"/>
      <protection hidden="1"/>
    </xf>
    <xf numFmtId="0" fontId="32" fillId="2" borderId="0" xfId="0" applyFont="1" applyFill="1" applyBorder="1" applyAlignment="1">
      <alignment vertical="center" textRotation="255"/>
    </xf>
    <xf numFmtId="165" fontId="26" fillId="0" borderId="3" xfId="20" applyNumberFormat="1" applyFont="1" applyBorder="1" applyAlignment="1" applyProtection="1">
      <alignment horizontal="right"/>
      <protection locked="0"/>
    </xf>
    <xf numFmtId="0" fontId="28" fillId="36" borderId="0" xfId="0" applyFont="1" applyFill="1"/>
    <xf numFmtId="0" fontId="35" fillId="0" borderId="4" xfId="0" applyFont="1" applyBorder="1" applyAlignment="1" applyProtection="1">
      <alignment horizontal="center"/>
      <protection locked="0"/>
    </xf>
    <xf numFmtId="0" fontId="35" fillId="0" borderId="1" xfId="0" applyFont="1" applyBorder="1" applyProtection="1">
      <protection locked="0"/>
    </xf>
    <xf numFmtId="0" fontId="33" fillId="0" borderId="38" xfId="0" applyFont="1" applyBorder="1" applyAlignment="1">
      <alignment horizontal="center"/>
    </xf>
    <xf numFmtId="3" fontId="33" fillId="0" borderId="12" xfId="20" applyNumberFormat="1" applyFont="1" applyBorder="1" applyAlignment="1" applyProtection="1">
      <alignment horizontal="right"/>
      <protection hidden="1"/>
    </xf>
    <xf numFmtId="3" fontId="33" fillId="0" borderId="13" xfId="20" applyNumberFormat="1" applyFont="1" applyBorder="1" applyAlignment="1" applyProtection="1">
      <alignment horizontal="right"/>
      <protection hidden="1"/>
    </xf>
    <xf numFmtId="0" fontId="35" fillId="0" borderId="0" xfId="0" applyFont="1" applyBorder="1"/>
    <xf numFmtId="0" fontId="16" fillId="36" borderId="0" xfId="0" applyFont="1" applyFill="1"/>
    <xf numFmtId="0" fontId="35" fillId="36" borderId="0" xfId="0" applyFont="1" applyFill="1" applyBorder="1" applyAlignment="1"/>
    <xf numFmtId="0" fontId="28" fillId="0" borderId="0" xfId="0" applyFont="1"/>
    <xf numFmtId="0" fontId="0" fillId="0" borderId="0" xfId="0" applyFill="1" applyBorder="1"/>
    <xf numFmtId="0" fontId="0" fillId="0" borderId="0" xfId="0" applyFill="1"/>
    <xf numFmtId="0" fontId="33" fillId="36" borderId="0" xfId="0" applyFont="1" applyFill="1" applyBorder="1"/>
    <xf numFmtId="0" fontId="16" fillId="0" borderId="0" xfId="0" applyFont="1"/>
    <xf numFmtId="0" fontId="33" fillId="0" borderId="0" xfId="0" applyFont="1" applyFill="1" applyBorder="1" applyAlignment="1">
      <alignment horizontal="center"/>
    </xf>
    <xf numFmtId="0" fontId="33" fillId="0" borderId="0" xfId="0" applyFont="1" applyFill="1" applyBorder="1"/>
    <xf numFmtId="0" fontId="15" fillId="0" borderId="0" xfId="0" applyFont="1" applyFill="1" applyBorder="1" applyAlignment="1"/>
    <xf numFmtId="0" fontId="15" fillId="0" borderId="0" xfId="0" applyFont="1" applyFill="1" applyBorder="1" applyAlignment="1">
      <alignment horizontal="center"/>
    </xf>
    <xf numFmtId="0" fontId="40" fillId="0" borderId="0" xfId="0" applyFont="1" applyFill="1" applyBorder="1"/>
    <xf numFmtId="0" fontId="27" fillId="0" borderId="0" xfId="24" applyFont="1" applyFill="1" applyBorder="1" applyAlignment="1" applyProtection="1">
      <protection hidden="1"/>
    </xf>
    <xf numFmtId="0" fontId="0" fillId="0" borderId="0" xfId="0" applyFill="1" applyBorder="1" applyAlignment="1"/>
    <xf numFmtId="0" fontId="0" fillId="0" borderId="0" xfId="0" applyFill="1" applyBorder="1" applyAlignment="1">
      <alignment horizontal="center"/>
    </xf>
    <xf numFmtId="0" fontId="15" fillId="0" borderId="0" xfId="0" applyFont="1" applyFill="1" applyBorder="1"/>
    <xf numFmtId="0" fontId="26" fillId="0" borderId="0" xfId="24" applyFont="1"/>
    <xf numFmtId="165" fontId="29" fillId="37" borderId="3" xfId="20" applyNumberFormat="1" applyFont="1" applyFill="1" applyBorder="1" applyAlignment="1" applyProtection="1">
      <alignment horizontal="right" vertical="center"/>
      <protection hidden="1"/>
    </xf>
    <xf numFmtId="165" fontId="27" fillId="37" borderId="3" xfId="20" applyNumberFormat="1" applyFont="1" applyFill="1" applyBorder="1" applyAlignment="1" applyProtection="1">
      <alignment horizontal="right" vertical="center"/>
      <protection hidden="1"/>
    </xf>
    <xf numFmtId="165" fontId="86" fillId="37" borderId="3" xfId="20" applyNumberFormat="1" applyFont="1" applyFill="1" applyBorder="1" applyAlignment="1" applyProtection="1">
      <alignment horizontal="right" vertical="center"/>
      <protection hidden="1"/>
    </xf>
    <xf numFmtId="165" fontId="26" fillId="37" borderId="3" xfId="20" applyNumberFormat="1" applyFont="1" applyFill="1" applyBorder="1" applyAlignment="1" applyProtection="1">
      <alignment horizontal="right"/>
      <protection hidden="1"/>
    </xf>
    <xf numFmtId="165" fontId="29" fillId="37" borderId="3" xfId="20" applyNumberFormat="1" applyFont="1" applyFill="1" applyBorder="1" applyAlignment="1" applyProtection="1">
      <alignment horizontal="right"/>
      <protection hidden="1"/>
    </xf>
    <xf numFmtId="165" fontId="87" fillId="37" borderId="3" xfId="20" applyNumberFormat="1" applyFont="1" applyFill="1" applyBorder="1" applyAlignment="1" applyProtection="1">
      <alignment horizontal="right" vertical="center"/>
      <protection hidden="1"/>
    </xf>
    <xf numFmtId="165" fontId="28" fillId="37" borderId="3" xfId="20" applyNumberFormat="1" applyFont="1" applyFill="1" applyBorder="1" applyAlignment="1" applyProtection="1">
      <alignment horizontal="right"/>
      <protection hidden="1"/>
    </xf>
    <xf numFmtId="165" fontId="29" fillId="37" borderId="3" xfId="20" applyNumberFormat="1" applyFont="1" applyFill="1" applyBorder="1" applyAlignment="1" applyProtection="1">
      <protection hidden="1"/>
    </xf>
    <xf numFmtId="165" fontId="26" fillId="37" borderId="3" xfId="20" applyNumberFormat="1" applyFont="1" applyFill="1" applyBorder="1" applyAlignment="1" applyProtection="1">
      <protection hidden="1"/>
    </xf>
    <xf numFmtId="165" fontId="28" fillId="37" borderId="3" xfId="20" applyNumberFormat="1" applyFont="1" applyFill="1" applyBorder="1" applyAlignment="1" applyProtection="1">
      <alignment horizontal="right" vertical="center"/>
      <protection hidden="1"/>
    </xf>
    <xf numFmtId="165" fontId="49" fillId="37" borderId="3" xfId="20" applyNumberFormat="1" applyFont="1" applyFill="1" applyBorder="1" applyAlignment="1" applyProtection="1">
      <alignment horizontal="right"/>
      <protection hidden="1"/>
    </xf>
    <xf numFmtId="165" fontId="49" fillId="37" borderId="37" xfId="20" applyNumberFormat="1" applyFont="1" applyFill="1" applyBorder="1" applyAlignment="1" applyProtection="1">
      <alignment horizontal="right"/>
      <protection hidden="1"/>
    </xf>
    <xf numFmtId="0" fontId="0" fillId="0" borderId="20" xfId="0" applyBorder="1"/>
    <xf numFmtId="0" fontId="0" fillId="0" borderId="42" xfId="0" applyBorder="1"/>
    <xf numFmtId="3" fontId="5" fillId="47" borderId="87" xfId="19" applyNumberFormat="1" applyFont="1" applyFill="1" applyBorder="1" applyAlignment="1" applyProtection="1">
      <alignment horizontal="right"/>
      <protection locked="0" hidden="1"/>
    </xf>
    <xf numFmtId="3" fontId="5" fillId="47" borderId="88" xfId="19" applyNumberFormat="1" applyFont="1" applyFill="1" applyBorder="1" applyAlignment="1" applyProtection="1">
      <alignment horizontal="right"/>
      <protection locked="0" hidden="1"/>
    </xf>
    <xf numFmtId="165" fontId="5" fillId="43" borderId="87" xfId="19" applyNumberFormat="1" applyFont="1" applyFill="1" applyBorder="1" applyAlignment="1" applyProtection="1">
      <alignment horizontal="right"/>
      <protection locked="0" hidden="1"/>
    </xf>
    <xf numFmtId="165" fontId="5" fillId="43" borderId="88" xfId="19" applyNumberFormat="1" applyFont="1" applyFill="1" applyBorder="1" applyAlignment="1" applyProtection="1">
      <alignment horizontal="right"/>
      <protection locked="0" hidden="1"/>
    </xf>
    <xf numFmtId="165" fontId="5" fillId="44" borderId="87" xfId="19" applyNumberFormat="1" applyFont="1" applyFill="1" applyBorder="1" applyAlignment="1" applyProtection="1">
      <alignment horizontal="right"/>
      <protection locked="0" hidden="1"/>
    </xf>
    <xf numFmtId="165" fontId="5" fillId="44" borderId="88" xfId="19" applyNumberFormat="1" applyFont="1" applyFill="1" applyBorder="1" applyAlignment="1" applyProtection="1">
      <alignment horizontal="right"/>
      <protection locked="0" hidden="1"/>
    </xf>
    <xf numFmtId="165" fontId="5" fillId="46" borderId="87" xfId="19" applyNumberFormat="1" applyFont="1" applyFill="1" applyBorder="1" applyAlignment="1" applyProtection="1">
      <alignment horizontal="right"/>
      <protection locked="0" hidden="1"/>
    </xf>
    <xf numFmtId="165" fontId="5" fillId="46" borderId="88" xfId="19" applyNumberFormat="1" applyFont="1" applyFill="1" applyBorder="1" applyAlignment="1" applyProtection="1">
      <alignment horizontal="right"/>
      <protection locked="0" hidden="1"/>
    </xf>
    <xf numFmtId="0" fontId="0" fillId="0" borderId="0" xfId="0" applyBorder="1"/>
    <xf numFmtId="0" fontId="0" fillId="36" borderId="89" xfId="0" applyFill="1" applyBorder="1"/>
    <xf numFmtId="0" fontId="93" fillId="36" borderId="90" xfId="0" applyFont="1" applyFill="1" applyBorder="1" applyAlignment="1">
      <alignment vertical="center"/>
    </xf>
    <xf numFmtId="0" fontId="85" fillId="0" borderId="0" xfId="0" applyFont="1" applyProtection="1">
      <protection hidden="1"/>
    </xf>
    <xf numFmtId="3" fontId="35" fillId="0" borderId="9" xfId="20" applyNumberFormat="1" applyFont="1" applyBorder="1" applyAlignment="1" applyProtection="1">
      <alignment horizontal="right"/>
      <protection locked="0" hidden="1"/>
    </xf>
    <xf numFmtId="3" fontId="35" fillId="0" borderId="10" xfId="20" applyNumberFormat="1" applyFont="1" applyBorder="1" applyAlignment="1" applyProtection="1">
      <alignment horizontal="right"/>
      <protection locked="0" hidden="1"/>
    </xf>
    <xf numFmtId="3" fontId="35" fillId="0" borderId="3" xfId="20" applyNumberFormat="1" applyFont="1" applyBorder="1" applyAlignment="1" applyProtection="1">
      <alignment horizontal="right"/>
      <protection locked="0" hidden="1"/>
    </xf>
    <xf numFmtId="3" fontId="35" fillId="0" borderId="5" xfId="20" applyNumberFormat="1" applyFont="1" applyBorder="1" applyAlignment="1" applyProtection="1">
      <alignment horizontal="right"/>
      <protection locked="0" hidden="1"/>
    </xf>
    <xf numFmtId="3" fontId="35" fillId="0" borderId="22" xfId="20" applyNumberFormat="1" applyFont="1" applyBorder="1" applyAlignment="1" applyProtection="1">
      <alignment horizontal="right"/>
      <protection locked="0" hidden="1"/>
    </xf>
    <xf numFmtId="3" fontId="35" fillId="0" borderId="35" xfId="20" applyNumberFormat="1" applyFont="1" applyBorder="1" applyAlignment="1" applyProtection="1">
      <alignment horizontal="right"/>
      <protection locked="0" hidden="1"/>
    </xf>
    <xf numFmtId="3" fontId="35" fillId="0" borderId="11" xfId="20" applyNumberFormat="1" applyFont="1" applyBorder="1" applyAlignment="1" applyProtection="1">
      <alignment horizontal="right"/>
      <protection locked="0" hidden="1"/>
    </xf>
    <xf numFmtId="3" fontId="35" fillId="0" borderId="1" xfId="20" applyNumberFormat="1" applyFont="1" applyBorder="1" applyAlignment="1" applyProtection="1">
      <alignment horizontal="right"/>
      <protection locked="0" hidden="1"/>
    </xf>
    <xf numFmtId="165" fontId="35" fillId="0" borderId="43" xfId="20" applyNumberFormat="1" applyFont="1" applyBorder="1" applyAlignment="1" applyProtection="1">
      <alignment horizontal="right"/>
      <protection locked="0" hidden="1"/>
    </xf>
    <xf numFmtId="165" fontId="35" fillId="0" borderId="44" xfId="20" applyNumberFormat="1" applyFont="1" applyBorder="1" applyAlignment="1" applyProtection="1">
      <alignment horizontal="right"/>
      <protection locked="0" hidden="1"/>
    </xf>
    <xf numFmtId="165" fontId="35" fillId="0" borderId="37" xfId="20" applyNumberFormat="1" applyFont="1" applyBorder="1" applyAlignment="1" applyProtection="1">
      <alignment horizontal="right"/>
      <protection locked="0" hidden="1"/>
    </xf>
    <xf numFmtId="165" fontId="35" fillId="0" borderId="5" xfId="20" applyNumberFormat="1" applyFont="1" applyBorder="1" applyAlignment="1" applyProtection="1">
      <alignment horizontal="right"/>
      <protection locked="0" hidden="1"/>
    </xf>
    <xf numFmtId="165" fontId="35" fillId="0" borderId="45" xfId="20" applyNumberFormat="1" applyFont="1" applyBorder="1" applyAlignment="1" applyProtection="1">
      <alignment horizontal="right"/>
      <protection locked="0" hidden="1"/>
    </xf>
    <xf numFmtId="165" fontId="35" fillId="0" borderId="35" xfId="20" applyNumberFormat="1" applyFont="1" applyBorder="1" applyAlignment="1" applyProtection="1">
      <alignment horizontal="right"/>
      <protection locked="0" hidden="1"/>
    </xf>
    <xf numFmtId="0" fontId="28" fillId="0" borderId="3" xfId="24" applyFont="1" applyFill="1" applyBorder="1" applyAlignment="1" applyProtection="1">
      <alignment horizontal="center" vertical="center"/>
      <protection locked="0"/>
    </xf>
    <xf numFmtId="165" fontId="28" fillId="0" borderId="3" xfId="20" applyNumberFormat="1" applyFont="1" applyFill="1" applyBorder="1" applyAlignment="1" applyProtection="1">
      <alignment horizontal="right" vertical="center"/>
      <protection locked="0"/>
    </xf>
    <xf numFmtId="10" fontId="29" fillId="0" borderId="3" xfId="28" applyNumberFormat="1" applyFont="1" applyFill="1" applyBorder="1" applyAlignment="1" applyProtection="1">
      <alignment horizontal="center" vertical="center"/>
      <protection locked="0" hidden="1"/>
    </xf>
    <xf numFmtId="10" fontId="49" fillId="0" borderId="3" xfId="28" applyNumberFormat="1" applyFont="1" applyBorder="1" applyAlignment="1" applyProtection="1">
      <alignment horizontal="center" vertical="center"/>
      <protection locked="0"/>
    </xf>
    <xf numFmtId="3" fontId="0" fillId="0" borderId="26" xfId="0" applyNumberFormat="1" applyBorder="1" applyProtection="1">
      <protection hidden="1"/>
    </xf>
    <xf numFmtId="3" fontId="0" fillId="0" borderId="9" xfId="0" applyNumberFormat="1" applyBorder="1" applyProtection="1">
      <protection hidden="1"/>
    </xf>
    <xf numFmtId="3" fontId="0" fillId="0" borderId="10" xfId="0" applyNumberFormat="1" applyBorder="1" applyProtection="1">
      <protection hidden="1"/>
    </xf>
    <xf numFmtId="3" fontId="0" fillId="0" borderId="2" xfId="0" applyNumberFormat="1" applyBorder="1" applyProtection="1">
      <protection hidden="1"/>
    </xf>
    <xf numFmtId="3" fontId="0" fillId="0" borderId="3" xfId="0" applyNumberFormat="1" applyBorder="1" applyProtection="1">
      <protection hidden="1"/>
    </xf>
    <xf numFmtId="3" fontId="0" fillId="0" borderId="5" xfId="0" applyNumberFormat="1" applyBorder="1" applyProtection="1">
      <protection hidden="1"/>
    </xf>
    <xf numFmtId="3" fontId="0" fillId="0" borderId="4" xfId="0" applyNumberFormat="1" applyBorder="1" applyProtection="1">
      <protection hidden="1"/>
    </xf>
    <xf numFmtId="3" fontId="0" fillId="0" borderId="11" xfId="0" applyNumberFormat="1" applyBorder="1" applyProtection="1">
      <protection hidden="1"/>
    </xf>
    <xf numFmtId="3" fontId="0" fillId="0" borderId="1" xfId="0" applyNumberFormat="1" applyBorder="1" applyProtection="1">
      <protection hidden="1"/>
    </xf>
    <xf numFmtId="3" fontId="0" fillId="0" borderId="40" xfId="0" applyNumberFormat="1" applyBorder="1" applyProtection="1">
      <protection hidden="1"/>
    </xf>
    <xf numFmtId="3" fontId="0" fillId="0" borderId="46" xfId="0" applyNumberFormat="1" applyBorder="1" applyProtection="1">
      <protection hidden="1"/>
    </xf>
    <xf numFmtId="3" fontId="0" fillId="0" borderId="41" xfId="0" applyNumberFormat="1" applyBorder="1" applyProtection="1">
      <protection hidden="1"/>
    </xf>
    <xf numFmtId="3" fontId="0" fillId="0" borderId="24" xfId="0" applyNumberFormat="1" applyBorder="1" applyProtection="1">
      <protection hidden="1"/>
    </xf>
    <xf numFmtId="3" fontId="0" fillId="0" borderId="38" xfId="0" applyNumberFormat="1" applyBorder="1" applyProtection="1">
      <protection hidden="1"/>
    </xf>
    <xf numFmtId="3" fontId="0" fillId="0" borderId="12" xfId="0" applyNumberFormat="1" applyBorder="1" applyProtection="1">
      <protection hidden="1"/>
    </xf>
    <xf numFmtId="3" fontId="0" fillId="0" borderId="13" xfId="0" applyNumberFormat="1" applyBorder="1" applyProtection="1">
      <protection hidden="1"/>
    </xf>
    <xf numFmtId="167" fontId="0" fillId="46" borderId="47" xfId="0" applyNumberFormat="1" applyFill="1" applyBorder="1" applyAlignment="1" applyProtection="1">
      <alignment horizontal="center" vertical="center"/>
      <protection hidden="1"/>
    </xf>
    <xf numFmtId="0" fontId="85" fillId="36" borderId="0" xfId="0" applyFont="1" applyFill="1" applyProtection="1">
      <protection hidden="1"/>
    </xf>
    <xf numFmtId="0" fontId="0" fillId="36" borderId="0" xfId="0" applyFill="1" applyAlignment="1" applyProtection="1">
      <alignment readingOrder="2"/>
      <protection hidden="1"/>
    </xf>
    <xf numFmtId="0" fontId="0" fillId="36" borderId="0" xfId="0" applyFill="1" applyAlignment="1" applyProtection="1">
      <alignment vertical="top"/>
      <protection hidden="1"/>
    </xf>
    <xf numFmtId="0" fontId="0" fillId="36" borderId="0" xfId="0" applyFill="1" applyProtection="1">
      <protection locked="0"/>
    </xf>
    <xf numFmtId="0" fontId="94" fillId="36" borderId="0" xfId="0" applyFont="1" applyFill="1" applyAlignment="1" applyProtection="1">
      <alignment horizontal="left"/>
      <protection locked="0"/>
    </xf>
    <xf numFmtId="0" fontId="95" fillId="36" borderId="0" xfId="0" applyFont="1" applyFill="1" applyBorder="1" applyProtection="1">
      <protection locked="0"/>
    </xf>
    <xf numFmtId="49" fontId="0" fillId="36" borderId="0" xfId="0" applyNumberFormat="1" applyFill="1" applyBorder="1" applyProtection="1">
      <protection locked="0"/>
    </xf>
    <xf numFmtId="49" fontId="0" fillId="36" borderId="0" xfId="0" applyNumberFormat="1" applyFill="1" applyProtection="1">
      <protection locked="0"/>
    </xf>
    <xf numFmtId="0" fontId="85" fillId="36" borderId="0" xfId="0" applyFont="1" applyFill="1" applyAlignment="1" applyProtection="1">
      <alignment horizontal="right"/>
      <protection locked="0"/>
    </xf>
    <xf numFmtId="0" fontId="0" fillId="36" borderId="0" xfId="0" applyFill="1" applyAlignment="1" applyProtection="1">
      <alignment horizontal="right"/>
      <protection locked="0"/>
    </xf>
    <xf numFmtId="0" fontId="0" fillId="36" borderId="0" xfId="0" applyFill="1" applyAlignment="1" applyProtection="1">
      <alignment horizontal="right" readingOrder="2"/>
      <protection locked="0"/>
    </xf>
    <xf numFmtId="0" fontId="0" fillId="36" borderId="3" xfId="0" applyFill="1" applyBorder="1" applyAlignment="1" applyProtection="1">
      <alignment horizontal="center"/>
      <protection locked="0"/>
    </xf>
    <xf numFmtId="0" fontId="74" fillId="36" borderId="0" xfId="0" applyFont="1" applyFill="1" applyAlignment="1" applyProtection="1">
      <alignment horizontal="right"/>
      <protection locked="0"/>
    </xf>
    <xf numFmtId="0" fontId="0" fillId="36" borderId="0" xfId="0" applyFill="1" applyAlignment="1" applyProtection="1">
      <alignment horizontal="center"/>
      <protection locked="0"/>
    </xf>
    <xf numFmtId="0" fontId="0" fillId="36" borderId="0" xfId="0" applyFill="1" applyBorder="1" applyAlignment="1" applyProtection="1">
      <alignment wrapText="1"/>
      <protection locked="0"/>
    </xf>
    <xf numFmtId="3" fontId="8" fillId="36" borderId="48" xfId="0" applyNumberFormat="1" applyFont="1" applyFill="1" applyBorder="1" applyAlignment="1" applyProtection="1">
      <alignment vertical="center" readingOrder="2"/>
      <protection locked="0"/>
    </xf>
    <xf numFmtId="0" fontId="0" fillId="36" borderId="0" xfId="0" applyFill="1" applyAlignment="1" applyProtection="1">
      <protection locked="0"/>
    </xf>
    <xf numFmtId="0" fontId="94" fillId="36" borderId="48" xfId="0" applyFont="1" applyFill="1" applyBorder="1" applyAlignment="1" applyProtection="1">
      <alignment vertical="center" readingOrder="2"/>
      <protection locked="0"/>
    </xf>
    <xf numFmtId="3" fontId="3" fillId="36" borderId="0" xfId="0" applyNumberFormat="1" applyFont="1" applyFill="1" applyBorder="1" applyAlignment="1" applyProtection="1">
      <alignment horizontal="center" vertical="center" readingOrder="2"/>
      <protection locked="0"/>
    </xf>
    <xf numFmtId="0" fontId="96" fillId="36" borderId="0" xfId="0" applyFont="1" applyFill="1" applyBorder="1" applyAlignment="1" applyProtection="1">
      <alignment horizontal="center" wrapText="1"/>
      <protection locked="0"/>
    </xf>
    <xf numFmtId="0" fontId="0" fillId="36" borderId="0" xfId="0" applyFill="1" applyAlignment="1" applyProtection="1">
      <alignment shrinkToFit="1"/>
      <protection locked="0"/>
    </xf>
    <xf numFmtId="0" fontId="11" fillId="36" borderId="49" xfId="0" applyFont="1" applyFill="1" applyBorder="1" applyAlignment="1" applyProtection="1">
      <alignment horizontal="center" vertical="center"/>
      <protection locked="0"/>
    </xf>
    <xf numFmtId="0" fontId="97" fillId="36" borderId="0" xfId="0" applyFont="1" applyFill="1" applyBorder="1" applyAlignment="1" applyProtection="1">
      <alignment vertical="center" wrapText="1"/>
      <protection locked="0"/>
    </xf>
    <xf numFmtId="49" fontId="5" fillId="36" borderId="0" xfId="0" applyNumberFormat="1" applyFont="1" applyFill="1" applyBorder="1" applyProtection="1">
      <protection locked="0"/>
    </xf>
    <xf numFmtId="0" fontId="70" fillId="36" borderId="0" xfId="0" applyFont="1" applyFill="1" applyBorder="1" applyAlignment="1" applyProtection="1">
      <alignment horizontal="center" vertical="center"/>
      <protection locked="0"/>
    </xf>
    <xf numFmtId="0" fontId="69" fillId="36" borderId="0" xfId="0" applyFont="1" applyFill="1" applyBorder="1" applyProtection="1">
      <protection locked="0"/>
    </xf>
    <xf numFmtId="49" fontId="97" fillId="36" borderId="0" xfId="0" applyNumberFormat="1" applyFont="1" applyFill="1" applyBorder="1" applyAlignment="1" applyProtection="1">
      <alignment vertical="center" wrapText="1"/>
      <protection locked="0"/>
    </xf>
    <xf numFmtId="0" fontId="97" fillId="36" borderId="0" xfId="0" applyFont="1" applyFill="1" applyBorder="1" applyAlignment="1" applyProtection="1">
      <alignment horizontal="center" vertical="center" wrapText="1"/>
      <protection locked="0"/>
    </xf>
    <xf numFmtId="0" fontId="5" fillId="36" borderId="0" xfId="0" applyFont="1" applyFill="1" applyBorder="1" applyProtection="1">
      <protection locked="0"/>
    </xf>
    <xf numFmtId="0" fontId="11" fillId="36" borderId="0" xfId="0" applyFont="1" applyFill="1" applyBorder="1" applyAlignment="1" applyProtection="1">
      <alignment horizontal="right" vertical="center" wrapText="1"/>
      <protection locked="0"/>
    </xf>
    <xf numFmtId="0" fontId="0" fillId="36" borderId="50" xfId="0" applyFill="1" applyBorder="1" applyProtection="1">
      <protection locked="0"/>
    </xf>
    <xf numFmtId="0" fontId="69" fillId="36" borderId="0" xfId="0" applyFont="1" applyFill="1" applyProtection="1">
      <protection locked="0"/>
    </xf>
    <xf numFmtId="0" fontId="0" fillId="36" borderId="0" xfId="0" applyFill="1" applyAlignment="1" applyProtection="1">
      <alignment horizontal="center" vertical="center" wrapText="1"/>
      <protection locked="0"/>
    </xf>
    <xf numFmtId="0" fontId="0" fillId="36" borderId="0" xfId="0" applyFill="1" applyBorder="1" applyAlignment="1" applyProtection="1">
      <alignment horizontal="center" vertical="center" wrapText="1"/>
      <protection locked="0"/>
    </xf>
    <xf numFmtId="0" fontId="0" fillId="36" borderId="48" xfId="0" applyFill="1" applyBorder="1" applyProtection="1">
      <protection locked="0"/>
    </xf>
    <xf numFmtId="3" fontId="2" fillId="36" borderId="0" xfId="0" applyNumberFormat="1" applyFont="1" applyFill="1" applyBorder="1" applyAlignment="1" applyProtection="1">
      <alignment vertical="center" wrapText="1" readingOrder="2"/>
      <protection locked="0"/>
    </xf>
    <xf numFmtId="0" fontId="0" fillId="36" borderId="0" xfId="0" applyFill="1" applyAlignment="1" applyProtection="1">
      <alignment wrapText="1"/>
      <protection locked="0"/>
    </xf>
    <xf numFmtId="0" fontId="96" fillId="36" borderId="48" xfId="0" applyFont="1" applyFill="1" applyBorder="1" applyAlignment="1" applyProtection="1">
      <alignment wrapText="1"/>
      <protection locked="0"/>
    </xf>
    <xf numFmtId="0" fontId="0" fillId="36" borderId="48" xfId="0" applyFill="1" applyBorder="1" applyAlignment="1" applyProtection="1">
      <alignment wrapText="1"/>
      <protection locked="0"/>
    </xf>
    <xf numFmtId="0" fontId="0" fillId="36" borderId="0" xfId="0" applyFill="1" applyAlignment="1" applyProtection="1">
      <alignment vertical="top" wrapText="1"/>
      <protection hidden="1"/>
    </xf>
    <xf numFmtId="164" fontId="0" fillId="36" borderId="0" xfId="0" applyNumberFormat="1" applyFill="1" applyProtection="1">
      <protection locked="0"/>
    </xf>
    <xf numFmtId="0" fontId="52" fillId="36" borderId="0" xfId="23" applyFill="1" applyProtection="1">
      <protection hidden="1"/>
    </xf>
    <xf numFmtId="0" fontId="13" fillId="36" borderId="0" xfId="23" applyFont="1" applyFill="1" applyProtection="1">
      <protection hidden="1"/>
    </xf>
    <xf numFmtId="0" fontId="98" fillId="36" borderId="48" xfId="23" applyFont="1" applyFill="1" applyBorder="1" applyAlignment="1" applyProtection="1">
      <alignment vertical="center"/>
      <protection hidden="1"/>
    </xf>
    <xf numFmtId="0" fontId="52" fillId="36" borderId="0" xfId="23" applyNumberFormat="1" applyFill="1" applyProtection="1">
      <protection hidden="1"/>
    </xf>
    <xf numFmtId="0" fontId="98" fillId="36" borderId="0" xfId="23" applyFont="1" applyFill="1" applyAlignment="1" applyProtection="1">
      <alignment horizontal="center" vertical="center"/>
      <protection hidden="1"/>
    </xf>
    <xf numFmtId="0" fontId="99" fillId="36" borderId="0" xfId="23" applyFont="1" applyFill="1" applyBorder="1" applyAlignment="1" applyProtection="1">
      <alignment horizontal="center"/>
      <protection hidden="1"/>
    </xf>
    <xf numFmtId="164" fontId="52" fillId="36" borderId="0" xfId="23" applyNumberFormat="1" applyFill="1" applyBorder="1" applyProtection="1">
      <protection hidden="1"/>
    </xf>
    <xf numFmtId="0" fontId="77" fillId="36" borderId="0" xfId="23" applyFont="1" applyFill="1" applyProtection="1">
      <protection hidden="1"/>
    </xf>
    <xf numFmtId="164" fontId="77" fillId="36" borderId="0" xfId="23" applyNumberFormat="1" applyFont="1" applyFill="1" applyBorder="1" applyProtection="1">
      <protection hidden="1"/>
    </xf>
    <xf numFmtId="0" fontId="15" fillId="36" borderId="0" xfId="23" applyFont="1" applyFill="1" applyBorder="1" applyAlignment="1" applyProtection="1">
      <protection hidden="1"/>
    </xf>
    <xf numFmtId="0" fontId="14" fillId="36" borderId="0" xfId="23" applyFont="1" applyFill="1" applyBorder="1" applyProtection="1">
      <protection hidden="1"/>
    </xf>
    <xf numFmtId="0" fontId="14" fillId="36" borderId="0" xfId="23" applyFont="1" applyFill="1" applyBorder="1" applyAlignment="1" applyProtection="1">
      <protection hidden="1"/>
    </xf>
    <xf numFmtId="0" fontId="74" fillId="36" borderId="51" xfId="0" applyFont="1" applyFill="1" applyBorder="1" applyAlignment="1" applyProtection="1">
      <protection hidden="1"/>
    </xf>
    <xf numFmtId="0" fontId="74" fillId="36" borderId="0" xfId="0" applyFont="1" applyFill="1" applyBorder="1" applyAlignment="1" applyProtection="1">
      <protection hidden="1"/>
    </xf>
    <xf numFmtId="0" fontId="0" fillId="36" borderId="51" xfId="0" applyFill="1" applyBorder="1" applyProtection="1">
      <protection hidden="1"/>
    </xf>
    <xf numFmtId="0" fontId="0" fillId="36" borderId="49" xfId="0" applyFill="1" applyBorder="1" applyProtection="1">
      <protection hidden="1"/>
    </xf>
    <xf numFmtId="0" fontId="0" fillId="36" borderId="52" xfId="0" applyFill="1" applyBorder="1" applyProtection="1">
      <protection hidden="1"/>
    </xf>
    <xf numFmtId="0" fontId="0" fillId="36" borderId="6" xfId="0" applyFill="1" applyBorder="1" applyProtection="1">
      <protection hidden="1"/>
    </xf>
    <xf numFmtId="0" fontId="0" fillId="36" borderId="0" xfId="0" applyFill="1" applyBorder="1" applyProtection="1">
      <protection hidden="1"/>
    </xf>
    <xf numFmtId="0" fontId="0" fillId="36" borderId="50" xfId="0" applyFill="1" applyBorder="1" applyProtection="1">
      <protection hidden="1"/>
    </xf>
    <xf numFmtId="0" fontId="0" fillId="36" borderId="53" xfId="0" applyFill="1" applyBorder="1" applyProtection="1">
      <protection hidden="1"/>
    </xf>
    <xf numFmtId="0" fontId="0" fillId="36" borderId="48" xfId="0" applyFill="1" applyBorder="1" applyProtection="1">
      <protection hidden="1"/>
    </xf>
    <xf numFmtId="0" fontId="0" fillId="36" borderId="54" xfId="0" applyFill="1" applyBorder="1" applyProtection="1">
      <protection hidden="1"/>
    </xf>
    <xf numFmtId="0" fontId="0" fillId="36" borderId="55" xfId="0" applyFill="1" applyBorder="1" applyProtection="1">
      <protection hidden="1"/>
    </xf>
    <xf numFmtId="0" fontId="0" fillId="36" borderId="56" xfId="0" applyFill="1" applyBorder="1" applyProtection="1">
      <protection hidden="1"/>
    </xf>
    <xf numFmtId="0" fontId="0" fillId="36" borderId="57" xfId="0" applyFill="1" applyBorder="1" applyProtection="1">
      <protection hidden="1"/>
    </xf>
    <xf numFmtId="3" fontId="0" fillId="36" borderId="0" xfId="0" applyNumberFormat="1" applyFill="1" applyProtection="1">
      <protection hidden="1"/>
    </xf>
    <xf numFmtId="0" fontId="74" fillId="36" borderId="31" xfId="0" applyFont="1" applyFill="1" applyBorder="1" applyAlignment="1" applyProtection="1">
      <protection hidden="1"/>
    </xf>
    <xf numFmtId="164" fontId="49" fillId="36" borderId="0" xfId="19" applyNumberFormat="1" applyFont="1" applyFill="1" applyProtection="1">
      <protection hidden="1"/>
    </xf>
    <xf numFmtId="167" fontId="74" fillId="36" borderId="91" xfId="0" applyNumberFormat="1" applyFont="1" applyFill="1" applyBorder="1" applyProtection="1">
      <protection hidden="1"/>
    </xf>
    <xf numFmtId="167" fontId="74" fillId="36" borderId="92" xfId="0" applyNumberFormat="1" applyFont="1" applyFill="1" applyBorder="1" applyProtection="1">
      <protection hidden="1"/>
    </xf>
    <xf numFmtId="168" fontId="49" fillId="0" borderId="3" xfId="20" applyNumberFormat="1" applyFont="1" applyBorder="1" applyAlignment="1" applyProtection="1">
      <alignment horizontal="center"/>
      <protection locked="0"/>
    </xf>
    <xf numFmtId="168" fontId="49" fillId="0" borderId="3" xfId="20" applyNumberFormat="1" applyFont="1" applyFill="1" applyBorder="1" applyAlignment="1" applyProtection="1">
      <alignment horizontal="center"/>
      <protection locked="0"/>
    </xf>
    <xf numFmtId="0" fontId="74" fillId="36" borderId="0" xfId="0" applyFont="1" applyFill="1" applyProtection="1">
      <protection locked="0"/>
    </xf>
    <xf numFmtId="0" fontId="15" fillId="36" borderId="0" xfId="0" applyFont="1" applyFill="1" applyAlignment="1" applyProtection="1">
      <alignment horizontal="center" vertical="center" wrapText="1" readingOrder="2"/>
      <protection hidden="1"/>
    </xf>
    <xf numFmtId="0" fontId="52" fillId="0" borderId="51" xfId="23" applyBorder="1" applyProtection="1">
      <protection hidden="1"/>
    </xf>
    <xf numFmtId="0" fontId="52" fillId="0" borderId="49" xfId="23" applyBorder="1" applyProtection="1">
      <protection hidden="1"/>
    </xf>
    <xf numFmtId="0" fontId="52" fillId="0" borderId="52" xfId="23" applyBorder="1" applyProtection="1">
      <protection hidden="1"/>
    </xf>
    <xf numFmtId="0" fontId="52" fillId="0" borderId="6" xfId="23" applyBorder="1" applyProtection="1">
      <protection hidden="1"/>
    </xf>
    <xf numFmtId="0" fontId="52" fillId="0" borderId="0" xfId="23" applyBorder="1" applyProtection="1">
      <protection hidden="1"/>
    </xf>
    <xf numFmtId="0" fontId="52" fillId="0" borderId="50" xfId="23" applyBorder="1" applyProtection="1">
      <protection hidden="1"/>
    </xf>
    <xf numFmtId="0" fontId="52" fillId="0" borderId="53" xfId="23" applyBorder="1" applyProtection="1">
      <protection hidden="1"/>
    </xf>
    <xf numFmtId="0" fontId="52" fillId="0" borderId="48" xfId="23" applyBorder="1" applyProtection="1">
      <protection hidden="1"/>
    </xf>
    <xf numFmtId="0" fontId="52" fillId="0" borderId="54" xfId="23" applyBorder="1" applyProtection="1">
      <protection hidden="1"/>
    </xf>
    <xf numFmtId="164" fontId="21" fillId="0" borderId="1" xfId="19" applyNumberFormat="1" applyFont="1" applyBorder="1" applyAlignment="1" applyProtection="1">
      <alignment horizontal="center"/>
      <protection hidden="1"/>
    </xf>
    <xf numFmtId="164" fontId="5" fillId="43" borderId="22" xfId="19" applyNumberFormat="1" applyFont="1" applyFill="1" applyBorder="1" applyAlignment="1" applyProtection="1">
      <alignment horizontal="right"/>
      <protection locked="0" hidden="1"/>
    </xf>
    <xf numFmtId="164" fontId="5" fillId="43" borderId="3" xfId="19" applyNumberFormat="1" applyFont="1" applyFill="1" applyBorder="1" applyAlignment="1" applyProtection="1">
      <alignment horizontal="right"/>
      <protection locked="0" hidden="1"/>
    </xf>
    <xf numFmtId="164" fontId="5" fillId="43" borderId="58" xfId="19" applyNumberFormat="1" applyFont="1" applyFill="1" applyBorder="1" applyAlignment="1" applyProtection="1">
      <alignment horizontal="right"/>
      <protection locked="0" hidden="1"/>
    </xf>
    <xf numFmtId="164" fontId="5" fillId="43" borderId="8" xfId="19" applyNumberFormat="1" applyFont="1" applyFill="1" applyBorder="1" applyAlignment="1" applyProtection="1">
      <alignment horizontal="right"/>
      <protection locked="0" hidden="1"/>
    </xf>
    <xf numFmtId="164" fontId="5" fillId="35" borderId="3" xfId="19" applyNumberFormat="1" applyFont="1" applyFill="1" applyBorder="1" applyAlignment="1" applyProtection="1">
      <alignment horizontal="right"/>
      <protection locked="0" hidden="1"/>
    </xf>
    <xf numFmtId="164" fontId="5" fillId="44" borderId="3" xfId="19" applyNumberFormat="1" applyFont="1" applyFill="1" applyBorder="1" applyAlignment="1" applyProtection="1">
      <alignment horizontal="right"/>
      <protection locked="0" hidden="1"/>
    </xf>
    <xf numFmtId="164" fontId="5" fillId="46" borderId="3" xfId="19" applyNumberFormat="1" applyFont="1" applyFill="1" applyBorder="1" applyAlignment="1" applyProtection="1">
      <alignment horizontal="right"/>
      <protection locked="0" hidden="1"/>
    </xf>
    <xf numFmtId="164" fontId="5" fillId="47" borderId="3" xfId="19" applyNumberFormat="1" applyFont="1" applyFill="1" applyBorder="1" applyAlignment="1" applyProtection="1">
      <alignment horizontal="right"/>
      <protection locked="0" hidden="1"/>
    </xf>
    <xf numFmtId="49" fontId="100" fillId="51" borderId="57" xfId="0" applyNumberFormat="1" applyFont="1" applyFill="1" applyBorder="1" applyAlignment="1" applyProtection="1">
      <alignment horizontal="center"/>
      <protection hidden="1"/>
    </xf>
    <xf numFmtId="0" fontId="101" fillId="2" borderId="59" xfId="35" applyFont="1" applyFill="1" applyBorder="1" applyAlignment="1" applyProtection="1">
      <alignment horizontal="center" vertical="center" textRotation="255"/>
    </xf>
    <xf numFmtId="0" fontId="102" fillId="36" borderId="0" xfId="0" applyFont="1" applyFill="1" applyAlignment="1" applyProtection="1">
      <alignment vertical="top" wrapText="1" readingOrder="2"/>
      <protection hidden="1"/>
    </xf>
    <xf numFmtId="0" fontId="74" fillId="48" borderId="45" xfId="0" applyFont="1" applyFill="1" applyBorder="1" applyAlignment="1" applyProtection="1">
      <alignment horizontal="center"/>
      <protection hidden="1"/>
    </xf>
    <xf numFmtId="164" fontId="49" fillId="36" borderId="50" xfId="19" applyNumberFormat="1" applyFont="1" applyFill="1" applyBorder="1" applyProtection="1">
      <protection hidden="1"/>
    </xf>
    <xf numFmtId="164" fontId="49" fillId="0" borderId="0" xfId="19" applyNumberFormat="1" applyFont="1" applyProtection="1">
      <protection hidden="1"/>
    </xf>
    <xf numFmtId="164" fontId="103" fillId="52" borderId="93" xfId="19" applyNumberFormat="1" applyFont="1" applyFill="1" applyBorder="1" applyAlignment="1" applyProtection="1">
      <alignment horizontal="center" vertical="center"/>
      <protection locked="0" hidden="1"/>
    </xf>
    <xf numFmtId="164" fontId="103" fillId="52" borderId="94" xfId="19" applyNumberFormat="1" applyFont="1" applyFill="1" applyBorder="1" applyAlignment="1" applyProtection="1">
      <alignment horizontal="center" vertical="center"/>
      <protection locked="0" hidden="1"/>
    </xf>
    <xf numFmtId="164" fontId="49" fillId="36" borderId="5" xfId="19" applyNumberFormat="1" applyFont="1" applyFill="1" applyBorder="1" applyProtection="1">
      <protection hidden="1"/>
    </xf>
    <xf numFmtId="164" fontId="49" fillId="36" borderId="35" xfId="19" applyNumberFormat="1" applyFont="1" applyFill="1" applyBorder="1" applyProtection="1">
      <protection hidden="1"/>
    </xf>
    <xf numFmtId="164" fontId="49" fillId="36" borderId="10" xfId="19" applyNumberFormat="1" applyFont="1" applyFill="1" applyBorder="1" applyProtection="1">
      <protection hidden="1"/>
    </xf>
    <xf numFmtId="164" fontId="49" fillId="36" borderId="60" xfId="19" applyNumberFormat="1" applyFont="1" applyFill="1" applyBorder="1" applyProtection="1">
      <protection hidden="1"/>
    </xf>
    <xf numFmtId="164" fontId="49" fillId="36" borderId="52" xfId="19" applyNumberFormat="1" applyFont="1" applyFill="1" applyBorder="1" applyProtection="1">
      <protection hidden="1"/>
    </xf>
    <xf numFmtId="164" fontId="49" fillId="36" borderId="1" xfId="19" applyNumberFormat="1" applyFont="1" applyFill="1" applyBorder="1" applyProtection="1">
      <protection hidden="1"/>
    </xf>
    <xf numFmtId="164" fontId="49" fillId="36" borderId="13" xfId="19" applyNumberFormat="1" applyFont="1" applyFill="1" applyBorder="1" applyProtection="1">
      <protection hidden="1"/>
    </xf>
    <xf numFmtId="164" fontId="49" fillId="36" borderId="95" xfId="19" applyNumberFormat="1" applyFont="1" applyFill="1" applyBorder="1" applyProtection="1">
      <protection hidden="1"/>
    </xf>
    <xf numFmtId="164" fontId="49" fillId="36" borderId="96" xfId="19" applyNumberFormat="1" applyFont="1" applyFill="1" applyBorder="1" applyProtection="1">
      <protection hidden="1"/>
    </xf>
    <xf numFmtId="0" fontId="104" fillId="0" borderId="0" xfId="0" applyFont="1" applyProtection="1">
      <protection hidden="1"/>
    </xf>
    <xf numFmtId="0" fontId="105" fillId="0" borderId="0" xfId="0" applyFont="1" applyProtection="1">
      <protection hidden="1"/>
    </xf>
    <xf numFmtId="164" fontId="105" fillId="0" borderId="0" xfId="0" applyNumberFormat="1" applyFont="1" applyProtection="1">
      <protection hidden="1"/>
    </xf>
    <xf numFmtId="0" fontId="29" fillId="0" borderId="3" xfId="24" applyFont="1" applyFill="1" applyBorder="1" applyAlignment="1" applyProtection="1">
      <alignment horizontal="center" vertical="center"/>
      <protection locked="0"/>
    </xf>
    <xf numFmtId="0" fontId="15" fillId="45" borderId="52" xfId="0" applyFont="1" applyFill="1" applyBorder="1" applyAlignment="1">
      <alignment horizontal="center" vertical="center"/>
    </xf>
    <xf numFmtId="0" fontId="15" fillId="45" borderId="54" xfId="0" applyFont="1" applyFill="1" applyBorder="1" applyAlignment="1">
      <alignment horizontal="center" vertical="center"/>
    </xf>
    <xf numFmtId="0" fontId="15" fillId="36" borderId="0" xfId="0" applyFont="1" applyFill="1" applyAlignment="1" applyProtection="1">
      <alignment horizontal="center" vertical="center" wrapText="1" readingOrder="2"/>
      <protection hidden="1"/>
    </xf>
    <xf numFmtId="0" fontId="35" fillId="36" borderId="50" xfId="0" applyFont="1" applyFill="1" applyBorder="1"/>
    <xf numFmtId="3" fontId="35" fillId="0" borderId="37" xfId="20" applyNumberFormat="1" applyFont="1" applyBorder="1" applyAlignment="1" applyProtection="1">
      <alignment horizontal="right"/>
      <protection locked="0" hidden="1"/>
    </xf>
    <xf numFmtId="0" fontId="35" fillId="36" borderId="61" xfId="0" applyFont="1" applyFill="1" applyBorder="1"/>
    <xf numFmtId="0" fontId="0" fillId="36" borderId="97" xfId="0" applyFill="1" applyBorder="1"/>
    <xf numFmtId="0" fontId="33" fillId="45" borderId="4" xfId="0" applyFont="1" applyFill="1" applyBorder="1" applyAlignment="1">
      <alignment horizontal="center" vertical="center"/>
    </xf>
    <xf numFmtId="3" fontId="35" fillId="0" borderId="38" xfId="20" applyNumberFormat="1" applyFont="1" applyBorder="1" applyAlignment="1">
      <alignment horizontal="right"/>
    </xf>
    <xf numFmtId="0" fontId="32" fillId="36" borderId="34" xfId="0" applyFont="1" applyFill="1" applyBorder="1" applyAlignment="1">
      <alignment horizontal="center" vertical="center" textRotation="255"/>
    </xf>
    <xf numFmtId="0" fontId="101" fillId="36" borderId="59" xfId="35" applyFont="1" applyFill="1" applyBorder="1" applyAlignment="1" applyProtection="1">
      <alignment horizontal="center" vertical="center" textRotation="255"/>
    </xf>
    <xf numFmtId="0" fontId="32" fillId="36" borderId="6" xfId="0" applyFont="1" applyFill="1" applyBorder="1" applyAlignment="1">
      <alignment horizontal="center" vertical="center" textRotation="255"/>
    </xf>
    <xf numFmtId="0" fontId="101" fillId="36" borderId="34" xfId="35" applyFont="1" applyFill="1" applyBorder="1" applyAlignment="1" applyProtection="1">
      <alignment horizontal="center" vertical="center" textRotation="255"/>
    </xf>
    <xf numFmtId="0" fontId="32" fillId="36" borderId="59" xfId="0" applyFont="1" applyFill="1" applyBorder="1" applyAlignment="1">
      <alignment horizontal="center" vertical="center" textRotation="255"/>
    </xf>
    <xf numFmtId="0" fontId="32" fillId="36" borderId="0" xfId="0" applyFont="1" applyFill="1" applyBorder="1" applyAlignment="1">
      <alignment horizontal="center" vertical="center" textRotation="255"/>
    </xf>
    <xf numFmtId="0" fontId="32" fillId="36" borderId="30" xfId="0" applyFont="1" applyFill="1" applyBorder="1" applyAlignment="1">
      <alignment horizontal="center" vertical="center" textRotation="255"/>
    </xf>
    <xf numFmtId="0" fontId="32" fillId="36" borderId="62" xfId="0" applyFont="1" applyFill="1" applyBorder="1" applyAlignment="1">
      <alignment horizontal="center" vertical="center" textRotation="255"/>
    </xf>
    <xf numFmtId="0" fontId="101" fillId="36" borderId="30" xfId="35" applyFont="1" applyFill="1" applyBorder="1" applyAlignment="1" applyProtection="1">
      <alignment horizontal="center" vertical="center" textRotation="255"/>
    </xf>
    <xf numFmtId="0" fontId="101" fillId="36" borderId="63" xfId="35" applyFont="1" applyFill="1" applyBorder="1" applyAlignment="1" applyProtection="1">
      <alignment horizontal="center" vertical="center" textRotation="255"/>
    </xf>
    <xf numFmtId="0" fontId="32" fillId="36" borderId="63" xfId="0" applyFont="1" applyFill="1" applyBorder="1" applyAlignment="1">
      <alignment horizontal="center" vertical="center" textRotation="255"/>
    </xf>
    <xf numFmtId="0" fontId="32" fillId="36" borderId="64" xfId="0" applyFont="1" applyFill="1" applyBorder="1" applyAlignment="1">
      <alignment horizontal="center" vertical="center" textRotation="255"/>
    </xf>
    <xf numFmtId="0" fontId="32" fillId="36" borderId="65" xfId="0" applyFont="1" applyFill="1" applyBorder="1" applyAlignment="1">
      <alignment horizontal="center" vertical="center" textRotation="255"/>
    </xf>
    <xf numFmtId="0" fontId="33" fillId="36" borderId="56" xfId="0" applyFont="1" applyFill="1" applyBorder="1" applyAlignment="1">
      <alignment horizontal="center" vertical="center"/>
    </xf>
    <xf numFmtId="0" fontId="0" fillId="36" borderId="0" xfId="0" applyFill="1" applyAlignment="1" applyProtection="1">
      <alignment horizontal="center"/>
      <protection locked="0"/>
    </xf>
    <xf numFmtId="0" fontId="70" fillId="44" borderId="66" xfId="0" applyFont="1" applyFill="1" applyBorder="1" applyAlignment="1" applyProtection="1">
      <alignment horizontal="center" wrapText="1"/>
      <protection locked="0"/>
    </xf>
    <xf numFmtId="0" fontId="3" fillId="44" borderId="10" xfId="0" applyFont="1" applyFill="1" applyBorder="1" applyAlignment="1" applyProtection="1">
      <alignment horizontal="center" wrapText="1"/>
      <protection locked="0"/>
    </xf>
    <xf numFmtId="0" fontId="106" fillId="36" borderId="0" xfId="0" applyFont="1" applyFill="1" applyProtection="1">
      <protection locked="0"/>
    </xf>
    <xf numFmtId="0" fontId="3" fillId="47" borderId="66" xfId="0" applyFont="1" applyFill="1" applyBorder="1" applyAlignment="1" applyProtection="1">
      <alignment horizontal="center" wrapText="1"/>
      <protection locked="0"/>
    </xf>
    <xf numFmtId="0" fontId="3" fillId="47" borderId="9" xfId="0" applyFont="1" applyFill="1" applyBorder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applyNumberFormat="1" applyFill="1" applyProtection="1">
      <protection locked="0"/>
    </xf>
    <xf numFmtId="0" fontId="78" fillId="36" borderId="0" xfId="0" applyFont="1" applyFill="1" applyProtection="1">
      <protection locked="0"/>
    </xf>
    <xf numFmtId="0" fontId="0" fillId="36" borderId="0" xfId="0" applyFill="1" applyAlignment="1" applyProtection="1">
      <alignment horizontal="center"/>
      <protection locked="0"/>
    </xf>
    <xf numFmtId="0" fontId="0" fillId="36" borderId="0" xfId="0" applyFill="1" applyAlignment="1" applyProtection="1">
      <alignment horizontal="center"/>
      <protection locked="0"/>
    </xf>
    <xf numFmtId="0" fontId="94" fillId="36" borderId="0" xfId="0" applyFont="1" applyFill="1" applyBorder="1" applyAlignment="1" applyProtection="1">
      <alignment vertical="center" readingOrder="2"/>
      <protection locked="0"/>
    </xf>
    <xf numFmtId="0" fontId="0" fillId="36" borderId="0" xfId="0" applyFill="1" applyBorder="1" applyAlignment="1" applyProtection="1">
      <alignment horizontal="center"/>
      <protection hidden="1"/>
    </xf>
    <xf numFmtId="164" fontId="5" fillId="36" borderId="0" xfId="19" applyNumberFormat="1" applyFont="1" applyFill="1" applyBorder="1" applyAlignment="1" applyProtection="1">
      <alignment horizontal="right"/>
      <protection locked="0" hidden="1"/>
    </xf>
    <xf numFmtId="164" fontId="83" fillId="36" borderId="0" xfId="19" applyNumberFormat="1" applyFont="1" applyFill="1" applyBorder="1" applyAlignment="1" applyProtection="1">
      <alignment horizontal="right"/>
      <protection hidden="1"/>
    </xf>
    <xf numFmtId="165" fontId="107" fillId="36" borderId="0" xfId="19" applyNumberFormat="1" applyFont="1" applyFill="1" applyBorder="1" applyAlignment="1" applyProtection="1">
      <alignment horizontal="center"/>
      <protection hidden="1"/>
    </xf>
    <xf numFmtId="0" fontId="3" fillId="36" borderId="0" xfId="0" applyFont="1" applyFill="1" applyBorder="1" applyProtection="1">
      <protection locked="0"/>
    </xf>
    <xf numFmtId="164" fontId="49" fillId="36" borderId="0" xfId="19" applyNumberFormat="1" applyFont="1" applyFill="1" applyBorder="1" applyProtection="1">
      <protection hidden="1"/>
    </xf>
    <xf numFmtId="164" fontId="5" fillId="36" borderId="0" xfId="19" applyNumberFormat="1" applyFont="1" applyFill="1" applyBorder="1" applyAlignment="1" applyProtection="1">
      <alignment horizontal="right"/>
      <protection hidden="1"/>
    </xf>
    <xf numFmtId="164" fontId="5" fillId="0" borderId="15" xfId="19" applyNumberFormat="1" applyFont="1" applyBorder="1" applyAlignment="1" applyProtection="1">
      <alignment horizontal="right"/>
      <protection locked="0"/>
    </xf>
    <xf numFmtId="164" fontId="5" fillId="0" borderId="15" xfId="19" applyNumberFormat="1" applyFont="1" applyBorder="1" applyAlignment="1" applyProtection="1">
      <alignment horizontal="right" wrapText="1"/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5" fillId="0" borderId="11" xfId="0" applyFont="1" applyBorder="1" applyProtection="1">
      <protection locked="0"/>
    </xf>
    <xf numFmtId="0" fontId="0" fillId="36" borderId="51" xfId="0" applyFill="1" applyBorder="1" applyProtection="1">
      <protection locked="0"/>
    </xf>
    <xf numFmtId="0" fontId="0" fillId="36" borderId="52" xfId="0" applyFill="1" applyBorder="1" applyProtection="1">
      <protection locked="0"/>
    </xf>
    <xf numFmtId="0" fontId="0" fillId="36" borderId="6" xfId="0" applyFill="1" applyBorder="1" applyProtection="1">
      <protection locked="0"/>
    </xf>
    <xf numFmtId="0" fontId="79" fillId="36" borderId="2" xfId="0" applyFont="1" applyFill="1" applyBorder="1" applyAlignment="1" applyProtection="1">
      <alignment horizontal="center" readingOrder="2"/>
      <protection locked="0"/>
    </xf>
    <xf numFmtId="0" fontId="79" fillId="36" borderId="5" xfId="0" applyFont="1" applyFill="1" applyBorder="1" applyAlignment="1" applyProtection="1">
      <alignment horizontal="center"/>
      <protection locked="0"/>
    </xf>
    <xf numFmtId="9" fontId="0" fillId="36" borderId="2" xfId="0" applyNumberFormat="1" applyFill="1" applyBorder="1" applyAlignment="1" applyProtection="1">
      <alignment horizontal="right" vertical="center"/>
      <protection locked="0"/>
    </xf>
    <xf numFmtId="0" fontId="78" fillId="42" borderId="5" xfId="0" applyFont="1" applyFill="1" applyBorder="1" applyAlignment="1" applyProtection="1">
      <alignment horizontal="center" vertical="center"/>
      <protection locked="0"/>
    </xf>
    <xf numFmtId="0" fontId="0" fillId="53" borderId="5" xfId="0" applyFill="1" applyBorder="1" applyAlignment="1" applyProtection="1">
      <alignment horizontal="center" vertical="center"/>
      <protection locked="0"/>
    </xf>
    <xf numFmtId="0" fontId="0" fillId="54" borderId="5" xfId="0" applyFill="1" applyBorder="1" applyAlignment="1" applyProtection="1">
      <alignment horizontal="center" vertical="center"/>
      <protection locked="0"/>
    </xf>
    <xf numFmtId="0" fontId="0" fillId="55" borderId="5" xfId="0" applyFill="1" applyBorder="1" applyAlignment="1" applyProtection="1">
      <alignment horizontal="center" vertical="center"/>
      <protection locked="0"/>
    </xf>
    <xf numFmtId="0" fontId="0" fillId="56" borderId="5" xfId="0" applyFill="1" applyBorder="1" applyAlignment="1" applyProtection="1">
      <alignment horizontal="center" vertical="center"/>
      <protection locked="0"/>
    </xf>
    <xf numFmtId="0" fontId="0" fillId="57" borderId="5" xfId="0" applyFill="1" applyBorder="1" applyAlignment="1" applyProtection="1">
      <alignment horizontal="center" vertical="center"/>
      <protection locked="0"/>
    </xf>
    <xf numFmtId="0" fontId="0" fillId="58" borderId="5" xfId="0" applyFill="1" applyBorder="1" applyAlignment="1" applyProtection="1">
      <alignment horizontal="center" vertical="center"/>
      <protection locked="0"/>
    </xf>
    <xf numFmtId="0" fontId="0" fillId="59" borderId="5" xfId="0" applyFill="1" applyBorder="1" applyAlignment="1" applyProtection="1">
      <alignment horizontal="center" vertical="center"/>
      <protection locked="0"/>
    </xf>
    <xf numFmtId="9" fontId="0" fillId="36" borderId="4" xfId="0" applyNumberFormat="1" applyFill="1" applyBorder="1" applyAlignment="1" applyProtection="1">
      <alignment horizontal="right" vertical="center"/>
      <protection locked="0"/>
    </xf>
    <xf numFmtId="0" fontId="0" fillId="60" borderId="1" xfId="0" applyFill="1" applyBorder="1" applyAlignment="1" applyProtection="1">
      <alignment horizontal="center" vertical="center"/>
      <protection locked="0"/>
    </xf>
    <xf numFmtId="164" fontId="49" fillId="36" borderId="15" xfId="19" applyNumberFormat="1" applyFont="1" applyFill="1" applyBorder="1" applyAlignment="1" applyProtection="1">
      <alignment horizontal="right"/>
      <protection locked="0"/>
    </xf>
    <xf numFmtId="0" fontId="69" fillId="0" borderId="23" xfId="0" applyFont="1" applyBorder="1" applyAlignment="1" applyProtection="1">
      <alignment horizontal="center"/>
      <protection locked="0"/>
    </xf>
    <xf numFmtId="0" fontId="69" fillId="0" borderId="2" xfId="0" applyFont="1" applyBorder="1" applyAlignment="1" applyProtection="1">
      <alignment horizontal="center"/>
      <protection locked="0"/>
    </xf>
    <xf numFmtId="0" fontId="69" fillId="0" borderId="4" xfId="0" applyFont="1" applyBorder="1" applyAlignment="1" applyProtection="1">
      <alignment horizontal="center"/>
      <protection locked="0"/>
    </xf>
    <xf numFmtId="0" fontId="69" fillId="0" borderId="11" xfId="0" applyFont="1" applyBorder="1" applyProtection="1">
      <protection locked="0"/>
    </xf>
    <xf numFmtId="164" fontId="69" fillId="37" borderId="1" xfId="19" applyNumberFormat="1" applyFont="1" applyFill="1" applyBorder="1" applyProtection="1">
      <protection hidden="1"/>
    </xf>
    <xf numFmtId="3" fontId="42" fillId="36" borderId="48" xfId="35" applyNumberFormat="1" applyFont="1" applyFill="1" applyBorder="1" applyAlignment="1" applyProtection="1">
      <alignment vertical="center" readingOrder="2"/>
    </xf>
    <xf numFmtId="165" fontId="5" fillId="43" borderId="98" xfId="19" applyNumberFormat="1" applyFont="1" applyFill="1" applyBorder="1" applyAlignment="1" applyProtection="1">
      <alignment horizontal="right"/>
      <protection locked="0" hidden="1"/>
    </xf>
    <xf numFmtId="165" fontId="5" fillId="44" borderId="98" xfId="19" applyNumberFormat="1" applyFont="1" applyFill="1" applyBorder="1" applyAlignment="1" applyProtection="1">
      <alignment horizontal="right"/>
      <protection locked="0" hidden="1"/>
    </xf>
    <xf numFmtId="165" fontId="5" fillId="46" borderId="98" xfId="19" applyNumberFormat="1" applyFont="1" applyFill="1" applyBorder="1" applyAlignment="1" applyProtection="1">
      <alignment horizontal="right"/>
      <protection locked="0" hidden="1"/>
    </xf>
    <xf numFmtId="3" fontId="5" fillId="47" borderId="98" xfId="19" applyNumberFormat="1" applyFont="1" applyFill="1" applyBorder="1" applyAlignment="1" applyProtection="1">
      <alignment horizontal="right"/>
      <protection locked="0" hidden="1"/>
    </xf>
    <xf numFmtId="0" fontId="72" fillId="36" borderId="0" xfId="0" applyFont="1" applyFill="1" applyBorder="1" applyAlignment="1" applyProtection="1">
      <alignment horizontal="center"/>
      <protection locked="0"/>
    </xf>
    <xf numFmtId="0" fontId="108" fillId="36" borderId="48" xfId="35" applyFont="1" applyFill="1" applyBorder="1" applyAlignment="1" applyProtection="1">
      <alignment horizontal="center" vertical="center" readingOrder="2"/>
    </xf>
    <xf numFmtId="0" fontId="96" fillId="36" borderId="0" xfId="0" applyFont="1" applyFill="1" applyBorder="1" applyAlignment="1" applyProtection="1">
      <alignment horizontal="center" wrapText="1"/>
      <protection locked="0"/>
    </xf>
    <xf numFmtId="0" fontId="42" fillId="36" borderId="48" xfId="35" applyFont="1" applyFill="1" applyBorder="1" applyAlignment="1" applyProtection="1">
      <alignment horizontal="center" vertical="center" readingOrder="2"/>
    </xf>
    <xf numFmtId="0" fontId="85" fillId="36" borderId="0" xfId="0" applyFont="1" applyFill="1"/>
    <xf numFmtId="164" fontId="49" fillId="44" borderId="47" xfId="19" applyNumberFormat="1" applyFont="1" applyFill="1" applyBorder="1" applyProtection="1">
      <protection hidden="1"/>
    </xf>
    <xf numFmtId="164" fontId="49" fillId="47" borderId="99" xfId="19" applyNumberFormat="1" applyFont="1" applyFill="1" applyBorder="1" applyProtection="1">
      <protection hidden="1"/>
    </xf>
    <xf numFmtId="0" fontId="0" fillId="36" borderId="100" xfId="0" applyFill="1" applyBorder="1" applyAlignment="1">
      <alignment horizontal="left"/>
    </xf>
    <xf numFmtId="164" fontId="49" fillId="36" borderId="101" xfId="19" applyNumberFormat="1" applyFont="1" applyFill="1" applyBorder="1" applyProtection="1">
      <protection hidden="1"/>
    </xf>
    <xf numFmtId="0" fontId="109" fillId="36" borderId="0" xfId="0" applyFont="1" applyFill="1"/>
    <xf numFmtId="0" fontId="74" fillId="36" borderId="0" xfId="0" applyFont="1" applyFill="1"/>
    <xf numFmtId="0" fontId="74" fillId="48" borderId="38" xfId="0" applyFont="1" applyFill="1" applyBorder="1"/>
    <xf numFmtId="0" fontId="74" fillId="48" borderId="12" xfId="0" applyFont="1" applyFill="1" applyBorder="1"/>
    <xf numFmtId="0" fontId="74" fillId="48" borderId="67" xfId="0" applyFont="1" applyFill="1" applyBorder="1"/>
    <xf numFmtId="0" fontId="74" fillId="48" borderId="102" xfId="0" applyFont="1" applyFill="1" applyBorder="1"/>
    <xf numFmtId="0" fontId="0" fillId="36" borderId="3" xfId="0" applyFill="1" applyBorder="1" applyAlignment="1" applyProtection="1">
      <alignment horizontal="center"/>
      <protection hidden="1"/>
    </xf>
    <xf numFmtId="0" fontId="97" fillId="36" borderId="103" xfId="0" applyFont="1" applyFill="1" applyBorder="1" applyAlignment="1" applyProtection="1">
      <alignment vertical="center" wrapText="1"/>
      <protection locked="0"/>
    </xf>
    <xf numFmtId="0" fontId="97" fillId="36" borderId="104" xfId="0" applyFont="1" applyFill="1" applyBorder="1" applyAlignment="1" applyProtection="1">
      <alignment vertical="center" wrapText="1"/>
      <protection locked="0"/>
    </xf>
    <xf numFmtId="0" fontId="97" fillId="36" borderId="105" xfId="0" applyFont="1" applyFill="1" applyBorder="1" applyAlignment="1" applyProtection="1">
      <alignment vertical="center" wrapText="1"/>
      <protection locked="0"/>
    </xf>
    <xf numFmtId="0" fontId="0" fillId="36" borderId="106" xfId="0" applyFill="1" applyBorder="1" applyProtection="1">
      <protection locked="0"/>
    </xf>
    <xf numFmtId="0" fontId="0" fillId="36" borderId="107" xfId="0" applyFill="1" applyBorder="1" applyProtection="1">
      <protection locked="0"/>
    </xf>
    <xf numFmtId="0" fontId="0" fillId="0" borderId="106" xfId="0" applyBorder="1" applyProtection="1">
      <protection locked="0"/>
    </xf>
    <xf numFmtId="0" fontId="0" fillId="0" borderId="107" xfId="0" applyBorder="1" applyProtection="1">
      <protection locked="0"/>
    </xf>
    <xf numFmtId="164" fontId="49" fillId="44" borderId="0" xfId="19" applyNumberFormat="1" applyFont="1" applyFill="1" applyBorder="1" applyProtection="1">
      <protection locked="0"/>
    </xf>
    <xf numFmtId="164" fontId="49" fillId="47" borderId="0" xfId="19" applyNumberFormat="1" applyFont="1" applyFill="1" applyBorder="1" applyProtection="1">
      <protection locked="0"/>
    </xf>
    <xf numFmtId="164" fontId="49" fillId="36" borderId="108" xfId="19" applyNumberFormat="1" applyFont="1" applyFill="1" applyBorder="1" applyProtection="1">
      <protection locked="0"/>
    </xf>
    <xf numFmtId="0" fontId="0" fillId="36" borderId="109" xfId="0" applyFill="1" applyBorder="1" applyProtection="1">
      <protection locked="0"/>
    </xf>
    <xf numFmtId="0" fontId="0" fillId="36" borderId="110" xfId="0" applyFill="1" applyBorder="1" applyProtection="1">
      <protection locked="0"/>
    </xf>
    <xf numFmtId="0" fontId="0" fillId="36" borderId="111" xfId="0" applyFill="1" applyBorder="1" applyProtection="1">
      <protection locked="0"/>
    </xf>
    <xf numFmtId="0" fontId="0" fillId="36" borderId="112" xfId="0" applyFill="1" applyBorder="1" applyProtection="1">
      <protection locked="0"/>
    </xf>
    <xf numFmtId="0" fontId="0" fillId="36" borderId="113" xfId="0" applyFill="1" applyBorder="1" applyProtection="1">
      <protection locked="0"/>
    </xf>
    <xf numFmtId="0" fontId="0" fillId="36" borderId="106" xfId="0" applyFill="1" applyBorder="1" applyAlignment="1" applyProtection="1">
      <alignment horizontal="left" vertical="center"/>
      <protection locked="0"/>
    </xf>
    <xf numFmtId="49" fontId="76" fillId="0" borderId="0" xfId="0" applyNumberFormat="1" applyFont="1" applyFill="1" applyAlignment="1" applyProtection="1">
      <alignment horizontal="center" shrinkToFit="1"/>
      <protection locked="0" hidden="1"/>
    </xf>
    <xf numFmtId="0" fontId="75" fillId="0" borderId="0" xfId="0" applyNumberFormat="1" applyFont="1" applyFill="1" applyAlignment="1" applyProtection="1">
      <alignment shrinkToFit="1"/>
      <protection hidden="1"/>
    </xf>
    <xf numFmtId="0" fontId="0" fillId="36" borderId="112" xfId="0" applyFill="1" applyBorder="1" applyAlignment="1" applyProtection="1">
      <alignment shrinkToFit="1"/>
      <protection locked="0"/>
    </xf>
    <xf numFmtId="165" fontId="0" fillId="35" borderId="0" xfId="0" applyNumberFormat="1" applyFill="1" applyBorder="1" applyProtection="1">
      <protection hidden="1"/>
    </xf>
    <xf numFmtId="165" fontId="74" fillId="45" borderId="0" xfId="19" applyNumberFormat="1" applyFont="1" applyFill="1" applyBorder="1" applyAlignment="1" applyProtection="1">
      <protection hidden="1"/>
    </xf>
    <xf numFmtId="164" fontId="0" fillId="44" borderId="64" xfId="0" applyNumberFormat="1" applyFill="1" applyBorder="1" applyProtection="1">
      <protection hidden="1"/>
    </xf>
    <xf numFmtId="164" fontId="0" fillId="44" borderId="114" xfId="0" applyNumberFormat="1" applyFill="1" applyBorder="1" applyProtection="1">
      <protection hidden="1"/>
    </xf>
    <xf numFmtId="164" fontId="84" fillId="43" borderId="115" xfId="0" applyNumberFormat="1" applyFont="1" applyFill="1" applyBorder="1" applyProtection="1">
      <protection hidden="1"/>
    </xf>
    <xf numFmtId="164" fontId="84" fillId="43" borderId="116" xfId="0" applyNumberFormat="1" applyFont="1" applyFill="1" applyBorder="1" applyProtection="1">
      <protection hidden="1"/>
    </xf>
    <xf numFmtId="0" fontId="0" fillId="36" borderId="104" xfId="0" applyFill="1" applyBorder="1" applyProtection="1">
      <protection locked="0"/>
    </xf>
    <xf numFmtId="165" fontId="0" fillId="35" borderId="117" xfId="0" applyNumberFormat="1" applyFill="1" applyBorder="1" applyProtection="1">
      <protection hidden="1"/>
    </xf>
    <xf numFmtId="49" fontId="76" fillId="36" borderId="0" xfId="0" applyNumberFormat="1" applyFont="1" applyFill="1" applyAlignment="1" applyProtection="1">
      <alignment horizontal="center" shrinkToFit="1"/>
      <protection locked="0" hidden="1"/>
    </xf>
    <xf numFmtId="0" fontId="75" fillId="36" borderId="0" xfId="0" applyNumberFormat="1" applyFont="1" applyFill="1" applyAlignment="1" applyProtection="1">
      <alignment shrinkToFit="1"/>
      <protection hidden="1"/>
    </xf>
    <xf numFmtId="0" fontId="3" fillId="44" borderId="27" xfId="0" applyFont="1" applyFill="1" applyBorder="1" applyAlignment="1" applyProtection="1">
      <alignment horizontal="center" wrapText="1"/>
      <protection locked="0"/>
    </xf>
    <xf numFmtId="0" fontId="3" fillId="44" borderId="27" xfId="0" applyFont="1" applyFill="1" applyBorder="1" applyAlignment="1" applyProtection="1">
      <alignment horizontal="center" vertical="center" wrapText="1"/>
      <protection locked="0"/>
    </xf>
    <xf numFmtId="0" fontId="3" fillId="44" borderId="118" xfId="0" applyFont="1" applyFill="1" applyBorder="1" applyAlignment="1" applyProtection="1">
      <alignment horizontal="center" wrapText="1"/>
      <protection locked="0"/>
    </xf>
    <xf numFmtId="0" fontId="3" fillId="44" borderId="118" xfId="0" applyFont="1" applyFill="1" applyBorder="1" applyAlignment="1" applyProtection="1">
      <alignment horizontal="center" vertical="center" wrapText="1"/>
      <protection locked="0"/>
    </xf>
    <xf numFmtId="164" fontId="49" fillId="36" borderId="28" xfId="19" applyNumberFormat="1" applyFont="1" applyFill="1" applyBorder="1" applyAlignment="1" applyProtection="1">
      <alignment horizontal="right"/>
      <protection locked="0"/>
    </xf>
    <xf numFmtId="0" fontId="0" fillId="36" borderId="0" xfId="0" applyFill="1" applyAlignment="1" applyProtection="1">
      <alignment vertical="distributed" shrinkToFit="1"/>
      <protection locked="0"/>
    </xf>
    <xf numFmtId="0" fontId="70" fillId="36" borderId="66" xfId="0" applyFont="1" applyFill="1" applyBorder="1" applyAlignment="1" applyProtection="1">
      <alignment horizontal="center" vertical="distributed" shrinkToFit="1"/>
      <protection locked="0"/>
    </xf>
    <xf numFmtId="0" fontId="70" fillId="36" borderId="9" xfId="0" applyFont="1" applyFill="1" applyBorder="1" applyAlignment="1" applyProtection="1">
      <alignment horizontal="center" vertical="distributed" shrinkToFit="1"/>
      <protection locked="0"/>
    </xf>
    <xf numFmtId="0" fontId="70" fillId="36" borderId="9" xfId="0" applyFont="1" applyFill="1" applyBorder="1" applyAlignment="1" applyProtection="1">
      <alignment horizontal="center" vertical="distributed" shrinkToFit="1"/>
    </xf>
    <xf numFmtId="0" fontId="3" fillId="0" borderId="118" xfId="0" applyFont="1" applyFill="1" applyBorder="1" applyAlignment="1" applyProtection="1">
      <alignment horizontal="center" vertical="distributed" shrinkToFit="1"/>
      <protection locked="0"/>
    </xf>
    <xf numFmtId="0" fontId="3" fillId="0" borderId="8" xfId="0" applyFont="1" applyFill="1" applyBorder="1" applyAlignment="1" applyProtection="1">
      <alignment horizontal="center" vertical="distributed" shrinkToFit="1"/>
      <protection locked="0"/>
    </xf>
    <xf numFmtId="0" fontId="3" fillId="0" borderId="10" xfId="0" applyFont="1" applyFill="1" applyBorder="1" applyAlignment="1" applyProtection="1">
      <alignment horizontal="center" vertical="distributed" shrinkToFit="1"/>
      <protection locked="0"/>
    </xf>
    <xf numFmtId="0" fontId="3" fillId="0" borderId="66" xfId="0" applyFont="1" applyBorder="1" applyAlignment="1" applyProtection="1">
      <alignment horizontal="center" vertical="distributed" shrinkToFit="1"/>
      <protection locked="0"/>
    </xf>
    <xf numFmtId="0" fontId="3" fillId="0" borderId="9" xfId="0" applyFont="1" applyBorder="1" applyAlignment="1" applyProtection="1">
      <alignment horizontal="center" vertical="distributed" shrinkToFit="1"/>
      <protection locked="0"/>
    </xf>
    <xf numFmtId="164" fontId="70" fillId="46" borderId="10" xfId="19" applyNumberFormat="1" applyFont="1" applyFill="1" applyBorder="1" applyAlignment="1" applyProtection="1">
      <alignment vertical="distributed" shrinkToFit="1"/>
      <protection hidden="1"/>
    </xf>
    <xf numFmtId="164" fontId="70" fillId="38" borderId="0" xfId="19" applyNumberFormat="1" applyFont="1" applyFill="1" applyBorder="1" applyAlignment="1" applyProtection="1">
      <alignment vertical="distributed" shrinkToFit="1"/>
      <protection locked="0"/>
    </xf>
    <xf numFmtId="0" fontId="0" fillId="0" borderId="0" xfId="0" applyBorder="1" applyAlignment="1" applyProtection="1">
      <alignment vertical="distributed" shrinkToFit="1"/>
      <protection locked="0"/>
    </xf>
    <xf numFmtId="0" fontId="0" fillId="0" borderId="0" xfId="0" applyAlignment="1" applyProtection="1">
      <alignment vertical="distributed" shrinkToFit="1"/>
      <protection locked="0"/>
    </xf>
    <xf numFmtId="0" fontId="3" fillId="47" borderId="8" xfId="0" applyFont="1" applyFill="1" applyBorder="1" applyAlignment="1" applyProtection="1">
      <alignment horizontal="center" wrapText="1"/>
      <protection locked="0"/>
    </xf>
    <xf numFmtId="49" fontId="3" fillId="47" borderId="8" xfId="0" applyNumberFormat="1" applyFont="1" applyFill="1" applyBorder="1" applyAlignment="1" applyProtection="1">
      <alignment horizontal="center" vertical="center" wrapText="1"/>
      <protection locked="0"/>
    </xf>
    <xf numFmtId="49" fontId="5" fillId="36" borderId="104" xfId="0" applyNumberFormat="1" applyFont="1" applyFill="1" applyBorder="1" applyProtection="1">
      <protection locked="0"/>
    </xf>
    <xf numFmtId="49" fontId="5" fillId="45" borderId="0" xfId="0" applyNumberFormat="1" applyFont="1" applyFill="1" applyBorder="1" applyProtection="1">
      <protection locked="0"/>
    </xf>
    <xf numFmtId="49" fontId="5" fillId="45" borderId="119" xfId="0" applyNumberFormat="1" applyFont="1" applyFill="1" applyBorder="1" applyProtection="1">
      <protection locked="0"/>
    </xf>
    <xf numFmtId="0" fontId="0" fillId="45" borderId="65" xfId="0" applyFill="1" applyBorder="1" applyAlignment="1" applyProtection="1">
      <protection locked="0"/>
    </xf>
    <xf numFmtId="0" fontId="69" fillId="36" borderId="120" xfId="0" applyFont="1" applyFill="1" applyBorder="1" applyProtection="1">
      <protection locked="0"/>
    </xf>
    <xf numFmtId="164" fontId="5" fillId="37" borderId="121" xfId="19" applyNumberFormat="1" applyFont="1" applyFill="1" applyBorder="1" applyAlignment="1" applyProtection="1">
      <alignment horizontal="center"/>
      <protection hidden="1"/>
    </xf>
    <xf numFmtId="0" fontId="69" fillId="36" borderId="120" xfId="0" applyFont="1" applyFill="1" applyBorder="1" applyAlignment="1" applyProtection="1">
      <alignment vertical="distributed" shrinkToFit="1"/>
      <protection locked="0"/>
    </xf>
    <xf numFmtId="164" fontId="5" fillId="37" borderId="36" xfId="19" applyNumberFormat="1" applyFont="1" applyFill="1" applyBorder="1" applyAlignment="1" applyProtection="1">
      <alignment horizontal="center"/>
      <protection hidden="1"/>
    </xf>
    <xf numFmtId="164" fontId="5" fillId="37" borderId="122" xfId="19" applyNumberFormat="1" applyFont="1" applyFill="1" applyBorder="1" applyAlignment="1" applyProtection="1">
      <alignment horizontal="center"/>
      <protection hidden="1"/>
    </xf>
    <xf numFmtId="164" fontId="69" fillId="37" borderId="121" xfId="19" applyNumberFormat="1" applyFont="1" applyFill="1" applyBorder="1" applyProtection="1">
      <protection hidden="1"/>
    </xf>
    <xf numFmtId="164" fontId="5" fillId="45" borderId="123" xfId="19" applyNumberFormat="1" applyFont="1" applyFill="1" applyBorder="1" applyProtection="1">
      <protection hidden="1"/>
    </xf>
    <xf numFmtId="164" fontId="5" fillId="0" borderId="37" xfId="19" applyNumberFormat="1" applyFont="1" applyBorder="1" applyAlignment="1" applyProtection="1">
      <alignment horizontal="center"/>
      <protection locked="0" hidden="1"/>
    </xf>
    <xf numFmtId="49" fontId="5" fillId="45" borderId="112" xfId="0" applyNumberFormat="1" applyFont="1" applyFill="1" applyBorder="1" applyProtection="1">
      <protection locked="0"/>
    </xf>
    <xf numFmtId="164" fontId="5" fillId="0" borderId="18" xfId="19" applyNumberFormat="1" applyFont="1" applyBorder="1" applyAlignment="1" applyProtection="1">
      <alignment horizontal="center"/>
      <protection locked="0" hidden="1"/>
    </xf>
    <xf numFmtId="49" fontId="0" fillId="36" borderId="112" xfId="0" applyNumberFormat="1" applyFill="1" applyBorder="1" applyProtection="1">
      <protection locked="0"/>
    </xf>
    <xf numFmtId="0" fontId="3" fillId="47" borderId="124" xfId="0" applyFont="1" applyFill="1" applyBorder="1" applyAlignment="1" applyProtection="1">
      <alignment horizontal="center" wrapText="1"/>
      <protection locked="0"/>
    </xf>
    <xf numFmtId="164" fontId="5" fillId="37" borderId="125" xfId="19" applyNumberFormat="1" applyFont="1" applyFill="1" applyBorder="1" applyAlignment="1" applyProtection="1">
      <alignment horizontal="center"/>
      <protection hidden="1"/>
    </xf>
    <xf numFmtId="164" fontId="69" fillId="37" borderId="125" xfId="19" applyNumberFormat="1" applyFont="1" applyFill="1" applyBorder="1" applyProtection="1">
      <protection hidden="1"/>
    </xf>
    <xf numFmtId="164" fontId="5" fillId="37" borderId="123" xfId="19" applyNumberFormat="1" applyFont="1" applyFill="1" applyBorder="1" applyAlignment="1" applyProtection="1">
      <alignment horizontal="center"/>
      <protection hidden="1"/>
    </xf>
    <xf numFmtId="0" fontId="3" fillId="47" borderId="126" xfId="0" applyFont="1" applyFill="1" applyBorder="1" applyAlignment="1" applyProtection="1">
      <alignment horizontal="center" wrapText="1"/>
      <protection locked="0"/>
    </xf>
    <xf numFmtId="49" fontId="3" fillId="47" borderId="126" xfId="0" applyNumberFormat="1" applyFont="1" applyFill="1" applyBorder="1" applyAlignment="1" applyProtection="1">
      <alignment horizontal="center" vertical="center" wrapText="1"/>
      <protection locked="0"/>
    </xf>
    <xf numFmtId="49" fontId="9" fillId="47" borderId="127" xfId="0" applyNumberFormat="1" applyFont="1" applyFill="1" applyBorder="1" applyAlignment="1" applyProtection="1">
      <alignment vertical="center" textRotation="90" wrapText="1"/>
      <protection locked="0"/>
    </xf>
    <xf numFmtId="49" fontId="3" fillId="0" borderId="128" xfId="0" applyNumberFormat="1" applyFont="1" applyBorder="1" applyAlignment="1" applyProtection="1">
      <alignment horizontal="center" vertical="distributed" shrinkToFit="1"/>
      <protection locked="0"/>
    </xf>
    <xf numFmtId="0" fontId="3" fillId="0" borderId="129" xfId="0" applyFont="1" applyBorder="1" applyAlignment="1" applyProtection="1">
      <alignment horizontal="center" vertical="distributed" shrinkToFit="1"/>
      <protection locked="0"/>
    </xf>
    <xf numFmtId="0" fontId="110" fillId="36" borderId="48" xfId="0" applyFont="1" applyFill="1" applyBorder="1" applyAlignment="1" applyProtection="1">
      <protection locked="0"/>
    </xf>
    <xf numFmtId="164" fontId="5" fillId="36" borderId="0" xfId="19" applyNumberFormat="1" applyFont="1" applyFill="1" applyBorder="1" applyAlignment="1" applyProtection="1">
      <alignment horizontal="right"/>
      <protection locked="0"/>
    </xf>
    <xf numFmtId="164" fontId="70" fillId="36" borderId="0" xfId="19" applyNumberFormat="1" applyFont="1" applyFill="1" applyBorder="1" applyProtection="1">
      <protection hidden="1"/>
    </xf>
    <xf numFmtId="3" fontId="70" fillId="36" borderId="0" xfId="0" applyNumberFormat="1" applyFont="1" applyFill="1" applyBorder="1" applyAlignment="1" applyProtection="1">
      <alignment horizontal="center"/>
      <protection hidden="1"/>
    </xf>
    <xf numFmtId="164" fontId="5" fillId="0" borderId="114" xfId="19" applyNumberFormat="1" applyFont="1" applyBorder="1" applyAlignment="1" applyProtection="1">
      <alignment horizontal="right"/>
      <protection locked="0"/>
    </xf>
    <xf numFmtId="49" fontId="5" fillId="45" borderId="130" xfId="0" applyNumberFormat="1" applyFont="1" applyFill="1" applyBorder="1" applyProtection="1">
      <protection locked="0"/>
    </xf>
    <xf numFmtId="164" fontId="49" fillId="36" borderId="0" xfId="19" applyNumberFormat="1" applyFont="1" applyFill="1" applyBorder="1" applyAlignment="1" applyProtection="1">
      <protection hidden="1"/>
    </xf>
    <xf numFmtId="0" fontId="74" fillId="36" borderId="106" xfId="0" applyFont="1" applyFill="1" applyBorder="1" applyAlignment="1" applyProtection="1">
      <protection locked="0"/>
    </xf>
    <xf numFmtId="164" fontId="49" fillId="36" borderId="106" xfId="19" applyNumberFormat="1" applyFont="1" applyFill="1" applyBorder="1" applyAlignment="1" applyProtection="1">
      <protection hidden="1"/>
    </xf>
    <xf numFmtId="164" fontId="74" fillId="36" borderId="106" xfId="19" applyNumberFormat="1" applyFont="1" applyFill="1" applyBorder="1" applyAlignment="1" applyProtection="1">
      <protection hidden="1"/>
    </xf>
    <xf numFmtId="164" fontId="74" fillId="36" borderId="106" xfId="19" applyNumberFormat="1" applyFont="1" applyFill="1" applyBorder="1" applyAlignment="1" applyProtection="1">
      <protection locked="0"/>
    </xf>
    <xf numFmtId="0" fontId="13" fillId="45" borderId="131" xfId="0" applyFont="1" applyFill="1" applyBorder="1" applyAlignment="1" applyProtection="1">
      <alignment horizontal="center" vertical="center"/>
      <protection locked="0"/>
    </xf>
    <xf numFmtId="0" fontId="74" fillId="48" borderId="132" xfId="0" applyFont="1" applyFill="1" applyBorder="1" applyProtection="1">
      <protection locked="0"/>
    </xf>
    <xf numFmtId="0" fontId="74" fillId="48" borderId="133" xfId="0" applyFont="1" applyFill="1" applyBorder="1" applyProtection="1">
      <protection locked="0"/>
    </xf>
    <xf numFmtId="0" fontId="74" fillId="43" borderId="106" xfId="0" applyFont="1" applyFill="1" applyBorder="1" applyProtection="1">
      <protection locked="0"/>
    </xf>
    <xf numFmtId="0" fontId="74" fillId="47" borderId="106" xfId="0" applyFont="1" applyFill="1" applyBorder="1" applyProtection="1">
      <protection locked="0"/>
    </xf>
    <xf numFmtId="0" fontId="74" fillId="44" borderId="106" xfId="0" applyFont="1" applyFill="1" applyBorder="1" applyProtection="1">
      <protection locked="0"/>
    </xf>
    <xf numFmtId="0" fontId="74" fillId="48" borderId="134" xfId="0" applyFont="1" applyFill="1" applyBorder="1" applyAlignment="1" applyProtection="1">
      <alignment horizontal="center"/>
      <protection locked="0"/>
    </xf>
    <xf numFmtId="0" fontId="74" fillId="46" borderId="106" xfId="0" applyFont="1" applyFill="1" applyBorder="1" applyAlignment="1" applyProtection="1">
      <alignment horizontal="center"/>
      <protection locked="0"/>
    </xf>
    <xf numFmtId="0" fontId="74" fillId="35" borderId="106" xfId="0" applyFont="1" applyFill="1" applyBorder="1" applyAlignment="1" applyProtection="1">
      <alignment horizontal="center"/>
      <protection locked="0"/>
    </xf>
    <xf numFmtId="0" fontId="74" fillId="48" borderId="135" xfId="0" applyFont="1" applyFill="1" applyBorder="1" applyAlignment="1" applyProtection="1">
      <alignment horizontal="left"/>
      <protection locked="0"/>
    </xf>
    <xf numFmtId="164" fontId="49" fillId="37" borderId="136" xfId="19" applyNumberFormat="1" applyFont="1" applyFill="1" applyBorder="1" applyProtection="1">
      <protection hidden="1"/>
    </xf>
    <xf numFmtId="0" fontId="74" fillId="48" borderId="103" xfId="0" applyFont="1" applyFill="1" applyBorder="1" applyProtection="1">
      <protection locked="0"/>
    </xf>
    <xf numFmtId="164" fontId="74" fillId="48" borderId="104" xfId="19" applyNumberFormat="1" applyFont="1" applyFill="1" applyBorder="1" applyProtection="1">
      <protection locked="0"/>
    </xf>
    <xf numFmtId="0" fontId="74" fillId="48" borderId="111" xfId="0" applyFont="1" applyFill="1" applyBorder="1" applyProtection="1">
      <protection locked="0"/>
    </xf>
    <xf numFmtId="164" fontId="49" fillId="37" borderId="112" xfId="19" applyNumberFormat="1" applyFont="1" applyFill="1" applyBorder="1" applyProtection="1">
      <protection hidden="1"/>
    </xf>
    <xf numFmtId="164" fontId="49" fillId="0" borderId="137" xfId="19" applyNumberFormat="1" applyFont="1" applyFill="1" applyBorder="1" applyProtection="1">
      <protection locked="0"/>
    </xf>
    <xf numFmtId="164" fontId="74" fillId="48" borderId="104" xfId="19" applyNumberFormat="1" applyFont="1" applyFill="1" applyBorder="1" applyProtection="1">
      <protection hidden="1"/>
    </xf>
    <xf numFmtId="164" fontId="49" fillId="61" borderId="112" xfId="19" applyNumberFormat="1" applyFont="1" applyFill="1" applyBorder="1" applyAlignment="1" applyProtection="1">
      <alignment horizontal="center"/>
      <protection hidden="1"/>
    </xf>
    <xf numFmtId="0" fontId="0" fillId="36" borderId="23" xfId="0" applyFill="1" applyBorder="1" applyProtection="1">
      <protection locked="0"/>
    </xf>
    <xf numFmtId="164" fontId="49" fillId="36" borderId="8" xfId="19" applyNumberFormat="1" applyFont="1" applyFill="1" applyBorder="1" applyAlignment="1" applyProtection="1">
      <alignment horizontal="center" vertical="center"/>
      <protection locked="0"/>
    </xf>
    <xf numFmtId="0" fontId="0" fillId="36" borderId="43" xfId="0" applyFill="1" applyBorder="1" applyAlignment="1" applyProtection="1">
      <alignment horizontal="center" vertical="center"/>
      <protection locked="0"/>
    </xf>
    <xf numFmtId="0" fontId="0" fillId="36" borderId="102" xfId="0" applyFill="1" applyBorder="1" applyProtection="1">
      <protection locked="0"/>
    </xf>
    <xf numFmtId="0" fontId="0" fillId="36" borderId="2" xfId="0" applyFill="1" applyBorder="1" applyProtection="1">
      <protection locked="0"/>
    </xf>
    <xf numFmtId="164" fontId="49" fillId="36" borderId="3" xfId="19" applyNumberFormat="1" applyFont="1" applyFill="1" applyBorder="1" applyAlignment="1" applyProtection="1">
      <alignment horizontal="center" vertical="center"/>
      <protection locked="0"/>
    </xf>
    <xf numFmtId="0" fontId="0" fillId="36" borderId="37" xfId="0" applyFill="1" applyBorder="1" applyAlignment="1" applyProtection="1">
      <alignment horizontal="center" vertical="center"/>
      <protection locked="0"/>
    </xf>
    <xf numFmtId="0" fontId="0" fillId="36" borderId="138" xfId="0" applyFill="1" applyBorder="1" applyProtection="1">
      <protection locked="0"/>
    </xf>
    <xf numFmtId="0" fontId="0" fillId="36" borderId="4" xfId="0" applyFill="1" applyBorder="1" applyProtection="1">
      <protection locked="0"/>
    </xf>
    <xf numFmtId="164" fontId="49" fillId="36" borderId="11" xfId="19" applyNumberFormat="1" applyFont="1" applyFill="1" applyBorder="1" applyAlignment="1" applyProtection="1">
      <alignment horizontal="center" vertical="center"/>
      <protection locked="0"/>
    </xf>
    <xf numFmtId="0" fontId="0" fillId="36" borderId="18" xfId="0" applyFill="1" applyBorder="1" applyAlignment="1" applyProtection="1">
      <alignment horizontal="center" vertical="center"/>
      <protection locked="0"/>
    </xf>
    <xf numFmtId="0" fontId="0" fillId="36" borderId="139" xfId="0" applyFill="1" applyBorder="1" applyProtection="1">
      <protection locked="0"/>
    </xf>
    <xf numFmtId="0" fontId="70" fillId="44" borderId="9" xfId="0" applyFont="1" applyFill="1" applyBorder="1" applyAlignment="1" applyProtection="1">
      <alignment horizontal="center"/>
      <protection locked="0"/>
    </xf>
    <xf numFmtId="0" fontId="12" fillId="49" borderId="34" xfId="0" applyFont="1" applyFill="1" applyBorder="1" applyAlignment="1" applyProtection="1">
      <alignment vertical="center"/>
      <protection locked="0" hidden="1"/>
    </xf>
    <xf numFmtId="0" fontId="0" fillId="37" borderId="3" xfId="0" applyFill="1" applyBorder="1" applyProtection="1">
      <protection hidden="1"/>
    </xf>
    <xf numFmtId="0" fontId="74" fillId="35" borderId="3" xfId="0" applyFont="1" applyFill="1" applyBorder="1" applyAlignment="1" applyProtection="1">
      <alignment horizontal="center"/>
      <protection hidden="1"/>
    </xf>
    <xf numFmtId="0" fontId="74" fillId="35" borderId="3" xfId="0" applyFont="1" applyFill="1" applyBorder="1" applyAlignment="1" applyProtection="1">
      <alignment horizontal="center" vertical="center"/>
      <protection hidden="1"/>
    </xf>
    <xf numFmtId="165" fontId="49" fillId="0" borderId="3" xfId="20" applyNumberFormat="1" applyFont="1" applyFill="1" applyBorder="1" applyAlignment="1" applyProtection="1">
      <alignment horizontal="right"/>
      <protection hidden="1"/>
    </xf>
    <xf numFmtId="0" fontId="74" fillId="0" borderId="3" xfId="0" applyFont="1" applyBorder="1" applyAlignment="1" applyProtection="1">
      <alignment horizontal="right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165" fontId="49" fillId="0" borderId="3" xfId="20" applyNumberFormat="1" applyFont="1" applyBorder="1" applyAlignment="1" applyProtection="1">
      <alignment horizontal="right"/>
      <protection hidden="1"/>
    </xf>
    <xf numFmtId="169" fontId="0" fillId="0" borderId="3" xfId="0" applyNumberFormat="1" applyBorder="1" applyAlignment="1" applyProtection="1">
      <alignment horizontal="right"/>
      <protection hidden="1"/>
    </xf>
    <xf numFmtId="0" fontId="74" fillId="0" borderId="3" xfId="0" applyFont="1" applyFill="1" applyBorder="1" applyAlignment="1" applyProtection="1">
      <alignment horizontal="center"/>
      <protection hidden="1"/>
    </xf>
    <xf numFmtId="164" fontId="5" fillId="35" borderId="87" xfId="19" applyNumberFormat="1" applyFont="1" applyFill="1" applyBorder="1" applyAlignment="1" applyProtection="1">
      <alignment horizontal="right"/>
      <protection locked="0" hidden="1"/>
    </xf>
    <xf numFmtId="164" fontId="5" fillId="35" borderId="88" xfId="19" applyNumberFormat="1" applyFont="1" applyFill="1" applyBorder="1" applyAlignment="1" applyProtection="1">
      <alignment horizontal="right"/>
      <protection locked="0" hidden="1"/>
    </xf>
    <xf numFmtId="164" fontId="5" fillId="35" borderId="98" xfId="19" applyNumberFormat="1" applyFont="1" applyFill="1" applyBorder="1" applyAlignment="1" applyProtection="1">
      <alignment horizontal="right"/>
      <protection locked="0" hidden="1"/>
    </xf>
    <xf numFmtId="164" fontId="5" fillId="35" borderId="140" xfId="19" applyNumberFormat="1" applyFont="1" applyFill="1" applyBorder="1" applyAlignment="1" applyProtection="1">
      <alignment horizontal="right"/>
      <protection locked="0" hidden="1"/>
    </xf>
    <xf numFmtId="0" fontId="74" fillId="0" borderId="55" xfId="0" applyFont="1" applyFill="1" applyBorder="1" applyProtection="1">
      <protection hidden="1"/>
    </xf>
    <xf numFmtId="0" fontId="74" fillId="0" borderId="57" xfId="0" applyFont="1" applyFill="1" applyBorder="1" applyProtection="1">
      <protection hidden="1"/>
    </xf>
    <xf numFmtId="164" fontId="49" fillId="0" borderId="6" xfId="20" applyNumberFormat="1" applyFont="1" applyBorder="1" applyAlignment="1" applyProtection="1">
      <alignment horizontal="right"/>
      <protection hidden="1"/>
    </xf>
    <xf numFmtId="164" fontId="49" fillId="0" borderId="50" xfId="20" applyNumberFormat="1" applyFont="1" applyBorder="1" applyAlignment="1" applyProtection="1">
      <alignment horizontal="right"/>
      <protection hidden="1"/>
    </xf>
    <xf numFmtId="164" fontId="49" fillId="0" borderId="55" xfId="20" applyNumberFormat="1" applyFont="1" applyBorder="1" applyAlignment="1" applyProtection="1">
      <alignment horizontal="right"/>
      <protection hidden="1"/>
    </xf>
    <xf numFmtId="164" fontId="49" fillId="0" borderId="57" xfId="20" applyNumberFormat="1" applyFont="1" applyBorder="1" applyAlignment="1" applyProtection="1">
      <alignment horizontal="right"/>
      <protection hidden="1"/>
    </xf>
    <xf numFmtId="0" fontId="0" fillId="36" borderId="0" xfId="0" applyFill="1" applyAlignment="1" applyProtection="1">
      <alignment vertical="distributed" shrinkToFit="1"/>
      <protection hidden="1"/>
    </xf>
    <xf numFmtId="0" fontId="0" fillId="0" borderId="0" xfId="0" applyAlignment="1" applyProtection="1">
      <alignment vertical="distributed" shrinkToFit="1"/>
      <protection hidden="1"/>
    </xf>
    <xf numFmtId="0" fontId="79" fillId="0" borderId="0" xfId="0" applyFont="1" applyAlignment="1" applyProtection="1">
      <alignment vertical="distributed" shrinkToFit="1"/>
      <protection hidden="1"/>
    </xf>
    <xf numFmtId="0" fontId="79" fillId="0" borderId="0" xfId="0" applyFont="1" applyAlignment="1" applyProtection="1">
      <alignment horizontal="center"/>
      <protection hidden="1"/>
    </xf>
    <xf numFmtId="165" fontId="74" fillId="35" borderId="8" xfId="20" applyNumberFormat="1" applyFont="1" applyFill="1" applyBorder="1" applyAlignment="1" applyProtection="1">
      <alignment horizontal="right"/>
      <protection hidden="1"/>
    </xf>
    <xf numFmtId="0" fontId="0" fillId="36" borderId="36" xfId="0" applyFill="1" applyBorder="1" applyProtection="1">
      <protection hidden="1"/>
    </xf>
    <xf numFmtId="165" fontId="49" fillId="36" borderId="36" xfId="20" applyNumberFormat="1" applyFont="1" applyFill="1" applyBorder="1" applyAlignment="1" applyProtection="1">
      <alignment horizontal="right"/>
      <protection hidden="1"/>
    </xf>
    <xf numFmtId="0" fontId="74" fillId="36" borderId="36" xfId="0" applyFont="1" applyFill="1" applyBorder="1" applyAlignment="1" applyProtection="1">
      <alignment horizontal="right"/>
      <protection hidden="1"/>
    </xf>
    <xf numFmtId="168" fontId="49" fillId="36" borderId="0" xfId="20" applyNumberFormat="1" applyFont="1" applyFill="1" applyBorder="1" applyAlignment="1" applyProtection="1">
      <alignment horizontal="center"/>
      <protection hidden="1"/>
    </xf>
    <xf numFmtId="10" fontId="49" fillId="36" borderId="0" xfId="28" applyNumberFormat="1" applyFont="1" applyFill="1" applyBorder="1" applyAlignment="1" applyProtection="1">
      <alignment horizontal="center" vertical="center"/>
      <protection hidden="1"/>
    </xf>
    <xf numFmtId="0" fontId="0" fillId="36" borderId="0" xfId="0" applyFill="1" applyBorder="1" applyAlignment="1" applyProtection="1">
      <alignment horizontal="center" vertical="center"/>
      <protection hidden="1"/>
    </xf>
    <xf numFmtId="0" fontId="0" fillId="36" borderId="0" xfId="0" applyFill="1" applyBorder="1" applyAlignment="1" applyProtection="1">
      <alignment horizontal="right"/>
      <protection hidden="1"/>
    </xf>
    <xf numFmtId="0" fontId="3" fillId="0" borderId="23" xfId="0" applyFont="1" applyBorder="1" applyAlignment="1" applyProtection="1">
      <alignment vertical="center" wrapText="1"/>
      <protection locked="0"/>
    </xf>
    <xf numFmtId="0" fontId="3" fillId="0" borderId="22" xfId="0" applyFont="1" applyBorder="1" applyAlignment="1" applyProtection="1">
      <alignment vertical="center" wrapText="1"/>
      <protection locked="0"/>
    </xf>
    <xf numFmtId="0" fontId="3" fillId="0" borderId="2" xfId="0" applyFont="1" applyBorder="1" applyAlignment="1" applyProtection="1">
      <alignment vertical="center" wrapText="1"/>
      <protection locked="0"/>
    </xf>
    <xf numFmtId="0" fontId="3" fillId="0" borderId="3" xfId="0" applyFont="1" applyBorder="1" applyAlignment="1" applyProtection="1">
      <alignment vertical="center" wrapText="1"/>
      <protection locked="0"/>
    </xf>
    <xf numFmtId="0" fontId="3" fillId="36" borderId="6" xfId="0" applyFont="1" applyFill="1" applyBorder="1" applyAlignment="1" applyProtection="1">
      <alignment horizontal="center" vertical="center" wrapText="1"/>
      <protection locked="0"/>
    </xf>
    <xf numFmtId="0" fontId="3" fillId="36" borderId="0" xfId="0" applyFont="1" applyFill="1" applyBorder="1" applyAlignment="1" applyProtection="1">
      <alignment horizontal="center" vertical="center" wrapText="1"/>
      <protection locked="0"/>
    </xf>
    <xf numFmtId="0" fontId="3" fillId="36" borderId="50" xfId="0" applyFont="1" applyFill="1" applyBorder="1" applyAlignment="1" applyProtection="1">
      <alignment horizontal="center" vertical="center" wrapText="1"/>
      <protection locked="0"/>
    </xf>
    <xf numFmtId="164" fontId="69" fillId="36" borderId="0" xfId="19" applyNumberFormat="1" applyFont="1" applyFill="1" applyBorder="1" applyAlignment="1" applyProtection="1">
      <alignment horizontal="center"/>
      <protection hidden="1"/>
    </xf>
    <xf numFmtId="164" fontId="69" fillId="36" borderId="0" xfId="19" applyNumberFormat="1" applyFont="1" applyFill="1" applyBorder="1" applyProtection="1">
      <protection hidden="1"/>
    </xf>
    <xf numFmtId="0" fontId="79" fillId="0" borderId="0" xfId="0" applyFont="1" applyAlignment="1" applyProtection="1">
      <alignment horizontal="center"/>
      <protection locked="0"/>
    </xf>
    <xf numFmtId="0" fontId="79" fillId="0" borderId="22" xfId="0" applyFont="1" applyBorder="1" applyAlignment="1" applyProtection="1">
      <alignment horizontal="center" readingOrder="2"/>
      <protection hidden="1"/>
    </xf>
    <xf numFmtId="0" fontId="0" fillId="0" borderId="58" xfId="0" applyBorder="1" applyProtection="1">
      <protection hidden="1"/>
    </xf>
    <xf numFmtId="0" fontId="0" fillId="0" borderId="8" xfId="0" applyBorder="1" applyProtection="1">
      <protection hidden="1"/>
    </xf>
    <xf numFmtId="9" fontId="49" fillId="37" borderId="3" xfId="27" applyFont="1" applyFill="1" applyBorder="1" applyAlignment="1" applyProtection="1">
      <alignment horizontal="center" vertical="center"/>
      <protection hidden="1"/>
    </xf>
    <xf numFmtId="0" fontId="0" fillId="45" borderId="0" xfId="0" applyFill="1" applyAlignment="1" applyProtection="1">
      <protection locked="0" hidden="1"/>
    </xf>
    <xf numFmtId="0" fontId="0" fillId="0" borderId="0" xfId="0" applyProtection="1">
      <protection hidden="1"/>
    </xf>
    <xf numFmtId="0" fontId="89" fillId="0" borderId="0" xfId="0" applyFont="1" applyAlignment="1" applyProtection="1">
      <alignment horizontal="right"/>
      <protection hidden="1"/>
    </xf>
    <xf numFmtId="0" fontId="89" fillId="0" borderId="0" xfId="0" applyFont="1" applyAlignment="1" applyProtection="1">
      <alignment horizontal="right" vertical="top" wrapText="1"/>
      <protection hidden="1"/>
    </xf>
    <xf numFmtId="0" fontId="0" fillId="0" borderId="0" xfId="0" applyAlignment="1" applyProtection="1">
      <protection hidden="1"/>
    </xf>
    <xf numFmtId="0" fontId="0" fillId="0" borderId="52" xfId="0" applyBorder="1" applyProtection="1">
      <protection hidden="1"/>
    </xf>
    <xf numFmtId="0" fontId="111" fillId="0" borderId="0" xfId="26" applyFont="1" applyAlignment="1" applyProtection="1">
      <alignment wrapText="1"/>
      <protection hidden="1"/>
    </xf>
    <xf numFmtId="0" fontId="0" fillId="0" borderId="50" xfId="0" applyBorder="1" applyProtection="1">
      <protection hidden="1"/>
    </xf>
    <xf numFmtId="0" fontId="89" fillId="0" borderId="0" xfId="26" applyFont="1" applyAlignment="1" applyProtection="1">
      <alignment horizontal="right" vertical="top" wrapText="1"/>
      <protection hidden="1"/>
    </xf>
    <xf numFmtId="3" fontId="0" fillId="0" borderId="0" xfId="0" applyNumberFormat="1" applyProtection="1">
      <protection hidden="1"/>
    </xf>
    <xf numFmtId="0" fontId="112" fillId="0" borderId="0" xfId="0" applyFont="1" applyProtection="1">
      <protection hidden="1"/>
    </xf>
    <xf numFmtId="0" fontId="89" fillId="0" borderId="0" xfId="26" applyFont="1" applyAlignment="1" applyProtection="1">
      <alignment horizontal="right" vertical="top" wrapText="1" readingOrder="2"/>
      <protection hidden="1"/>
    </xf>
    <xf numFmtId="0" fontId="0" fillId="0" borderId="54" xfId="0" applyBorder="1" applyProtection="1">
      <protection hidden="1"/>
    </xf>
    <xf numFmtId="0" fontId="0" fillId="0" borderId="55" xfId="0" applyBorder="1" applyProtection="1">
      <protection hidden="1"/>
    </xf>
    <xf numFmtId="0" fontId="0" fillId="0" borderId="57" xfId="0" applyBorder="1" applyProtection="1">
      <protection hidden="1"/>
    </xf>
    <xf numFmtId="0" fontId="113" fillId="0" borderId="0" xfId="0" applyFont="1" applyProtection="1">
      <protection hidden="1"/>
    </xf>
    <xf numFmtId="0" fontId="89" fillId="0" borderId="47" xfId="0" applyFont="1" applyBorder="1" applyAlignment="1" applyProtection="1">
      <alignment horizontal="right"/>
      <protection locked="0"/>
    </xf>
    <xf numFmtId="0" fontId="74" fillId="62" borderId="49" xfId="0" applyFont="1" applyFill="1" applyBorder="1" applyAlignment="1" applyProtection="1">
      <alignment horizontal="center"/>
      <protection hidden="1"/>
    </xf>
    <xf numFmtId="0" fontId="0" fillId="62" borderId="52" xfId="0" applyFill="1" applyBorder="1" applyProtection="1">
      <protection hidden="1"/>
    </xf>
    <xf numFmtId="0" fontId="0" fillId="62" borderId="0" xfId="0" applyFill="1" applyBorder="1" applyProtection="1">
      <protection hidden="1"/>
    </xf>
    <xf numFmtId="0" fontId="0" fillId="62" borderId="50" xfId="0" applyFill="1" applyBorder="1" applyProtection="1">
      <protection hidden="1"/>
    </xf>
    <xf numFmtId="0" fontId="0" fillId="62" borderId="48" xfId="0" applyFill="1" applyBorder="1" applyProtection="1">
      <protection hidden="1"/>
    </xf>
    <xf numFmtId="0" fontId="0" fillId="62" borderId="54" xfId="0" applyFill="1" applyBorder="1" applyProtection="1">
      <protection hidden="1"/>
    </xf>
    <xf numFmtId="0" fontId="89" fillId="36" borderId="0" xfId="0" applyFont="1" applyFill="1" applyAlignment="1" applyProtection="1">
      <alignment horizontal="right"/>
      <protection hidden="1"/>
    </xf>
    <xf numFmtId="0" fontId="74" fillId="36" borderId="0" xfId="0" applyFont="1" applyFill="1" applyAlignment="1" applyProtection="1">
      <alignment horizontal="left"/>
      <protection hidden="1"/>
    </xf>
    <xf numFmtId="0" fontId="0" fillId="36" borderId="47" xfId="0" applyFill="1" applyBorder="1" applyProtection="1">
      <protection locked="0"/>
    </xf>
    <xf numFmtId="0" fontId="113" fillId="36" borderId="0" xfId="0" applyFont="1" applyFill="1" applyProtection="1">
      <protection hidden="1"/>
    </xf>
    <xf numFmtId="0" fontId="113" fillId="36" borderId="0" xfId="0" applyFont="1" applyFill="1" applyProtection="1">
      <protection locked="0"/>
    </xf>
    <xf numFmtId="0" fontId="89" fillId="63" borderId="3" xfId="26" applyFont="1" applyFill="1" applyBorder="1" applyAlignment="1" applyProtection="1">
      <alignment horizontal="right" wrapText="1"/>
      <protection hidden="1"/>
    </xf>
    <xf numFmtId="0" fontId="0" fillId="63" borderId="3" xfId="0" applyFill="1" applyBorder="1" applyProtection="1">
      <protection hidden="1"/>
    </xf>
    <xf numFmtId="0" fontId="89" fillId="63" borderId="3" xfId="26" applyFont="1" applyFill="1" applyBorder="1" applyAlignment="1" applyProtection="1">
      <alignment horizontal="right" wrapText="1" readingOrder="2"/>
      <protection hidden="1"/>
    </xf>
    <xf numFmtId="0" fontId="114" fillId="62" borderId="49" xfId="0" applyFont="1" applyFill="1" applyBorder="1" applyAlignment="1" applyProtection="1">
      <alignment horizontal="center"/>
      <protection locked="0"/>
    </xf>
    <xf numFmtId="0" fontId="115" fillId="62" borderId="0" xfId="0" applyFont="1" applyFill="1" applyBorder="1" applyProtection="1">
      <protection locked="0"/>
    </xf>
    <xf numFmtId="0" fontId="115" fillId="62" borderId="48" xfId="0" applyFont="1" applyFill="1" applyBorder="1" applyProtection="1">
      <protection locked="0"/>
    </xf>
    <xf numFmtId="0" fontId="0" fillId="0" borderId="2" xfId="0" applyBorder="1" applyProtection="1">
      <protection hidden="1"/>
    </xf>
    <xf numFmtId="0" fontId="0" fillId="0" borderId="4" xfId="0" applyBorder="1" applyProtection="1">
      <protection hidden="1"/>
    </xf>
    <xf numFmtId="0" fontId="0" fillId="0" borderId="0" xfId="0" applyBorder="1" applyProtection="1">
      <protection hidden="1"/>
    </xf>
    <xf numFmtId="0" fontId="0" fillId="0" borderId="141" xfId="0" applyBorder="1" applyProtection="1">
      <protection hidden="1"/>
    </xf>
    <xf numFmtId="0" fontId="0" fillId="0" borderId="142" xfId="0" applyBorder="1" applyAlignment="1" applyProtection="1">
      <alignment horizontal="right"/>
      <protection hidden="1"/>
    </xf>
    <xf numFmtId="0" fontId="0" fillId="0" borderId="142" xfId="0" applyBorder="1" applyProtection="1">
      <protection hidden="1"/>
    </xf>
    <xf numFmtId="0" fontId="0" fillId="0" borderId="142" xfId="0" applyBorder="1" applyAlignment="1" applyProtection="1">
      <alignment vertical="distributed" shrinkToFit="1"/>
      <protection hidden="1"/>
    </xf>
    <xf numFmtId="0" fontId="0" fillId="0" borderId="48" xfId="0" applyBorder="1" applyProtection="1">
      <protection hidden="1"/>
    </xf>
    <xf numFmtId="0" fontId="0" fillId="0" borderId="49" xfId="0" applyNumberFormat="1" applyBorder="1" applyProtection="1">
      <protection hidden="1"/>
    </xf>
    <xf numFmtId="0" fontId="0" fillId="0" borderId="10" xfId="0" applyBorder="1" applyProtection="1">
      <protection hidden="1"/>
    </xf>
    <xf numFmtId="0" fontId="0" fillId="0" borderId="5" xfId="0" applyBorder="1" applyProtection="1">
      <protection hidden="1"/>
    </xf>
    <xf numFmtId="0" fontId="0" fillId="0" borderId="1" xfId="0" applyBorder="1" applyProtection="1">
      <protection hidden="1"/>
    </xf>
    <xf numFmtId="0" fontId="0" fillId="0" borderId="0" xfId="0" applyBorder="1" applyAlignment="1" applyProtection="1">
      <alignment horizontal="right"/>
      <protection hidden="1"/>
    </xf>
    <xf numFmtId="0" fontId="0" fillId="0" borderId="0" xfId="0" applyBorder="1" applyAlignment="1" applyProtection="1">
      <alignment vertical="distributed" shrinkToFit="1"/>
      <protection hidden="1"/>
    </xf>
    <xf numFmtId="0" fontId="0" fillId="0" borderId="3" xfId="0" applyBorder="1" applyProtection="1">
      <protection hidden="1"/>
    </xf>
    <xf numFmtId="0" fontId="0" fillId="0" borderId="143" xfId="0" applyBorder="1" applyProtection="1">
      <protection hidden="1"/>
    </xf>
    <xf numFmtId="0" fontId="0" fillId="0" borderId="20" xfId="0" applyBorder="1" applyProtection="1">
      <protection hidden="1"/>
    </xf>
    <xf numFmtId="0" fontId="0" fillId="0" borderId="61" xfId="0" applyBorder="1" applyProtection="1">
      <protection hidden="1"/>
    </xf>
    <xf numFmtId="0" fontId="0" fillId="0" borderId="42" xfId="0" applyBorder="1" applyProtection="1">
      <protection hidden="1"/>
    </xf>
    <xf numFmtId="0" fontId="0" fillId="0" borderId="26" xfId="0" applyBorder="1" applyProtection="1">
      <protection hidden="1"/>
    </xf>
    <xf numFmtId="0" fontId="0" fillId="0" borderId="38" xfId="0" applyBorder="1" applyProtection="1">
      <protection hidden="1"/>
    </xf>
    <xf numFmtId="0" fontId="0" fillId="0" borderId="12" xfId="0" applyBorder="1" applyProtection="1">
      <protection hidden="1"/>
    </xf>
    <xf numFmtId="0" fontId="0" fillId="0" borderId="13" xfId="0" applyBorder="1" applyProtection="1">
      <protection hidden="1"/>
    </xf>
    <xf numFmtId="49" fontId="9" fillId="47" borderId="0" xfId="0" applyNumberFormat="1" applyFont="1" applyFill="1" applyBorder="1" applyAlignment="1" applyProtection="1">
      <alignment vertical="center" textRotation="90" wrapText="1"/>
      <protection locked="0"/>
    </xf>
    <xf numFmtId="49" fontId="3" fillId="0" borderId="144" xfId="0" applyNumberFormat="1" applyFont="1" applyBorder="1" applyAlignment="1" applyProtection="1">
      <alignment horizontal="center" vertical="distributed" shrinkToFit="1"/>
      <protection locked="0"/>
    </xf>
    <xf numFmtId="164" fontId="49" fillId="36" borderId="6" xfId="19" applyNumberFormat="1" applyFont="1" applyFill="1" applyBorder="1" applyAlignment="1" applyProtection="1">
      <protection hidden="1"/>
    </xf>
    <xf numFmtId="49" fontId="0" fillId="36" borderId="49" xfId="0" applyNumberFormat="1" applyFill="1" applyBorder="1" applyProtection="1">
      <protection locked="0"/>
    </xf>
    <xf numFmtId="164" fontId="49" fillId="36" borderId="0" xfId="19" applyNumberFormat="1" applyFont="1" applyFill="1" applyProtection="1">
      <protection locked="0"/>
    </xf>
    <xf numFmtId="1" fontId="5" fillId="0" borderId="145" xfId="0" applyNumberFormat="1" applyFont="1" applyBorder="1" applyAlignment="1" applyProtection="1">
      <alignment horizontal="center"/>
      <protection locked="0"/>
    </xf>
    <xf numFmtId="1" fontId="5" fillId="0" borderId="146" xfId="0" applyNumberFormat="1" applyFont="1" applyBorder="1" applyAlignment="1" applyProtection="1">
      <alignment horizontal="center"/>
      <protection locked="0"/>
    </xf>
    <xf numFmtId="0" fontId="5" fillId="0" borderId="145" xfId="0" applyNumberFormat="1" applyFont="1" applyBorder="1" applyAlignment="1" applyProtection="1">
      <alignment horizontal="right"/>
      <protection locked="0"/>
    </xf>
    <xf numFmtId="0" fontId="5" fillId="0" borderId="146" xfId="0" applyNumberFormat="1" applyFont="1" applyBorder="1" applyAlignment="1" applyProtection="1">
      <alignment horizontal="right"/>
      <protection locked="0"/>
    </xf>
    <xf numFmtId="0" fontId="5" fillId="0" borderId="3" xfId="0" applyFont="1" applyBorder="1" applyProtection="1">
      <protection locked="0" hidden="1"/>
    </xf>
    <xf numFmtId="1" fontId="5" fillId="0" borderId="145" xfId="0" applyNumberFormat="1" applyFont="1" applyBorder="1" applyAlignment="1" applyProtection="1">
      <alignment horizontal="center"/>
      <protection locked="0" hidden="1"/>
    </xf>
    <xf numFmtId="0" fontId="5" fillId="0" borderId="145" xfId="0" applyNumberFormat="1" applyFont="1" applyBorder="1" applyAlignment="1" applyProtection="1">
      <alignment horizontal="right"/>
      <protection locked="0" hidden="1"/>
    </xf>
    <xf numFmtId="0" fontId="69" fillId="0" borderId="0" xfId="0" applyFont="1" applyBorder="1" applyProtection="1">
      <protection locked="0" hidden="1"/>
    </xf>
    <xf numFmtId="0" fontId="69" fillId="0" borderId="3" xfId="0" applyFont="1" applyBorder="1" applyProtection="1">
      <protection locked="0" hidden="1"/>
    </xf>
    <xf numFmtId="0" fontId="5" fillId="0" borderId="11" xfId="0" applyFont="1" applyBorder="1" applyProtection="1">
      <protection locked="0" hidden="1"/>
    </xf>
    <xf numFmtId="1" fontId="5" fillId="0" borderId="146" xfId="0" applyNumberFormat="1" applyFont="1" applyBorder="1" applyAlignment="1" applyProtection="1">
      <alignment horizontal="center"/>
      <protection locked="0" hidden="1"/>
    </xf>
    <xf numFmtId="0" fontId="5" fillId="0" borderId="146" xfId="0" applyNumberFormat="1" applyFont="1" applyBorder="1" applyAlignment="1" applyProtection="1">
      <alignment horizontal="right"/>
      <protection locked="0" hidden="1"/>
    </xf>
    <xf numFmtId="0" fontId="3" fillId="0" borderId="2" xfId="0" applyFont="1" applyBorder="1" applyAlignment="1" applyProtection="1">
      <alignment horizontal="center" vertical="center" wrapText="1"/>
      <protection locked="0"/>
    </xf>
    <xf numFmtId="0" fontId="3" fillId="0" borderId="24" xfId="0" applyFont="1" applyBorder="1" applyAlignment="1" applyProtection="1">
      <alignment horizontal="center" vertical="center" wrapText="1"/>
      <protection locked="0"/>
    </xf>
    <xf numFmtId="0" fontId="29" fillId="0" borderId="3" xfId="24" applyFont="1" applyFill="1" applyBorder="1" applyAlignment="1" applyProtection="1">
      <alignment horizontal="left" vertical="center" wrapText="1"/>
      <protection hidden="1"/>
    </xf>
    <xf numFmtId="0" fontId="47" fillId="0" borderId="9" xfId="0" applyFont="1" applyBorder="1" applyAlignment="1" applyProtection="1">
      <alignment horizontal="center" vertical="distributed" shrinkToFit="1"/>
    </xf>
    <xf numFmtId="0" fontId="78" fillId="36" borderId="0" xfId="0" applyFont="1" applyFill="1" applyAlignment="1" applyProtection="1">
      <alignment horizontal="right"/>
      <protection locked="0"/>
    </xf>
    <xf numFmtId="0" fontId="78" fillId="36" borderId="0" xfId="0" applyFont="1" applyFill="1" applyAlignment="1" applyProtection="1">
      <alignment horizontal="center" vertical="center"/>
      <protection locked="0"/>
    </xf>
    <xf numFmtId="0" fontId="116" fillId="36" borderId="0" xfId="0" applyFont="1" applyFill="1" applyAlignment="1" applyProtection="1">
      <alignment horizontal="center" vertical="center"/>
      <protection locked="0"/>
    </xf>
    <xf numFmtId="0" fontId="3" fillId="44" borderId="29" xfId="0" applyFont="1" applyFill="1" applyBorder="1" applyAlignment="1" applyProtection="1">
      <alignment horizontal="center"/>
      <protection locked="0"/>
    </xf>
    <xf numFmtId="0" fontId="3" fillId="44" borderId="66" xfId="0" applyFont="1" applyFill="1" applyBorder="1" applyAlignment="1" applyProtection="1">
      <alignment horizontal="center"/>
      <protection locked="0"/>
    </xf>
    <xf numFmtId="0" fontId="70" fillId="44" borderId="9" xfId="0" applyFont="1" applyFill="1" applyBorder="1" applyAlignment="1" applyProtection="1">
      <alignment horizontal="center" vertical="top" wrapText="1"/>
    </xf>
    <xf numFmtId="0" fontId="47" fillId="47" borderId="9" xfId="0" applyFont="1" applyFill="1" applyBorder="1" applyAlignment="1" applyProtection="1">
      <alignment horizontal="center" wrapText="1"/>
    </xf>
    <xf numFmtId="49" fontId="9" fillId="47" borderId="147" xfId="0" applyNumberFormat="1" applyFont="1" applyFill="1" applyBorder="1" applyAlignment="1" applyProtection="1">
      <alignment vertical="center" textRotation="90" wrapText="1"/>
      <protection locked="0"/>
    </xf>
    <xf numFmtId="49" fontId="9" fillId="47" borderId="148" xfId="0" applyNumberFormat="1" applyFont="1" applyFill="1" applyBorder="1" applyAlignment="1" applyProtection="1">
      <alignment horizontal="center" textRotation="90" wrapText="1"/>
      <protection locked="0"/>
    </xf>
    <xf numFmtId="0" fontId="0" fillId="44" borderId="36" xfId="0" applyFill="1" applyBorder="1" applyAlignment="1" applyProtection="1">
      <protection locked="0"/>
    </xf>
    <xf numFmtId="165" fontId="49" fillId="45" borderId="0" xfId="19" applyNumberFormat="1" applyFont="1" applyFill="1" applyBorder="1" applyAlignment="1" applyProtection="1">
      <alignment horizontal="right" wrapText="1"/>
      <protection locked="0"/>
    </xf>
    <xf numFmtId="165" fontId="49" fillId="45" borderId="0" xfId="19" applyNumberFormat="1" applyFont="1" applyFill="1" applyBorder="1" applyAlignment="1" applyProtection="1">
      <alignment horizontal="right"/>
      <protection locked="0"/>
    </xf>
    <xf numFmtId="0" fontId="108" fillId="48" borderId="0" xfId="0" applyFont="1" applyFill="1" applyAlignment="1" applyProtection="1">
      <alignment horizontal="center"/>
      <protection locked="0"/>
    </xf>
    <xf numFmtId="0" fontId="78" fillId="36" borderId="0" xfId="0" applyFont="1" applyFill="1" applyAlignment="1" applyProtection="1">
      <alignment horizontal="center"/>
      <protection hidden="1"/>
    </xf>
    <xf numFmtId="0" fontId="84" fillId="43" borderId="37" xfId="0" applyFont="1" applyFill="1" applyBorder="1" applyAlignment="1" applyProtection="1">
      <alignment horizontal="right"/>
      <protection locked="0"/>
    </xf>
    <xf numFmtId="0" fontId="117" fillId="36" borderId="149" xfId="0" applyFont="1" applyFill="1" applyBorder="1" applyAlignment="1" applyProtection="1">
      <alignment vertical="center"/>
      <protection hidden="1"/>
    </xf>
    <xf numFmtId="0" fontId="0" fillId="0" borderId="0" xfId="0" applyAlignment="1" applyProtection="1">
      <alignment horizontal="right" vertical="distributed" shrinkToFit="1"/>
      <protection hidden="1"/>
    </xf>
    <xf numFmtId="0" fontId="0" fillId="41" borderId="0" xfId="0" applyFill="1" applyAlignment="1" applyProtection="1">
      <alignment vertical="top" readingOrder="2"/>
      <protection hidden="1"/>
    </xf>
    <xf numFmtId="0" fontId="0" fillId="41" borderId="0" xfId="0" applyFill="1" applyAlignment="1" applyProtection="1">
      <alignment vertical="top" readingOrder="1"/>
      <protection hidden="1"/>
    </xf>
    <xf numFmtId="0" fontId="0" fillId="41" borderId="0" xfId="0" applyFill="1" applyAlignment="1" applyProtection="1">
      <alignment horizontal="left" vertical="top" readingOrder="1"/>
      <protection hidden="1"/>
    </xf>
    <xf numFmtId="0" fontId="0" fillId="41" borderId="0" xfId="0" applyFill="1" applyAlignment="1" applyProtection="1">
      <alignment readingOrder="1"/>
      <protection hidden="1"/>
    </xf>
    <xf numFmtId="0" fontId="89" fillId="36" borderId="0" xfId="0" applyFont="1" applyFill="1" applyProtection="1">
      <protection hidden="1"/>
    </xf>
    <xf numFmtId="0" fontId="118" fillId="36" borderId="0" xfId="0" applyFont="1" applyFill="1" applyAlignment="1" applyProtection="1">
      <protection locked="0"/>
    </xf>
    <xf numFmtId="3" fontId="48" fillId="36" borderId="48" xfId="35" applyNumberFormat="1" applyFont="1" applyFill="1" applyBorder="1" applyAlignment="1" applyProtection="1">
      <alignment horizontal="right" vertical="center" readingOrder="2"/>
    </xf>
    <xf numFmtId="0" fontId="0" fillId="0" borderId="0" xfId="0" quotePrefix="1"/>
    <xf numFmtId="0" fontId="0" fillId="36" borderId="0" xfId="0" applyFill="1" applyAlignment="1" applyProtection="1">
      <alignment horizontal="right"/>
      <protection hidden="1"/>
    </xf>
    <xf numFmtId="0" fontId="35" fillId="36" borderId="21" xfId="0" applyFont="1" applyFill="1" applyBorder="1" applyAlignment="1" applyProtection="1">
      <alignment horizontal="left" vertical="center" readingOrder="2"/>
      <protection locked="0"/>
    </xf>
    <xf numFmtId="0" fontId="35" fillId="36" borderId="14" xfId="0" applyFont="1" applyFill="1" applyBorder="1" applyAlignment="1" applyProtection="1">
      <alignment horizontal="left" vertical="center" readingOrder="2"/>
      <protection locked="0"/>
    </xf>
    <xf numFmtId="0" fontId="35" fillId="36" borderId="36" xfId="0" applyFont="1" applyFill="1" applyBorder="1" applyAlignment="1" applyProtection="1">
      <alignment horizontal="left" vertical="center"/>
      <protection locked="0"/>
    </xf>
    <xf numFmtId="0" fontId="35" fillId="36" borderId="15" xfId="0" applyFont="1" applyFill="1" applyBorder="1" applyAlignment="1" applyProtection="1">
      <alignment horizontal="left" vertical="center"/>
      <protection locked="0"/>
    </xf>
    <xf numFmtId="0" fontId="35" fillId="36" borderId="36" xfId="0" applyFont="1" applyFill="1" applyBorder="1" applyAlignment="1" applyProtection="1">
      <alignment horizontal="left" vertical="center" readingOrder="1"/>
      <protection locked="0"/>
    </xf>
    <xf numFmtId="0" fontId="35" fillId="36" borderId="15" xfId="0" applyFont="1" applyFill="1" applyBorder="1" applyAlignment="1" applyProtection="1">
      <alignment horizontal="left" vertical="center" readingOrder="2"/>
      <protection locked="0"/>
    </xf>
    <xf numFmtId="0" fontId="35" fillId="36" borderId="36" xfId="0" applyFont="1" applyFill="1" applyBorder="1" applyAlignment="1" applyProtection="1">
      <alignment horizontal="left" vertical="center" readingOrder="2"/>
      <protection locked="0"/>
    </xf>
    <xf numFmtId="0" fontId="35" fillId="36" borderId="31" xfId="0" applyFont="1" applyFill="1" applyBorder="1" applyAlignment="1" applyProtection="1">
      <alignment horizontal="left" vertical="center"/>
      <protection locked="0"/>
    </xf>
    <xf numFmtId="0" fontId="35" fillId="36" borderId="14" xfId="0" applyFont="1" applyFill="1" applyBorder="1" applyAlignment="1" applyProtection="1">
      <alignment horizontal="left" vertical="center"/>
      <protection locked="0"/>
    </xf>
    <xf numFmtId="0" fontId="35" fillId="36" borderId="31" xfId="0" applyFont="1" applyFill="1" applyBorder="1" applyAlignment="1" applyProtection="1">
      <alignment horizontal="left" vertical="center" readingOrder="2"/>
      <protection locked="0"/>
    </xf>
    <xf numFmtId="0" fontId="35" fillId="0" borderId="59" xfId="0" applyFont="1" applyBorder="1" applyAlignment="1" applyProtection="1">
      <alignment horizontal="left"/>
      <protection locked="0"/>
    </xf>
    <xf numFmtId="0" fontId="35" fillId="0" borderId="34" xfId="0" applyFont="1" applyBorder="1" applyAlignment="1" applyProtection="1">
      <alignment horizontal="left"/>
      <protection locked="0"/>
    </xf>
    <xf numFmtId="0" fontId="35" fillId="0" borderId="63" xfId="0" applyFont="1" applyBorder="1" applyAlignment="1" applyProtection="1">
      <alignment horizontal="left"/>
      <protection locked="0"/>
    </xf>
    <xf numFmtId="0" fontId="3" fillId="49" borderId="34" xfId="0" applyFont="1" applyFill="1" applyBorder="1" applyAlignment="1" applyProtection="1">
      <alignment horizontal="left" vertical="center"/>
      <protection locked="0" hidden="1"/>
    </xf>
    <xf numFmtId="0" fontId="3" fillId="49" borderId="34" xfId="0" applyFont="1" applyFill="1" applyBorder="1" applyAlignment="1" applyProtection="1">
      <alignment horizontal="left" vertical="center" wrapText="1"/>
      <protection locked="0" hidden="1"/>
    </xf>
    <xf numFmtId="0" fontId="3" fillId="49" borderId="2" xfId="0" applyFont="1" applyFill="1" applyBorder="1" applyAlignment="1" applyProtection="1">
      <alignment horizontal="left" vertical="center"/>
      <protection locked="0" hidden="1"/>
    </xf>
    <xf numFmtId="166" fontId="3" fillId="49" borderId="34" xfId="0" applyNumberFormat="1" applyFont="1" applyFill="1" applyBorder="1" applyAlignment="1" applyProtection="1">
      <alignment horizontal="left" wrapText="1"/>
      <protection locked="0" hidden="1"/>
    </xf>
    <xf numFmtId="166" fontId="3" fillId="49" borderId="34" xfId="0" applyNumberFormat="1" applyFont="1" applyFill="1" applyBorder="1" applyAlignment="1" applyProtection="1">
      <alignment horizontal="left" vertical="center"/>
      <protection locked="0" hidden="1"/>
    </xf>
    <xf numFmtId="0" fontId="3" fillId="49" borderId="2" xfId="0" applyFont="1" applyFill="1" applyBorder="1" applyAlignment="1" applyProtection="1">
      <alignment horizontal="left"/>
      <protection locked="0" hidden="1"/>
    </xf>
    <xf numFmtId="166" fontId="3" fillId="49" borderId="34" xfId="0" applyNumberFormat="1" applyFont="1" applyFill="1" applyBorder="1" applyAlignment="1" applyProtection="1">
      <alignment horizontal="left"/>
      <protection locked="0" hidden="1"/>
    </xf>
    <xf numFmtId="166" fontId="69" fillId="0" borderId="3" xfId="0" applyNumberFormat="1" applyFont="1" applyBorder="1" applyAlignment="1" applyProtection="1">
      <alignment horizontal="left"/>
      <protection locked="0"/>
    </xf>
    <xf numFmtId="166" fontId="69" fillId="36" borderId="3" xfId="0" applyNumberFormat="1" applyFont="1" applyFill="1" applyBorder="1" applyAlignment="1" applyProtection="1">
      <alignment horizontal="left"/>
      <protection locked="0"/>
    </xf>
    <xf numFmtId="0" fontId="74" fillId="44" borderId="37" xfId="0" applyFont="1" applyFill="1" applyBorder="1" applyAlignment="1" applyProtection="1">
      <alignment horizontal="left"/>
      <protection locked="0"/>
    </xf>
    <xf numFmtId="0" fontId="119" fillId="43" borderId="15" xfId="0" applyFont="1" applyFill="1" applyBorder="1" applyAlignment="1" applyProtection="1">
      <alignment horizontal="left" readingOrder="2"/>
      <protection locked="0"/>
    </xf>
    <xf numFmtId="166" fontId="69" fillId="0" borderId="11" xfId="0" applyNumberFormat="1" applyFont="1" applyBorder="1" applyAlignment="1" applyProtection="1">
      <alignment horizontal="left"/>
      <protection locked="0"/>
    </xf>
    <xf numFmtId="164" fontId="5" fillId="0" borderId="3" xfId="19" applyNumberFormat="1" applyFont="1" applyBorder="1" applyAlignment="1" applyProtection="1">
      <alignment horizontal="left"/>
      <protection locked="0"/>
    </xf>
    <xf numFmtId="164" fontId="5" fillId="0" borderId="3" xfId="19" applyNumberFormat="1" applyFont="1" applyBorder="1" applyAlignment="1" applyProtection="1">
      <alignment horizontal="left" wrapText="1"/>
      <protection locked="0"/>
    </xf>
    <xf numFmtId="164" fontId="49" fillId="36" borderId="3" xfId="19" applyNumberFormat="1" applyFont="1" applyFill="1" applyBorder="1" applyAlignment="1" applyProtection="1">
      <alignment horizontal="left"/>
      <protection locked="0"/>
    </xf>
    <xf numFmtId="164" fontId="49" fillId="36" borderId="22" xfId="19" applyNumberFormat="1" applyFont="1" applyFill="1" applyBorder="1" applyAlignment="1" applyProtection="1">
      <alignment horizontal="left"/>
      <protection locked="0"/>
    </xf>
    <xf numFmtId="166" fontId="5" fillId="0" borderId="3" xfId="0" applyNumberFormat="1" applyFont="1" applyBorder="1" applyAlignment="1" applyProtection="1">
      <alignment horizontal="left" vertical="center" wrapText="1"/>
      <protection locked="0"/>
    </xf>
    <xf numFmtId="166" fontId="5" fillId="0" borderId="3" xfId="0" applyNumberFormat="1" applyFont="1" applyBorder="1" applyAlignment="1" applyProtection="1">
      <alignment horizontal="left"/>
      <protection locked="0"/>
    </xf>
    <xf numFmtId="166" fontId="5" fillId="36" borderId="3" xfId="0" applyNumberFormat="1" applyFont="1" applyFill="1" applyBorder="1" applyAlignment="1" applyProtection="1">
      <alignment horizontal="left" vertical="center" wrapText="1" readingOrder="2"/>
      <protection locked="0"/>
    </xf>
    <xf numFmtId="0" fontId="11" fillId="45" borderId="65" xfId="0" applyFont="1" applyFill="1" applyBorder="1" applyAlignment="1" applyProtection="1">
      <alignment horizontal="left" vertical="center"/>
      <protection locked="0"/>
    </xf>
    <xf numFmtId="166" fontId="5" fillId="0" borderId="11" xfId="0" applyNumberFormat="1" applyFont="1" applyBorder="1" applyAlignment="1" applyProtection="1">
      <alignment horizontal="left" vertical="center" wrapText="1"/>
      <protection locked="0"/>
    </xf>
    <xf numFmtId="0" fontId="5" fillId="0" borderId="15" xfId="0" applyNumberFormat="1" applyFont="1" applyBorder="1" applyAlignment="1" applyProtection="1">
      <alignment horizontal="left"/>
      <protection locked="0"/>
    </xf>
    <xf numFmtId="0" fontId="5" fillId="0" borderId="150" xfId="0" applyNumberFormat="1" applyFont="1" applyBorder="1" applyAlignment="1" applyProtection="1">
      <alignment horizontal="left"/>
      <protection locked="0"/>
    </xf>
    <xf numFmtId="0" fontId="5" fillId="0" borderId="3" xfId="0" applyFont="1" applyBorder="1" applyAlignment="1" applyProtection="1">
      <alignment horizontal="left" vertical="center" wrapText="1"/>
      <protection locked="0"/>
    </xf>
    <xf numFmtId="164" fontId="5" fillId="0" borderId="151" xfId="19" applyNumberFormat="1" applyFont="1" applyBorder="1" applyAlignment="1" applyProtection="1">
      <alignment horizontal="left"/>
      <protection locked="0"/>
    </xf>
    <xf numFmtId="166" fontId="5" fillId="0" borderId="3" xfId="0" applyNumberFormat="1" applyFont="1" applyBorder="1" applyAlignment="1" applyProtection="1">
      <alignment horizontal="left" vertical="center" wrapText="1"/>
      <protection locked="0" hidden="1"/>
    </xf>
    <xf numFmtId="166" fontId="5" fillId="0" borderId="3" xfId="0" applyNumberFormat="1" applyFont="1" applyBorder="1" applyAlignment="1" applyProtection="1">
      <alignment horizontal="left"/>
      <protection locked="0" hidden="1"/>
    </xf>
    <xf numFmtId="166" fontId="5" fillId="36" borderId="3" xfId="0" applyNumberFormat="1" applyFont="1" applyFill="1" applyBorder="1" applyAlignment="1" applyProtection="1">
      <alignment horizontal="left" vertical="center" wrapText="1" readingOrder="2"/>
      <protection locked="0" hidden="1"/>
    </xf>
    <xf numFmtId="166" fontId="5" fillId="0" borderId="11" xfId="0" applyNumberFormat="1" applyFont="1" applyBorder="1" applyAlignment="1" applyProtection="1">
      <alignment horizontal="left" vertical="center" wrapText="1"/>
      <protection locked="0" hidden="1"/>
    </xf>
    <xf numFmtId="0" fontId="5" fillId="0" borderId="15" xfId="0" applyNumberFormat="1" applyFont="1" applyBorder="1" applyAlignment="1" applyProtection="1">
      <alignment horizontal="left"/>
      <protection locked="0" hidden="1"/>
    </xf>
    <xf numFmtId="0" fontId="5" fillId="0" borderId="150" xfId="0" applyNumberFormat="1" applyFont="1" applyBorder="1" applyAlignment="1" applyProtection="1">
      <alignment horizontal="left"/>
      <protection locked="0" hidden="1"/>
    </xf>
    <xf numFmtId="0" fontId="5" fillId="0" borderId="8" xfId="0" applyFont="1" applyBorder="1" applyAlignment="1" applyProtection="1">
      <alignment horizontal="left" vertical="center" wrapText="1"/>
      <protection locked="0"/>
    </xf>
    <xf numFmtId="0" fontId="102" fillId="36" borderId="0" xfId="0" applyFont="1" applyFill="1" applyAlignment="1" applyProtection="1">
      <alignment horizontal="left" readingOrder="2"/>
      <protection hidden="1"/>
    </xf>
    <xf numFmtId="0" fontId="3" fillId="43" borderId="26" xfId="0" applyFont="1" applyFill="1" applyBorder="1" applyAlignment="1" applyProtection="1">
      <alignment horizontal="left" vertical="distributed" shrinkToFit="1"/>
      <protection locked="0"/>
    </xf>
    <xf numFmtId="0" fontId="78" fillId="36" borderId="0" xfId="0" applyFont="1" applyFill="1" applyAlignment="1" applyProtection="1">
      <alignment horizontal="left"/>
      <protection locked="0"/>
    </xf>
    <xf numFmtId="0" fontId="78" fillId="0" borderId="0" xfId="0" applyFont="1" applyAlignment="1" applyProtection="1">
      <alignment horizontal="left"/>
      <protection locked="0"/>
    </xf>
    <xf numFmtId="0" fontId="116" fillId="0" borderId="0" xfId="0" applyFont="1" applyAlignment="1" applyProtection="1">
      <alignment horizontal="left"/>
      <protection locked="0"/>
    </xf>
    <xf numFmtId="0" fontId="78" fillId="36" borderId="0" xfId="0" applyFont="1" applyFill="1" applyAlignment="1" applyProtection="1">
      <alignment horizontal="left" readingOrder="2"/>
      <protection locked="0"/>
    </xf>
    <xf numFmtId="0" fontId="116" fillId="36" borderId="0" xfId="0" applyFont="1" applyFill="1" applyAlignment="1" applyProtection="1">
      <alignment horizontal="left" readingOrder="2"/>
      <protection locked="0"/>
    </xf>
    <xf numFmtId="0" fontId="74" fillId="36" borderId="0" xfId="0" applyFont="1" applyFill="1" applyAlignment="1" applyProtection="1">
      <alignment horizontal="left"/>
      <protection locked="0"/>
    </xf>
    <xf numFmtId="0" fontId="0" fillId="36" borderId="0" xfId="0" applyFill="1" applyAlignment="1" applyProtection="1">
      <alignment horizontal="left"/>
      <protection locked="0"/>
    </xf>
    <xf numFmtId="0" fontId="0" fillId="36" borderId="0" xfId="0" applyFill="1" applyAlignment="1" applyProtection="1">
      <alignment horizontal="left" readingOrder="1"/>
      <protection locked="0"/>
    </xf>
    <xf numFmtId="0" fontId="0" fillId="36" borderId="106" xfId="0" applyFill="1" applyBorder="1" applyAlignment="1" applyProtection="1">
      <alignment horizontal="left"/>
      <protection locked="0"/>
    </xf>
    <xf numFmtId="0" fontId="74" fillId="36" borderId="106" xfId="0" applyFont="1" applyFill="1" applyBorder="1" applyAlignment="1" applyProtection="1">
      <alignment horizontal="left" vertical="center" readingOrder="2"/>
      <protection locked="0"/>
    </xf>
    <xf numFmtId="0" fontId="78" fillId="36" borderId="0" xfId="0" applyFont="1" applyFill="1" applyAlignment="1" applyProtection="1">
      <alignment horizontal="left" vertical="center" readingOrder="1"/>
      <protection locked="0"/>
    </xf>
    <xf numFmtId="0" fontId="17" fillId="36" borderId="0" xfId="23" applyFont="1" applyFill="1" applyBorder="1" applyAlignment="1" applyProtection="1">
      <alignment horizontal="left"/>
      <protection hidden="1"/>
    </xf>
    <xf numFmtId="0" fontId="20" fillId="49" borderId="25" xfId="23" applyFont="1" applyFill="1" applyBorder="1" applyAlignment="1" applyProtection="1">
      <alignment horizontal="left" vertical="center"/>
      <protection hidden="1"/>
    </xf>
    <xf numFmtId="0" fontId="20" fillId="49" borderId="25" xfId="23" applyFont="1" applyFill="1" applyBorder="1" applyAlignment="1" applyProtection="1">
      <alignment horizontal="left" vertical="center" readingOrder="2"/>
      <protection hidden="1"/>
    </xf>
    <xf numFmtId="0" fontId="73" fillId="49" borderId="25" xfId="23" applyFont="1" applyFill="1" applyBorder="1" applyAlignment="1" applyProtection="1">
      <alignment horizontal="left"/>
      <protection hidden="1"/>
    </xf>
    <xf numFmtId="0" fontId="73" fillId="49" borderId="33" xfId="23" applyFont="1" applyFill="1" applyBorder="1" applyAlignment="1" applyProtection="1">
      <alignment horizontal="left"/>
      <protection hidden="1"/>
    </xf>
    <xf numFmtId="0" fontId="0" fillId="36" borderId="152" xfId="0" applyFill="1" applyBorder="1" applyAlignment="1" applyProtection="1">
      <alignment horizontal="right" vertical="center"/>
      <protection hidden="1"/>
    </xf>
    <xf numFmtId="0" fontId="74" fillId="36" borderId="0" xfId="0" applyFont="1" applyFill="1" applyAlignment="1" applyProtection="1">
      <alignment horizontal="right"/>
      <protection hidden="1"/>
    </xf>
    <xf numFmtId="0" fontId="0" fillId="36" borderId="55" xfId="0" applyFill="1" applyBorder="1" applyAlignment="1" applyProtection="1">
      <alignment horizontal="right"/>
      <protection hidden="1"/>
    </xf>
    <xf numFmtId="0" fontId="102" fillId="36" borderId="0" xfId="0" applyFont="1" applyFill="1" applyAlignment="1" applyProtection="1">
      <alignment horizontal="right" readingOrder="2"/>
      <protection hidden="1"/>
    </xf>
    <xf numFmtId="0" fontId="120" fillId="36" borderId="0" xfId="35" applyFont="1" applyFill="1" applyAlignment="1" applyProtection="1">
      <alignment horizontal="left" readingOrder="2"/>
      <protection hidden="1"/>
    </xf>
    <xf numFmtId="166" fontId="3" fillId="49" borderId="34" xfId="0" applyNumberFormat="1" applyFont="1" applyFill="1" applyBorder="1" applyAlignment="1" applyProtection="1">
      <alignment horizontal="left" vertical="center" wrapText="1"/>
      <protection locked="0" hidden="1"/>
    </xf>
    <xf numFmtId="166" fontId="3" fillId="49" borderId="63" xfId="0" applyNumberFormat="1" applyFont="1" applyFill="1" applyBorder="1" applyAlignment="1" applyProtection="1">
      <alignment horizontal="left" vertical="center" wrapText="1"/>
      <protection locked="0" hidden="1"/>
    </xf>
    <xf numFmtId="166" fontId="12" fillId="49" borderId="34" xfId="0" applyNumberFormat="1" applyFont="1" applyFill="1" applyBorder="1" applyAlignment="1" applyProtection="1">
      <alignment horizontal="left" vertical="center"/>
      <protection locked="0" hidden="1"/>
    </xf>
    <xf numFmtId="166" fontId="12" fillId="49" borderId="34" xfId="0" applyNumberFormat="1" applyFont="1" applyFill="1" applyBorder="1" applyAlignment="1" applyProtection="1">
      <alignment horizontal="left" vertical="center" readingOrder="2"/>
      <protection locked="0" hidden="1"/>
    </xf>
    <xf numFmtId="166" fontId="12" fillId="49" borderId="2" xfId="0" applyNumberFormat="1" applyFont="1" applyFill="1" applyBorder="1" applyAlignment="1" applyProtection="1">
      <alignment horizontal="left" vertical="center"/>
      <protection locked="0" hidden="1"/>
    </xf>
    <xf numFmtId="166" fontId="12" fillId="49" borderId="2" xfId="0" applyNumberFormat="1" applyFont="1" applyFill="1" applyBorder="1" applyAlignment="1" applyProtection="1">
      <alignment horizontal="left" vertical="center" readingOrder="2"/>
      <protection locked="0" hidden="1"/>
    </xf>
    <xf numFmtId="0" fontId="74" fillId="62" borderId="51" xfId="0" applyFont="1" applyFill="1" applyBorder="1" applyAlignment="1" applyProtection="1">
      <alignment horizontal="left"/>
      <protection hidden="1"/>
    </xf>
    <xf numFmtId="0" fontId="74" fillId="62" borderId="49" xfId="0" applyFont="1" applyFill="1" applyBorder="1" applyAlignment="1" applyProtection="1">
      <alignment horizontal="left"/>
      <protection hidden="1"/>
    </xf>
    <xf numFmtId="0" fontId="0" fillId="62" borderId="6" xfId="0" applyFill="1" applyBorder="1" applyAlignment="1" applyProtection="1">
      <alignment horizontal="left"/>
      <protection hidden="1"/>
    </xf>
    <xf numFmtId="0" fontId="0" fillId="62" borderId="0" xfId="0" applyFill="1" applyBorder="1" applyAlignment="1" applyProtection="1">
      <alignment horizontal="left"/>
      <protection hidden="1"/>
    </xf>
    <xf numFmtId="0" fontId="0" fillId="62" borderId="53" xfId="0" applyFill="1" applyBorder="1" applyAlignment="1" applyProtection="1">
      <alignment horizontal="left"/>
      <protection hidden="1"/>
    </xf>
    <xf numFmtId="0" fontId="0" fillId="62" borderId="48" xfId="0" applyFill="1" applyBorder="1" applyAlignment="1" applyProtection="1">
      <alignment horizontal="left"/>
      <protection hidden="1"/>
    </xf>
    <xf numFmtId="0" fontId="70" fillId="0" borderId="44" xfId="0" applyFont="1" applyBorder="1" applyAlignment="1" applyProtection="1">
      <protection locked="0"/>
    </xf>
    <xf numFmtId="0" fontId="70" fillId="0" borderId="5" xfId="0" applyFont="1" applyBorder="1" applyAlignment="1" applyProtection="1">
      <protection locked="0"/>
    </xf>
    <xf numFmtId="0" fontId="3" fillId="44" borderId="20" xfId="0" applyFont="1" applyFill="1" applyBorder="1" applyAlignment="1" applyProtection="1">
      <alignment horizontal="left"/>
      <protection locked="0"/>
    </xf>
    <xf numFmtId="0" fontId="0" fillId="41" borderId="0" xfId="0" applyFill="1" applyAlignment="1" applyProtection="1">
      <alignment horizontal="right" vertical="top" readingOrder="2"/>
      <protection hidden="1"/>
    </xf>
    <xf numFmtId="164" fontId="84" fillId="41" borderId="0" xfId="19" applyNumberFormat="1" applyFont="1" applyFill="1" applyBorder="1" applyAlignment="1" applyProtection="1">
      <alignment vertical="center"/>
      <protection hidden="1"/>
    </xf>
    <xf numFmtId="164" fontId="84" fillId="42" borderId="0" xfId="19" applyNumberFormat="1" applyFont="1" applyFill="1" applyBorder="1" applyAlignment="1" applyProtection="1">
      <alignment vertical="center"/>
      <protection hidden="1"/>
    </xf>
    <xf numFmtId="0" fontId="0" fillId="42" borderId="0" xfId="0" applyFill="1" applyAlignment="1" applyProtection="1">
      <alignment horizontal="right" vertical="top" readingOrder="2"/>
      <protection hidden="1"/>
    </xf>
    <xf numFmtId="0" fontId="94" fillId="41" borderId="0" xfId="0" applyFont="1" applyFill="1" applyProtection="1">
      <protection hidden="1"/>
    </xf>
    <xf numFmtId="0" fontId="0" fillId="41" borderId="0" xfId="0" applyFill="1" applyProtection="1">
      <protection hidden="1"/>
    </xf>
    <xf numFmtId="0" fontId="102" fillId="41" borderId="0" xfId="0" applyFont="1" applyFill="1" applyAlignment="1" applyProtection="1">
      <alignment horizontal="left" readingOrder="2"/>
      <protection hidden="1"/>
    </xf>
    <xf numFmtId="0" fontId="121" fillId="41" borderId="0" xfId="0" applyFont="1" applyFill="1" applyAlignment="1" applyProtection="1">
      <alignment vertical="top" wrapText="1"/>
      <protection hidden="1"/>
    </xf>
    <xf numFmtId="0" fontId="0" fillId="65" borderId="0" xfId="0" applyFill="1" applyAlignment="1" applyProtection="1">
      <alignment horizontal="right" vertical="top" readingOrder="2"/>
      <protection hidden="1"/>
    </xf>
    <xf numFmtId="0" fontId="0" fillId="65" borderId="0" xfId="0" applyFill="1" applyAlignment="1" applyProtection="1">
      <alignment horizontal="right" readingOrder="2"/>
      <protection hidden="1"/>
    </xf>
    <xf numFmtId="0" fontId="0" fillId="65" borderId="0" xfId="0" applyFill="1" applyProtection="1">
      <protection hidden="1"/>
    </xf>
    <xf numFmtId="49" fontId="0" fillId="65" borderId="0" xfId="0" applyNumberFormat="1" applyFill="1" applyProtection="1">
      <protection hidden="1"/>
    </xf>
    <xf numFmtId="49" fontId="0" fillId="65" borderId="0" xfId="0" applyNumberFormat="1" applyFill="1" applyAlignment="1" applyProtection="1">
      <alignment horizontal="right" vertical="top" readingOrder="2"/>
      <protection hidden="1"/>
    </xf>
    <xf numFmtId="49" fontId="0" fillId="65" borderId="0" xfId="0" applyNumberFormat="1" applyFill="1" applyAlignment="1" applyProtection="1">
      <alignment horizontal="right" readingOrder="2"/>
      <protection hidden="1"/>
    </xf>
    <xf numFmtId="0" fontId="94" fillId="65" borderId="0" xfId="0" applyFont="1" applyFill="1" applyProtection="1">
      <protection hidden="1"/>
    </xf>
    <xf numFmtId="164" fontId="84" fillId="41" borderId="168" xfId="19" applyNumberFormat="1" applyFont="1" applyFill="1" applyBorder="1" applyAlignment="1" applyProtection="1">
      <alignment vertical="center"/>
      <protection hidden="1"/>
    </xf>
    <xf numFmtId="0" fontId="0" fillId="41" borderId="169" xfId="0" applyFill="1" applyBorder="1" applyAlignment="1" applyProtection="1">
      <alignment horizontal="right" vertical="top" readingOrder="2"/>
      <protection hidden="1"/>
    </xf>
    <xf numFmtId="164" fontId="84" fillId="41" borderId="170" xfId="19" applyNumberFormat="1" applyFont="1" applyFill="1" applyBorder="1" applyAlignment="1" applyProtection="1">
      <alignment vertical="center"/>
      <protection hidden="1"/>
    </xf>
    <xf numFmtId="0" fontId="1" fillId="41" borderId="0" xfId="0" applyFont="1" applyFill="1" applyAlignment="1" applyProtection="1">
      <alignment horizontal="left" vertical="top"/>
      <protection hidden="1"/>
    </xf>
    <xf numFmtId="0" fontId="29" fillId="0" borderId="3" xfId="24" applyFont="1" applyFill="1" applyBorder="1" applyAlignment="1" applyProtection="1">
      <alignment horizontal="left"/>
      <protection locked="0"/>
    </xf>
    <xf numFmtId="0" fontId="29" fillId="0" borderId="3" xfId="24" applyFont="1" applyFill="1" applyBorder="1" applyAlignment="1" applyProtection="1">
      <alignment horizontal="left" vertical="center"/>
      <protection locked="0"/>
    </xf>
    <xf numFmtId="0" fontId="29" fillId="0" borderId="37" xfId="24" applyFont="1" applyFill="1" applyBorder="1" applyAlignment="1" applyProtection="1">
      <alignment horizontal="left" vertical="center"/>
      <protection locked="0"/>
    </xf>
    <xf numFmtId="0" fontId="29" fillId="0" borderId="15" xfId="24" applyFont="1" applyFill="1" applyBorder="1" applyAlignment="1" applyProtection="1">
      <alignment horizontal="left" vertical="center"/>
      <protection locked="0"/>
    </xf>
    <xf numFmtId="0" fontId="122" fillId="51" borderId="0" xfId="0" applyFont="1" applyFill="1" applyBorder="1" applyAlignment="1">
      <alignment horizontal="center"/>
    </xf>
    <xf numFmtId="0" fontId="29" fillId="0" borderId="3" xfId="24" applyFont="1" applyFill="1" applyBorder="1" applyAlignment="1" applyProtection="1">
      <alignment horizontal="left" vertical="center"/>
      <protection locked="0" hidden="1"/>
    </xf>
    <xf numFmtId="0" fontId="26" fillId="0" borderId="3" xfId="24" applyFont="1" applyBorder="1" applyAlignment="1" applyProtection="1">
      <alignment horizontal="left"/>
      <protection locked="0"/>
    </xf>
    <xf numFmtId="0" fontId="45" fillId="50" borderId="37" xfId="24" applyFont="1" applyFill="1" applyBorder="1" applyAlignment="1" applyProtection="1">
      <alignment horizontal="center"/>
      <protection hidden="1"/>
    </xf>
    <xf numFmtId="0" fontId="45" fillId="50" borderId="36" xfId="24" applyFont="1" applyFill="1" applyBorder="1" applyAlignment="1" applyProtection="1">
      <alignment horizontal="center"/>
      <protection hidden="1"/>
    </xf>
    <xf numFmtId="0" fontId="45" fillId="50" borderId="15" xfId="24" applyFont="1" applyFill="1" applyBorder="1" applyAlignment="1" applyProtection="1">
      <alignment horizontal="center"/>
      <protection hidden="1"/>
    </xf>
    <xf numFmtId="0" fontId="45" fillId="50" borderId="3" xfId="24" applyFont="1" applyFill="1" applyBorder="1" applyAlignment="1" applyProtection="1">
      <alignment horizontal="center"/>
      <protection hidden="1"/>
    </xf>
    <xf numFmtId="0" fontId="45" fillId="43" borderId="3" xfId="24" applyFont="1" applyFill="1" applyBorder="1" applyAlignment="1" applyProtection="1">
      <alignment horizontal="center" vertical="center"/>
      <protection hidden="1"/>
    </xf>
    <xf numFmtId="0" fontId="27" fillId="0" borderId="3" xfId="24" applyFont="1" applyFill="1" applyBorder="1" applyAlignment="1" applyProtection="1">
      <alignment horizontal="right" vertical="center"/>
      <protection hidden="1"/>
    </xf>
    <xf numFmtId="0" fontId="27" fillId="50" borderId="37" xfId="24" applyFont="1" applyFill="1" applyBorder="1" applyAlignment="1" applyProtection="1">
      <alignment horizontal="right" vertical="center"/>
      <protection hidden="1"/>
    </xf>
    <xf numFmtId="0" fontId="27" fillId="50" borderId="36" xfId="24" applyFont="1" applyFill="1" applyBorder="1" applyAlignment="1" applyProtection="1">
      <alignment horizontal="right" vertical="center"/>
      <protection hidden="1"/>
    </xf>
    <xf numFmtId="0" fontId="27" fillId="50" borderId="15" xfId="24" applyFont="1" applyFill="1" applyBorder="1" applyAlignment="1" applyProtection="1">
      <alignment horizontal="right" vertical="center"/>
      <protection hidden="1"/>
    </xf>
    <xf numFmtId="0" fontId="29" fillId="0" borderId="37" xfId="24" applyFont="1" applyFill="1" applyBorder="1" applyAlignment="1" applyProtection="1">
      <alignment horizontal="left"/>
      <protection locked="0"/>
    </xf>
    <xf numFmtId="0" fontId="29" fillId="0" borderId="15" xfId="24" applyFont="1" applyFill="1" applyBorder="1" applyAlignment="1" applyProtection="1">
      <alignment horizontal="left"/>
      <protection locked="0"/>
    </xf>
    <xf numFmtId="0" fontId="37" fillId="44" borderId="20" xfId="0" applyFont="1" applyFill="1" applyBorder="1" applyAlignment="1">
      <alignment horizontal="center" vertical="center" textRotation="255" wrapText="1"/>
    </xf>
    <xf numFmtId="0" fontId="37" fillId="44" borderId="61" xfId="0" applyFont="1" applyFill="1" applyBorder="1" applyAlignment="1">
      <alignment horizontal="center" vertical="center" textRotation="255"/>
    </xf>
    <xf numFmtId="0" fontId="37" fillId="44" borderId="42" xfId="0" applyFont="1" applyFill="1" applyBorder="1" applyAlignment="1">
      <alignment horizontal="center" vertical="center" textRotation="255"/>
    </xf>
    <xf numFmtId="0" fontId="37" fillId="47" borderId="20" xfId="0" applyFont="1" applyFill="1" applyBorder="1" applyAlignment="1">
      <alignment horizontal="center" vertical="center" textRotation="255" wrapText="1"/>
    </xf>
    <xf numFmtId="0" fontId="37" fillId="47" borderId="61" xfId="0" applyFont="1" applyFill="1" applyBorder="1" applyAlignment="1">
      <alignment horizontal="center" vertical="center" textRotation="255"/>
    </xf>
    <xf numFmtId="0" fontId="37" fillId="47" borderId="42" xfId="0" applyFont="1" applyFill="1" applyBorder="1" applyAlignment="1">
      <alignment horizontal="center" vertical="center" textRotation="255"/>
    </xf>
    <xf numFmtId="0" fontId="37" fillId="43" borderId="20" xfId="0" applyFont="1" applyFill="1" applyBorder="1" applyAlignment="1">
      <alignment horizontal="center" vertical="center" textRotation="255" wrapText="1" readingOrder="2"/>
    </xf>
    <xf numFmtId="0" fontId="37" fillId="43" borderId="61" xfId="0" applyFont="1" applyFill="1" applyBorder="1" applyAlignment="1">
      <alignment horizontal="center" vertical="center" textRotation="255" wrapText="1" readingOrder="2"/>
    </xf>
    <xf numFmtId="0" fontId="37" fillId="43" borderId="42" xfId="0" applyFont="1" applyFill="1" applyBorder="1" applyAlignment="1">
      <alignment horizontal="center" vertical="center" textRotation="255" wrapText="1" readingOrder="2"/>
    </xf>
    <xf numFmtId="0" fontId="16" fillId="2" borderId="0" xfId="0" applyFont="1" applyFill="1" applyBorder="1" applyAlignment="1">
      <alignment horizontal="center"/>
    </xf>
    <xf numFmtId="0" fontId="16" fillId="2" borderId="48" xfId="0" applyFont="1" applyFill="1" applyBorder="1" applyAlignment="1">
      <alignment horizontal="center"/>
    </xf>
    <xf numFmtId="0" fontId="15" fillId="45" borderId="51" xfId="0" applyFont="1" applyFill="1" applyBorder="1" applyAlignment="1">
      <alignment horizontal="center" vertical="center"/>
    </xf>
    <xf numFmtId="0" fontId="15" fillId="45" borderId="49" xfId="0" applyFont="1" applyFill="1" applyBorder="1" applyAlignment="1">
      <alignment horizontal="center" vertical="center"/>
    </xf>
    <xf numFmtId="0" fontId="15" fillId="45" borderId="53" xfId="0" applyFont="1" applyFill="1" applyBorder="1" applyAlignment="1">
      <alignment horizontal="center" vertical="center"/>
    </xf>
    <xf numFmtId="0" fontId="15" fillId="45" borderId="48" xfId="0" applyFont="1" applyFill="1" applyBorder="1" applyAlignment="1">
      <alignment horizontal="center" vertical="center"/>
    </xf>
    <xf numFmtId="0" fontId="26" fillId="0" borderId="37" xfId="24" applyFont="1" applyBorder="1" applyAlignment="1">
      <alignment horizontal="right"/>
    </xf>
    <xf numFmtId="0" fontId="26" fillId="0" borderId="15" xfId="24" applyFont="1" applyBorder="1" applyAlignment="1">
      <alignment horizontal="right"/>
    </xf>
    <xf numFmtId="165" fontId="86" fillId="37" borderId="22" xfId="20" applyNumberFormat="1" applyFont="1" applyFill="1" applyBorder="1" applyAlignment="1" applyProtection="1">
      <alignment horizontal="right" vertical="center"/>
      <protection hidden="1"/>
    </xf>
    <xf numFmtId="165" fontId="86" fillId="37" borderId="8" xfId="20" applyNumberFormat="1" applyFont="1" applyFill="1" applyBorder="1" applyAlignment="1" applyProtection="1">
      <alignment horizontal="right" vertical="center"/>
      <protection hidden="1"/>
    </xf>
    <xf numFmtId="0" fontId="30" fillId="50" borderId="37" xfId="24" applyFont="1" applyFill="1" applyBorder="1" applyAlignment="1" applyProtection="1">
      <alignment horizontal="right" vertical="center"/>
      <protection hidden="1"/>
    </xf>
    <xf numFmtId="0" fontId="30" fillId="50" borderId="36" xfId="24" applyFont="1" applyFill="1" applyBorder="1" applyAlignment="1" applyProtection="1">
      <alignment horizontal="right" vertical="center"/>
      <protection hidden="1"/>
    </xf>
    <xf numFmtId="0" fontId="30" fillId="50" borderId="15" xfId="24" applyFont="1" applyFill="1" applyBorder="1" applyAlignment="1" applyProtection="1">
      <alignment horizontal="right" vertical="center"/>
      <protection hidden="1"/>
    </xf>
    <xf numFmtId="0" fontId="45" fillId="43" borderId="37" xfId="24" applyFont="1" applyFill="1" applyBorder="1" applyAlignment="1" applyProtection="1">
      <alignment horizontal="center" vertical="center"/>
      <protection hidden="1"/>
    </xf>
    <xf numFmtId="0" fontId="45" fillId="43" borderId="36" xfId="24" applyFont="1" applyFill="1" applyBorder="1" applyAlignment="1" applyProtection="1">
      <alignment horizontal="center" vertical="center"/>
      <protection hidden="1"/>
    </xf>
    <xf numFmtId="0" fontId="45" fillId="43" borderId="15" xfId="24" applyFont="1" applyFill="1" applyBorder="1" applyAlignment="1" applyProtection="1">
      <alignment horizontal="center" vertical="center"/>
      <protection hidden="1"/>
    </xf>
    <xf numFmtId="0" fontId="29" fillId="0" borderId="45" xfId="24" applyFont="1" applyFill="1" applyBorder="1" applyAlignment="1" applyProtection="1">
      <alignment horizontal="left" vertical="center" wrapText="1"/>
      <protection locked="0"/>
    </xf>
    <xf numFmtId="0" fontId="29" fillId="0" borderId="28" xfId="24" applyFont="1" applyFill="1" applyBorder="1" applyAlignment="1" applyProtection="1">
      <alignment horizontal="left" vertical="center" wrapText="1"/>
      <protection locked="0"/>
    </xf>
    <xf numFmtId="0" fontId="29" fillId="0" borderId="43" xfId="24" applyFont="1" applyFill="1" applyBorder="1" applyAlignment="1" applyProtection="1">
      <alignment horizontal="left" vertical="center" wrapText="1"/>
      <protection locked="0"/>
    </xf>
    <xf numFmtId="0" fontId="29" fillId="0" borderId="27" xfId="24" applyFont="1" applyFill="1" applyBorder="1" applyAlignment="1" applyProtection="1">
      <alignment horizontal="left" vertical="center" wrapText="1"/>
      <protection locked="0"/>
    </xf>
    <xf numFmtId="165" fontId="86" fillId="0" borderId="22" xfId="20" applyNumberFormat="1" applyFont="1" applyFill="1" applyBorder="1" applyAlignment="1" applyProtection="1">
      <alignment horizontal="right" vertical="center"/>
      <protection locked="0"/>
    </xf>
    <xf numFmtId="165" fontId="86" fillId="0" borderId="8" xfId="20" applyNumberFormat="1" applyFont="1" applyFill="1" applyBorder="1" applyAlignment="1" applyProtection="1">
      <alignment horizontal="right" vertical="center"/>
      <protection locked="0"/>
    </xf>
    <xf numFmtId="0" fontId="27" fillId="43" borderId="37" xfId="24" applyFont="1" applyFill="1" applyBorder="1" applyAlignment="1" applyProtection="1">
      <alignment horizontal="right" vertical="center"/>
      <protection hidden="1"/>
    </xf>
    <xf numFmtId="0" fontId="27" fillId="43" borderId="15" xfId="24" applyFont="1" applyFill="1" applyBorder="1" applyAlignment="1" applyProtection="1">
      <alignment horizontal="right" vertical="center"/>
      <protection hidden="1"/>
    </xf>
    <xf numFmtId="0" fontId="27" fillId="0" borderId="3" xfId="24" applyFont="1" applyFill="1" applyBorder="1" applyAlignment="1" applyProtection="1">
      <alignment horizontal="left" vertical="center" wrapText="1"/>
      <protection locked="0"/>
    </xf>
    <xf numFmtId="0" fontId="28" fillId="0" borderId="3" xfId="24" applyFont="1" applyFill="1" applyBorder="1" applyAlignment="1" applyProtection="1">
      <alignment horizontal="left" vertical="center" wrapText="1"/>
      <protection locked="0"/>
    </xf>
    <xf numFmtId="165" fontId="29" fillId="0" borderId="3" xfId="20" applyNumberFormat="1" applyFont="1" applyFill="1" applyBorder="1" applyAlignment="1" applyProtection="1">
      <alignment horizontal="right" wrapText="1"/>
      <protection locked="0"/>
    </xf>
    <xf numFmtId="165" fontId="29" fillId="37" borderId="22" xfId="20" applyNumberFormat="1" applyFont="1" applyFill="1" applyBorder="1" applyAlignment="1" applyProtection="1">
      <alignment wrapText="1"/>
      <protection hidden="1"/>
    </xf>
    <xf numFmtId="165" fontId="29" fillId="37" borderId="8" xfId="20" applyNumberFormat="1" applyFont="1" applyFill="1" applyBorder="1" applyAlignment="1" applyProtection="1">
      <alignment wrapText="1"/>
      <protection hidden="1"/>
    </xf>
    <xf numFmtId="0" fontId="45" fillId="50" borderId="3" xfId="24" applyFont="1" applyFill="1" applyBorder="1" applyAlignment="1" applyProtection="1">
      <alignment horizontal="center" vertical="center"/>
      <protection hidden="1"/>
    </xf>
    <xf numFmtId="0" fontId="15" fillId="36" borderId="0" xfId="0" applyFont="1" applyFill="1" applyAlignment="1" applyProtection="1">
      <alignment horizontal="center" vertical="center" wrapText="1" readingOrder="2"/>
      <protection hidden="1"/>
    </xf>
    <xf numFmtId="0" fontId="15" fillId="36" borderId="48" xfId="0" applyFont="1" applyFill="1" applyBorder="1" applyAlignment="1" applyProtection="1">
      <alignment horizontal="center" vertical="center" wrapText="1" readingOrder="2"/>
      <protection hidden="1"/>
    </xf>
    <xf numFmtId="0" fontId="122" fillId="0" borderId="48" xfId="0" applyFont="1" applyFill="1" applyBorder="1" applyAlignment="1">
      <alignment horizontal="center"/>
    </xf>
    <xf numFmtId="0" fontId="123" fillId="0" borderId="48" xfId="0" applyFont="1" applyFill="1" applyBorder="1" applyAlignment="1">
      <alignment horizontal="center"/>
    </xf>
    <xf numFmtId="0" fontId="33" fillId="45" borderId="14" xfId="0" applyFont="1" applyFill="1" applyBorder="1" applyAlignment="1">
      <alignment horizontal="center" vertical="center"/>
    </xf>
    <xf numFmtId="0" fontId="33" fillId="45" borderId="10" xfId="0" applyFont="1" applyFill="1" applyBorder="1" applyAlignment="1">
      <alignment horizontal="center" vertical="center"/>
    </xf>
    <xf numFmtId="0" fontId="15" fillId="45" borderId="26" xfId="0" applyFont="1" applyFill="1" applyBorder="1" applyAlignment="1">
      <alignment horizontal="center" vertical="center" wrapText="1" readingOrder="2"/>
    </xf>
    <xf numFmtId="0" fontId="15" fillId="45" borderId="9" xfId="0" applyFont="1" applyFill="1" applyBorder="1" applyAlignment="1">
      <alignment horizontal="center" vertical="center" wrapText="1" readingOrder="2"/>
    </xf>
    <xf numFmtId="0" fontId="33" fillId="45" borderId="31" xfId="0" applyFont="1" applyFill="1" applyBorder="1" applyAlignment="1">
      <alignment horizontal="center"/>
    </xf>
    <xf numFmtId="0" fontId="33" fillId="45" borderId="32" xfId="0" applyFont="1" applyFill="1" applyBorder="1" applyAlignment="1">
      <alignment horizontal="center"/>
    </xf>
    <xf numFmtId="0" fontId="28" fillId="0" borderId="3" xfId="24" applyFont="1" applyFill="1" applyBorder="1" applyAlignment="1" applyProtection="1">
      <alignment horizontal="left" vertical="center"/>
      <protection locked="0"/>
    </xf>
    <xf numFmtId="0" fontId="26" fillId="0" borderId="37" xfId="24" applyFont="1" applyBorder="1" applyAlignment="1">
      <alignment horizontal="center"/>
    </xf>
    <xf numFmtId="0" fontId="26" fillId="0" borderId="15" xfId="24" applyFont="1" applyBorder="1" applyAlignment="1">
      <alignment horizontal="center"/>
    </xf>
    <xf numFmtId="0" fontId="26" fillId="0" borderId="3" xfId="24" applyFont="1" applyBorder="1" applyAlignment="1">
      <alignment horizontal="right"/>
    </xf>
    <xf numFmtId="0" fontId="26" fillId="0" borderId="3" xfId="24" applyFont="1" applyFill="1" applyBorder="1" applyAlignment="1" applyProtection="1">
      <alignment horizontal="center"/>
      <protection locked="0" hidden="1"/>
    </xf>
    <xf numFmtId="0" fontId="27" fillId="0" borderId="37" xfId="24" applyFont="1" applyFill="1" applyBorder="1" applyAlignment="1" applyProtection="1">
      <alignment horizontal="right"/>
      <protection hidden="1"/>
    </xf>
    <xf numFmtId="0" fontId="27" fillId="0" borderId="15" xfId="24" applyFont="1" applyFill="1" applyBorder="1" applyAlignment="1" applyProtection="1">
      <alignment horizontal="right"/>
      <protection hidden="1"/>
    </xf>
    <xf numFmtId="165" fontId="26" fillId="37" borderId="22" xfId="20" applyNumberFormat="1" applyFont="1" applyFill="1" applyBorder="1" applyAlignment="1" applyProtection="1">
      <protection hidden="1"/>
    </xf>
    <xf numFmtId="165" fontId="26" fillId="37" borderId="8" xfId="20" applyNumberFormat="1" applyFont="1" applyFill="1" applyBorder="1" applyAlignment="1" applyProtection="1">
      <protection hidden="1"/>
    </xf>
    <xf numFmtId="0" fontId="27" fillId="2" borderId="3" xfId="24" applyFont="1" applyFill="1" applyBorder="1" applyAlignment="1" applyProtection="1">
      <alignment horizontal="left" vertical="center"/>
      <protection locked="0"/>
    </xf>
    <xf numFmtId="165" fontId="29" fillId="0" borderId="3" xfId="20" applyNumberFormat="1" applyFont="1" applyFill="1" applyBorder="1" applyAlignment="1" applyProtection="1">
      <alignment horizontal="right"/>
      <protection locked="0"/>
    </xf>
    <xf numFmtId="165" fontId="29" fillId="37" borderId="22" xfId="20" applyNumberFormat="1" applyFont="1" applyFill="1" applyBorder="1" applyAlignment="1" applyProtection="1">
      <protection hidden="1"/>
    </xf>
    <xf numFmtId="165" fontId="29" fillId="37" borderId="8" xfId="20" applyNumberFormat="1" applyFont="1" applyFill="1" applyBorder="1" applyAlignment="1" applyProtection="1">
      <protection hidden="1"/>
    </xf>
    <xf numFmtId="0" fontId="33" fillId="46" borderId="38" xfId="0" applyFont="1" applyFill="1" applyBorder="1" applyAlignment="1">
      <alignment horizontal="center"/>
    </xf>
    <xf numFmtId="0" fontId="33" fillId="46" borderId="12" xfId="0" applyFont="1" applyFill="1" applyBorder="1" applyAlignment="1">
      <alignment horizontal="center"/>
    </xf>
    <xf numFmtId="0" fontId="27" fillId="0" borderId="3" xfId="24" applyFont="1" applyFill="1" applyBorder="1" applyAlignment="1" applyProtection="1">
      <alignment horizontal="left"/>
      <protection locked="0" hidden="1"/>
    </xf>
    <xf numFmtId="0" fontId="27" fillId="43" borderId="3" xfId="24" applyFont="1" applyFill="1" applyBorder="1" applyAlignment="1" applyProtection="1">
      <alignment horizontal="right" vertical="center"/>
      <protection hidden="1"/>
    </xf>
    <xf numFmtId="0" fontId="15" fillId="36" borderId="0" xfId="0" applyFont="1" applyFill="1" applyBorder="1" applyAlignment="1">
      <alignment horizontal="center" vertical="center"/>
    </xf>
    <xf numFmtId="0" fontId="27" fillId="0" borderId="3" xfId="24" applyFont="1" applyFill="1" applyBorder="1" applyAlignment="1" applyProtection="1">
      <alignment horizontal="left"/>
      <protection locked="0"/>
    </xf>
    <xf numFmtId="0" fontId="28" fillId="0" borderId="3" xfId="24" applyFont="1" applyFill="1" applyBorder="1" applyAlignment="1" applyProtection="1">
      <alignment horizontal="left"/>
      <protection locked="0"/>
    </xf>
    <xf numFmtId="0" fontId="29" fillId="0" borderId="37" xfId="24" applyFont="1" applyFill="1" applyBorder="1" applyAlignment="1" applyProtection="1">
      <alignment horizontal="center" vertical="center" wrapText="1"/>
      <protection hidden="1"/>
    </xf>
    <xf numFmtId="0" fontId="29" fillId="0" borderId="15" xfId="24" applyFont="1" applyFill="1" applyBorder="1" applyAlignment="1" applyProtection="1">
      <alignment horizontal="center" vertical="center" wrapText="1"/>
      <protection hidden="1"/>
    </xf>
    <xf numFmtId="0" fontId="29" fillId="0" borderId="3" xfId="24" applyFont="1" applyFill="1" applyBorder="1" applyAlignment="1" applyProtection="1">
      <alignment horizontal="left" vertical="center" wrapText="1"/>
      <protection locked="0"/>
    </xf>
    <xf numFmtId="165" fontId="26" fillId="0" borderId="3" xfId="20" applyNumberFormat="1" applyFont="1" applyFill="1" applyBorder="1" applyAlignment="1" applyProtection="1">
      <alignment horizontal="right"/>
      <protection locked="0"/>
    </xf>
    <xf numFmtId="0" fontId="15" fillId="0" borderId="0" xfId="0" applyFont="1" applyBorder="1" applyAlignment="1">
      <alignment horizontal="center" vertical="center"/>
    </xf>
    <xf numFmtId="0" fontId="15" fillId="50" borderId="37" xfId="24" applyFont="1" applyFill="1" applyBorder="1" applyAlignment="1" applyProtection="1">
      <alignment horizontal="center"/>
      <protection hidden="1"/>
    </xf>
    <xf numFmtId="0" fontId="15" fillId="50" borderId="36" xfId="24" applyFont="1" applyFill="1" applyBorder="1" applyAlignment="1" applyProtection="1">
      <alignment horizontal="center"/>
      <protection hidden="1"/>
    </xf>
    <xf numFmtId="0" fontId="15" fillId="50" borderId="15" xfId="24" applyFont="1" applyFill="1" applyBorder="1" applyAlignment="1" applyProtection="1">
      <alignment horizontal="center"/>
      <protection hidden="1"/>
    </xf>
    <xf numFmtId="0" fontId="33" fillId="35" borderId="60" xfId="0" applyFont="1" applyFill="1" applyBorder="1" applyAlignment="1">
      <alignment horizontal="center" vertical="center" wrapText="1"/>
    </xf>
    <xf numFmtId="0" fontId="0" fillId="35" borderId="44" xfId="0" applyFill="1" applyBorder="1" applyAlignment="1">
      <alignment horizontal="center" vertical="center"/>
    </xf>
    <xf numFmtId="0" fontId="28" fillId="0" borderId="22" xfId="24" applyFont="1" applyFill="1" applyBorder="1" applyAlignment="1" applyProtection="1">
      <alignment horizontal="center" vertical="center"/>
      <protection hidden="1"/>
    </xf>
    <xf numFmtId="0" fontId="28" fillId="0" borderId="8" xfId="24" applyFont="1" applyFill="1" applyBorder="1" applyAlignment="1" applyProtection="1">
      <alignment horizontal="center" vertical="center"/>
      <protection hidden="1"/>
    </xf>
    <xf numFmtId="0" fontId="33" fillId="45" borderId="26" xfId="0" applyFont="1" applyFill="1" applyBorder="1" applyAlignment="1">
      <alignment horizontal="center" vertical="center" wrapText="1"/>
    </xf>
    <xf numFmtId="0" fontId="33" fillId="45" borderId="2" xfId="0" applyFont="1" applyFill="1" applyBorder="1" applyAlignment="1">
      <alignment horizontal="center" vertical="center" wrapText="1"/>
    </xf>
    <xf numFmtId="0" fontId="33" fillId="45" borderId="9" xfId="0" applyFont="1" applyFill="1" applyBorder="1" applyAlignment="1">
      <alignment horizontal="center" vertical="center" wrapText="1"/>
    </xf>
    <xf numFmtId="0" fontId="33" fillId="45" borderId="3" xfId="0" applyFont="1" applyFill="1" applyBorder="1" applyAlignment="1">
      <alignment horizontal="center" vertical="center" wrapText="1"/>
    </xf>
    <xf numFmtId="0" fontId="33" fillId="45" borderId="10" xfId="0" applyFont="1" applyFill="1" applyBorder="1" applyAlignment="1">
      <alignment horizontal="center" vertical="center" wrapText="1"/>
    </xf>
    <xf numFmtId="0" fontId="33" fillId="45" borderId="5" xfId="0" applyFont="1" applyFill="1" applyBorder="1" applyAlignment="1">
      <alignment horizontal="center" vertical="center" wrapText="1"/>
    </xf>
    <xf numFmtId="0" fontId="27" fillId="0" borderId="37" xfId="24" applyFont="1" applyFill="1" applyBorder="1" applyAlignment="1" applyProtection="1">
      <alignment horizontal="center" vertical="center"/>
      <protection hidden="1"/>
    </xf>
    <xf numFmtId="0" fontId="27" fillId="0" borderId="15" xfId="24" applyFont="1" applyFill="1" applyBorder="1" applyAlignment="1" applyProtection="1">
      <alignment horizontal="center" vertical="center"/>
      <protection hidden="1"/>
    </xf>
    <xf numFmtId="0" fontId="27" fillId="0" borderId="3" xfId="24" applyFont="1" applyFill="1" applyBorder="1" applyAlignment="1" applyProtection="1">
      <alignment horizontal="right"/>
      <protection hidden="1"/>
    </xf>
    <xf numFmtId="0" fontId="26" fillId="36" borderId="0" xfId="24" applyFont="1" applyFill="1" applyAlignment="1">
      <alignment horizontal="left" readingOrder="2"/>
    </xf>
    <xf numFmtId="0" fontId="90" fillId="35" borderId="4" xfId="0" applyFont="1" applyFill="1" applyBorder="1" applyAlignment="1">
      <alignment horizontal="left" readingOrder="2"/>
    </xf>
    <xf numFmtId="0" fontId="90" fillId="35" borderId="11" xfId="0" applyFont="1" applyFill="1" applyBorder="1" applyAlignment="1">
      <alignment horizontal="left" readingOrder="2"/>
    </xf>
    <xf numFmtId="0" fontId="33" fillId="45" borderId="26" xfId="0" applyFont="1" applyFill="1" applyBorder="1" applyAlignment="1">
      <alignment horizontal="center" vertical="center"/>
    </xf>
    <xf numFmtId="0" fontId="33" fillId="45" borderId="2" xfId="0" applyFont="1" applyFill="1" applyBorder="1" applyAlignment="1">
      <alignment horizontal="center" vertical="center"/>
    </xf>
    <xf numFmtId="0" fontId="33" fillId="45" borderId="9" xfId="0" applyFont="1" applyFill="1" applyBorder="1" applyAlignment="1">
      <alignment horizontal="center" vertical="center"/>
    </xf>
    <xf numFmtId="0" fontId="33" fillId="45" borderId="3" xfId="0" applyFont="1" applyFill="1" applyBorder="1" applyAlignment="1">
      <alignment horizontal="center" vertical="center"/>
    </xf>
    <xf numFmtId="0" fontId="27" fillId="45" borderId="10" xfId="0" applyFont="1" applyFill="1" applyBorder="1" applyAlignment="1">
      <alignment horizontal="center" vertical="center" wrapText="1"/>
    </xf>
    <xf numFmtId="0" fontId="27" fillId="45" borderId="5" xfId="0" applyFont="1" applyFill="1" applyBorder="1" applyAlignment="1">
      <alignment horizontal="center" vertical="center" wrapText="1"/>
    </xf>
    <xf numFmtId="0" fontId="74" fillId="35" borderId="43" xfId="0" applyFont="1" applyFill="1" applyBorder="1" applyAlignment="1">
      <alignment horizontal="center"/>
    </xf>
    <xf numFmtId="0" fontId="74" fillId="35" borderId="21" xfId="0" applyFont="1" applyFill="1" applyBorder="1" applyAlignment="1">
      <alignment horizontal="center"/>
    </xf>
    <xf numFmtId="0" fontId="90" fillId="35" borderId="38" xfId="0" applyFont="1" applyFill="1" applyBorder="1" applyAlignment="1">
      <alignment horizontal="left" readingOrder="2"/>
    </xf>
    <xf numFmtId="0" fontId="90" fillId="35" borderId="12" xfId="0" applyFont="1" applyFill="1" applyBorder="1" applyAlignment="1">
      <alignment horizontal="left" readingOrder="2"/>
    </xf>
    <xf numFmtId="0" fontId="33" fillId="45" borderId="34" xfId="0" applyFont="1" applyFill="1" applyBorder="1" applyAlignment="1">
      <alignment horizontal="center"/>
    </xf>
    <xf numFmtId="0" fontId="33" fillId="45" borderId="36" xfId="0" applyFont="1" applyFill="1" applyBorder="1" applyAlignment="1">
      <alignment horizontal="center"/>
    </xf>
    <xf numFmtId="0" fontId="33" fillId="45" borderId="7" xfId="0" applyFont="1" applyFill="1" applyBorder="1" applyAlignment="1">
      <alignment horizontal="center"/>
    </xf>
    <xf numFmtId="0" fontId="27" fillId="50" borderId="37" xfId="24" applyFont="1" applyFill="1" applyBorder="1" applyAlignment="1" applyProtection="1">
      <alignment horizontal="right" vertical="center" wrapText="1"/>
      <protection hidden="1"/>
    </xf>
    <xf numFmtId="0" fontId="27" fillId="50" borderId="15" xfId="24" applyFont="1" applyFill="1" applyBorder="1" applyAlignment="1" applyProtection="1">
      <alignment horizontal="right" vertical="center" wrapText="1"/>
      <protection hidden="1"/>
    </xf>
    <xf numFmtId="0" fontId="26" fillId="36" borderId="64" xfId="24" applyFont="1" applyFill="1" applyBorder="1" applyAlignment="1">
      <alignment horizontal="left" readingOrder="1"/>
    </xf>
    <xf numFmtId="0" fontId="45" fillId="44" borderId="3" xfId="24" applyFont="1" applyFill="1" applyBorder="1" applyAlignment="1" applyProtection="1">
      <alignment horizontal="center"/>
      <protection hidden="1"/>
    </xf>
    <xf numFmtId="3" fontId="35" fillId="0" borderId="62" xfId="20" applyNumberFormat="1" applyFont="1" applyBorder="1" applyAlignment="1" applyProtection="1">
      <alignment horizontal="center" vertical="center"/>
      <protection hidden="1"/>
    </xf>
    <xf numFmtId="3" fontId="35" fillId="0" borderId="65" xfId="20" applyNumberFormat="1" applyFont="1" applyBorder="1" applyAlignment="1" applyProtection="1">
      <alignment horizontal="center" vertical="center"/>
      <protection hidden="1"/>
    </xf>
    <xf numFmtId="3" fontId="35" fillId="0" borderId="19" xfId="20" applyNumberFormat="1" applyFont="1" applyBorder="1" applyAlignment="1" applyProtection="1">
      <alignment horizontal="center" vertical="center"/>
      <protection hidden="1"/>
    </xf>
    <xf numFmtId="0" fontId="15" fillId="36" borderId="0" xfId="0" applyFont="1" applyFill="1" applyBorder="1" applyAlignment="1">
      <alignment horizontal="center"/>
    </xf>
    <xf numFmtId="0" fontId="90" fillId="35" borderId="26" xfId="0" applyFont="1" applyFill="1" applyBorder="1" applyAlignment="1">
      <alignment horizontal="left" readingOrder="2"/>
    </xf>
    <xf numFmtId="0" fontId="90" fillId="35" borderId="9" xfId="0" applyFont="1" applyFill="1" applyBorder="1" applyAlignment="1">
      <alignment horizontal="left" readingOrder="2"/>
    </xf>
    <xf numFmtId="0" fontId="27" fillId="44" borderId="3" xfId="24" applyFont="1" applyFill="1" applyBorder="1" applyAlignment="1" applyProtection="1">
      <alignment horizontal="right" vertical="center"/>
      <protection hidden="1"/>
    </xf>
    <xf numFmtId="0" fontId="29" fillId="0" borderId="3" xfId="24" applyFont="1" applyFill="1" applyBorder="1" applyAlignment="1" applyProtection="1">
      <alignment horizontal="left" wrapText="1"/>
      <protection locked="0"/>
    </xf>
    <xf numFmtId="0" fontId="35" fillId="36" borderId="36" xfId="0" applyFont="1" applyFill="1" applyBorder="1" applyAlignment="1" applyProtection="1">
      <alignment horizontal="left" vertical="center"/>
      <protection locked="0"/>
    </xf>
    <xf numFmtId="0" fontId="35" fillId="36" borderId="15" xfId="0" applyFont="1" applyFill="1" applyBorder="1" applyAlignment="1" applyProtection="1">
      <alignment horizontal="left" vertical="center"/>
      <protection locked="0"/>
    </xf>
    <xf numFmtId="0" fontId="35" fillId="36" borderId="65" xfId="0" applyFont="1" applyFill="1" applyBorder="1" applyAlignment="1" applyProtection="1">
      <alignment horizontal="left" vertical="center"/>
      <protection locked="0"/>
    </xf>
    <xf numFmtId="0" fontId="35" fillId="36" borderId="16" xfId="0" applyFont="1" applyFill="1" applyBorder="1" applyAlignment="1" applyProtection="1">
      <alignment horizontal="left" vertical="center"/>
      <protection locked="0"/>
    </xf>
    <xf numFmtId="0" fontId="33" fillId="36" borderId="55" xfId="0" applyFont="1" applyFill="1" applyBorder="1" applyAlignment="1">
      <alignment horizontal="center" vertical="center"/>
    </xf>
    <xf numFmtId="0" fontId="33" fillId="36" borderId="56" xfId="0" applyFont="1" applyFill="1" applyBorder="1" applyAlignment="1">
      <alignment horizontal="center" vertical="center"/>
    </xf>
    <xf numFmtId="0" fontId="27" fillId="50" borderId="3" xfId="24" applyFont="1" applyFill="1" applyBorder="1" applyAlignment="1" applyProtection="1">
      <alignment horizontal="right" vertical="center"/>
      <protection hidden="1"/>
    </xf>
    <xf numFmtId="0" fontId="35" fillId="0" borderId="0" xfId="0" applyFont="1" applyFill="1" applyBorder="1" applyAlignment="1">
      <alignment horizontal="center" vertical="center" wrapText="1"/>
    </xf>
    <xf numFmtId="0" fontId="35" fillId="0" borderId="0" xfId="0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/>
    </xf>
    <xf numFmtId="0" fontId="100" fillId="51" borderId="153" xfId="0" applyFont="1" applyFill="1" applyBorder="1" applyAlignment="1">
      <alignment horizontal="center" readingOrder="2"/>
    </xf>
    <xf numFmtId="0" fontId="0" fillId="0" borderId="154" xfId="0" applyBorder="1"/>
    <xf numFmtId="0" fontId="0" fillId="0" borderId="155" xfId="0" applyBorder="1"/>
    <xf numFmtId="0" fontId="100" fillId="51" borderId="156" xfId="0" applyFont="1" applyFill="1" applyBorder="1" applyAlignment="1">
      <alignment horizontal="center" readingOrder="2"/>
    </xf>
    <xf numFmtId="0" fontId="100" fillId="51" borderId="157" xfId="0" applyFont="1" applyFill="1" applyBorder="1" applyAlignment="1">
      <alignment horizontal="center" readingOrder="2"/>
    </xf>
    <xf numFmtId="0" fontId="100" fillId="51" borderId="158" xfId="0" applyFont="1" applyFill="1" applyBorder="1" applyAlignment="1">
      <alignment horizontal="center" readingOrder="2"/>
    </xf>
    <xf numFmtId="0" fontId="124" fillId="36" borderId="153" xfId="0" applyFont="1" applyFill="1" applyBorder="1" applyAlignment="1" applyProtection="1">
      <alignment horizontal="center" vertical="center"/>
      <protection locked="0"/>
    </xf>
    <xf numFmtId="0" fontId="124" fillId="36" borderId="156" xfId="0" applyFont="1" applyFill="1" applyBorder="1" applyAlignment="1" applyProtection="1">
      <alignment horizontal="center" vertical="center"/>
      <protection locked="0"/>
    </xf>
    <xf numFmtId="0" fontId="35" fillId="0" borderId="0" xfId="0" applyFont="1" applyFill="1" applyBorder="1" applyAlignment="1">
      <alignment horizontal="center"/>
    </xf>
    <xf numFmtId="0" fontId="28" fillId="0" borderId="3" xfId="24" applyFont="1" applyFill="1" applyBorder="1" applyAlignment="1" applyProtection="1">
      <alignment horizontal="left" wrapText="1"/>
      <protection locked="0"/>
    </xf>
    <xf numFmtId="165" fontId="49" fillId="35" borderId="15" xfId="19" applyNumberFormat="1" applyFont="1" applyFill="1" applyBorder="1" applyAlignment="1" applyProtection="1">
      <alignment horizontal="center" vertical="center" wrapText="1"/>
      <protection hidden="1"/>
    </xf>
    <xf numFmtId="165" fontId="49" fillId="35" borderId="3" xfId="19" applyNumberFormat="1" applyFont="1" applyFill="1" applyBorder="1" applyAlignment="1" applyProtection="1">
      <alignment horizontal="center" vertical="center" wrapText="1"/>
      <protection hidden="1"/>
    </xf>
    <xf numFmtId="165" fontId="3" fillId="35" borderId="18" xfId="19" applyNumberFormat="1" applyFont="1" applyFill="1" applyBorder="1" applyAlignment="1" applyProtection="1">
      <alignment horizontal="center"/>
      <protection hidden="1"/>
    </xf>
    <xf numFmtId="165" fontId="107" fillId="35" borderId="19" xfId="19" applyNumberFormat="1" applyFont="1" applyFill="1" applyBorder="1" applyAlignment="1" applyProtection="1">
      <alignment horizontal="center"/>
      <protection hidden="1"/>
    </xf>
    <xf numFmtId="0" fontId="0" fillId="36" borderId="49" xfId="0" applyFill="1" applyBorder="1" applyAlignment="1" applyProtection="1">
      <alignment horizontal="center"/>
      <protection hidden="1"/>
    </xf>
    <xf numFmtId="164" fontId="49" fillId="37" borderId="0" xfId="19" applyNumberFormat="1" applyFont="1" applyFill="1" applyBorder="1" applyAlignment="1" applyProtection="1">
      <alignment horizontal="center"/>
      <protection hidden="1"/>
    </xf>
    <xf numFmtId="164" fontId="49" fillId="37" borderId="50" xfId="19" applyNumberFormat="1" applyFont="1" applyFill="1" applyBorder="1" applyAlignment="1" applyProtection="1">
      <alignment horizontal="center"/>
      <protection hidden="1"/>
    </xf>
    <xf numFmtId="164" fontId="49" fillId="37" borderId="21" xfId="19" applyNumberFormat="1" applyFont="1" applyFill="1" applyBorder="1" applyAlignment="1" applyProtection="1">
      <alignment horizontal="center"/>
      <protection hidden="1"/>
    </xf>
    <xf numFmtId="164" fontId="49" fillId="37" borderId="163" xfId="19" applyNumberFormat="1" applyFont="1" applyFill="1" applyBorder="1" applyAlignment="1" applyProtection="1">
      <alignment horizontal="center"/>
      <protection hidden="1"/>
    </xf>
    <xf numFmtId="164" fontId="49" fillId="37" borderId="36" xfId="19" applyNumberFormat="1" applyFont="1" applyFill="1" applyBorder="1" applyAlignment="1" applyProtection="1">
      <alignment horizontal="center"/>
      <protection hidden="1"/>
    </xf>
    <xf numFmtId="164" fontId="49" fillId="37" borderId="7" xfId="19" applyNumberFormat="1" applyFont="1" applyFill="1" applyBorder="1" applyAlignment="1" applyProtection="1">
      <alignment horizontal="center"/>
      <protection hidden="1"/>
    </xf>
    <xf numFmtId="0" fontId="3" fillId="35" borderId="66" xfId="0" applyFont="1" applyFill="1" applyBorder="1" applyAlignment="1" applyProtection="1">
      <alignment horizontal="left" wrapText="1"/>
      <protection locked="0"/>
    </xf>
    <xf numFmtId="0" fontId="6" fillId="35" borderId="23" xfId="0" applyFont="1" applyFill="1" applyBorder="1" applyAlignment="1" applyProtection="1">
      <alignment horizontal="left" wrapText="1"/>
      <protection locked="0"/>
    </xf>
    <xf numFmtId="165" fontId="3" fillId="35" borderId="69" xfId="19" applyNumberFormat="1" applyFont="1" applyFill="1" applyBorder="1" applyAlignment="1" applyProtection="1">
      <alignment horizontal="center" vertical="center" wrapText="1"/>
      <protection hidden="1"/>
    </xf>
    <xf numFmtId="165" fontId="49" fillId="35" borderId="52" xfId="19" applyNumberFormat="1" applyFont="1" applyFill="1" applyBorder="1" applyAlignment="1" applyProtection="1">
      <alignment horizontal="center" vertical="center" wrapText="1"/>
      <protection hidden="1"/>
    </xf>
    <xf numFmtId="165" fontId="49" fillId="35" borderId="43" xfId="19" applyNumberFormat="1" applyFont="1" applyFill="1" applyBorder="1" applyAlignment="1" applyProtection="1">
      <alignment horizontal="center" vertical="center" wrapText="1"/>
      <protection hidden="1"/>
    </xf>
    <xf numFmtId="165" fontId="49" fillId="35" borderId="70" xfId="19" applyNumberFormat="1" applyFont="1" applyFill="1" applyBorder="1" applyAlignment="1" applyProtection="1">
      <alignment horizontal="center" vertical="center" wrapText="1"/>
      <protection hidden="1"/>
    </xf>
    <xf numFmtId="0" fontId="3" fillId="0" borderId="3" xfId="0" applyFont="1" applyBorder="1" applyAlignment="1" applyProtection="1">
      <alignment horizontal="center" vertical="center" wrapText="1"/>
      <protection locked="0"/>
    </xf>
    <xf numFmtId="0" fontId="3" fillId="0" borderId="15" xfId="0" applyFont="1" applyBorder="1" applyAlignment="1" applyProtection="1">
      <alignment horizontal="center" vertical="center" wrapText="1"/>
      <protection locked="0"/>
    </xf>
    <xf numFmtId="0" fontId="125" fillId="36" borderId="6" xfId="0" applyFont="1" applyFill="1" applyBorder="1" applyAlignment="1" applyProtection="1">
      <alignment horizontal="left" vertical="top" wrapText="1"/>
      <protection hidden="1"/>
    </xf>
    <xf numFmtId="0" fontId="125" fillId="0" borderId="107" xfId="0" applyFont="1" applyBorder="1" applyAlignment="1" applyProtection="1">
      <alignment horizontal="left" vertical="top" wrapText="1"/>
      <protection hidden="1"/>
    </xf>
    <xf numFmtId="0" fontId="125" fillId="0" borderId="6" xfId="0" applyFont="1" applyBorder="1" applyAlignment="1" applyProtection="1">
      <alignment horizontal="left" vertical="top" wrapText="1"/>
      <protection hidden="1"/>
    </xf>
    <xf numFmtId="165" fontId="3" fillId="44" borderId="18" xfId="19" applyNumberFormat="1" applyFont="1" applyFill="1" applyBorder="1" applyAlignment="1" applyProtection="1">
      <alignment horizontal="center"/>
      <protection hidden="1"/>
    </xf>
    <xf numFmtId="165" fontId="107" fillId="44" borderId="19" xfId="19" applyNumberFormat="1" applyFont="1" applyFill="1" applyBorder="1" applyAlignment="1" applyProtection="1">
      <alignment horizontal="center"/>
      <protection hidden="1"/>
    </xf>
    <xf numFmtId="0" fontId="119" fillId="35" borderId="18" xfId="0" applyFont="1" applyFill="1" applyBorder="1" applyAlignment="1" applyProtection="1">
      <alignment horizontal="left" readingOrder="2"/>
      <protection locked="0"/>
    </xf>
    <xf numFmtId="0" fontId="119" fillId="35" borderId="65" xfId="0" applyFont="1" applyFill="1" applyBorder="1" applyAlignment="1" applyProtection="1">
      <alignment horizontal="left" readingOrder="2"/>
      <protection locked="0"/>
    </xf>
    <xf numFmtId="0" fontId="126" fillId="36" borderId="48" xfId="0" applyFont="1" applyFill="1" applyBorder="1" applyAlignment="1" applyProtection="1">
      <alignment horizontal="right"/>
      <protection locked="0"/>
    </xf>
    <xf numFmtId="164" fontId="3" fillId="0" borderId="3" xfId="19" applyNumberFormat="1" applyFont="1" applyBorder="1" applyAlignment="1" applyProtection="1">
      <alignment horizontal="center" vertical="center" wrapText="1"/>
      <protection locked="0"/>
    </xf>
    <xf numFmtId="164" fontId="49" fillId="0" borderId="22" xfId="19" applyNumberFormat="1" applyFont="1" applyBorder="1" applyAlignment="1" applyProtection="1">
      <protection locked="0"/>
    </xf>
    <xf numFmtId="0" fontId="3" fillId="35" borderId="2" xfId="0" applyFont="1" applyFill="1" applyBorder="1" applyAlignment="1" applyProtection="1">
      <alignment horizontal="center" vertical="center" wrapText="1"/>
      <protection locked="0"/>
    </xf>
    <xf numFmtId="0" fontId="0" fillId="35" borderId="2" xfId="0" applyFont="1" applyFill="1" applyBorder="1" applyAlignment="1" applyProtection="1">
      <protection locked="0"/>
    </xf>
    <xf numFmtId="164" fontId="3" fillId="35" borderId="3" xfId="19" applyNumberFormat="1" applyFont="1" applyFill="1" applyBorder="1" applyAlignment="1" applyProtection="1">
      <alignment horizontal="center" vertical="center" wrapText="1"/>
      <protection locked="0"/>
    </xf>
    <xf numFmtId="164" fontId="49" fillId="35" borderId="22" xfId="19" applyNumberFormat="1" applyFont="1" applyFill="1" applyBorder="1" applyAlignment="1" applyProtection="1">
      <protection locked="0"/>
    </xf>
    <xf numFmtId="164" fontId="3" fillId="35" borderId="7" xfId="19" applyNumberFormat="1" applyFont="1" applyFill="1" applyBorder="1" applyAlignment="1" applyProtection="1">
      <alignment horizontal="center" vertical="center" wrapText="1"/>
      <protection locked="0"/>
    </xf>
    <xf numFmtId="164" fontId="49" fillId="35" borderId="7" xfId="19" applyNumberFormat="1" applyFont="1" applyFill="1" applyBorder="1" applyAlignment="1" applyProtection="1">
      <protection locked="0"/>
    </xf>
    <xf numFmtId="0" fontId="3" fillId="35" borderId="15" xfId="0" applyFont="1" applyFill="1" applyBorder="1" applyAlignment="1" applyProtection="1">
      <alignment horizontal="center" vertical="center" wrapText="1"/>
      <protection locked="0"/>
    </xf>
    <xf numFmtId="0" fontId="3" fillId="35" borderId="3" xfId="0" applyFont="1" applyFill="1" applyBorder="1" applyAlignment="1" applyProtection="1">
      <alignment horizontal="center" vertical="center" wrapText="1"/>
      <protection locked="0"/>
    </xf>
    <xf numFmtId="164" fontId="49" fillId="61" borderId="159" xfId="19" applyNumberFormat="1" applyFont="1" applyFill="1" applyBorder="1" applyAlignment="1" applyProtection="1">
      <alignment horizontal="center"/>
      <protection hidden="1"/>
    </xf>
    <xf numFmtId="164" fontId="49" fillId="61" borderId="160" xfId="19" applyNumberFormat="1" applyFont="1" applyFill="1" applyBorder="1" applyAlignment="1" applyProtection="1">
      <alignment horizontal="center"/>
      <protection hidden="1"/>
    </xf>
    <xf numFmtId="0" fontId="74" fillId="46" borderId="20" xfId="0" applyFont="1" applyFill="1" applyBorder="1" applyAlignment="1" applyProtection="1">
      <alignment horizontal="center" vertical="center" wrapText="1"/>
      <protection locked="0"/>
    </xf>
    <xf numFmtId="0" fontId="74" fillId="46" borderId="61" xfId="0" applyFont="1" applyFill="1" applyBorder="1" applyAlignment="1" applyProtection="1">
      <alignment horizontal="center" vertical="center" wrapText="1"/>
      <protection locked="0"/>
    </xf>
    <xf numFmtId="0" fontId="74" fillId="46" borderId="42" xfId="0" applyFont="1" applyFill="1" applyBorder="1" applyAlignment="1" applyProtection="1">
      <alignment horizontal="center" vertical="center" wrapText="1"/>
      <protection locked="0"/>
    </xf>
    <xf numFmtId="0" fontId="127" fillId="46" borderId="20" xfId="0" applyFont="1" applyFill="1" applyBorder="1" applyAlignment="1" applyProtection="1">
      <alignment horizontal="center" vertical="center" wrapText="1"/>
      <protection locked="0"/>
    </xf>
    <xf numFmtId="0" fontId="127" fillId="46" borderId="61" xfId="0" applyFont="1" applyFill="1" applyBorder="1" applyAlignment="1" applyProtection="1">
      <alignment horizontal="center" vertical="center" wrapText="1"/>
      <protection locked="0"/>
    </xf>
    <xf numFmtId="0" fontId="127" fillId="46" borderId="42" xfId="0" applyFont="1" applyFill="1" applyBorder="1" applyAlignment="1" applyProtection="1">
      <alignment horizontal="center" vertical="center" wrapText="1"/>
      <protection locked="0"/>
    </xf>
    <xf numFmtId="0" fontId="79" fillId="0" borderId="0" xfId="0" applyFont="1" applyAlignment="1" applyProtection="1">
      <alignment horizontal="center" vertical="center" wrapText="1"/>
      <protection hidden="1"/>
    </xf>
    <xf numFmtId="0" fontId="0" fillId="36" borderId="0" xfId="0" applyFill="1" applyAlignment="1" applyProtection="1">
      <alignment horizontal="center" vertical="top" wrapText="1" readingOrder="1"/>
      <protection hidden="1"/>
    </xf>
    <xf numFmtId="0" fontId="0" fillId="0" borderId="55" xfId="0" applyBorder="1" applyAlignment="1" applyProtection="1">
      <alignment horizontal="center"/>
      <protection hidden="1"/>
    </xf>
    <xf numFmtId="0" fontId="0" fillId="0" borderId="56" xfId="0" applyBorder="1" applyAlignment="1" applyProtection="1">
      <alignment horizontal="center"/>
      <protection hidden="1"/>
    </xf>
    <xf numFmtId="0" fontId="0" fillId="0" borderId="57" xfId="0" applyBorder="1" applyAlignment="1" applyProtection="1">
      <alignment horizontal="center"/>
      <protection hidden="1"/>
    </xf>
    <xf numFmtId="0" fontId="9" fillId="47" borderId="6" xfId="0" applyFont="1" applyFill="1" applyBorder="1" applyAlignment="1" applyProtection="1">
      <alignment horizontal="center" vertical="center" wrapText="1"/>
      <protection locked="0"/>
    </xf>
    <xf numFmtId="9" fontId="74" fillId="47" borderId="22" xfId="27" applyFont="1" applyFill="1" applyBorder="1" applyAlignment="1" applyProtection="1">
      <alignment horizontal="center" vertical="center" wrapText="1" readingOrder="2"/>
      <protection hidden="1"/>
    </xf>
    <xf numFmtId="9" fontId="74" fillId="47" borderId="8" xfId="27" applyFont="1" applyFill="1" applyBorder="1" applyAlignment="1" applyProtection="1">
      <alignment horizontal="center" vertical="center" wrapText="1" readingOrder="2"/>
      <protection hidden="1"/>
    </xf>
    <xf numFmtId="164" fontId="49" fillId="37" borderId="48" xfId="19" applyNumberFormat="1" applyFont="1" applyFill="1" applyBorder="1" applyAlignment="1" applyProtection="1">
      <alignment horizontal="center"/>
      <protection hidden="1"/>
    </xf>
    <xf numFmtId="164" fontId="49" fillId="37" borderId="54" xfId="19" applyNumberFormat="1" applyFont="1" applyFill="1" applyBorder="1" applyAlignment="1" applyProtection="1">
      <alignment horizontal="center"/>
      <protection hidden="1"/>
    </xf>
    <xf numFmtId="164" fontId="49" fillId="37" borderId="160" xfId="19" applyNumberFormat="1" applyFont="1" applyFill="1" applyBorder="1" applyAlignment="1" applyProtection="1">
      <alignment horizontal="center"/>
      <protection hidden="1"/>
    </xf>
    <xf numFmtId="164" fontId="49" fillId="37" borderId="107" xfId="19" applyNumberFormat="1" applyFont="1" applyFill="1" applyBorder="1" applyAlignment="1" applyProtection="1">
      <alignment horizontal="center"/>
      <protection hidden="1"/>
    </xf>
    <xf numFmtId="0" fontId="3" fillId="47" borderId="61" xfId="0" applyFont="1" applyFill="1" applyBorder="1" applyAlignment="1" applyProtection="1">
      <alignment horizontal="center" vertical="center" wrapText="1"/>
      <protection locked="0"/>
    </xf>
    <xf numFmtId="0" fontId="3" fillId="44" borderId="45" xfId="0" applyFont="1" applyFill="1" applyBorder="1" applyAlignment="1" applyProtection="1">
      <alignment horizontal="left" vertical="center" wrapText="1"/>
      <protection locked="0"/>
    </xf>
    <xf numFmtId="0" fontId="0" fillId="44" borderId="64" xfId="0" applyFill="1" applyBorder="1" applyAlignment="1" applyProtection="1">
      <alignment horizontal="left" wrapText="1"/>
      <protection locked="0"/>
    </xf>
    <xf numFmtId="0" fontId="3" fillId="44" borderId="43" xfId="0" applyFont="1" applyFill="1" applyBorder="1" applyAlignment="1" applyProtection="1">
      <alignment horizontal="left" vertical="center" wrapText="1"/>
      <protection locked="0"/>
    </xf>
    <xf numFmtId="0" fontId="0" fillId="44" borderId="21" xfId="0" applyFill="1" applyBorder="1" applyAlignment="1" applyProtection="1">
      <alignment horizontal="left" wrapText="1"/>
      <protection locked="0"/>
    </xf>
    <xf numFmtId="165" fontId="3" fillId="44" borderId="35" xfId="19" applyNumberFormat="1" applyFont="1" applyFill="1" applyBorder="1" applyAlignment="1" applyProtection="1">
      <alignment horizontal="center" vertical="center"/>
      <protection hidden="1"/>
    </xf>
    <xf numFmtId="165" fontId="3" fillId="44" borderId="44" xfId="19" applyNumberFormat="1" applyFont="1" applyFill="1" applyBorder="1" applyAlignment="1" applyProtection="1">
      <alignment horizontal="center" vertical="center"/>
      <protection hidden="1"/>
    </xf>
    <xf numFmtId="49" fontId="9" fillId="0" borderId="68" xfId="0" applyNumberFormat="1" applyFont="1" applyBorder="1" applyAlignment="1" applyProtection="1">
      <alignment horizontal="center" vertical="center" textRotation="90" wrapText="1"/>
      <protection locked="0"/>
    </xf>
    <xf numFmtId="49" fontId="9" fillId="0" borderId="8" xfId="0" applyNumberFormat="1" applyFont="1" applyBorder="1" applyAlignment="1" applyProtection="1">
      <alignment horizontal="center" vertical="center" textRotation="90" wrapText="1"/>
      <protection locked="0"/>
    </xf>
    <xf numFmtId="0" fontId="5" fillId="44" borderId="2" xfId="0" applyFont="1" applyFill="1" applyBorder="1" applyAlignment="1" applyProtection="1">
      <alignment horizontal="center" wrapText="1" readingOrder="2"/>
      <protection locked="0"/>
    </xf>
    <xf numFmtId="165" fontId="3" fillId="43" borderId="15" xfId="19" applyNumberFormat="1" applyFont="1" applyFill="1" applyBorder="1" applyAlignment="1" applyProtection="1">
      <alignment horizontal="center" vertical="distributed" shrinkToFit="1"/>
      <protection hidden="1"/>
    </xf>
    <xf numFmtId="165" fontId="3" fillId="43" borderId="3" xfId="19" applyNumberFormat="1" applyFont="1" applyFill="1" applyBorder="1" applyAlignment="1" applyProtection="1">
      <alignment horizontal="center" vertical="distributed" shrinkToFit="1"/>
      <protection hidden="1"/>
    </xf>
    <xf numFmtId="165" fontId="3" fillId="44" borderId="28" xfId="19" applyNumberFormat="1" applyFont="1" applyFill="1" applyBorder="1" applyAlignment="1" applyProtection="1">
      <alignment horizontal="center" vertical="center"/>
      <protection hidden="1"/>
    </xf>
    <xf numFmtId="165" fontId="3" fillId="44" borderId="27" xfId="19" applyNumberFormat="1" applyFont="1" applyFill="1" applyBorder="1" applyAlignment="1" applyProtection="1">
      <alignment horizontal="center" vertical="center"/>
      <protection hidden="1"/>
    </xf>
    <xf numFmtId="3" fontId="8" fillId="36" borderId="0" xfId="0" applyNumberFormat="1" applyFont="1" applyFill="1" applyBorder="1" applyAlignment="1" applyProtection="1">
      <alignment horizontal="center" vertical="center" wrapText="1" readingOrder="2"/>
      <protection locked="0"/>
    </xf>
    <xf numFmtId="0" fontId="110" fillId="36" borderId="0" xfId="0" applyFont="1" applyFill="1" applyBorder="1" applyAlignment="1" applyProtection="1">
      <alignment wrapText="1"/>
      <protection locked="0"/>
    </xf>
    <xf numFmtId="0" fontId="3" fillId="0" borderId="63" xfId="0" applyFont="1" applyBorder="1" applyAlignment="1" applyProtection="1">
      <alignment horizontal="center" vertical="center" wrapText="1"/>
      <protection locked="0"/>
    </xf>
    <xf numFmtId="0" fontId="0" fillId="0" borderId="59" xfId="0" applyFont="1" applyBorder="1" applyAlignment="1" applyProtection="1">
      <alignment horizontal="center" vertical="center" wrapText="1"/>
      <protection locked="0"/>
    </xf>
    <xf numFmtId="165" fontId="3" fillId="43" borderId="69" xfId="19" applyNumberFormat="1" applyFont="1" applyFill="1" applyBorder="1" applyAlignment="1" applyProtection="1">
      <alignment horizontal="center" vertical="distributed" shrinkToFit="1"/>
      <protection hidden="1"/>
    </xf>
    <xf numFmtId="165" fontId="3" fillId="43" borderId="32" xfId="19" applyNumberFormat="1" applyFont="1" applyFill="1" applyBorder="1" applyAlignment="1" applyProtection="1">
      <alignment horizontal="center" vertical="distributed" shrinkToFit="1"/>
      <protection hidden="1"/>
    </xf>
    <xf numFmtId="0" fontId="3" fillId="0" borderId="17" xfId="0" applyFont="1" applyBorder="1" applyAlignment="1" applyProtection="1">
      <alignment horizontal="center" vertical="center" wrapText="1"/>
      <protection locked="0"/>
    </xf>
    <xf numFmtId="0" fontId="0" fillId="0" borderId="70" xfId="0" applyFont="1" applyBorder="1" applyAlignment="1" applyProtection="1">
      <alignment horizontal="center" vertical="center" wrapText="1"/>
      <protection locked="0"/>
    </xf>
    <xf numFmtId="0" fontId="3" fillId="0" borderId="71" xfId="0" applyFont="1" applyBorder="1" applyAlignment="1" applyProtection="1">
      <alignment horizontal="center" vertical="center" wrapText="1"/>
      <protection locked="0"/>
    </xf>
    <xf numFmtId="0" fontId="0" fillId="0" borderId="72" xfId="0" applyFont="1" applyBorder="1" applyAlignment="1" applyProtection="1">
      <alignment horizontal="center" vertical="center" wrapText="1"/>
      <protection locked="0"/>
    </xf>
    <xf numFmtId="164" fontId="74" fillId="48" borderId="49" xfId="19" applyNumberFormat="1" applyFont="1" applyFill="1" applyBorder="1" applyAlignment="1" applyProtection="1">
      <alignment horizontal="center"/>
      <protection hidden="1"/>
    </xf>
    <xf numFmtId="164" fontId="74" fillId="48" borderId="165" xfId="19" applyNumberFormat="1" applyFont="1" applyFill="1" applyBorder="1" applyAlignment="1" applyProtection="1">
      <alignment horizontal="center"/>
      <protection hidden="1"/>
    </xf>
    <xf numFmtId="165" fontId="3" fillId="46" borderId="15" xfId="19" applyNumberFormat="1" applyFont="1" applyFill="1" applyBorder="1" applyAlignment="1" applyProtection="1">
      <alignment horizontal="center" vertical="distributed" shrinkToFit="1"/>
      <protection hidden="1"/>
    </xf>
    <xf numFmtId="165" fontId="3" fillId="46" borderId="3" xfId="19" applyNumberFormat="1" applyFont="1" applyFill="1" applyBorder="1" applyAlignment="1" applyProtection="1">
      <alignment horizontal="center" vertical="distributed" shrinkToFit="1"/>
      <protection hidden="1"/>
    </xf>
    <xf numFmtId="49" fontId="9" fillId="0" borderId="9" xfId="0" applyNumberFormat="1" applyFont="1" applyBorder="1" applyAlignment="1" applyProtection="1">
      <alignment horizontal="center" vertical="top" textRotation="90" wrapText="1"/>
      <protection locked="0"/>
    </xf>
    <xf numFmtId="49" fontId="9" fillId="0" borderId="3" xfId="0" applyNumberFormat="1" applyFont="1" applyBorder="1" applyAlignment="1" applyProtection="1">
      <alignment horizontal="center" vertical="top" textRotation="90" wrapText="1"/>
      <protection locked="0"/>
    </xf>
    <xf numFmtId="0" fontId="3" fillId="0" borderId="2" xfId="0" applyFont="1" applyBorder="1" applyAlignment="1" applyProtection="1">
      <alignment horizontal="center" vertical="center" wrapText="1"/>
      <protection locked="0"/>
    </xf>
    <xf numFmtId="0" fontId="0" fillId="0" borderId="2" xfId="0" applyFont="1" applyBorder="1" applyAlignment="1" applyProtection="1">
      <protection locked="0"/>
    </xf>
    <xf numFmtId="164" fontId="3" fillId="0" borderId="7" xfId="19" applyNumberFormat="1" applyFont="1" applyBorder="1" applyAlignment="1" applyProtection="1">
      <alignment horizontal="center" vertical="center" wrapText="1"/>
      <protection locked="0"/>
    </xf>
    <xf numFmtId="164" fontId="49" fillId="0" borderId="7" xfId="19" applyNumberFormat="1" applyFont="1" applyBorder="1" applyAlignment="1" applyProtection="1">
      <protection locked="0"/>
    </xf>
    <xf numFmtId="0" fontId="5" fillId="47" borderId="2" xfId="0" applyFont="1" applyFill="1" applyBorder="1" applyAlignment="1" applyProtection="1">
      <alignment horizontal="center" wrapText="1" readingOrder="2"/>
      <protection locked="0"/>
    </xf>
    <xf numFmtId="0" fontId="10" fillId="47" borderId="45" xfId="0" applyFont="1" applyFill="1" applyBorder="1" applyAlignment="1" applyProtection="1">
      <alignment horizontal="center" vertical="top" wrapText="1"/>
      <protection locked="0"/>
    </xf>
    <xf numFmtId="0" fontId="10" fillId="47" borderId="64" xfId="0" applyFont="1" applyFill="1" applyBorder="1" applyAlignment="1" applyProtection="1">
      <alignment horizontal="center" vertical="top" wrapText="1"/>
      <protection locked="0"/>
    </xf>
    <xf numFmtId="0" fontId="10" fillId="47" borderId="43" xfId="0" applyFont="1" applyFill="1" applyBorder="1" applyAlignment="1" applyProtection="1">
      <alignment horizontal="center" vertical="top" wrapText="1"/>
      <protection locked="0"/>
    </xf>
    <xf numFmtId="0" fontId="10" fillId="47" borderId="21" xfId="0" applyFont="1" applyFill="1" applyBorder="1" applyAlignment="1" applyProtection="1">
      <alignment horizontal="center" vertical="top" wrapText="1"/>
      <protection locked="0"/>
    </xf>
    <xf numFmtId="0" fontId="3" fillId="47" borderId="66" xfId="0" applyFont="1" applyFill="1" applyBorder="1" applyAlignment="1" applyProtection="1">
      <alignment horizontal="center" vertical="center" wrapText="1"/>
      <protection locked="0"/>
    </xf>
    <xf numFmtId="0" fontId="3" fillId="47" borderId="23" xfId="0" applyFont="1" applyFill="1" applyBorder="1" applyAlignment="1" applyProtection="1">
      <alignment horizontal="center" vertical="center" wrapText="1"/>
      <protection locked="0"/>
    </xf>
    <xf numFmtId="0" fontId="3" fillId="47" borderId="68" xfId="0" applyFont="1" applyFill="1" applyBorder="1" applyAlignment="1" applyProtection="1">
      <alignment horizontal="center" vertical="center" wrapText="1"/>
      <protection locked="0"/>
    </xf>
    <xf numFmtId="0" fontId="3" fillId="47" borderId="58" xfId="0" applyFont="1" applyFill="1" applyBorder="1" applyAlignment="1" applyProtection="1">
      <alignment horizontal="center" vertical="center" wrapText="1"/>
      <protection locked="0"/>
    </xf>
    <xf numFmtId="49" fontId="9" fillId="47" borderId="15" xfId="0" applyNumberFormat="1" applyFont="1" applyFill="1" applyBorder="1" applyAlignment="1" applyProtection="1">
      <alignment horizontal="center" vertical="center" textRotation="90" wrapText="1"/>
      <protection locked="0"/>
    </xf>
    <xf numFmtId="49" fontId="9" fillId="47" borderId="36" xfId="0" applyNumberFormat="1" applyFont="1" applyFill="1" applyBorder="1" applyAlignment="1" applyProtection="1">
      <alignment horizontal="center" vertical="center" textRotation="90" wrapText="1"/>
      <protection locked="0"/>
    </xf>
    <xf numFmtId="165" fontId="3" fillId="44" borderId="64" xfId="19" applyNumberFormat="1" applyFont="1" applyFill="1" applyBorder="1" applyAlignment="1" applyProtection="1">
      <alignment horizontal="center" vertical="center"/>
      <protection hidden="1"/>
    </xf>
    <xf numFmtId="165" fontId="3" fillId="44" borderId="21" xfId="19" applyNumberFormat="1" applyFont="1" applyFill="1" applyBorder="1" applyAlignment="1" applyProtection="1">
      <alignment horizontal="center" vertical="center"/>
      <protection hidden="1"/>
    </xf>
    <xf numFmtId="164" fontId="70" fillId="47" borderId="161" xfId="19" applyNumberFormat="1" applyFont="1" applyFill="1" applyBorder="1" applyAlignment="1" applyProtection="1">
      <alignment horizontal="center" vertical="center"/>
      <protection hidden="1"/>
    </xf>
    <xf numFmtId="164" fontId="70" fillId="47" borderId="162" xfId="19" applyNumberFormat="1" applyFont="1" applyFill="1" applyBorder="1" applyAlignment="1" applyProtection="1">
      <alignment horizontal="center" vertical="center"/>
      <protection hidden="1"/>
    </xf>
    <xf numFmtId="49" fontId="9" fillId="47" borderId="64" xfId="0" applyNumberFormat="1" applyFont="1" applyFill="1" applyBorder="1" applyAlignment="1" applyProtection="1">
      <alignment horizontal="center" vertical="center" textRotation="90" wrapText="1"/>
      <protection locked="0"/>
    </xf>
    <xf numFmtId="0" fontId="75" fillId="40" borderId="0" xfId="0" applyNumberFormat="1" applyFont="1" applyFill="1" applyAlignment="1" applyProtection="1">
      <alignment horizontal="center"/>
      <protection locked="0" hidden="1"/>
    </xf>
    <xf numFmtId="0" fontId="87" fillId="64" borderId="24" xfId="0" applyFont="1" applyFill="1" applyBorder="1" applyAlignment="1" applyProtection="1">
      <alignment horizontal="center" vertical="center" wrapText="1"/>
      <protection locked="0"/>
    </xf>
    <xf numFmtId="0" fontId="128" fillId="64" borderId="73" xfId="0" applyFont="1" applyFill="1" applyBorder="1" applyAlignment="1" applyProtection="1">
      <protection locked="0"/>
    </xf>
    <xf numFmtId="0" fontId="128" fillId="64" borderId="40" xfId="0" applyFont="1" applyFill="1" applyBorder="1" applyAlignment="1" applyProtection="1">
      <protection locked="0"/>
    </xf>
    <xf numFmtId="3" fontId="70" fillId="47" borderId="18" xfId="0" applyNumberFormat="1" applyFont="1" applyFill="1" applyBorder="1" applyAlignment="1" applyProtection="1">
      <alignment horizontal="center"/>
      <protection hidden="1"/>
    </xf>
    <xf numFmtId="3" fontId="70" fillId="47" borderId="19" xfId="0" applyNumberFormat="1" applyFont="1" applyFill="1" applyBorder="1" applyAlignment="1" applyProtection="1">
      <alignment horizontal="center"/>
      <protection hidden="1"/>
    </xf>
    <xf numFmtId="164" fontId="70" fillId="46" borderId="4" xfId="19" applyNumberFormat="1" applyFont="1" applyFill="1" applyBorder="1" applyAlignment="1" applyProtection="1">
      <alignment horizontal="center"/>
      <protection locked="0"/>
    </xf>
    <xf numFmtId="164" fontId="70" fillId="46" borderId="11" xfId="19" applyNumberFormat="1" applyFont="1" applyFill="1" applyBorder="1" applyAlignment="1" applyProtection="1">
      <alignment horizontal="center"/>
      <protection locked="0"/>
    </xf>
    <xf numFmtId="0" fontId="96" fillId="36" borderId="0" xfId="0" applyFont="1" applyFill="1" applyBorder="1" applyAlignment="1" applyProtection="1">
      <alignment horizontal="center"/>
      <protection locked="0"/>
    </xf>
    <xf numFmtId="0" fontId="72" fillId="36" borderId="0" xfId="0" applyFont="1" applyFill="1" applyBorder="1" applyAlignment="1" applyProtection="1">
      <alignment horizontal="center"/>
      <protection locked="0"/>
    </xf>
    <xf numFmtId="0" fontId="3" fillId="46" borderId="26" xfId="0" applyFont="1" applyFill="1" applyBorder="1" applyAlignment="1" applyProtection="1">
      <alignment horizontal="center" vertical="distributed" shrinkToFit="1"/>
      <protection locked="0"/>
    </xf>
    <xf numFmtId="0" fontId="0" fillId="46" borderId="39" xfId="0" applyFill="1" applyBorder="1" applyAlignment="1" applyProtection="1">
      <alignment horizontal="center" vertical="distributed" shrinkToFit="1"/>
      <protection locked="0"/>
    </xf>
    <xf numFmtId="0" fontId="3" fillId="47" borderId="60" xfId="0" applyFont="1" applyFill="1" applyBorder="1" applyAlignment="1" applyProtection="1">
      <alignment horizontal="center" vertical="center" wrapText="1"/>
      <protection locked="0"/>
    </xf>
    <xf numFmtId="0" fontId="3" fillId="47" borderId="44" xfId="0" applyFont="1" applyFill="1" applyBorder="1" applyAlignment="1" applyProtection="1">
      <alignment horizontal="center" vertical="center" wrapText="1"/>
      <protection locked="0"/>
    </xf>
    <xf numFmtId="0" fontId="46" fillId="36" borderId="106" xfId="0" applyFont="1" applyFill="1" applyBorder="1" applyAlignment="1" applyProtection="1">
      <alignment horizontal="center" vertical="top"/>
      <protection locked="0"/>
    </xf>
    <xf numFmtId="0" fontId="46" fillId="36" borderId="0" xfId="0" applyFont="1" applyFill="1" applyBorder="1" applyAlignment="1" applyProtection="1">
      <alignment horizontal="center" vertical="top"/>
      <protection locked="0"/>
    </xf>
    <xf numFmtId="0" fontId="46" fillId="36" borderId="107" xfId="0" applyFont="1" applyFill="1" applyBorder="1" applyAlignment="1" applyProtection="1">
      <alignment horizontal="center" vertical="top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74" fillId="48" borderId="56" xfId="0" applyFont="1" applyFill="1" applyBorder="1" applyAlignment="1" applyProtection="1">
      <alignment horizontal="center"/>
      <protection locked="0"/>
    </xf>
    <xf numFmtId="0" fontId="74" fillId="48" borderId="164" xfId="0" applyFont="1" applyFill="1" applyBorder="1" applyAlignment="1" applyProtection="1">
      <alignment horizontal="center"/>
      <protection locked="0"/>
    </xf>
    <xf numFmtId="0" fontId="96" fillId="36" borderId="0" xfId="0" applyFont="1" applyFill="1" applyBorder="1" applyAlignment="1" applyProtection="1">
      <alignment horizontal="center" wrapText="1"/>
      <protection locked="0"/>
    </xf>
    <xf numFmtId="0" fontId="3" fillId="0" borderId="24" xfId="0" applyFont="1" applyBorder="1" applyAlignment="1" applyProtection="1">
      <alignment horizontal="center" vertical="center" wrapText="1"/>
      <protection locked="0"/>
    </xf>
    <xf numFmtId="0" fontId="0" fillId="0" borderId="23" xfId="0" applyFont="1" applyBorder="1" applyAlignment="1" applyProtection="1">
      <alignment horizontal="center" vertical="center" wrapText="1"/>
      <protection locked="0"/>
    </xf>
    <xf numFmtId="0" fontId="3" fillId="44" borderId="64" xfId="0" applyFont="1" applyFill="1" applyBorder="1" applyAlignment="1" applyProtection="1">
      <alignment horizontal="left" vertical="center" wrapText="1"/>
      <protection locked="0"/>
    </xf>
    <xf numFmtId="0" fontId="3" fillId="44" borderId="21" xfId="0" applyFont="1" applyFill="1" applyBorder="1" applyAlignment="1" applyProtection="1">
      <alignment horizontal="left" vertical="center" wrapText="1"/>
      <protection locked="0"/>
    </xf>
    <xf numFmtId="0" fontId="129" fillId="46" borderId="20" xfId="0" applyFont="1" applyFill="1" applyBorder="1" applyAlignment="1" applyProtection="1">
      <alignment horizontal="center" vertical="center" wrapText="1"/>
      <protection locked="0"/>
    </xf>
    <xf numFmtId="0" fontId="129" fillId="46" borderId="61" xfId="0" applyFont="1" applyFill="1" applyBorder="1" applyAlignment="1" applyProtection="1">
      <alignment horizontal="center" vertical="center" wrapText="1"/>
      <protection locked="0"/>
    </xf>
    <xf numFmtId="0" fontId="129" fillId="46" borderId="42" xfId="0" applyFont="1" applyFill="1" applyBorder="1" applyAlignment="1" applyProtection="1">
      <alignment horizontal="center" vertical="center" wrapText="1"/>
      <protection locked="0"/>
    </xf>
    <xf numFmtId="0" fontId="130" fillId="46" borderId="20" xfId="0" applyFont="1" applyFill="1" applyBorder="1" applyAlignment="1" applyProtection="1">
      <alignment horizontal="center" vertical="center" wrapText="1"/>
      <protection locked="0"/>
    </xf>
    <xf numFmtId="0" fontId="130" fillId="46" borderId="61" xfId="0" applyFont="1" applyFill="1" applyBorder="1" applyAlignment="1" applyProtection="1">
      <alignment horizontal="center" vertical="center" wrapText="1"/>
      <protection locked="0"/>
    </xf>
    <xf numFmtId="0" fontId="130" fillId="46" borderId="42" xfId="0" applyFont="1" applyFill="1" applyBorder="1" applyAlignment="1" applyProtection="1">
      <alignment horizontal="center" vertical="center" wrapText="1"/>
      <protection locked="0"/>
    </xf>
    <xf numFmtId="0" fontId="104" fillId="0" borderId="0" xfId="0" applyFont="1" applyAlignment="1" applyProtection="1">
      <alignment horizontal="center" vertical="center" wrapText="1"/>
      <protection hidden="1"/>
    </xf>
    <xf numFmtId="165" fontId="3" fillId="43" borderId="39" xfId="19" applyNumberFormat="1" applyFont="1" applyFill="1" applyBorder="1" applyAlignment="1" applyProtection="1">
      <alignment horizontal="center" vertical="distributed" shrinkToFit="1"/>
      <protection hidden="1"/>
    </xf>
    <xf numFmtId="0" fontId="0" fillId="46" borderId="9" xfId="0" applyFill="1" applyBorder="1" applyAlignment="1" applyProtection="1">
      <alignment horizontal="center" vertical="distributed" shrinkToFit="1"/>
      <protection locked="0"/>
    </xf>
    <xf numFmtId="0" fontId="75" fillId="40" borderId="0" xfId="0" applyNumberFormat="1" applyFont="1" applyFill="1" applyAlignment="1" applyProtection="1">
      <alignment horizontal="center"/>
      <protection hidden="1"/>
    </xf>
    <xf numFmtId="0" fontId="125" fillId="36" borderId="107" xfId="0" applyFont="1" applyFill="1" applyBorder="1" applyAlignment="1" applyProtection="1">
      <alignment horizontal="left" vertical="top" wrapText="1"/>
      <protection hidden="1"/>
    </xf>
    <xf numFmtId="0" fontId="0" fillId="0" borderId="22" xfId="0" applyFont="1" applyBorder="1" applyAlignment="1" applyProtection="1">
      <alignment horizontal="center" vertical="center" wrapText="1"/>
      <protection locked="0"/>
    </xf>
    <xf numFmtId="164" fontId="49" fillId="37" borderId="159" xfId="19" applyNumberFormat="1" applyFont="1" applyFill="1" applyBorder="1" applyAlignment="1" applyProtection="1">
      <alignment horizontal="center"/>
      <protection hidden="1"/>
    </xf>
    <xf numFmtId="164" fontId="74" fillId="48" borderId="49" xfId="19" applyNumberFormat="1" applyFont="1" applyFill="1" applyBorder="1" applyAlignment="1" applyProtection="1">
      <alignment horizontal="center"/>
      <protection locked="0"/>
    </xf>
    <xf numFmtId="164" fontId="74" fillId="48" borderId="165" xfId="19" applyNumberFormat="1" applyFont="1" applyFill="1" applyBorder="1" applyAlignment="1" applyProtection="1">
      <alignment horizontal="center"/>
      <protection locked="0"/>
    </xf>
    <xf numFmtId="0" fontId="3" fillId="0" borderId="24" xfId="0" applyFont="1" applyFill="1" applyBorder="1" applyAlignment="1" applyProtection="1">
      <alignment horizontal="center" vertical="center" wrapText="1"/>
      <protection locked="0"/>
    </xf>
    <xf numFmtId="0" fontId="0" fillId="0" borderId="23" xfId="0" applyFont="1" applyFill="1" applyBorder="1" applyAlignment="1" applyProtection="1">
      <alignment horizontal="center" vertical="center" wrapText="1"/>
      <protection locked="0"/>
    </xf>
    <xf numFmtId="0" fontId="89" fillId="0" borderId="55" xfId="0" applyFont="1" applyBorder="1" applyAlignment="1" applyProtection="1">
      <alignment horizontal="center"/>
      <protection hidden="1"/>
    </xf>
    <xf numFmtId="0" fontId="3" fillId="47" borderId="8" xfId="0" applyFont="1" applyFill="1" applyBorder="1" applyAlignment="1" applyProtection="1">
      <alignment horizontal="center" vertical="center" wrapText="1"/>
      <protection locked="0"/>
    </xf>
    <xf numFmtId="9" fontId="129" fillId="47" borderId="22" xfId="27" applyFont="1" applyFill="1" applyBorder="1" applyAlignment="1" applyProtection="1">
      <alignment horizontal="center" vertical="center" wrapText="1" readingOrder="2"/>
      <protection hidden="1"/>
    </xf>
    <xf numFmtId="9" fontId="129" fillId="47" borderId="8" xfId="27" applyFont="1" applyFill="1" applyBorder="1" applyAlignment="1" applyProtection="1">
      <alignment horizontal="center" vertical="center" wrapText="1" readingOrder="2"/>
      <protection hidden="1"/>
    </xf>
    <xf numFmtId="164" fontId="52" fillId="0" borderId="3" xfId="19" applyNumberFormat="1" applyFont="1" applyBorder="1" applyAlignment="1" applyProtection="1">
      <protection hidden="1"/>
    </xf>
    <xf numFmtId="164" fontId="52" fillId="0" borderId="5" xfId="19" applyNumberFormat="1" applyFont="1" applyBorder="1" applyAlignment="1" applyProtection="1">
      <protection hidden="1"/>
    </xf>
    <xf numFmtId="164" fontId="77" fillId="0" borderId="3" xfId="19" applyNumberFormat="1" applyFont="1" applyBorder="1" applyAlignment="1" applyProtection="1">
      <protection hidden="1"/>
    </xf>
    <xf numFmtId="164" fontId="77" fillId="0" borderId="5" xfId="19" applyNumberFormat="1" applyFont="1" applyBorder="1" applyAlignment="1" applyProtection="1">
      <protection hidden="1"/>
    </xf>
    <xf numFmtId="164" fontId="77" fillId="0" borderId="11" xfId="19" applyNumberFormat="1" applyFont="1" applyBorder="1" applyAlignment="1" applyProtection="1">
      <protection hidden="1"/>
    </xf>
    <xf numFmtId="164" fontId="77" fillId="0" borderId="1" xfId="19" applyNumberFormat="1" applyFont="1" applyBorder="1" applyAlignment="1" applyProtection="1">
      <protection hidden="1"/>
    </xf>
    <xf numFmtId="0" fontId="98" fillId="36" borderId="48" xfId="23" applyFont="1" applyFill="1" applyBorder="1" applyAlignment="1" applyProtection="1">
      <alignment horizontal="center" vertical="center"/>
      <protection hidden="1"/>
    </xf>
    <xf numFmtId="164" fontId="5" fillId="3" borderId="2" xfId="19" applyNumberFormat="1" applyFont="1" applyFill="1" applyBorder="1" applyAlignment="1" applyProtection="1">
      <alignment vertical="center"/>
      <protection hidden="1"/>
    </xf>
    <xf numFmtId="164" fontId="5" fillId="3" borderId="5" xfId="19" applyNumberFormat="1" applyFont="1" applyFill="1" applyBorder="1" applyAlignment="1" applyProtection="1">
      <alignment vertical="center"/>
      <protection hidden="1"/>
    </xf>
    <xf numFmtId="164" fontId="5" fillId="0" borderId="2" xfId="19" applyNumberFormat="1" applyFont="1" applyBorder="1" applyAlignment="1" applyProtection="1">
      <alignment vertical="center"/>
      <protection hidden="1"/>
    </xf>
    <xf numFmtId="164" fontId="5" fillId="0" borderId="3" xfId="19" applyNumberFormat="1" applyFont="1" applyBorder="1" applyAlignment="1" applyProtection="1">
      <alignment vertical="center"/>
      <protection hidden="1"/>
    </xf>
    <xf numFmtId="164" fontId="52" fillId="0" borderId="3" xfId="19" applyNumberFormat="1" applyFont="1" applyBorder="1" applyAlignment="1" applyProtection="1">
      <alignment vertical="center"/>
      <protection hidden="1"/>
    </xf>
    <xf numFmtId="164" fontId="3" fillId="0" borderId="4" xfId="19" applyNumberFormat="1" applyFont="1" applyFill="1" applyBorder="1" applyAlignment="1" applyProtection="1">
      <alignment vertical="center"/>
      <protection hidden="1"/>
    </xf>
    <xf numFmtId="164" fontId="3" fillId="0" borderId="1" xfId="19" applyNumberFormat="1" applyFont="1" applyFill="1" applyBorder="1" applyAlignment="1" applyProtection="1">
      <alignment vertical="center"/>
      <protection hidden="1"/>
    </xf>
    <xf numFmtId="164" fontId="3" fillId="0" borderId="4" xfId="19" applyNumberFormat="1" applyFont="1" applyBorder="1" applyAlignment="1" applyProtection="1">
      <alignment vertical="center"/>
      <protection hidden="1"/>
    </xf>
    <xf numFmtId="164" fontId="3" fillId="0" borderId="11" xfId="19" applyNumberFormat="1" applyFont="1" applyBorder="1" applyAlignment="1" applyProtection="1">
      <alignment vertical="center"/>
      <protection hidden="1"/>
    </xf>
    <xf numFmtId="164" fontId="77" fillId="0" borderId="11" xfId="19" applyNumberFormat="1" applyFont="1" applyBorder="1" applyAlignment="1" applyProtection="1">
      <alignment vertical="center"/>
      <protection hidden="1"/>
    </xf>
    <xf numFmtId="164" fontId="3" fillId="0" borderId="2" xfId="19" applyNumberFormat="1" applyFont="1" applyFill="1" applyBorder="1" applyAlignment="1" applyProtection="1">
      <alignment vertical="center"/>
      <protection hidden="1"/>
    </xf>
    <xf numFmtId="164" fontId="3" fillId="0" borderId="5" xfId="19" applyNumberFormat="1" applyFont="1" applyFill="1" applyBorder="1" applyAlignment="1" applyProtection="1">
      <alignment vertical="center"/>
      <protection hidden="1"/>
    </xf>
    <xf numFmtId="164" fontId="3" fillId="0" borderId="2" xfId="19" applyNumberFormat="1" applyFont="1" applyBorder="1" applyAlignment="1" applyProtection="1">
      <alignment vertical="center"/>
      <protection hidden="1"/>
    </xf>
    <xf numFmtId="164" fontId="3" fillId="0" borderId="3" xfId="19" applyNumberFormat="1" applyFont="1" applyBorder="1" applyAlignment="1" applyProtection="1">
      <alignment vertical="center"/>
      <protection hidden="1"/>
    </xf>
    <xf numFmtId="164" fontId="77" fillId="0" borderId="3" xfId="19" applyNumberFormat="1" applyFont="1" applyBorder="1" applyAlignment="1" applyProtection="1">
      <alignment vertical="center"/>
      <protection hidden="1"/>
    </xf>
    <xf numFmtId="0" fontId="18" fillId="48" borderId="26" xfId="23" applyNumberFormat="1" applyFont="1" applyFill="1" applyBorder="1" applyAlignment="1" applyProtection="1">
      <alignment horizontal="center" vertical="center" wrapText="1"/>
      <protection hidden="1"/>
    </xf>
    <xf numFmtId="0" fontId="18" fillId="48" borderId="10" xfId="23" applyNumberFormat="1" applyFont="1" applyFill="1" applyBorder="1" applyAlignment="1" applyProtection="1">
      <alignment horizontal="center" vertical="center" wrapText="1"/>
      <protection hidden="1"/>
    </xf>
    <xf numFmtId="0" fontId="18" fillId="48" borderId="26" xfId="23" applyFont="1" applyFill="1" applyBorder="1" applyAlignment="1" applyProtection="1">
      <alignment horizontal="center" vertical="center" wrapText="1"/>
      <protection hidden="1"/>
    </xf>
    <xf numFmtId="0" fontId="18" fillId="48" borderId="10" xfId="23" applyFont="1" applyFill="1" applyBorder="1" applyAlignment="1" applyProtection="1">
      <alignment horizontal="center" vertical="center" wrapText="1"/>
      <protection hidden="1"/>
    </xf>
    <xf numFmtId="0" fontId="18" fillId="48" borderId="20" xfId="23" applyFont="1" applyFill="1" applyBorder="1" applyAlignment="1" applyProtection="1">
      <alignment horizontal="center" wrapText="1"/>
      <protection hidden="1"/>
    </xf>
    <xf numFmtId="0" fontId="0" fillId="48" borderId="74" xfId="0" applyFill="1" applyBorder="1" applyAlignment="1"/>
    <xf numFmtId="0" fontId="18" fillId="48" borderId="2" xfId="23" applyFont="1" applyFill="1" applyBorder="1" applyAlignment="1" applyProtection="1">
      <alignment horizontal="center" vertical="center" wrapText="1"/>
      <protection hidden="1"/>
    </xf>
    <xf numFmtId="0" fontId="18" fillId="48" borderId="60" xfId="23" applyFont="1" applyFill="1" applyBorder="1" applyAlignment="1" applyProtection="1">
      <alignment horizontal="right" vertical="center" wrapText="1"/>
      <protection hidden="1"/>
    </xf>
    <xf numFmtId="0" fontId="18" fillId="48" borderId="44" xfId="23" applyFont="1" applyFill="1" applyBorder="1" applyAlignment="1" applyProtection="1">
      <alignment horizontal="right" vertical="center" wrapText="1"/>
      <protection hidden="1"/>
    </xf>
    <xf numFmtId="49" fontId="18" fillId="48" borderId="26" xfId="23" applyNumberFormat="1" applyFont="1" applyFill="1" applyBorder="1" applyAlignment="1" applyProtection="1">
      <alignment horizontal="center" vertical="center" wrapText="1"/>
      <protection hidden="1"/>
    </xf>
    <xf numFmtId="0" fontId="74" fillId="35" borderId="34" xfId="0" applyFont="1" applyFill="1" applyBorder="1" applyAlignment="1" applyProtection="1">
      <alignment horizontal="left"/>
      <protection hidden="1"/>
    </xf>
    <xf numFmtId="0" fontId="74" fillId="35" borderId="7" xfId="0" applyFont="1" applyFill="1" applyBorder="1" applyAlignment="1" applyProtection="1">
      <alignment horizontal="left"/>
      <protection hidden="1"/>
    </xf>
    <xf numFmtId="0" fontId="74" fillId="48" borderId="62" xfId="0" applyFont="1" applyFill="1" applyBorder="1" applyAlignment="1" applyProtection="1">
      <alignment horizontal="left"/>
      <protection hidden="1"/>
    </xf>
    <xf numFmtId="0" fontId="74" fillId="48" borderId="19" xfId="0" applyFont="1" applyFill="1" applyBorder="1" applyAlignment="1" applyProtection="1">
      <alignment horizontal="left"/>
      <protection hidden="1"/>
    </xf>
    <xf numFmtId="0" fontId="102" fillId="36" borderId="0" xfId="0" applyFont="1" applyFill="1" applyAlignment="1" applyProtection="1">
      <alignment horizontal="right" vertical="top" wrapText="1" readingOrder="2"/>
      <protection hidden="1"/>
    </xf>
    <xf numFmtId="0" fontId="74" fillId="48" borderId="53" xfId="0" applyFont="1" applyFill="1" applyBorder="1" applyAlignment="1" applyProtection="1">
      <alignment horizontal="center"/>
      <protection hidden="1"/>
    </xf>
    <xf numFmtId="0" fontId="74" fillId="48" borderId="57" xfId="0" applyFont="1" applyFill="1" applyBorder="1" applyAlignment="1" applyProtection="1">
      <alignment horizontal="center"/>
      <protection hidden="1"/>
    </xf>
    <xf numFmtId="0" fontId="74" fillId="44" borderId="21" xfId="0" applyFont="1" applyFill="1" applyBorder="1" applyAlignment="1" applyProtection="1">
      <alignment horizontal="center"/>
      <protection hidden="1"/>
    </xf>
    <xf numFmtId="0" fontId="0" fillId="48" borderId="75" xfId="0" applyFill="1" applyBorder="1" applyAlignment="1" applyProtection="1">
      <alignment horizontal="left" vertical="center" wrapText="1"/>
      <protection hidden="1"/>
    </xf>
    <xf numFmtId="0" fontId="0" fillId="48" borderId="76" xfId="0" applyFill="1" applyBorder="1" applyAlignment="1" applyProtection="1">
      <alignment horizontal="left" vertical="center"/>
      <protection hidden="1"/>
    </xf>
    <xf numFmtId="0" fontId="74" fillId="43" borderId="59" xfId="0" applyFont="1" applyFill="1" applyBorder="1" applyAlignment="1" applyProtection="1">
      <alignment horizontal="center" vertical="center" textRotation="90"/>
      <protection hidden="1"/>
    </xf>
    <xf numFmtId="0" fontId="74" fillId="43" borderId="34" xfId="0" applyFont="1" applyFill="1" applyBorder="1" applyAlignment="1" applyProtection="1">
      <alignment horizontal="center" vertical="center" textRotation="90"/>
      <protection hidden="1"/>
    </xf>
    <xf numFmtId="0" fontId="74" fillId="43" borderId="63" xfId="0" applyFont="1" applyFill="1" applyBorder="1" applyAlignment="1" applyProtection="1">
      <alignment horizontal="center" vertical="center" textRotation="90"/>
      <protection hidden="1"/>
    </xf>
    <xf numFmtId="0" fontId="74" fillId="44" borderId="20" xfId="0" applyFont="1" applyFill="1" applyBorder="1" applyAlignment="1" applyProtection="1">
      <alignment horizontal="center" vertical="center" textRotation="90"/>
      <protection hidden="1"/>
    </xf>
    <xf numFmtId="0" fontId="0" fillId="44" borderId="61" xfId="0" applyFill="1" applyBorder="1"/>
    <xf numFmtId="0" fontId="0" fillId="44" borderId="42" xfId="0" applyFill="1" applyBorder="1"/>
    <xf numFmtId="0" fontId="74" fillId="47" borderId="20" xfId="0" applyFont="1" applyFill="1" applyBorder="1" applyAlignment="1" applyProtection="1">
      <alignment horizontal="center" vertical="center" textRotation="90" wrapText="1"/>
      <protection hidden="1"/>
    </xf>
    <xf numFmtId="0" fontId="74" fillId="47" borderId="61" xfId="0" applyFont="1" applyFill="1" applyBorder="1" applyAlignment="1" applyProtection="1">
      <alignment horizontal="center" vertical="center" textRotation="90"/>
      <protection hidden="1"/>
    </xf>
    <xf numFmtId="0" fontId="74" fillId="47" borderId="42" xfId="0" applyFont="1" applyFill="1" applyBorder="1" applyAlignment="1" applyProtection="1">
      <alignment horizontal="center" vertical="center" textRotation="90"/>
      <protection hidden="1"/>
    </xf>
    <xf numFmtId="0" fontId="74" fillId="46" borderId="20" xfId="0" applyFont="1" applyFill="1" applyBorder="1" applyAlignment="1" applyProtection="1">
      <alignment horizontal="center" vertical="center" textRotation="90"/>
      <protection hidden="1"/>
    </xf>
    <xf numFmtId="0" fontId="74" fillId="46" borderId="61" xfId="0" applyFont="1" applyFill="1" applyBorder="1" applyAlignment="1" applyProtection="1">
      <alignment horizontal="center" vertical="center" textRotation="90"/>
      <protection hidden="1"/>
    </xf>
    <xf numFmtId="0" fontId="74" fillId="46" borderId="42" xfId="0" applyFont="1" applyFill="1" applyBorder="1" applyAlignment="1" applyProtection="1">
      <alignment horizontal="center" vertical="center" textRotation="90"/>
      <protection hidden="1"/>
    </xf>
    <xf numFmtId="0" fontId="74" fillId="48" borderId="30" xfId="0" applyFont="1" applyFill="1" applyBorder="1" applyAlignment="1" applyProtection="1">
      <alignment horizontal="left"/>
      <protection hidden="1"/>
    </xf>
    <xf numFmtId="0" fontId="74" fillId="48" borderId="32" xfId="0" applyFont="1" applyFill="1" applyBorder="1" applyAlignment="1" applyProtection="1">
      <alignment horizontal="left"/>
      <protection hidden="1"/>
    </xf>
    <xf numFmtId="0" fontId="131" fillId="36" borderId="0" xfId="0" applyFont="1" applyFill="1" applyAlignment="1" applyProtection="1">
      <alignment horizontal="right" vertical="center" wrapText="1" readingOrder="2"/>
      <protection hidden="1"/>
    </xf>
    <xf numFmtId="0" fontId="102" fillId="36" borderId="0" xfId="0" applyFont="1" applyFill="1" applyAlignment="1" applyProtection="1">
      <alignment horizontal="right" vertical="center" wrapText="1" readingOrder="2"/>
      <protection hidden="1"/>
    </xf>
    <xf numFmtId="0" fontId="102" fillId="36" borderId="0" xfId="0" applyFont="1" applyFill="1" applyAlignment="1" applyProtection="1">
      <alignment horizontal="right" wrapText="1" readingOrder="2"/>
      <protection hidden="1"/>
    </xf>
    <xf numFmtId="0" fontId="74" fillId="36" borderId="166" xfId="0" applyFont="1" applyFill="1" applyBorder="1" applyAlignment="1" applyProtection="1">
      <alignment horizontal="center"/>
      <protection hidden="1"/>
    </xf>
    <xf numFmtId="0" fontId="74" fillId="36" borderId="167" xfId="0" applyFont="1" applyFill="1" applyBorder="1" applyAlignment="1" applyProtection="1">
      <alignment horizontal="center"/>
      <protection hidden="1"/>
    </xf>
    <xf numFmtId="0" fontId="74" fillId="43" borderId="29" xfId="0" applyFont="1" applyFill="1" applyBorder="1" applyAlignment="1" applyProtection="1">
      <alignment horizontal="center" vertical="center" textRotation="90"/>
      <protection hidden="1"/>
    </xf>
    <xf numFmtId="0" fontId="74" fillId="43" borderId="25" xfId="0" applyFont="1" applyFill="1" applyBorder="1" applyAlignment="1" applyProtection="1">
      <alignment horizontal="center" vertical="center" textRotation="90"/>
      <protection hidden="1"/>
    </xf>
    <xf numFmtId="0" fontId="74" fillId="43" borderId="33" xfId="0" applyFont="1" applyFill="1" applyBorder="1" applyAlignment="1" applyProtection="1">
      <alignment horizontal="center" vertical="center" textRotation="90"/>
      <protection hidden="1"/>
    </xf>
    <xf numFmtId="0" fontId="74" fillId="44" borderId="29" xfId="0" applyFont="1" applyFill="1" applyBorder="1" applyAlignment="1" applyProtection="1">
      <alignment horizontal="center" vertical="center" textRotation="90"/>
      <protection hidden="1"/>
    </xf>
    <xf numFmtId="0" fontId="74" fillId="44" borderId="25" xfId="0" applyFont="1" applyFill="1" applyBorder="1" applyAlignment="1" applyProtection="1">
      <alignment horizontal="center" vertical="center" textRotation="90"/>
      <protection hidden="1"/>
    </xf>
    <xf numFmtId="0" fontId="74" fillId="44" borderId="33" xfId="0" applyFont="1" applyFill="1" applyBorder="1" applyAlignment="1" applyProtection="1">
      <alignment horizontal="center" vertical="center" textRotation="90"/>
      <protection hidden="1"/>
    </xf>
    <xf numFmtId="0" fontId="0" fillId="48" borderId="76" xfId="0" applyFill="1" applyBorder="1" applyAlignment="1">
      <alignment horizontal="left" vertical="center"/>
    </xf>
    <xf numFmtId="0" fontId="74" fillId="47" borderId="20" xfId="0" applyFont="1" applyFill="1" applyBorder="1" applyAlignment="1" applyProtection="1">
      <alignment horizontal="center" vertical="center" textRotation="90"/>
      <protection hidden="1"/>
    </xf>
    <xf numFmtId="0" fontId="74" fillId="48" borderId="16" xfId="0" applyFont="1" applyFill="1" applyBorder="1" applyAlignment="1" applyProtection="1">
      <alignment horizontal="left"/>
      <protection hidden="1"/>
    </xf>
    <xf numFmtId="0" fontId="74" fillId="48" borderId="55" xfId="0" applyFont="1" applyFill="1" applyBorder="1" applyAlignment="1" applyProtection="1">
      <alignment horizontal="center"/>
      <protection hidden="1"/>
    </xf>
    <xf numFmtId="0" fontId="74" fillId="48" borderId="77" xfId="0" applyFont="1" applyFill="1" applyBorder="1" applyAlignment="1" applyProtection="1">
      <alignment horizontal="center"/>
      <protection hidden="1"/>
    </xf>
    <xf numFmtId="0" fontId="74" fillId="38" borderId="20" xfId="0" applyFont="1" applyFill="1" applyBorder="1" applyAlignment="1" applyProtection="1">
      <alignment horizontal="center" vertical="center" textRotation="90"/>
      <protection hidden="1"/>
    </xf>
    <xf numFmtId="0" fontId="74" fillId="38" borderId="61" xfId="0" applyFont="1" applyFill="1" applyBorder="1" applyAlignment="1" applyProtection="1">
      <alignment horizontal="center" vertical="center" textRotation="90"/>
      <protection hidden="1"/>
    </xf>
    <xf numFmtId="0" fontId="74" fillId="38" borderId="42" xfId="0" applyFont="1" applyFill="1" applyBorder="1" applyAlignment="1" applyProtection="1">
      <alignment horizontal="center" vertical="center" textRotation="90"/>
      <protection hidden="1"/>
    </xf>
    <xf numFmtId="0" fontId="74" fillId="48" borderId="14" xfId="0" applyFont="1" applyFill="1" applyBorder="1" applyAlignment="1" applyProtection="1">
      <alignment horizontal="left"/>
      <protection hidden="1"/>
    </xf>
    <xf numFmtId="0" fontId="74" fillId="35" borderId="15" xfId="0" applyFont="1" applyFill="1" applyBorder="1" applyAlignment="1" applyProtection="1">
      <alignment horizontal="left"/>
      <protection hidden="1"/>
    </xf>
    <xf numFmtId="0" fontId="132" fillId="36" borderId="0" xfId="0" applyFont="1" applyFill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74" fillId="36" borderId="0" xfId="0" applyFont="1" applyFill="1" applyAlignment="1" applyProtection="1">
      <alignment horizontal="center"/>
      <protection hidden="1"/>
    </xf>
    <xf numFmtId="0" fontId="94" fillId="0" borderId="0" xfId="0" applyFont="1" applyAlignment="1" applyProtection="1">
      <alignment horizontal="center" vertical="center" wrapText="1"/>
      <protection hidden="1"/>
    </xf>
  </cellXfs>
  <cellStyles count="53">
    <cellStyle name="20% - הדגשה1" xfId="1" builtinId="30" customBuiltin="1"/>
    <cellStyle name="20% - הדגשה2" xfId="2" builtinId="34" customBuiltin="1"/>
    <cellStyle name="20% - הדגשה3" xfId="3" builtinId="38" customBuiltin="1"/>
    <cellStyle name="20% - הדגשה4" xfId="4" builtinId="42" customBuiltin="1"/>
    <cellStyle name="20% - הדגשה5" xfId="5" builtinId="46" customBuiltin="1"/>
    <cellStyle name="20% - הדגשה6" xfId="6" builtinId="50" customBuiltin="1"/>
    <cellStyle name="40% - הדגשה1" xfId="7" builtinId="31" customBuiltin="1"/>
    <cellStyle name="40% - הדגשה2" xfId="8" builtinId="35" customBuiltin="1"/>
    <cellStyle name="40% - הדגשה3" xfId="9" builtinId="39" customBuiltin="1"/>
    <cellStyle name="40% - הדגשה4" xfId="10" builtinId="43" customBuiltin="1"/>
    <cellStyle name="40% - הדגשה5" xfId="11" builtinId="47" customBuiltin="1"/>
    <cellStyle name="40% - הדגשה6" xfId="12" builtinId="51" customBuiltin="1"/>
    <cellStyle name="60% - הדגשה1" xfId="13" builtinId="32" customBuiltin="1"/>
    <cellStyle name="60% - הדגשה2" xfId="14" builtinId="36" customBuiltin="1"/>
    <cellStyle name="60% - הדגשה3" xfId="15" builtinId="40" customBuiltin="1"/>
    <cellStyle name="60% - הדגשה4" xfId="16" builtinId="44" customBuiltin="1"/>
    <cellStyle name="60% - הדגשה5" xfId="17" builtinId="48" customBuiltin="1"/>
    <cellStyle name="60% - הדגשה6" xfId="18" builtinId="52" customBuiltin="1"/>
    <cellStyle name="Comma" xfId="19" builtinId="3"/>
    <cellStyle name="Comma 2" xfId="20"/>
    <cellStyle name="Comma 2 2" xfId="21"/>
    <cellStyle name="Comma 3" xfId="22"/>
    <cellStyle name="Normal" xfId="0" builtinId="0"/>
    <cellStyle name="Normal 2" xfId="23"/>
    <cellStyle name="Normal 2 2" xfId="24"/>
    <cellStyle name="Normal 3" xfId="25"/>
    <cellStyle name="Normal 4" xfId="26"/>
    <cellStyle name="Percent" xfId="27" builtinId="5"/>
    <cellStyle name="Percent 2" xfId="28"/>
    <cellStyle name="הדגשה1" xfId="29" builtinId="29" customBuiltin="1"/>
    <cellStyle name="הדגשה2" xfId="30" builtinId="33" customBuiltin="1"/>
    <cellStyle name="הדגשה3" xfId="31" builtinId="37" customBuiltin="1"/>
    <cellStyle name="הדגשה4" xfId="32" builtinId="41" customBuiltin="1"/>
    <cellStyle name="הדגשה5" xfId="33" builtinId="45" customBuiltin="1"/>
    <cellStyle name="הדגשה6" xfId="34" builtinId="49" customBuiltin="1"/>
    <cellStyle name="היפר-קישור" xfId="35" builtinId="8"/>
    <cellStyle name="הערה 2" xfId="36"/>
    <cellStyle name="חישוב" xfId="37" builtinId="22" customBuiltin="1"/>
    <cellStyle name="טוב" xfId="38" builtinId="26" customBuiltin="1"/>
    <cellStyle name="טקסט אזהרה" xfId="39" builtinId="11" customBuiltin="1"/>
    <cellStyle name="טקסט הסברי" xfId="40" builtinId="53" customBuiltin="1"/>
    <cellStyle name="כותרת" xfId="41" builtinId="15" customBuiltin="1"/>
    <cellStyle name="כותרת 1" xfId="42" builtinId="16" customBuiltin="1"/>
    <cellStyle name="כותרת 2" xfId="43" builtinId="17" customBuiltin="1"/>
    <cellStyle name="כותרת 3" xfId="44" builtinId="18" customBuiltin="1"/>
    <cellStyle name="כותרת 4" xfId="45" builtinId="19" customBuiltin="1"/>
    <cellStyle name="ניטראלי" xfId="46" builtinId="28" customBuiltin="1"/>
    <cellStyle name="סה&quot;כ" xfId="47" builtinId="25" customBuiltin="1"/>
    <cellStyle name="פלט" xfId="48" builtinId="21" customBuiltin="1"/>
    <cellStyle name="קלט" xfId="49" builtinId="20" customBuiltin="1"/>
    <cellStyle name="רע" xfId="50" builtinId="27" customBuiltin="1"/>
    <cellStyle name="תא מסומן" xfId="51" builtinId="23" customBuiltin="1"/>
    <cellStyle name="תא מקושר" xfId="52" builtinId="24" customBuiltin="1"/>
  </cellStyles>
  <dxfs count="4841"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color theme="1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FF00"/>
        </patternFill>
      </fill>
    </dxf>
    <dxf>
      <font>
        <color theme="0"/>
      </font>
      <border>
        <left/>
        <right/>
        <top/>
        <bottom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auto="1"/>
      </font>
      <fill>
        <patternFill>
          <bgColor theme="8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8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BEBE"/>
        </patternFill>
      </fill>
    </dxf>
    <dxf>
      <fill>
        <patternFill>
          <bgColor rgb="FFFFA0A0"/>
        </patternFill>
      </fill>
    </dxf>
    <dxf>
      <fill>
        <patternFill>
          <bgColor rgb="FFFF8282"/>
        </patternFill>
      </fill>
    </dxf>
    <dxf>
      <fill>
        <patternFill>
          <bgColor rgb="FFFF6464"/>
        </patternFill>
      </fill>
    </dxf>
    <dxf>
      <fill>
        <patternFill>
          <bgColor rgb="FFFF4646"/>
        </patternFill>
      </fill>
    </dxf>
    <dxf>
      <fill>
        <patternFill>
          <bgColor rgb="FFFF2828"/>
        </patternFill>
      </fill>
    </dxf>
    <dxf>
      <fill>
        <patternFill>
          <bgColor rgb="FFFF0505"/>
        </patternFill>
      </fill>
    </dxf>
    <dxf>
      <fill>
        <patternFill>
          <bgColor rgb="FFDE0000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BEBE"/>
        </patternFill>
      </fill>
    </dxf>
    <dxf>
      <fill>
        <patternFill>
          <bgColor rgb="FFFFA0A0"/>
        </patternFill>
      </fill>
    </dxf>
    <dxf>
      <fill>
        <patternFill>
          <bgColor rgb="FFFF8282"/>
        </patternFill>
      </fill>
    </dxf>
    <dxf>
      <fill>
        <patternFill>
          <bgColor rgb="FFFF6464"/>
        </patternFill>
      </fill>
    </dxf>
    <dxf>
      <fill>
        <patternFill>
          <bgColor rgb="FFFF4646"/>
        </patternFill>
      </fill>
    </dxf>
    <dxf>
      <fill>
        <patternFill>
          <bgColor rgb="FFFF2828"/>
        </patternFill>
      </fill>
    </dxf>
    <dxf>
      <fill>
        <patternFill>
          <bgColor rgb="FFFF0505"/>
        </patternFill>
      </fill>
    </dxf>
    <dxf>
      <fill>
        <patternFill>
          <bgColor rgb="FFDE0000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BEBE"/>
        </patternFill>
      </fill>
    </dxf>
    <dxf>
      <fill>
        <patternFill>
          <bgColor rgb="FFFFA0A0"/>
        </patternFill>
      </fill>
    </dxf>
    <dxf>
      <fill>
        <patternFill>
          <bgColor rgb="FFFF8282"/>
        </patternFill>
      </fill>
    </dxf>
    <dxf>
      <fill>
        <patternFill>
          <bgColor rgb="FFFF6464"/>
        </patternFill>
      </fill>
    </dxf>
    <dxf>
      <fill>
        <patternFill>
          <bgColor rgb="FFFF4646"/>
        </patternFill>
      </fill>
    </dxf>
    <dxf>
      <fill>
        <patternFill>
          <bgColor rgb="FFFF2828"/>
        </patternFill>
      </fill>
    </dxf>
    <dxf>
      <fill>
        <patternFill>
          <bgColor rgb="FFFF0505"/>
        </patternFill>
      </fill>
    </dxf>
    <dxf>
      <fill>
        <patternFill>
          <bgColor rgb="FFDE0000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BEBE"/>
        </patternFill>
      </fill>
    </dxf>
    <dxf>
      <fill>
        <patternFill>
          <bgColor rgb="FFFFA0A0"/>
        </patternFill>
      </fill>
    </dxf>
    <dxf>
      <fill>
        <patternFill>
          <bgColor rgb="FFFF8282"/>
        </patternFill>
      </fill>
    </dxf>
    <dxf>
      <fill>
        <patternFill>
          <bgColor rgb="FFFF6464"/>
        </patternFill>
      </fill>
    </dxf>
    <dxf>
      <fill>
        <patternFill>
          <bgColor rgb="FFFF4646"/>
        </patternFill>
      </fill>
    </dxf>
    <dxf>
      <fill>
        <patternFill>
          <bgColor rgb="FFFF2828"/>
        </patternFill>
      </fill>
    </dxf>
    <dxf>
      <fill>
        <patternFill>
          <bgColor rgb="FFFF0505"/>
        </patternFill>
      </fill>
    </dxf>
    <dxf>
      <fill>
        <patternFill>
          <bgColor rgb="FFDE0000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BEBE"/>
        </patternFill>
      </fill>
    </dxf>
    <dxf>
      <fill>
        <patternFill>
          <bgColor rgb="FFFFA0A0"/>
        </patternFill>
      </fill>
    </dxf>
    <dxf>
      <fill>
        <patternFill>
          <bgColor rgb="FFFF8282"/>
        </patternFill>
      </fill>
    </dxf>
    <dxf>
      <fill>
        <patternFill>
          <bgColor rgb="FFFF6464"/>
        </patternFill>
      </fill>
    </dxf>
    <dxf>
      <fill>
        <patternFill>
          <bgColor rgb="FFFF4646"/>
        </patternFill>
      </fill>
    </dxf>
    <dxf>
      <fill>
        <patternFill>
          <bgColor rgb="FFFF2828"/>
        </patternFill>
      </fill>
    </dxf>
    <dxf>
      <fill>
        <patternFill>
          <bgColor rgb="FFFF0505"/>
        </patternFill>
      </fill>
    </dxf>
    <dxf>
      <fill>
        <patternFill>
          <bgColor rgb="FFDE0000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BEBE"/>
        </patternFill>
      </fill>
    </dxf>
    <dxf>
      <fill>
        <patternFill>
          <bgColor rgb="FFFFA0A0"/>
        </patternFill>
      </fill>
    </dxf>
    <dxf>
      <fill>
        <patternFill>
          <bgColor rgb="FFFF8282"/>
        </patternFill>
      </fill>
    </dxf>
    <dxf>
      <fill>
        <patternFill>
          <bgColor rgb="FFFF6464"/>
        </patternFill>
      </fill>
    </dxf>
    <dxf>
      <fill>
        <patternFill>
          <bgColor rgb="FFFF4646"/>
        </patternFill>
      </fill>
    </dxf>
    <dxf>
      <fill>
        <patternFill>
          <bgColor rgb="FFFF2828"/>
        </patternFill>
      </fill>
    </dxf>
    <dxf>
      <fill>
        <patternFill>
          <bgColor rgb="FFFF0505"/>
        </patternFill>
      </fill>
    </dxf>
    <dxf>
      <fill>
        <patternFill>
          <bgColor rgb="FFDE0000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BEBE"/>
        </patternFill>
      </fill>
    </dxf>
    <dxf>
      <fill>
        <patternFill>
          <bgColor rgb="FFFFA0A0"/>
        </patternFill>
      </fill>
    </dxf>
    <dxf>
      <fill>
        <patternFill>
          <bgColor rgb="FFFF8282"/>
        </patternFill>
      </fill>
    </dxf>
    <dxf>
      <fill>
        <patternFill>
          <bgColor rgb="FFFF6464"/>
        </patternFill>
      </fill>
    </dxf>
    <dxf>
      <fill>
        <patternFill>
          <bgColor rgb="FFFF4646"/>
        </patternFill>
      </fill>
    </dxf>
    <dxf>
      <fill>
        <patternFill>
          <bgColor rgb="FFFF2828"/>
        </patternFill>
      </fill>
    </dxf>
    <dxf>
      <fill>
        <patternFill>
          <bgColor rgb="FFFF0505"/>
        </patternFill>
      </fill>
    </dxf>
    <dxf>
      <fill>
        <patternFill>
          <bgColor rgb="FFDE0000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BEBE"/>
        </patternFill>
      </fill>
    </dxf>
    <dxf>
      <fill>
        <patternFill>
          <bgColor rgb="FFFFA0A0"/>
        </patternFill>
      </fill>
    </dxf>
    <dxf>
      <fill>
        <patternFill>
          <bgColor rgb="FFFF8282"/>
        </patternFill>
      </fill>
    </dxf>
    <dxf>
      <fill>
        <patternFill>
          <bgColor rgb="FFFF6464"/>
        </patternFill>
      </fill>
    </dxf>
    <dxf>
      <fill>
        <patternFill>
          <bgColor rgb="FFFF4646"/>
        </patternFill>
      </fill>
    </dxf>
    <dxf>
      <fill>
        <patternFill>
          <bgColor rgb="FFFF2828"/>
        </patternFill>
      </fill>
    </dxf>
    <dxf>
      <fill>
        <patternFill>
          <bgColor rgb="FFFF0505"/>
        </patternFill>
      </fill>
    </dxf>
    <dxf>
      <fill>
        <patternFill>
          <bgColor rgb="FFDE0000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BEBE"/>
        </patternFill>
      </fill>
    </dxf>
    <dxf>
      <fill>
        <patternFill>
          <bgColor rgb="FFFFA0A0"/>
        </patternFill>
      </fill>
    </dxf>
    <dxf>
      <fill>
        <patternFill>
          <bgColor rgb="FFFF8282"/>
        </patternFill>
      </fill>
    </dxf>
    <dxf>
      <fill>
        <patternFill>
          <bgColor rgb="FFFF6464"/>
        </patternFill>
      </fill>
    </dxf>
    <dxf>
      <fill>
        <patternFill>
          <bgColor rgb="FFFF4646"/>
        </patternFill>
      </fill>
    </dxf>
    <dxf>
      <fill>
        <patternFill>
          <bgColor rgb="FFFF2828"/>
        </patternFill>
      </fill>
    </dxf>
    <dxf>
      <fill>
        <patternFill>
          <bgColor rgb="FFFF0505"/>
        </patternFill>
      </fill>
    </dxf>
    <dxf>
      <fill>
        <patternFill>
          <bgColor rgb="FFDE0000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BEBE"/>
        </patternFill>
      </fill>
    </dxf>
    <dxf>
      <fill>
        <patternFill>
          <bgColor rgb="FFFFA0A0"/>
        </patternFill>
      </fill>
    </dxf>
    <dxf>
      <fill>
        <patternFill>
          <bgColor rgb="FFFF8282"/>
        </patternFill>
      </fill>
    </dxf>
    <dxf>
      <fill>
        <patternFill>
          <bgColor rgb="FFFF6464"/>
        </patternFill>
      </fill>
    </dxf>
    <dxf>
      <fill>
        <patternFill>
          <bgColor rgb="FFFF4646"/>
        </patternFill>
      </fill>
    </dxf>
    <dxf>
      <fill>
        <patternFill>
          <bgColor rgb="FFFF2828"/>
        </patternFill>
      </fill>
    </dxf>
    <dxf>
      <fill>
        <patternFill>
          <bgColor rgb="FFFF0505"/>
        </patternFill>
      </fill>
    </dxf>
    <dxf>
      <fill>
        <patternFill>
          <bgColor rgb="FFDE0000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BEBE"/>
        </patternFill>
      </fill>
    </dxf>
    <dxf>
      <fill>
        <patternFill>
          <bgColor rgb="FFFFA0A0"/>
        </patternFill>
      </fill>
    </dxf>
    <dxf>
      <fill>
        <patternFill>
          <bgColor rgb="FFFF8282"/>
        </patternFill>
      </fill>
    </dxf>
    <dxf>
      <fill>
        <patternFill>
          <bgColor rgb="FFFF6464"/>
        </patternFill>
      </fill>
    </dxf>
    <dxf>
      <fill>
        <patternFill>
          <bgColor rgb="FFFF4646"/>
        </patternFill>
      </fill>
    </dxf>
    <dxf>
      <fill>
        <patternFill>
          <bgColor rgb="FFFF2828"/>
        </patternFill>
      </fill>
    </dxf>
    <dxf>
      <fill>
        <patternFill>
          <bgColor rgb="FFFF0505"/>
        </patternFill>
      </fill>
    </dxf>
    <dxf>
      <fill>
        <patternFill>
          <bgColor rgb="FFDE0000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BEBE"/>
        </patternFill>
      </fill>
    </dxf>
    <dxf>
      <fill>
        <patternFill>
          <bgColor rgb="FFFFA0A0"/>
        </patternFill>
      </fill>
    </dxf>
    <dxf>
      <fill>
        <patternFill>
          <bgColor rgb="FFFF8282"/>
        </patternFill>
      </fill>
    </dxf>
    <dxf>
      <fill>
        <patternFill>
          <bgColor rgb="FFFF6464"/>
        </patternFill>
      </fill>
    </dxf>
    <dxf>
      <fill>
        <patternFill>
          <bgColor rgb="FFFF4646"/>
        </patternFill>
      </fill>
    </dxf>
    <dxf>
      <fill>
        <patternFill>
          <bgColor rgb="FFFF2828"/>
        </patternFill>
      </fill>
    </dxf>
    <dxf>
      <fill>
        <patternFill>
          <bgColor rgb="FFFF0505"/>
        </patternFill>
      </fill>
    </dxf>
    <dxf>
      <fill>
        <patternFill>
          <bgColor rgb="FFDE0000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00B0F0"/>
        </patternFill>
      </fill>
    </dxf>
    <dxf>
      <font>
        <color rgb="FFFF0000"/>
      </font>
      <fill>
        <patternFill patternType="none">
          <bgColor indexed="65"/>
        </patternFill>
      </fill>
    </dxf>
    <dxf>
      <font>
        <color rgb="FFFF0000"/>
      </font>
      <fill>
        <patternFill patternType="none">
          <bgColor indexed="65"/>
        </patternFill>
      </fill>
    </dxf>
  </dxfs>
  <tableStyles count="0" defaultTableStyle="TableStyleMedium9" defaultPivotStyle="PivotStyleLight16"/>
  <colors>
    <mruColors>
      <color rgb="FFFF33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jpe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jpe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eg"/><Relationship Id="rId2" Type="http://schemas.openxmlformats.org/officeDocument/2006/relationships/image" Target="../media/image8.jpeg"/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eg"/><Relationship Id="rId2" Type="http://schemas.openxmlformats.org/officeDocument/2006/relationships/image" Target="../media/image8.jpeg"/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8.jpeg"/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8.jpeg"/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jpeg"/><Relationship Id="rId1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12.jpeg"/><Relationship Id="rId1" Type="http://schemas.openxmlformats.org/officeDocument/2006/relationships/image" Target="../media/image1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jpeg"/><Relationship Id="rId1" Type="http://schemas.openxmlformats.org/officeDocument/2006/relationships/image" Target="../media/image6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jpeg"/><Relationship Id="rId1" Type="http://schemas.openxmlformats.org/officeDocument/2006/relationships/image" Target="../media/image10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jpeg"/><Relationship Id="rId1" Type="http://schemas.openxmlformats.org/officeDocument/2006/relationships/image" Target="../media/image6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jpeg"/><Relationship Id="rId1" Type="http://schemas.openxmlformats.org/officeDocument/2006/relationships/image" Target="../media/image6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342900</xdr:colOff>
      <xdr:row>11</xdr:row>
      <xdr:rowOff>19050</xdr:rowOff>
    </xdr:from>
    <xdr:to>
      <xdr:col>17</xdr:col>
      <xdr:colOff>409575</xdr:colOff>
      <xdr:row>14</xdr:row>
      <xdr:rowOff>66675</xdr:rowOff>
    </xdr:to>
    <xdr:pic>
      <xdr:nvPicPr>
        <xdr:cNvPr id="1031" name="Picture 1" descr="Logo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34500" y="2028825"/>
          <a:ext cx="1504950" cy="657225"/>
        </a:xfrm>
        <a:prstGeom prst="rect">
          <a:avLst/>
        </a:prstGeom>
        <a:noFill/>
        <a:ln w="9525">
          <a:solidFill>
            <a:srgbClr val="9900CC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105833</xdr:colOff>
      <xdr:row>0</xdr:row>
      <xdr:rowOff>31749</xdr:rowOff>
    </xdr:from>
    <xdr:to>
      <xdr:col>15</xdr:col>
      <xdr:colOff>74083</xdr:colOff>
      <xdr:row>1</xdr:row>
      <xdr:rowOff>74083</xdr:rowOff>
    </xdr:to>
    <xdr:sp macro="" textlink="">
      <xdr:nvSpPr>
        <xdr:cNvPr id="2" name="Left Arrow 1"/>
        <xdr:cNvSpPr/>
      </xdr:nvSpPr>
      <xdr:spPr>
        <a:xfrm flipH="1">
          <a:off x="9516533" y="31749"/>
          <a:ext cx="873125" cy="366184"/>
        </a:xfrm>
        <a:prstGeom prst="leftArrow">
          <a:avLst/>
        </a:prstGeom>
        <a:solidFill>
          <a:srgbClr val="FFFF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r" rtl="1"/>
          <a:r>
            <a:rPr lang="en-US" sz="1100">
              <a:solidFill>
                <a:sysClr val="windowText" lastClr="000000"/>
              </a:solidFill>
            </a:rPr>
            <a:t>continue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0</xdr:colOff>
      <xdr:row>0</xdr:row>
      <xdr:rowOff>31749</xdr:rowOff>
    </xdr:from>
    <xdr:to>
      <xdr:col>21</xdr:col>
      <xdr:colOff>137583</xdr:colOff>
      <xdr:row>1</xdr:row>
      <xdr:rowOff>74083</xdr:rowOff>
    </xdr:to>
    <xdr:sp macro="" textlink="">
      <xdr:nvSpPr>
        <xdr:cNvPr id="3" name="Left Arrow 2"/>
        <xdr:cNvSpPr/>
      </xdr:nvSpPr>
      <xdr:spPr>
        <a:xfrm flipH="1">
          <a:off x="15011400" y="31749"/>
          <a:ext cx="851958" cy="366184"/>
        </a:xfrm>
        <a:prstGeom prst="leftArrow">
          <a:avLst/>
        </a:prstGeom>
        <a:solidFill>
          <a:srgbClr val="FFFF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r" rtl="1"/>
          <a:r>
            <a:rPr lang="en-US" sz="1100">
              <a:solidFill>
                <a:sysClr val="windowText" lastClr="000000"/>
              </a:solidFill>
            </a:rPr>
            <a:t>continue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26</xdr:col>
      <xdr:colOff>0</xdr:colOff>
      <xdr:row>0</xdr:row>
      <xdr:rowOff>21166</xdr:rowOff>
    </xdr:from>
    <xdr:to>
      <xdr:col>27</xdr:col>
      <xdr:colOff>137583</xdr:colOff>
      <xdr:row>1</xdr:row>
      <xdr:rowOff>63500</xdr:rowOff>
    </xdr:to>
    <xdr:sp macro="" textlink="">
      <xdr:nvSpPr>
        <xdr:cNvPr id="4" name="Left Arrow 3"/>
        <xdr:cNvSpPr/>
      </xdr:nvSpPr>
      <xdr:spPr>
        <a:xfrm flipH="1">
          <a:off x="19554825" y="21166"/>
          <a:ext cx="851958" cy="366184"/>
        </a:xfrm>
        <a:prstGeom prst="leftArrow">
          <a:avLst/>
        </a:prstGeom>
        <a:solidFill>
          <a:srgbClr val="FFFF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r" rtl="1"/>
          <a:r>
            <a:rPr lang="en-US" sz="1100">
              <a:solidFill>
                <a:sysClr val="windowText" lastClr="000000"/>
              </a:solidFill>
            </a:rPr>
            <a:t>continue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29</xdr:col>
      <xdr:colOff>0</xdr:colOff>
      <xdr:row>0</xdr:row>
      <xdr:rowOff>0</xdr:rowOff>
    </xdr:from>
    <xdr:to>
      <xdr:col>30</xdr:col>
      <xdr:colOff>21167</xdr:colOff>
      <xdr:row>1</xdr:row>
      <xdr:rowOff>42334</xdr:rowOff>
    </xdr:to>
    <xdr:sp macro="" textlink="">
      <xdr:nvSpPr>
        <xdr:cNvPr id="5" name="Left Arrow 4"/>
        <xdr:cNvSpPr/>
      </xdr:nvSpPr>
      <xdr:spPr>
        <a:xfrm flipH="1">
          <a:off x="21431250" y="0"/>
          <a:ext cx="868892" cy="366184"/>
        </a:xfrm>
        <a:prstGeom prst="leftArrow">
          <a:avLst/>
        </a:prstGeom>
        <a:solidFill>
          <a:srgbClr val="FFFF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r" rtl="1"/>
          <a:r>
            <a:rPr lang="en-US" sz="1100">
              <a:solidFill>
                <a:sysClr val="windowText" lastClr="000000"/>
              </a:solidFill>
            </a:rPr>
            <a:t>continue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42</xdr:col>
      <xdr:colOff>0</xdr:colOff>
      <xdr:row>0</xdr:row>
      <xdr:rowOff>0</xdr:rowOff>
    </xdr:from>
    <xdr:to>
      <xdr:col>43</xdr:col>
      <xdr:colOff>148166</xdr:colOff>
      <xdr:row>1</xdr:row>
      <xdr:rowOff>42334</xdr:rowOff>
    </xdr:to>
    <xdr:sp macro="" textlink="">
      <xdr:nvSpPr>
        <xdr:cNvPr id="6" name="Left Arrow 5"/>
        <xdr:cNvSpPr/>
      </xdr:nvSpPr>
      <xdr:spPr>
        <a:xfrm flipH="1">
          <a:off x="30994350" y="0"/>
          <a:ext cx="833966" cy="366184"/>
        </a:xfrm>
        <a:prstGeom prst="leftArrow">
          <a:avLst/>
        </a:prstGeom>
        <a:solidFill>
          <a:srgbClr val="FFFF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r" rtl="1"/>
          <a:r>
            <a:rPr lang="en-US" sz="1100">
              <a:solidFill>
                <a:sysClr val="windowText" lastClr="000000"/>
              </a:solidFill>
            </a:rPr>
            <a:t>continue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46</xdr:col>
      <xdr:colOff>0</xdr:colOff>
      <xdr:row>0</xdr:row>
      <xdr:rowOff>0</xdr:rowOff>
    </xdr:from>
    <xdr:to>
      <xdr:col>46</xdr:col>
      <xdr:colOff>793750</xdr:colOff>
      <xdr:row>1</xdr:row>
      <xdr:rowOff>42334</xdr:rowOff>
    </xdr:to>
    <xdr:sp macro="" textlink="">
      <xdr:nvSpPr>
        <xdr:cNvPr id="7" name="Left Arrow 6"/>
        <xdr:cNvSpPr/>
      </xdr:nvSpPr>
      <xdr:spPr>
        <a:xfrm flipH="1">
          <a:off x="33175575" y="0"/>
          <a:ext cx="793750" cy="366184"/>
        </a:xfrm>
        <a:prstGeom prst="leftArrow">
          <a:avLst/>
        </a:prstGeom>
        <a:solidFill>
          <a:srgbClr val="FFFF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r" rtl="1"/>
          <a:r>
            <a:rPr lang="en-US" sz="1100">
              <a:solidFill>
                <a:sysClr val="windowText" lastClr="000000"/>
              </a:solidFill>
            </a:rPr>
            <a:t>continue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53</xdr:col>
      <xdr:colOff>1481667</xdr:colOff>
      <xdr:row>0</xdr:row>
      <xdr:rowOff>95249</xdr:rowOff>
    </xdr:from>
    <xdr:to>
      <xdr:col>53</xdr:col>
      <xdr:colOff>2074334</xdr:colOff>
      <xdr:row>0</xdr:row>
      <xdr:rowOff>306916</xdr:rowOff>
    </xdr:to>
    <xdr:sp macro="" textlink="">
      <xdr:nvSpPr>
        <xdr:cNvPr id="8" name="Rectangle 7"/>
        <xdr:cNvSpPr/>
      </xdr:nvSpPr>
      <xdr:spPr>
        <a:xfrm flipH="1">
          <a:off x="43172592" y="95249"/>
          <a:ext cx="592667" cy="211667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r" rtl="1"/>
          <a:r>
            <a:rPr lang="en-US" sz="1100">
              <a:solidFill>
                <a:sysClr val="windowText" lastClr="000000"/>
              </a:solidFill>
            </a:rPr>
            <a:t>End</a:t>
          </a:r>
        </a:p>
      </xdr:txBody>
    </xdr:sp>
    <xdr:clientData/>
  </xdr:twoCellAnchor>
  <xdr:twoCellAnchor editAs="oneCell">
    <xdr:from>
      <xdr:col>6</xdr:col>
      <xdr:colOff>9525</xdr:colOff>
      <xdr:row>0</xdr:row>
      <xdr:rowOff>38100</xdr:rowOff>
    </xdr:from>
    <xdr:to>
      <xdr:col>7</xdr:col>
      <xdr:colOff>200025</xdr:colOff>
      <xdr:row>1</xdr:row>
      <xdr:rowOff>133350</xdr:rowOff>
    </xdr:to>
    <xdr:pic>
      <xdr:nvPicPr>
        <xdr:cNvPr id="2104" name="Picture 8" descr="Logo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3300" y="38100"/>
          <a:ext cx="962025" cy="419100"/>
        </a:xfrm>
        <a:prstGeom prst="rect">
          <a:avLst/>
        </a:prstGeom>
        <a:noFill/>
        <a:ln w="9525">
          <a:solidFill>
            <a:srgbClr val="9900CC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383491</xdr:colOff>
      <xdr:row>56</xdr:row>
      <xdr:rowOff>10500</xdr:rowOff>
    </xdr:from>
    <xdr:to>
      <xdr:col>12</xdr:col>
      <xdr:colOff>491491</xdr:colOff>
      <xdr:row>57</xdr:row>
      <xdr:rowOff>0</xdr:rowOff>
    </xdr:to>
    <xdr:sp macro="" textlink="">
      <xdr:nvSpPr>
        <xdr:cNvPr id="2" name="חץ שמאלה 1"/>
        <xdr:cNvSpPr/>
      </xdr:nvSpPr>
      <xdr:spPr>
        <a:xfrm rot="16200000" flipH="1">
          <a:off x="6240291" y="11489200"/>
          <a:ext cx="205400" cy="108000"/>
        </a:xfrm>
        <a:prstGeom prst="leftArrow">
          <a:avLst/>
        </a:prstGeom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1</xdr:col>
      <xdr:colOff>1377661</xdr:colOff>
      <xdr:row>3</xdr:row>
      <xdr:rowOff>122237</xdr:rowOff>
    </xdr:from>
    <xdr:to>
      <xdr:col>2</xdr:col>
      <xdr:colOff>158461</xdr:colOff>
      <xdr:row>3</xdr:row>
      <xdr:rowOff>329882</xdr:rowOff>
    </xdr:to>
    <xdr:sp macro="" textlink="">
      <xdr:nvSpPr>
        <xdr:cNvPr id="3" name="חץ שמאלה 5"/>
        <xdr:cNvSpPr/>
      </xdr:nvSpPr>
      <xdr:spPr>
        <a:xfrm flipH="1">
          <a:off x="1403061" y="820737"/>
          <a:ext cx="469900" cy="207645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9</xdr:col>
      <xdr:colOff>476853</xdr:colOff>
      <xdr:row>4</xdr:row>
      <xdr:rowOff>56365</xdr:rowOff>
    </xdr:from>
    <xdr:to>
      <xdr:col>12</xdr:col>
      <xdr:colOff>90010</xdr:colOff>
      <xdr:row>5</xdr:row>
      <xdr:rowOff>137411</xdr:rowOff>
    </xdr:to>
    <xdr:sp macro="" textlink="">
      <xdr:nvSpPr>
        <xdr:cNvPr id="4" name="חץ שמאלה 7"/>
        <xdr:cNvSpPr/>
      </xdr:nvSpPr>
      <xdr:spPr>
        <a:xfrm flipH="1">
          <a:off x="5760053" y="1199365"/>
          <a:ext cx="235457" cy="271546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1</xdr:col>
      <xdr:colOff>1329532</xdr:colOff>
      <xdr:row>22</xdr:row>
      <xdr:rowOff>126999</xdr:rowOff>
    </xdr:from>
    <xdr:to>
      <xdr:col>2</xdr:col>
      <xdr:colOff>110332</xdr:colOff>
      <xdr:row>23</xdr:row>
      <xdr:rowOff>160019</xdr:rowOff>
    </xdr:to>
    <xdr:sp macro="" textlink="">
      <xdr:nvSpPr>
        <xdr:cNvPr id="5" name="חץ שמאלה 8"/>
        <xdr:cNvSpPr/>
      </xdr:nvSpPr>
      <xdr:spPr>
        <a:xfrm flipH="1">
          <a:off x="1354932" y="4711699"/>
          <a:ext cx="469900" cy="248920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16</xdr:col>
      <xdr:colOff>535165</xdr:colOff>
      <xdr:row>4</xdr:row>
      <xdr:rowOff>69961</xdr:rowOff>
    </xdr:from>
    <xdr:to>
      <xdr:col>22</xdr:col>
      <xdr:colOff>24114</xdr:colOff>
      <xdr:row>5</xdr:row>
      <xdr:rowOff>131873</xdr:rowOff>
    </xdr:to>
    <xdr:sp macro="" textlink="">
      <xdr:nvSpPr>
        <xdr:cNvPr id="6" name="חץ שמאלה 4"/>
        <xdr:cNvSpPr/>
      </xdr:nvSpPr>
      <xdr:spPr>
        <a:xfrm flipH="1">
          <a:off x="9704565" y="1212961"/>
          <a:ext cx="1673349" cy="252412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25</xdr:col>
      <xdr:colOff>404815</xdr:colOff>
      <xdr:row>3</xdr:row>
      <xdr:rowOff>104775</xdr:rowOff>
    </xdr:from>
    <xdr:to>
      <xdr:col>26</xdr:col>
      <xdr:colOff>42865</xdr:colOff>
      <xdr:row>3</xdr:row>
      <xdr:rowOff>312420</xdr:rowOff>
    </xdr:to>
    <xdr:sp macro="" textlink="">
      <xdr:nvSpPr>
        <xdr:cNvPr id="7" name="חץ שמאלה 7"/>
        <xdr:cNvSpPr/>
      </xdr:nvSpPr>
      <xdr:spPr>
        <a:xfrm flipH="1">
          <a:off x="14730415" y="803275"/>
          <a:ext cx="387350" cy="207645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15</xdr:col>
      <xdr:colOff>294517</xdr:colOff>
      <xdr:row>0</xdr:row>
      <xdr:rowOff>83796</xdr:rowOff>
    </xdr:from>
    <xdr:to>
      <xdr:col>17</xdr:col>
      <xdr:colOff>89698</xdr:colOff>
      <xdr:row>1</xdr:row>
      <xdr:rowOff>108513</xdr:rowOff>
    </xdr:to>
    <xdr:sp macro="" textlink="">
      <xdr:nvSpPr>
        <xdr:cNvPr id="23" name="Rounded Rectangle 22"/>
        <xdr:cNvSpPr/>
      </xdr:nvSpPr>
      <xdr:spPr>
        <a:xfrm flipH="1">
          <a:off x="7774817" y="83796"/>
          <a:ext cx="2271681" cy="215217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 rtl="1"/>
          <a:r>
            <a:rPr lang="en-US" sz="1100" b="1">
              <a:solidFill>
                <a:srgbClr val="FF0000"/>
              </a:solidFill>
            </a:rPr>
            <a:t>To</a:t>
          </a:r>
          <a:r>
            <a:rPr lang="en-US" sz="1100" b="1" baseline="0">
              <a:solidFill>
                <a:srgbClr val="FF0000"/>
              </a:solidFill>
            </a:rPr>
            <a:t> start: </a:t>
          </a:r>
          <a:r>
            <a:rPr lang="en-US" sz="1100" b="1">
              <a:solidFill>
                <a:srgbClr val="FF0000"/>
              </a:solidFill>
            </a:rPr>
            <a:t>Insert</a:t>
          </a:r>
          <a:r>
            <a:rPr lang="en-US" sz="1100" b="1" baseline="0">
              <a:solidFill>
                <a:srgbClr val="FF0000"/>
              </a:solidFill>
            </a:rPr>
            <a:t> Month and Year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20</xdr:col>
      <xdr:colOff>0</xdr:colOff>
      <xdr:row>0</xdr:row>
      <xdr:rowOff>161925</xdr:rowOff>
    </xdr:from>
    <xdr:to>
      <xdr:col>22</xdr:col>
      <xdr:colOff>809625</xdr:colOff>
      <xdr:row>2</xdr:row>
      <xdr:rowOff>133350</xdr:rowOff>
    </xdr:to>
    <xdr:pic>
      <xdr:nvPicPr>
        <xdr:cNvPr id="6225" name="Picture 9" descr="Logo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5225" y="161925"/>
          <a:ext cx="809625" cy="419100"/>
        </a:xfrm>
        <a:prstGeom prst="rect">
          <a:avLst/>
        </a:prstGeom>
        <a:noFill/>
        <a:ln w="9525">
          <a:solidFill>
            <a:srgbClr val="9900CC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4991</xdr:colOff>
      <xdr:row>1</xdr:row>
      <xdr:rowOff>905</xdr:rowOff>
    </xdr:from>
    <xdr:to>
      <xdr:col>15</xdr:col>
      <xdr:colOff>294517</xdr:colOff>
      <xdr:row>1</xdr:row>
      <xdr:rowOff>125185</xdr:rowOff>
    </xdr:to>
    <xdr:cxnSp macro="">
      <xdr:nvCxnSpPr>
        <xdr:cNvPr id="11" name="Straight Arrow Connector 10"/>
        <xdr:cNvCxnSpPr>
          <a:stCxn id="23" idx="3"/>
        </xdr:cNvCxnSpPr>
      </xdr:nvCxnSpPr>
      <xdr:spPr>
        <a:xfrm flipH="1">
          <a:off x="7468509" y="191405"/>
          <a:ext cx="289526" cy="124280"/>
        </a:xfrm>
        <a:prstGeom prst="straightConnector1">
          <a:avLst/>
        </a:prstGeom>
        <a:ln w="28575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247650</xdr:colOff>
      <xdr:row>58</xdr:row>
      <xdr:rowOff>190500</xdr:rowOff>
    </xdr:from>
    <xdr:to>
      <xdr:col>2</xdr:col>
      <xdr:colOff>504825</xdr:colOff>
      <xdr:row>60</xdr:row>
      <xdr:rowOff>95250</xdr:rowOff>
    </xdr:to>
    <xdr:pic>
      <xdr:nvPicPr>
        <xdr:cNvPr id="6227" name="Picture 12" descr="plus_sign_excel.jpg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2150" y="11963400"/>
          <a:ext cx="2571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1381125</xdr:colOff>
      <xdr:row>0</xdr:row>
      <xdr:rowOff>180975</xdr:rowOff>
    </xdr:from>
    <xdr:to>
      <xdr:col>2</xdr:col>
      <xdr:colOff>161925</xdr:colOff>
      <xdr:row>2</xdr:row>
      <xdr:rowOff>28575</xdr:rowOff>
    </xdr:to>
    <xdr:pic>
      <xdr:nvPicPr>
        <xdr:cNvPr id="6228" name="Picture 13" descr="plus_sign_excel.jpg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9700" y="180975"/>
          <a:ext cx="4667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420203</xdr:colOff>
      <xdr:row>56</xdr:row>
      <xdr:rowOff>10500</xdr:rowOff>
    </xdr:from>
    <xdr:to>
      <xdr:col>12</xdr:col>
      <xdr:colOff>528203</xdr:colOff>
      <xdr:row>57</xdr:row>
      <xdr:rowOff>0</xdr:rowOff>
    </xdr:to>
    <xdr:sp macro="" textlink="">
      <xdr:nvSpPr>
        <xdr:cNvPr id="2" name="חץ שמאלה 1"/>
        <xdr:cNvSpPr/>
      </xdr:nvSpPr>
      <xdr:spPr>
        <a:xfrm rot="16200000" flipH="1">
          <a:off x="6289703" y="11438400"/>
          <a:ext cx="205400" cy="108000"/>
        </a:xfrm>
        <a:prstGeom prst="leftArrow">
          <a:avLst/>
        </a:prstGeom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1</xdr:col>
      <xdr:colOff>1377661</xdr:colOff>
      <xdr:row>3</xdr:row>
      <xdr:rowOff>122237</xdr:rowOff>
    </xdr:from>
    <xdr:to>
      <xdr:col>2</xdr:col>
      <xdr:colOff>158461</xdr:colOff>
      <xdr:row>3</xdr:row>
      <xdr:rowOff>329882</xdr:rowOff>
    </xdr:to>
    <xdr:sp macro="" textlink="">
      <xdr:nvSpPr>
        <xdr:cNvPr id="3" name="חץ שמאלה 5"/>
        <xdr:cNvSpPr/>
      </xdr:nvSpPr>
      <xdr:spPr>
        <a:xfrm flipH="1">
          <a:off x="1428461" y="820737"/>
          <a:ext cx="469900" cy="207645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1</xdr:col>
      <xdr:colOff>1329532</xdr:colOff>
      <xdr:row>22</xdr:row>
      <xdr:rowOff>126999</xdr:rowOff>
    </xdr:from>
    <xdr:to>
      <xdr:col>2</xdr:col>
      <xdr:colOff>110332</xdr:colOff>
      <xdr:row>23</xdr:row>
      <xdr:rowOff>160019</xdr:rowOff>
    </xdr:to>
    <xdr:sp macro="" textlink="">
      <xdr:nvSpPr>
        <xdr:cNvPr id="5" name="חץ שמאלה 8"/>
        <xdr:cNvSpPr/>
      </xdr:nvSpPr>
      <xdr:spPr>
        <a:xfrm flipH="1">
          <a:off x="1380332" y="4711699"/>
          <a:ext cx="469900" cy="236220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9</xdr:col>
      <xdr:colOff>397879</xdr:colOff>
      <xdr:row>4</xdr:row>
      <xdr:rowOff>170960</xdr:rowOff>
    </xdr:from>
    <xdr:to>
      <xdr:col>12</xdr:col>
      <xdr:colOff>35259</xdr:colOff>
      <xdr:row>6</xdr:row>
      <xdr:rowOff>12057</xdr:rowOff>
    </xdr:to>
    <xdr:sp macro="" textlink="">
      <xdr:nvSpPr>
        <xdr:cNvPr id="6" name="חץ שמאלה 4"/>
        <xdr:cNvSpPr/>
      </xdr:nvSpPr>
      <xdr:spPr>
        <a:xfrm flipH="1">
          <a:off x="5693779" y="1313960"/>
          <a:ext cx="259680" cy="222097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 editAs="oneCell">
    <xdr:from>
      <xdr:col>22</xdr:col>
      <xdr:colOff>123825</xdr:colOff>
      <xdr:row>0</xdr:row>
      <xdr:rowOff>114300</xdr:rowOff>
    </xdr:from>
    <xdr:to>
      <xdr:col>24</xdr:col>
      <xdr:colOff>28575</xdr:colOff>
      <xdr:row>2</xdr:row>
      <xdr:rowOff>76200</xdr:rowOff>
    </xdr:to>
    <xdr:pic>
      <xdr:nvPicPr>
        <xdr:cNvPr id="7224" name="Picture 8" descr="Logo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96675" y="114300"/>
          <a:ext cx="809625" cy="409575"/>
        </a:xfrm>
        <a:prstGeom prst="rect">
          <a:avLst/>
        </a:prstGeom>
        <a:noFill/>
        <a:ln w="9525">
          <a:solidFill>
            <a:srgbClr val="9900CC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247650</xdr:colOff>
      <xdr:row>58</xdr:row>
      <xdr:rowOff>190500</xdr:rowOff>
    </xdr:from>
    <xdr:to>
      <xdr:col>2</xdr:col>
      <xdr:colOff>504825</xdr:colOff>
      <xdr:row>60</xdr:row>
      <xdr:rowOff>95250</xdr:rowOff>
    </xdr:to>
    <xdr:pic>
      <xdr:nvPicPr>
        <xdr:cNvPr id="7225" name="Picture 11" descr="plus_sign_excel.jpg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0" y="11906250"/>
          <a:ext cx="2571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1381125</xdr:colOff>
      <xdr:row>0</xdr:row>
      <xdr:rowOff>180975</xdr:rowOff>
    </xdr:from>
    <xdr:to>
      <xdr:col>2</xdr:col>
      <xdr:colOff>161925</xdr:colOff>
      <xdr:row>2</xdr:row>
      <xdr:rowOff>28575</xdr:rowOff>
    </xdr:to>
    <xdr:pic>
      <xdr:nvPicPr>
        <xdr:cNvPr id="7226" name="Picture 12" descr="plus_sign_excel.jpg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" y="180975"/>
          <a:ext cx="4667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605376</xdr:colOff>
      <xdr:row>4</xdr:row>
      <xdr:rowOff>72342</xdr:rowOff>
    </xdr:from>
    <xdr:to>
      <xdr:col>22</xdr:col>
      <xdr:colOff>67679</xdr:colOff>
      <xdr:row>5</xdr:row>
      <xdr:rowOff>134254</xdr:rowOff>
    </xdr:to>
    <xdr:sp macro="" textlink="">
      <xdr:nvSpPr>
        <xdr:cNvPr id="11" name="חץ שמאלה 4"/>
        <xdr:cNvSpPr/>
      </xdr:nvSpPr>
      <xdr:spPr>
        <a:xfrm flipH="1">
          <a:off x="9787476" y="1215342"/>
          <a:ext cx="1684803" cy="252412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407991</xdr:colOff>
      <xdr:row>56</xdr:row>
      <xdr:rowOff>10500</xdr:rowOff>
    </xdr:from>
    <xdr:to>
      <xdr:col>12</xdr:col>
      <xdr:colOff>515991</xdr:colOff>
      <xdr:row>57</xdr:row>
      <xdr:rowOff>0</xdr:rowOff>
    </xdr:to>
    <xdr:sp macro="" textlink="">
      <xdr:nvSpPr>
        <xdr:cNvPr id="2" name="חץ שמאלה 1"/>
        <xdr:cNvSpPr/>
      </xdr:nvSpPr>
      <xdr:spPr>
        <a:xfrm rot="16200000" flipH="1">
          <a:off x="6277491" y="11438400"/>
          <a:ext cx="205400" cy="108000"/>
        </a:xfrm>
        <a:prstGeom prst="leftArrow">
          <a:avLst/>
        </a:prstGeom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1</xdr:col>
      <xdr:colOff>1377661</xdr:colOff>
      <xdr:row>3</xdr:row>
      <xdr:rowOff>122237</xdr:rowOff>
    </xdr:from>
    <xdr:to>
      <xdr:col>2</xdr:col>
      <xdr:colOff>158461</xdr:colOff>
      <xdr:row>3</xdr:row>
      <xdr:rowOff>329882</xdr:rowOff>
    </xdr:to>
    <xdr:sp macro="" textlink="">
      <xdr:nvSpPr>
        <xdr:cNvPr id="3" name="חץ שמאלה 5"/>
        <xdr:cNvSpPr/>
      </xdr:nvSpPr>
      <xdr:spPr>
        <a:xfrm flipH="1">
          <a:off x="1428461" y="820737"/>
          <a:ext cx="469900" cy="207645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1</xdr:col>
      <xdr:colOff>1329532</xdr:colOff>
      <xdr:row>22</xdr:row>
      <xdr:rowOff>126999</xdr:rowOff>
    </xdr:from>
    <xdr:to>
      <xdr:col>2</xdr:col>
      <xdr:colOff>110332</xdr:colOff>
      <xdr:row>23</xdr:row>
      <xdr:rowOff>160019</xdr:rowOff>
    </xdr:to>
    <xdr:sp macro="" textlink="">
      <xdr:nvSpPr>
        <xdr:cNvPr id="5" name="חץ שמאלה 8"/>
        <xdr:cNvSpPr/>
      </xdr:nvSpPr>
      <xdr:spPr>
        <a:xfrm flipH="1">
          <a:off x="1380332" y="4711699"/>
          <a:ext cx="469900" cy="236220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 editAs="oneCell">
    <xdr:from>
      <xdr:col>22</xdr:col>
      <xdr:colOff>133350</xdr:colOff>
      <xdr:row>0</xdr:row>
      <xdr:rowOff>133350</xdr:rowOff>
    </xdr:from>
    <xdr:to>
      <xdr:col>24</xdr:col>
      <xdr:colOff>38100</xdr:colOff>
      <xdr:row>2</xdr:row>
      <xdr:rowOff>104775</xdr:rowOff>
    </xdr:to>
    <xdr:pic>
      <xdr:nvPicPr>
        <xdr:cNvPr id="8246" name="Picture 7" descr="Logo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06200" y="133350"/>
          <a:ext cx="809625" cy="419100"/>
        </a:xfrm>
        <a:prstGeom prst="rect">
          <a:avLst/>
        </a:prstGeom>
        <a:noFill/>
        <a:ln w="9525">
          <a:solidFill>
            <a:srgbClr val="9900CC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257175</xdr:colOff>
      <xdr:row>59</xdr:row>
      <xdr:rowOff>0</xdr:rowOff>
    </xdr:from>
    <xdr:to>
      <xdr:col>2</xdr:col>
      <xdr:colOff>514350</xdr:colOff>
      <xdr:row>60</xdr:row>
      <xdr:rowOff>114300</xdr:rowOff>
    </xdr:to>
    <xdr:pic>
      <xdr:nvPicPr>
        <xdr:cNvPr id="8247" name="Picture 10" descr="plus_sign_excel.jpg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11925300"/>
          <a:ext cx="2571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414574</xdr:colOff>
      <xdr:row>4</xdr:row>
      <xdr:rowOff>183173</xdr:rowOff>
    </xdr:from>
    <xdr:to>
      <xdr:col>12</xdr:col>
      <xdr:colOff>36171</xdr:colOff>
      <xdr:row>6</xdr:row>
      <xdr:rowOff>12210</xdr:rowOff>
    </xdr:to>
    <xdr:sp macro="" textlink="">
      <xdr:nvSpPr>
        <xdr:cNvPr id="6" name="חץ שמאלה 4"/>
        <xdr:cNvSpPr/>
      </xdr:nvSpPr>
      <xdr:spPr>
        <a:xfrm flipH="1">
          <a:off x="5710474" y="1326173"/>
          <a:ext cx="243897" cy="210037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 editAs="oneCell">
    <xdr:from>
      <xdr:col>1</xdr:col>
      <xdr:colOff>1371600</xdr:colOff>
      <xdr:row>1</xdr:row>
      <xdr:rowOff>0</xdr:rowOff>
    </xdr:from>
    <xdr:to>
      <xdr:col>2</xdr:col>
      <xdr:colOff>142875</xdr:colOff>
      <xdr:row>2</xdr:row>
      <xdr:rowOff>38100</xdr:rowOff>
    </xdr:to>
    <xdr:pic>
      <xdr:nvPicPr>
        <xdr:cNvPr id="8249" name="Picture 11" descr="plus_sign_excel.jpg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9225" y="190500"/>
          <a:ext cx="4572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590797</xdr:colOff>
      <xdr:row>4</xdr:row>
      <xdr:rowOff>96456</xdr:rowOff>
    </xdr:from>
    <xdr:to>
      <xdr:col>22</xdr:col>
      <xdr:colOff>48228</xdr:colOff>
      <xdr:row>5</xdr:row>
      <xdr:rowOff>158368</xdr:rowOff>
    </xdr:to>
    <xdr:sp macro="" textlink="">
      <xdr:nvSpPr>
        <xdr:cNvPr id="10" name="חץ שמאלה 4"/>
        <xdr:cNvSpPr/>
      </xdr:nvSpPr>
      <xdr:spPr>
        <a:xfrm flipH="1">
          <a:off x="9772897" y="1239456"/>
          <a:ext cx="1679931" cy="252412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444627</xdr:colOff>
      <xdr:row>56</xdr:row>
      <xdr:rowOff>10500</xdr:rowOff>
    </xdr:from>
    <xdr:to>
      <xdr:col>12</xdr:col>
      <xdr:colOff>552627</xdr:colOff>
      <xdr:row>57</xdr:row>
      <xdr:rowOff>0</xdr:rowOff>
    </xdr:to>
    <xdr:sp macro="" textlink="">
      <xdr:nvSpPr>
        <xdr:cNvPr id="2" name="חץ שמאלה 1"/>
        <xdr:cNvSpPr/>
      </xdr:nvSpPr>
      <xdr:spPr>
        <a:xfrm rot="16200000" flipH="1">
          <a:off x="6314127" y="11438400"/>
          <a:ext cx="205400" cy="108000"/>
        </a:xfrm>
        <a:prstGeom prst="leftArrow">
          <a:avLst/>
        </a:prstGeom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1</xdr:col>
      <xdr:colOff>1377661</xdr:colOff>
      <xdr:row>3</xdr:row>
      <xdr:rowOff>122237</xdr:rowOff>
    </xdr:from>
    <xdr:to>
      <xdr:col>2</xdr:col>
      <xdr:colOff>158461</xdr:colOff>
      <xdr:row>3</xdr:row>
      <xdr:rowOff>329882</xdr:rowOff>
    </xdr:to>
    <xdr:sp macro="" textlink="">
      <xdr:nvSpPr>
        <xdr:cNvPr id="3" name="חץ שמאלה 5"/>
        <xdr:cNvSpPr/>
      </xdr:nvSpPr>
      <xdr:spPr>
        <a:xfrm flipH="1">
          <a:off x="1428461" y="820737"/>
          <a:ext cx="469900" cy="207645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1</xdr:col>
      <xdr:colOff>1329532</xdr:colOff>
      <xdr:row>22</xdr:row>
      <xdr:rowOff>126999</xdr:rowOff>
    </xdr:from>
    <xdr:to>
      <xdr:col>2</xdr:col>
      <xdr:colOff>110332</xdr:colOff>
      <xdr:row>23</xdr:row>
      <xdr:rowOff>160019</xdr:rowOff>
    </xdr:to>
    <xdr:sp macro="" textlink="">
      <xdr:nvSpPr>
        <xdr:cNvPr id="5" name="חץ שמאלה 8"/>
        <xdr:cNvSpPr/>
      </xdr:nvSpPr>
      <xdr:spPr>
        <a:xfrm flipH="1">
          <a:off x="1380332" y="4711699"/>
          <a:ext cx="469900" cy="236220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9</xdr:col>
      <xdr:colOff>390305</xdr:colOff>
      <xdr:row>4</xdr:row>
      <xdr:rowOff>170960</xdr:rowOff>
    </xdr:from>
    <xdr:to>
      <xdr:col>12</xdr:col>
      <xdr:colOff>47161</xdr:colOff>
      <xdr:row>6</xdr:row>
      <xdr:rowOff>10374</xdr:rowOff>
    </xdr:to>
    <xdr:sp macro="" textlink="">
      <xdr:nvSpPr>
        <xdr:cNvPr id="6" name="חץ שמאלה 4"/>
        <xdr:cNvSpPr/>
      </xdr:nvSpPr>
      <xdr:spPr>
        <a:xfrm flipH="1">
          <a:off x="5686205" y="1313960"/>
          <a:ext cx="279156" cy="220414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 editAs="oneCell">
    <xdr:from>
      <xdr:col>22</xdr:col>
      <xdr:colOff>133350</xdr:colOff>
      <xdr:row>0</xdr:row>
      <xdr:rowOff>85725</xdr:rowOff>
    </xdr:from>
    <xdr:to>
      <xdr:col>24</xdr:col>
      <xdr:colOff>38100</xdr:colOff>
      <xdr:row>2</xdr:row>
      <xdr:rowOff>47625</xdr:rowOff>
    </xdr:to>
    <xdr:pic>
      <xdr:nvPicPr>
        <xdr:cNvPr id="9271" name="Picture 7" descr="Logo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06200" y="85725"/>
          <a:ext cx="809625" cy="409575"/>
        </a:xfrm>
        <a:prstGeom prst="rect">
          <a:avLst/>
        </a:prstGeom>
        <a:noFill/>
        <a:ln w="9525">
          <a:solidFill>
            <a:srgbClr val="9900CC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266700</xdr:colOff>
      <xdr:row>59</xdr:row>
      <xdr:rowOff>0</xdr:rowOff>
    </xdr:from>
    <xdr:to>
      <xdr:col>2</xdr:col>
      <xdr:colOff>523875</xdr:colOff>
      <xdr:row>60</xdr:row>
      <xdr:rowOff>114300</xdr:rowOff>
    </xdr:to>
    <xdr:pic>
      <xdr:nvPicPr>
        <xdr:cNvPr id="9272" name="Picture 10" descr="plus_sign_excel.jpg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11925300"/>
          <a:ext cx="2571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1371600</xdr:colOff>
      <xdr:row>1</xdr:row>
      <xdr:rowOff>0</xdr:rowOff>
    </xdr:from>
    <xdr:to>
      <xdr:col>2</xdr:col>
      <xdr:colOff>142875</xdr:colOff>
      <xdr:row>2</xdr:row>
      <xdr:rowOff>38100</xdr:rowOff>
    </xdr:to>
    <xdr:pic>
      <xdr:nvPicPr>
        <xdr:cNvPr id="9273" name="Picture 11" descr="plus_sign_excel.jpg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9225" y="190500"/>
          <a:ext cx="4572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578731</xdr:colOff>
      <xdr:row>4</xdr:row>
      <xdr:rowOff>84401</xdr:rowOff>
    </xdr:from>
    <xdr:to>
      <xdr:col>22</xdr:col>
      <xdr:colOff>36162</xdr:colOff>
      <xdr:row>5</xdr:row>
      <xdr:rowOff>146313</xdr:rowOff>
    </xdr:to>
    <xdr:sp macro="" textlink="">
      <xdr:nvSpPr>
        <xdr:cNvPr id="10" name="חץ שמאלה 4"/>
        <xdr:cNvSpPr/>
      </xdr:nvSpPr>
      <xdr:spPr>
        <a:xfrm flipH="1">
          <a:off x="9760831" y="1227401"/>
          <a:ext cx="1679931" cy="252412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407991</xdr:colOff>
      <xdr:row>56</xdr:row>
      <xdr:rowOff>10500</xdr:rowOff>
    </xdr:from>
    <xdr:to>
      <xdr:col>12</xdr:col>
      <xdr:colOff>515991</xdr:colOff>
      <xdr:row>57</xdr:row>
      <xdr:rowOff>0</xdr:rowOff>
    </xdr:to>
    <xdr:sp macro="" textlink="">
      <xdr:nvSpPr>
        <xdr:cNvPr id="2" name="חץ שמאלה 1"/>
        <xdr:cNvSpPr/>
      </xdr:nvSpPr>
      <xdr:spPr>
        <a:xfrm rot="16200000" flipH="1">
          <a:off x="6277491" y="11438400"/>
          <a:ext cx="205400" cy="108000"/>
        </a:xfrm>
        <a:prstGeom prst="leftArrow">
          <a:avLst/>
        </a:prstGeom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1</xdr:col>
      <xdr:colOff>1377661</xdr:colOff>
      <xdr:row>3</xdr:row>
      <xdr:rowOff>122237</xdr:rowOff>
    </xdr:from>
    <xdr:to>
      <xdr:col>2</xdr:col>
      <xdr:colOff>158461</xdr:colOff>
      <xdr:row>3</xdr:row>
      <xdr:rowOff>329882</xdr:rowOff>
    </xdr:to>
    <xdr:sp macro="" textlink="">
      <xdr:nvSpPr>
        <xdr:cNvPr id="3" name="חץ שמאלה 5"/>
        <xdr:cNvSpPr/>
      </xdr:nvSpPr>
      <xdr:spPr>
        <a:xfrm flipH="1">
          <a:off x="1428461" y="820737"/>
          <a:ext cx="469900" cy="207645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1</xdr:col>
      <xdr:colOff>1329532</xdr:colOff>
      <xdr:row>22</xdr:row>
      <xdr:rowOff>126999</xdr:rowOff>
    </xdr:from>
    <xdr:to>
      <xdr:col>2</xdr:col>
      <xdr:colOff>110332</xdr:colOff>
      <xdr:row>23</xdr:row>
      <xdr:rowOff>160019</xdr:rowOff>
    </xdr:to>
    <xdr:sp macro="" textlink="">
      <xdr:nvSpPr>
        <xdr:cNvPr id="5" name="חץ שמאלה 8"/>
        <xdr:cNvSpPr/>
      </xdr:nvSpPr>
      <xdr:spPr>
        <a:xfrm flipH="1">
          <a:off x="1380332" y="4711699"/>
          <a:ext cx="469900" cy="236220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9</xdr:col>
      <xdr:colOff>409936</xdr:colOff>
      <xdr:row>4</xdr:row>
      <xdr:rowOff>185858</xdr:rowOff>
    </xdr:from>
    <xdr:to>
      <xdr:col>12</xdr:col>
      <xdr:colOff>59528</xdr:colOff>
      <xdr:row>6</xdr:row>
      <xdr:rowOff>0</xdr:rowOff>
    </xdr:to>
    <xdr:sp macro="" textlink="">
      <xdr:nvSpPr>
        <xdr:cNvPr id="6" name="חץ שמאלה 4"/>
        <xdr:cNvSpPr/>
      </xdr:nvSpPr>
      <xdr:spPr>
        <a:xfrm flipH="1">
          <a:off x="5705836" y="1328858"/>
          <a:ext cx="271892" cy="195142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 editAs="oneCell">
    <xdr:from>
      <xdr:col>22</xdr:col>
      <xdr:colOff>114300</xdr:colOff>
      <xdr:row>0</xdr:row>
      <xdr:rowOff>85725</xdr:rowOff>
    </xdr:from>
    <xdr:to>
      <xdr:col>24</xdr:col>
      <xdr:colOff>28575</xdr:colOff>
      <xdr:row>2</xdr:row>
      <xdr:rowOff>47625</xdr:rowOff>
    </xdr:to>
    <xdr:pic>
      <xdr:nvPicPr>
        <xdr:cNvPr id="10295" name="Picture 7" descr="Logo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85725"/>
          <a:ext cx="819150" cy="409575"/>
        </a:xfrm>
        <a:prstGeom prst="rect">
          <a:avLst/>
        </a:prstGeom>
        <a:noFill/>
        <a:ln w="9525">
          <a:solidFill>
            <a:srgbClr val="9900CC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266700</xdr:colOff>
      <xdr:row>59</xdr:row>
      <xdr:rowOff>9525</xdr:rowOff>
    </xdr:from>
    <xdr:to>
      <xdr:col>2</xdr:col>
      <xdr:colOff>523875</xdr:colOff>
      <xdr:row>60</xdr:row>
      <xdr:rowOff>123825</xdr:rowOff>
    </xdr:to>
    <xdr:pic>
      <xdr:nvPicPr>
        <xdr:cNvPr id="10296" name="Picture 10" descr="plus_sign_excel.jpg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11934825"/>
          <a:ext cx="2571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1381125</xdr:colOff>
      <xdr:row>1</xdr:row>
      <xdr:rowOff>0</xdr:rowOff>
    </xdr:from>
    <xdr:to>
      <xdr:col>2</xdr:col>
      <xdr:colOff>161925</xdr:colOff>
      <xdr:row>2</xdr:row>
      <xdr:rowOff>38100</xdr:rowOff>
    </xdr:to>
    <xdr:pic>
      <xdr:nvPicPr>
        <xdr:cNvPr id="10297" name="Picture 11" descr="plus_sign_excel.jpg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" y="190500"/>
          <a:ext cx="4667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590788</xdr:colOff>
      <xdr:row>4</xdr:row>
      <xdr:rowOff>84401</xdr:rowOff>
    </xdr:from>
    <xdr:to>
      <xdr:col>22</xdr:col>
      <xdr:colOff>48219</xdr:colOff>
      <xdr:row>5</xdr:row>
      <xdr:rowOff>146313</xdr:rowOff>
    </xdr:to>
    <xdr:sp macro="" textlink="">
      <xdr:nvSpPr>
        <xdr:cNvPr id="10" name="חץ שמאלה 4"/>
        <xdr:cNvSpPr/>
      </xdr:nvSpPr>
      <xdr:spPr>
        <a:xfrm flipH="1">
          <a:off x="9772888" y="1227401"/>
          <a:ext cx="1679931" cy="252412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420203</xdr:colOff>
      <xdr:row>56</xdr:row>
      <xdr:rowOff>10500</xdr:rowOff>
    </xdr:from>
    <xdr:to>
      <xdr:col>12</xdr:col>
      <xdr:colOff>528203</xdr:colOff>
      <xdr:row>57</xdr:row>
      <xdr:rowOff>0</xdr:rowOff>
    </xdr:to>
    <xdr:sp macro="" textlink="">
      <xdr:nvSpPr>
        <xdr:cNvPr id="2" name="חץ שמאלה 1"/>
        <xdr:cNvSpPr/>
      </xdr:nvSpPr>
      <xdr:spPr>
        <a:xfrm rot="16200000" flipH="1">
          <a:off x="6289703" y="11438400"/>
          <a:ext cx="205400" cy="108000"/>
        </a:xfrm>
        <a:prstGeom prst="leftArrow">
          <a:avLst/>
        </a:prstGeom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1</xdr:col>
      <xdr:colOff>1377661</xdr:colOff>
      <xdr:row>3</xdr:row>
      <xdr:rowOff>122237</xdr:rowOff>
    </xdr:from>
    <xdr:to>
      <xdr:col>2</xdr:col>
      <xdr:colOff>158461</xdr:colOff>
      <xdr:row>3</xdr:row>
      <xdr:rowOff>329882</xdr:rowOff>
    </xdr:to>
    <xdr:sp macro="" textlink="">
      <xdr:nvSpPr>
        <xdr:cNvPr id="3" name="חץ שמאלה 5"/>
        <xdr:cNvSpPr/>
      </xdr:nvSpPr>
      <xdr:spPr>
        <a:xfrm flipH="1">
          <a:off x="1428461" y="820737"/>
          <a:ext cx="469900" cy="207645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1</xdr:col>
      <xdr:colOff>1329532</xdr:colOff>
      <xdr:row>22</xdr:row>
      <xdr:rowOff>126999</xdr:rowOff>
    </xdr:from>
    <xdr:to>
      <xdr:col>2</xdr:col>
      <xdr:colOff>110332</xdr:colOff>
      <xdr:row>23</xdr:row>
      <xdr:rowOff>160019</xdr:rowOff>
    </xdr:to>
    <xdr:sp macro="" textlink="">
      <xdr:nvSpPr>
        <xdr:cNvPr id="5" name="חץ שמאלה 8"/>
        <xdr:cNvSpPr/>
      </xdr:nvSpPr>
      <xdr:spPr>
        <a:xfrm flipH="1">
          <a:off x="1380332" y="4711699"/>
          <a:ext cx="469900" cy="236220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9</xdr:col>
      <xdr:colOff>378402</xdr:colOff>
      <xdr:row>4</xdr:row>
      <xdr:rowOff>183172</xdr:rowOff>
    </xdr:from>
    <xdr:to>
      <xdr:col>12</xdr:col>
      <xdr:colOff>23046</xdr:colOff>
      <xdr:row>6</xdr:row>
      <xdr:rowOff>10374</xdr:rowOff>
    </xdr:to>
    <xdr:sp macro="" textlink="">
      <xdr:nvSpPr>
        <xdr:cNvPr id="6" name="חץ שמאלה 4"/>
        <xdr:cNvSpPr/>
      </xdr:nvSpPr>
      <xdr:spPr>
        <a:xfrm flipH="1">
          <a:off x="5674302" y="1326172"/>
          <a:ext cx="266944" cy="208202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 editAs="oneCell">
    <xdr:from>
      <xdr:col>22</xdr:col>
      <xdr:colOff>114300</xdr:colOff>
      <xdr:row>0</xdr:row>
      <xdr:rowOff>85725</xdr:rowOff>
    </xdr:from>
    <xdr:to>
      <xdr:col>24</xdr:col>
      <xdr:colOff>28575</xdr:colOff>
      <xdr:row>2</xdr:row>
      <xdr:rowOff>47625</xdr:rowOff>
    </xdr:to>
    <xdr:pic>
      <xdr:nvPicPr>
        <xdr:cNvPr id="11319" name="Picture 7" descr="Logo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85725"/>
          <a:ext cx="819150" cy="409575"/>
        </a:xfrm>
        <a:prstGeom prst="rect">
          <a:avLst/>
        </a:prstGeom>
        <a:noFill/>
        <a:ln w="9525">
          <a:solidFill>
            <a:srgbClr val="9900CC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257175</xdr:colOff>
      <xdr:row>59</xdr:row>
      <xdr:rowOff>9525</xdr:rowOff>
    </xdr:from>
    <xdr:to>
      <xdr:col>2</xdr:col>
      <xdr:colOff>514350</xdr:colOff>
      <xdr:row>60</xdr:row>
      <xdr:rowOff>123825</xdr:rowOff>
    </xdr:to>
    <xdr:pic>
      <xdr:nvPicPr>
        <xdr:cNvPr id="11320" name="Picture 10" descr="plus_sign_excel.jpg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11934825"/>
          <a:ext cx="2571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1381125</xdr:colOff>
      <xdr:row>1</xdr:row>
      <xdr:rowOff>0</xdr:rowOff>
    </xdr:from>
    <xdr:to>
      <xdr:col>2</xdr:col>
      <xdr:colOff>161925</xdr:colOff>
      <xdr:row>2</xdr:row>
      <xdr:rowOff>38100</xdr:rowOff>
    </xdr:to>
    <xdr:pic>
      <xdr:nvPicPr>
        <xdr:cNvPr id="11321" name="Picture 11" descr="plus_sign_excel.jpg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" y="190500"/>
          <a:ext cx="4667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578731</xdr:colOff>
      <xdr:row>4</xdr:row>
      <xdr:rowOff>84401</xdr:rowOff>
    </xdr:from>
    <xdr:to>
      <xdr:col>22</xdr:col>
      <xdr:colOff>36162</xdr:colOff>
      <xdr:row>5</xdr:row>
      <xdr:rowOff>146313</xdr:rowOff>
    </xdr:to>
    <xdr:sp macro="" textlink="">
      <xdr:nvSpPr>
        <xdr:cNvPr id="10" name="חץ שמאלה 4"/>
        <xdr:cNvSpPr/>
      </xdr:nvSpPr>
      <xdr:spPr>
        <a:xfrm flipH="1">
          <a:off x="9760831" y="1227401"/>
          <a:ext cx="1679931" cy="252412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420203</xdr:colOff>
      <xdr:row>56</xdr:row>
      <xdr:rowOff>10500</xdr:rowOff>
    </xdr:from>
    <xdr:to>
      <xdr:col>12</xdr:col>
      <xdr:colOff>528203</xdr:colOff>
      <xdr:row>57</xdr:row>
      <xdr:rowOff>0</xdr:rowOff>
    </xdr:to>
    <xdr:sp macro="" textlink="">
      <xdr:nvSpPr>
        <xdr:cNvPr id="2" name="חץ שמאלה 1"/>
        <xdr:cNvSpPr/>
      </xdr:nvSpPr>
      <xdr:spPr>
        <a:xfrm rot="16200000" flipH="1">
          <a:off x="6289703" y="11438400"/>
          <a:ext cx="205400" cy="108000"/>
        </a:xfrm>
        <a:prstGeom prst="leftArrow">
          <a:avLst/>
        </a:prstGeom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1</xdr:col>
      <xdr:colOff>1377661</xdr:colOff>
      <xdr:row>3</xdr:row>
      <xdr:rowOff>122237</xdr:rowOff>
    </xdr:from>
    <xdr:to>
      <xdr:col>2</xdr:col>
      <xdr:colOff>158461</xdr:colOff>
      <xdr:row>3</xdr:row>
      <xdr:rowOff>329882</xdr:rowOff>
    </xdr:to>
    <xdr:sp macro="" textlink="">
      <xdr:nvSpPr>
        <xdr:cNvPr id="3" name="חץ שמאלה 5"/>
        <xdr:cNvSpPr/>
      </xdr:nvSpPr>
      <xdr:spPr>
        <a:xfrm flipH="1">
          <a:off x="1428461" y="820737"/>
          <a:ext cx="469900" cy="207645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1</xdr:col>
      <xdr:colOff>1329532</xdr:colOff>
      <xdr:row>22</xdr:row>
      <xdr:rowOff>126999</xdr:rowOff>
    </xdr:from>
    <xdr:to>
      <xdr:col>2</xdr:col>
      <xdr:colOff>110332</xdr:colOff>
      <xdr:row>23</xdr:row>
      <xdr:rowOff>160019</xdr:rowOff>
    </xdr:to>
    <xdr:sp macro="" textlink="">
      <xdr:nvSpPr>
        <xdr:cNvPr id="5" name="חץ שמאלה 8"/>
        <xdr:cNvSpPr/>
      </xdr:nvSpPr>
      <xdr:spPr>
        <a:xfrm flipH="1">
          <a:off x="1380332" y="4711699"/>
          <a:ext cx="469900" cy="236220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9</xdr:col>
      <xdr:colOff>385822</xdr:colOff>
      <xdr:row>4</xdr:row>
      <xdr:rowOff>170959</xdr:rowOff>
    </xdr:from>
    <xdr:to>
      <xdr:col>12</xdr:col>
      <xdr:colOff>23202</xdr:colOff>
      <xdr:row>5</xdr:row>
      <xdr:rowOff>180853</xdr:rowOff>
    </xdr:to>
    <xdr:sp macro="" textlink="">
      <xdr:nvSpPr>
        <xdr:cNvPr id="6" name="חץ שמאלה 4"/>
        <xdr:cNvSpPr/>
      </xdr:nvSpPr>
      <xdr:spPr>
        <a:xfrm flipH="1">
          <a:off x="5681722" y="1313959"/>
          <a:ext cx="259680" cy="200394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 editAs="oneCell">
    <xdr:from>
      <xdr:col>22</xdr:col>
      <xdr:colOff>133350</xdr:colOff>
      <xdr:row>0</xdr:row>
      <xdr:rowOff>114300</xdr:rowOff>
    </xdr:from>
    <xdr:to>
      <xdr:col>24</xdr:col>
      <xdr:colOff>38100</xdr:colOff>
      <xdr:row>2</xdr:row>
      <xdr:rowOff>76200</xdr:rowOff>
    </xdr:to>
    <xdr:pic>
      <xdr:nvPicPr>
        <xdr:cNvPr id="12343" name="Picture 7" descr="Logo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06200" y="114300"/>
          <a:ext cx="809625" cy="409575"/>
        </a:xfrm>
        <a:prstGeom prst="rect">
          <a:avLst/>
        </a:prstGeom>
        <a:noFill/>
        <a:ln w="9525">
          <a:solidFill>
            <a:srgbClr val="9900CC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257175</xdr:colOff>
      <xdr:row>58</xdr:row>
      <xdr:rowOff>161925</xdr:rowOff>
    </xdr:from>
    <xdr:to>
      <xdr:col>2</xdr:col>
      <xdr:colOff>514350</xdr:colOff>
      <xdr:row>60</xdr:row>
      <xdr:rowOff>66675</xdr:rowOff>
    </xdr:to>
    <xdr:pic>
      <xdr:nvPicPr>
        <xdr:cNvPr id="12344" name="Picture 10" descr="plus_sign_excel.jpg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11877675"/>
          <a:ext cx="2571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1381125</xdr:colOff>
      <xdr:row>1</xdr:row>
      <xdr:rowOff>0</xdr:rowOff>
    </xdr:from>
    <xdr:to>
      <xdr:col>2</xdr:col>
      <xdr:colOff>161925</xdr:colOff>
      <xdr:row>2</xdr:row>
      <xdr:rowOff>38100</xdr:rowOff>
    </xdr:to>
    <xdr:pic>
      <xdr:nvPicPr>
        <xdr:cNvPr id="12345" name="Picture 11" descr="plus_sign_excel.jpg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" y="190500"/>
          <a:ext cx="4667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578731</xdr:colOff>
      <xdr:row>4</xdr:row>
      <xdr:rowOff>84401</xdr:rowOff>
    </xdr:from>
    <xdr:to>
      <xdr:col>22</xdr:col>
      <xdr:colOff>36162</xdr:colOff>
      <xdr:row>5</xdr:row>
      <xdr:rowOff>146313</xdr:rowOff>
    </xdr:to>
    <xdr:sp macro="" textlink="">
      <xdr:nvSpPr>
        <xdr:cNvPr id="10" name="חץ שמאלה 4"/>
        <xdr:cNvSpPr/>
      </xdr:nvSpPr>
      <xdr:spPr>
        <a:xfrm flipH="1">
          <a:off x="9760831" y="1227401"/>
          <a:ext cx="1679931" cy="252412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407991</xdr:colOff>
      <xdr:row>56</xdr:row>
      <xdr:rowOff>10500</xdr:rowOff>
    </xdr:from>
    <xdr:to>
      <xdr:col>12</xdr:col>
      <xdr:colOff>515991</xdr:colOff>
      <xdr:row>57</xdr:row>
      <xdr:rowOff>0</xdr:rowOff>
    </xdr:to>
    <xdr:sp macro="" textlink="">
      <xdr:nvSpPr>
        <xdr:cNvPr id="2" name="חץ שמאלה 1"/>
        <xdr:cNvSpPr/>
      </xdr:nvSpPr>
      <xdr:spPr>
        <a:xfrm rot="16200000" flipH="1">
          <a:off x="6277491" y="11438400"/>
          <a:ext cx="205400" cy="108000"/>
        </a:xfrm>
        <a:prstGeom prst="leftArrow">
          <a:avLst/>
        </a:prstGeom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1</xdr:col>
      <xdr:colOff>1377661</xdr:colOff>
      <xdr:row>3</xdr:row>
      <xdr:rowOff>122237</xdr:rowOff>
    </xdr:from>
    <xdr:to>
      <xdr:col>2</xdr:col>
      <xdr:colOff>158461</xdr:colOff>
      <xdr:row>3</xdr:row>
      <xdr:rowOff>329882</xdr:rowOff>
    </xdr:to>
    <xdr:sp macro="" textlink="">
      <xdr:nvSpPr>
        <xdr:cNvPr id="3" name="חץ שמאלה 5"/>
        <xdr:cNvSpPr/>
      </xdr:nvSpPr>
      <xdr:spPr>
        <a:xfrm flipH="1">
          <a:off x="1428461" y="820737"/>
          <a:ext cx="469900" cy="207645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1</xdr:col>
      <xdr:colOff>1329532</xdr:colOff>
      <xdr:row>22</xdr:row>
      <xdr:rowOff>126999</xdr:rowOff>
    </xdr:from>
    <xdr:to>
      <xdr:col>2</xdr:col>
      <xdr:colOff>110332</xdr:colOff>
      <xdr:row>23</xdr:row>
      <xdr:rowOff>160019</xdr:rowOff>
    </xdr:to>
    <xdr:sp macro="" textlink="">
      <xdr:nvSpPr>
        <xdr:cNvPr id="5" name="חץ שמאלה 8"/>
        <xdr:cNvSpPr/>
      </xdr:nvSpPr>
      <xdr:spPr>
        <a:xfrm flipH="1">
          <a:off x="1380332" y="4711699"/>
          <a:ext cx="469900" cy="236220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9</xdr:col>
      <xdr:colOff>373765</xdr:colOff>
      <xdr:row>4</xdr:row>
      <xdr:rowOff>183173</xdr:rowOff>
    </xdr:from>
    <xdr:to>
      <xdr:col>12</xdr:col>
      <xdr:colOff>35414</xdr:colOff>
      <xdr:row>6</xdr:row>
      <xdr:rowOff>12057</xdr:rowOff>
    </xdr:to>
    <xdr:sp macro="" textlink="">
      <xdr:nvSpPr>
        <xdr:cNvPr id="6" name="חץ שמאלה 4"/>
        <xdr:cNvSpPr/>
      </xdr:nvSpPr>
      <xdr:spPr>
        <a:xfrm flipH="1">
          <a:off x="5669665" y="1326173"/>
          <a:ext cx="283949" cy="209884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 editAs="oneCell">
    <xdr:from>
      <xdr:col>22</xdr:col>
      <xdr:colOff>95250</xdr:colOff>
      <xdr:row>0</xdr:row>
      <xdr:rowOff>95250</xdr:rowOff>
    </xdr:from>
    <xdr:to>
      <xdr:col>23</xdr:col>
      <xdr:colOff>85725</xdr:colOff>
      <xdr:row>2</xdr:row>
      <xdr:rowOff>66675</xdr:rowOff>
    </xdr:to>
    <xdr:pic>
      <xdr:nvPicPr>
        <xdr:cNvPr id="13367" name="Picture 7" descr="Logo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68100" y="95250"/>
          <a:ext cx="809625" cy="419100"/>
        </a:xfrm>
        <a:prstGeom prst="rect">
          <a:avLst/>
        </a:prstGeom>
        <a:noFill/>
        <a:ln w="9525">
          <a:solidFill>
            <a:srgbClr val="9900CC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276225</xdr:colOff>
      <xdr:row>59</xdr:row>
      <xdr:rowOff>9525</xdr:rowOff>
    </xdr:from>
    <xdr:to>
      <xdr:col>1</xdr:col>
      <xdr:colOff>342900</xdr:colOff>
      <xdr:row>60</xdr:row>
      <xdr:rowOff>123825</xdr:rowOff>
    </xdr:to>
    <xdr:pic>
      <xdr:nvPicPr>
        <xdr:cNvPr id="13368" name="Picture 10" descr="plus_sign_excel.jpg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1934825"/>
          <a:ext cx="3429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1381125</xdr:colOff>
      <xdr:row>1</xdr:row>
      <xdr:rowOff>0</xdr:rowOff>
    </xdr:from>
    <xdr:to>
      <xdr:col>2</xdr:col>
      <xdr:colOff>161925</xdr:colOff>
      <xdr:row>2</xdr:row>
      <xdr:rowOff>38100</xdr:rowOff>
    </xdr:to>
    <xdr:pic>
      <xdr:nvPicPr>
        <xdr:cNvPr id="13369" name="Picture 11" descr="plus_sign_excel.jpg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" y="190500"/>
          <a:ext cx="4667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566674</xdr:colOff>
      <xdr:row>4</xdr:row>
      <xdr:rowOff>84401</xdr:rowOff>
    </xdr:from>
    <xdr:to>
      <xdr:col>22</xdr:col>
      <xdr:colOff>24105</xdr:colOff>
      <xdr:row>5</xdr:row>
      <xdr:rowOff>146313</xdr:rowOff>
    </xdr:to>
    <xdr:sp macro="" textlink="">
      <xdr:nvSpPr>
        <xdr:cNvPr id="10" name="חץ שמאלה 4"/>
        <xdr:cNvSpPr/>
      </xdr:nvSpPr>
      <xdr:spPr>
        <a:xfrm flipH="1">
          <a:off x="9748774" y="1227401"/>
          <a:ext cx="1679931" cy="252412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432415</xdr:colOff>
      <xdr:row>56</xdr:row>
      <xdr:rowOff>10500</xdr:rowOff>
    </xdr:from>
    <xdr:to>
      <xdr:col>12</xdr:col>
      <xdr:colOff>540415</xdr:colOff>
      <xdr:row>57</xdr:row>
      <xdr:rowOff>0</xdr:rowOff>
    </xdr:to>
    <xdr:sp macro="" textlink="">
      <xdr:nvSpPr>
        <xdr:cNvPr id="2" name="חץ שמאלה 1"/>
        <xdr:cNvSpPr/>
      </xdr:nvSpPr>
      <xdr:spPr>
        <a:xfrm rot="16200000" flipH="1">
          <a:off x="6301915" y="11438400"/>
          <a:ext cx="205400" cy="108000"/>
        </a:xfrm>
        <a:prstGeom prst="leftArrow">
          <a:avLst/>
        </a:prstGeom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1</xdr:col>
      <xdr:colOff>1377661</xdr:colOff>
      <xdr:row>3</xdr:row>
      <xdr:rowOff>122237</xdr:rowOff>
    </xdr:from>
    <xdr:to>
      <xdr:col>2</xdr:col>
      <xdr:colOff>158461</xdr:colOff>
      <xdr:row>3</xdr:row>
      <xdr:rowOff>329882</xdr:rowOff>
    </xdr:to>
    <xdr:sp macro="" textlink="">
      <xdr:nvSpPr>
        <xdr:cNvPr id="3" name="חץ שמאלה 5"/>
        <xdr:cNvSpPr/>
      </xdr:nvSpPr>
      <xdr:spPr>
        <a:xfrm flipH="1">
          <a:off x="1428461" y="820737"/>
          <a:ext cx="469900" cy="207645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1</xdr:col>
      <xdr:colOff>1329532</xdr:colOff>
      <xdr:row>22</xdr:row>
      <xdr:rowOff>126999</xdr:rowOff>
    </xdr:from>
    <xdr:to>
      <xdr:col>2</xdr:col>
      <xdr:colOff>110332</xdr:colOff>
      <xdr:row>23</xdr:row>
      <xdr:rowOff>160019</xdr:rowOff>
    </xdr:to>
    <xdr:sp macro="" textlink="">
      <xdr:nvSpPr>
        <xdr:cNvPr id="5" name="חץ שמאלה 8"/>
        <xdr:cNvSpPr/>
      </xdr:nvSpPr>
      <xdr:spPr>
        <a:xfrm flipH="1">
          <a:off x="1380332" y="4711699"/>
          <a:ext cx="469900" cy="236220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9</xdr:col>
      <xdr:colOff>366191</xdr:colOff>
      <xdr:row>4</xdr:row>
      <xdr:rowOff>170806</xdr:rowOff>
    </xdr:from>
    <xdr:to>
      <xdr:col>12</xdr:col>
      <xdr:colOff>23047</xdr:colOff>
      <xdr:row>5</xdr:row>
      <xdr:rowOff>181181</xdr:rowOff>
    </xdr:to>
    <xdr:sp macro="" textlink="">
      <xdr:nvSpPr>
        <xdr:cNvPr id="6" name="חץ שמאלה 4"/>
        <xdr:cNvSpPr/>
      </xdr:nvSpPr>
      <xdr:spPr>
        <a:xfrm flipH="1">
          <a:off x="5662091" y="1313806"/>
          <a:ext cx="279156" cy="200875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 editAs="oneCell">
    <xdr:from>
      <xdr:col>22</xdr:col>
      <xdr:colOff>95250</xdr:colOff>
      <xdr:row>0</xdr:row>
      <xdr:rowOff>76200</xdr:rowOff>
    </xdr:from>
    <xdr:to>
      <xdr:col>24</xdr:col>
      <xdr:colOff>0</xdr:colOff>
      <xdr:row>2</xdr:row>
      <xdr:rowOff>38100</xdr:rowOff>
    </xdr:to>
    <xdr:pic>
      <xdr:nvPicPr>
        <xdr:cNvPr id="14392" name="Picture 7" descr="Logo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68100" y="76200"/>
          <a:ext cx="809625" cy="409575"/>
        </a:xfrm>
        <a:prstGeom prst="rect">
          <a:avLst/>
        </a:prstGeom>
        <a:noFill/>
        <a:ln w="9525">
          <a:solidFill>
            <a:srgbClr val="9900CC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266700</xdr:colOff>
      <xdr:row>58</xdr:row>
      <xdr:rowOff>171450</xdr:rowOff>
    </xdr:from>
    <xdr:to>
      <xdr:col>2</xdr:col>
      <xdr:colOff>523875</xdr:colOff>
      <xdr:row>60</xdr:row>
      <xdr:rowOff>76200</xdr:rowOff>
    </xdr:to>
    <xdr:pic>
      <xdr:nvPicPr>
        <xdr:cNvPr id="14393" name="Picture 10" descr="plus_sign_excel.jpg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11887200"/>
          <a:ext cx="2571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1381125</xdr:colOff>
      <xdr:row>1</xdr:row>
      <xdr:rowOff>0</xdr:rowOff>
    </xdr:from>
    <xdr:to>
      <xdr:col>2</xdr:col>
      <xdr:colOff>161925</xdr:colOff>
      <xdr:row>2</xdr:row>
      <xdr:rowOff>38100</xdr:rowOff>
    </xdr:to>
    <xdr:pic>
      <xdr:nvPicPr>
        <xdr:cNvPr id="14394" name="Picture 11" descr="plus_sign_excel.jpg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" y="190500"/>
          <a:ext cx="4667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578731</xdr:colOff>
      <xdr:row>4</xdr:row>
      <xdr:rowOff>84401</xdr:rowOff>
    </xdr:from>
    <xdr:to>
      <xdr:col>22</xdr:col>
      <xdr:colOff>36162</xdr:colOff>
      <xdr:row>5</xdr:row>
      <xdr:rowOff>146313</xdr:rowOff>
    </xdr:to>
    <xdr:sp macro="" textlink="">
      <xdr:nvSpPr>
        <xdr:cNvPr id="10" name="חץ שמאלה 4"/>
        <xdr:cNvSpPr/>
      </xdr:nvSpPr>
      <xdr:spPr>
        <a:xfrm flipH="1">
          <a:off x="9760831" y="1227401"/>
          <a:ext cx="1679931" cy="252412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407991</xdr:colOff>
      <xdr:row>56</xdr:row>
      <xdr:rowOff>10500</xdr:rowOff>
    </xdr:from>
    <xdr:to>
      <xdr:col>12</xdr:col>
      <xdr:colOff>515991</xdr:colOff>
      <xdr:row>57</xdr:row>
      <xdr:rowOff>0</xdr:rowOff>
    </xdr:to>
    <xdr:sp macro="" textlink="">
      <xdr:nvSpPr>
        <xdr:cNvPr id="2" name="חץ שמאלה 1"/>
        <xdr:cNvSpPr/>
      </xdr:nvSpPr>
      <xdr:spPr>
        <a:xfrm rot="16200000" flipH="1">
          <a:off x="6277491" y="11438400"/>
          <a:ext cx="205400" cy="108000"/>
        </a:xfrm>
        <a:prstGeom prst="leftArrow">
          <a:avLst/>
        </a:prstGeom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1</xdr:col>
      <xdr:colOff>1377661</xdr:colOff>
      <xdr:row>3</xdr:row>
      <xdr:rowOff>122237</xdr:rowOff>
    </xdr:from>
    <xdr:to>
      <xdr:col>2</xdr:col>
      <xdr:colOff>158461</xdr:colOff>
      <xdr:row>3</xdr:row>
      <xdr:rowOff>329882</xdr:rowOff>
    </xdr:to>
    <xdr:sp macro="" textlink="">
      <xdr:nvSpPr>
        <xdr:cNvPr id="3" name="חץ שמאלה 5"/>
        <xdr:cNvSpPr/>
      </xdr:nvSpPr>
      <xdr:spPr>
        <a:xfrm flipH="1">
          <a:off x="1428461" y="820737"/>
          <a:ext cx="469900" cy="207645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1</xdr:col>
      <xdr:colOff>1329532</xdr:colOff>
      <xdr:row>22</xdr:row>
      <xdr:rowOff>126999</xdr:rowOff>
    </xdr:from>
    <xdr:to>
      <xdr:col>2</xdr:col>
      <xdr:colOff>110332</xdr:colOff>
      <xdr:row>23</xdr:row>
      <xdr:rowOff>160019</xdr:rowOff>
    </xdr:to>
    <xdr:sp macro="" textlink="">
      <xdr:nvSpPr>
        <xdr:cNvPr id="5" name="חץ שמאלה 8"/>
        <xdr:cNvSpPr/>
      </xdr:nvSpPr>
      <xdr:spPr>
        <a:xfrm flipH="1">
          <a:off x="1380332" y="4711699"/>
          <a:ext cx="469900" cy="236220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9</xdr:col>
      <xdr:colOff>378558</xdr:colOff>
      <xdr:row>4</xdr:row>
      <xdr:rowOff>158750</xdr:rowOff>
    </xdr:from>
    <xdr:to>
      <xdr:col>12</xdr:col>
      <xdr:colOff>35415</xdr:colOff>
      <xdr:row>6</xdr:row>
      <xdr:rowOff>3048</xdr:rowOff>
    </xdr:to>
    <xdr:sp macro="" textlink="">
      <xdr:nvSpPr>
        <xdr:cNvPr id="6" name="חץ שמאלה 4"/>
        <xdr:cNvSpPr/>
      </xdr:nvSpPr>
      <xdr:spPr>
        <a:xfrm flipH="1">
          <a:off x="5674458" y="1301750"/>
          <a:ext cx="279157" cy="225298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 editAs="oneCell">
    <xdr:from>
      <xdr:col>22</xdr:col>
      <xdr:colOff>76200</xdr:colOff>
      <xdr:row>0</xdr:row>
      <xdr:rowOff>76200</xdr:rowOff>
    </xdr:from>
    <xdr:to>
      <xdr:col>23</xdr:col>
      <xdr:colOff>76200</xdr:colOff>
      <xdr:row>2</xdr:row>
      <xdr:rowOff>38100</xdr:rowOff>
    </xdr:to>
    <xdr:pic>
      <xdr:nvPicPr>
        <xdr:cNvPr id="15415" name="Picture 7" descr="Logo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76200"/>
          <a:ext cx="819150" cy="409575"/>
        </a:xfrm>
        <a:prstGeom prst="rect">
          <a:avLst/>
        </a:prstGeom>
        <a:noFill/>
        <a:ln w="9525">
          <a:solidFill>
            <a:srgbClr val="9900CC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247650</xdr:colOff>
      <xdr:row>58</xdr:row>
      <xdr:rowOff>180975</xdr:rowOff>
    </xdr:from>
    <xdr:to>
      <xdr:col>2</xdr:col>
      <xdr:colOff>504825</xdr:colOff>
      <xdr:row>60</xdr:row>
      <xdr:rowOff>85725</xdr:rowOff>
    </xdr:to>
    <xdr:pic>
      <xdr:nvPicPr>
        <xdr:cNvPr id="15416" name="Picture 10" descr="plus_sign_excel.jpg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0" y="11896725"/>
          <a:ext cx="2571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1381125</xdr:colOff>
      <xdr:row>1</xdr:row>
      <xdr:rowOff>0</xdr:rowOff>
    </xdr:from>
    <xdr:to>
      <xdr:col>2</xdr:col>
      <xdr:colOff>161925</xdr:colOff>
      <xdr:row>2</xdr:row>
      <xdr:rowOff>38100</xdr:rowOff>
    </xdr:to>
    <xdr:pic>
      <xdr:nvPicPr>
        <xdr:cNvPr id="15417" name="Picture 11" descr="plus_sign_excel.jpg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" y="190500"/>
          <a:ext cx="4667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578731</xdr:colOff>
      <xdr:row>4</xdr:row>
      <xdr:rowOff>84401</xdr:rowOff>
    </xdr:from>
    <xdr:to>
      <xdr:col>22</xdr:col>
      <xdr:colOff>36162</xdr:colOff>
      <xdr:row>5</xdr:row>
      <xdr:rowOff>146313</xdr:rowOff>
    </xdr:to>
    <xdr:sp macro="" textlink="">
      <xdr:nvSpPr>
        <xdr:cNvPr id="10" name="חץ שמאלה 4"/>
        <xdr:cNvSpPr/>
      </xdr:nvSpPr>
      <xdr:spPr>
        <a:xfrm flipH="1">
          <a:off x="9760831" y="1227401"/>
          <a:ext cx="1679931" cy="252412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432415</xdr:colOff>
      <xdr:row>56</xdr:row>
      <xdr:rowOff>10500</xdr:rowOff>
    </xdr:from>
    <xdr:to>
      <xdr:col>12</xdr:col>
      <xdr:colOff>540415</xdr:colOff>
      <xdr:row>57</xdr:row>
      <xdr:rowOff>0</xdr:rowOff>
    </xdr:to>
    <xdr:sp macro="" textlink="">
      <xdr:nvSpPr>
        <xdr:cNvPr id="2" name="חץ שמאלה 1"/>
        <xdr:cNvSpPr/>
      </xdr:nvSpPr>
      <xdr:spPr>
        <a:xfrm rot="16200000" flipH="1">
          <a:off x="6301915" y="11438400"/>
          <a:ext cx="205400" cy="108000"/>
        </a:xfrm>
        <a:prstGeom prst="leftArrow">
          <a:avLst/>
        </a:prstGeom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1</xdr:col>
      <xdr:colOff>1377661</xdr:colOff>
      <xdr:row>3</xdr:row>
      <xdr:rowOff>122237</xdr:rowOff>
    </xdr:from>
    <xdr:to>
      <xdr:col>2</xdr:col>
      <xdr:colOff>158461</xdr:colOff>
      <xdr:row>3</xdr:row>
      <xdr:rowOff>329882</xdr:rowOff>
    </xdr:to>
    <xdr:sp macro="" textlink="">
      <xdr:nvSpPr>
        <xdr:cNvPr id="3" name="חץ שמאלה 5"/>
        <xdr:cNvSpPr/>
      </xdr:nvSpPr>
      <xdr:spPr>
        <a:xfrm flipH="1">
          <a:off x="1428461" y="820737"/>
          <a:ext cx="469900" cy="207645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1</xdr:col>
      <xdr:colOff>1329532</xdr:colOff>
      <xdr:row>22</xdr:row>
      <xdr:rowOff>126999</xdr:rowOff>
    </xdr:from>
    <xdr:to>
      <xdr:col>2</xdr:col>
      <xdr:colOff>110332</xdr:colOff>
      <xdr:row>23</xdr:row>
      <xdr:rowOff>160019</xdr:rowOff>
    </xdr:to>
    <xdr:sp macro="" textlink="">
      <xdr:nvSpPr>
        <xdr:cNvPr id="5" name="חץ שמאלה 8"/>
        <xdr:cNvSpPr/>
      </xdr:nvSpPr>
      <xdr:spPr>
        <a:xfrm flipH="1">
          <a:off x="1380332" y="4711699"/>
          <a:ext cx="469900" cy="236220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9</xdr:col>
      <xdr:colOff>397879</xdr:colOff>
      <xdr:row>4</xdr:row>
      <xdr:rowOff>158750</xdr:rowOff>
    </xdr:from>
    <xdr:to>
      <xdr:col>12</xdr:col>
      <xdr:colOff>35414</xdr:colOff>
      <xdr:row>5</xdr:row>
      <xdr:rowOff>168798</xdr:rowOff>
    </xdr:to>
    <xdr:sp macro="" textlink="">
      <xdr:nvSpPr>
        <xdr:cNvPr id="6" name="חץ שמאלה 4"/>
        <xdr:cNvSpPr/>
      </xdr:nvSpPr>
      <xdr:spPr>
        <a:xfrm flipH="1">
          <a:off x="5693779" y="1301750"/>
          <a:ext cx="259835" cy="200548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 editAs="oneCell">
    <xdr:from>
      <xdr:col>22</xdr:col>
      <xdr:colOff>104775</xdr:colOff>
      <xdr:row>0</xdr:row>
      <xdr:rowOff>47625</xdr:rowOff>
    </xdr:from>
    <xdr:to>
      <xdr:col>24</xdr:col>
      <xdr:colOff>9525</xdr:colOff>
      <xdr:row>2</xdr:row>
      <xdr:rowOff>9525</xdr:rowOff>
    </xdr:to>
    <xdr:pic>
      <xdr:nvPicPr>
        <xdr:cNvPr id="16440" name="Picture 7" descr="Logo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77625" y="47625"/>
          <a:ext cx="809625" cy="409575"/>
        </a:xfrm>
        <a:prstGeom prst="rect">
          <a:avLst/>
        </a:prstGeom>
        <a:noFill/>
        <a:ln w="9525">
          <a:solidFill>
            <a:srgbClr val="9900CC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266700</xdr:colOff>
      <xdr:row>58</xdr:row>
      <xdr:rowOff>180975</xdr:rowOff>
    </xdr:from>
    <xdr:to>
      <xdr:col>2</xdr:col>
      <xdr:colOff>523875</xdr:colOff>
      <xdr:row>60</xdr:row>
      <xdr:rowOff>85725</xdr:rowOff>
    </xdr:to>
    <xdr:pic>
      <xdr:nvPicPr>
        <xdr:cNvPr id="16441" name="Picture 10" descr="plus_sign_excel.jpg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11896725"/>
          <a:ext cx="2571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1381125</xdr:colOff>
      <xdr:row>1</xdr:row>
      <xdr:rowOff>0</xdr:rowOff>
    </xdr:from>
    <xdr:to>
      <xdr:col>2</xdr:col>
      <xdr:colOff>161925</xdr:colOff>
      <xdr:row>2</xdr:row>
      <xdr:rowOff>38100</xdr:rowOff>
    </xdr:to>
    <xdr:pic>
      <xdr:nvPicPr>
        <xdr:cNvPr id="16442" name="Picture 11" descr="plus_sign_excel.jpg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" y="190500"/>
          <a:ext cx="4667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578731</xdr:colOff>
      <xdr:row>4</xdr:row>
      <xdr:rowOff>96458</xdr:rowOff>
    </xdr:from>
    <xdr:to>
      <xdr:col>22</xdr:col>
      <xdr:colOff>36162</xdr:colOff>
      <xdr:row>5</xdr:row>
      <xdr:rowOff>158370</xdr:rowOff>
    </xdr:to>
    <xdr:sp macro="" textlink="">
      <xdr:nvSpPr>
        <xdr:cNvPr id="10" name="חץ שמאלה 4"/>
        <xdr:cNvSpPr/>
      </xdr:nvSpPr>
      <xdr:spPr>
        <a:xfrm flipH="1">
          <a:off x="9760831" y="1239458"/>
          <a:ext cx="1679931" cy="252412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407991</xdr:colOff>
      <xdr:row>56</xdr:row>
      <xdr:rowOff>10500</xdr:rowOff>
    </xdr:from>
    <xdr:to>
      <xdr:col>12</xdr:col>
      <xdr:colOff>515991</xdr:colOff>
      <xdr:row>57</xdr:row>
      <xdr:rowOff>0</xdr:rowOff>
    </xdr:to>
    <xdr:sp macro="" textlink="">
      <xdr:nvSpPr>
        <xdr:cNvPr id="2" name="חץ שמאלה 1"/>
        <xdr:cNvSpPr/>
      </xdr:nvSpPr>
      <xdr:spPr>
        <a:xfrm rot="16200000" flipH="1">
          <a:off x="6277491" y="11438400"/>
          <a:ext cx="205400" cy="108000"/>
        </a:xfrm>
        <a:prstGeom prst="leftArrow">
          <a:avLst/>
        </a:prstGeom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1</xdr:col>
      <xdr:colOff>1377661</xdr:colOff>
      <xdr:row>3</xdr:row>
      <xdr:rowOff>122237</xdr:rowOff>
    </xdr:from>
    <xdr:to>
      <xdr:col>2</xdr:col>
      <xdr:colOff>158461</xdr:colOff>
      <xdr:row>3</xdr:row>
      <xdr:rowOff>329882</xdr:rowOff>
    </xdr:to>
    <xdr:sp macro="" textlink="">
      <xdr:nvSpPr>
        <xdr:cNvPr id="3" name="חץ שמאלה 5"/>
        <xdr:cNvSpPr/>
      </xdr:nvSpPr>
      <xdr:spPr>
        <a:xfrm flipH="1">
          <a:off x="1428461" y="820737"/>
          <a:ext cx="469900" cy="207645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1</xdr:col>
      <xdr:colOff>1329532</xdr:colOff>
      <xdr:row>22</xdr:row>
      <xdr:rowOff>126999</xdr:rowOff>
    </xdr:from>
    <xdr:to>
      <xdr:col>2</xdr:col>
      <xdr:colOff>110332</xdr:colOff>
      <xdr:row>23</xdr:row>
      <xdr:rowOff>160019</xdr:rowOff>
    </xdr:to>
    <xdr:sp macro="" textlink="">
      <xdr:nvSpPr>
        <xdr:cNvPr id="5" name="חץ שמאלה 8"/>
        <xdr:cNvSpPr/>
      </xdr:nvSpPr>
      <xdr:spPr>
        <a:xfrm flipH="1">
          <a:off x="1380332" y="4711699"/>
          <a:ext cx="469900" cy="236220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>
    <xdr:from>
      <xdr:col>9</xdr:col>
      <xdr:colOff>378556</xdr:colOff>
      <xdr:row>4</xdr:row>
      <xdr:rowOff>158750</xdr:rowOff>
    </xdr:from>
    <xdr:to>
      <xdr:col>12</xdr:col>
      <xdr:colOff>23201</xdr:colOff>
      <xdr:row>5</xdr:row>
      <xdr:rowOff>183174</xdr:rowOff>
    </xdr:to>
    <xdr:sp macro="" textlink="">
      <xdr:nvSpPr>
        <xdr:cNvPr id="6" name="חץ שמאלה 4"/>
        <xdr:cNvSpPr/>
      </xdr:nvSpPr>
      <xdr:spPr>
        <a:xfrm flipH="1">
          <a:off x="5674456" y="1301750"/>
          <a:ext cx="266945" cy="214924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  <xdr:twoCellAnchor editAs="oneCell">
    <xdr:from>
      <xdr:col>22</xdr:col>
      <xdr:colOff>133350</xdr:colOff>
      <xdr:row>0</xdr:row>
      <xdr:rowOff>85725</xdr:rowOff>
    </xdr:from>
    <xdr:to>
      <xdr:col>24</xdr:col>
      <xdr:colOff>38100</xdr:colOff>
      <xdr:row>2</xdr:row>
      <xdr:rowOff>47625</xdr:rowOff>
    </xdr:to>
    <xdr:pic>
      <xdr:nvPicPr>
        <xdr:cNvPr id="17464" name="Picture 7" descr="Logo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06200" y="85725"/>
          <a:ext cx="809625" cy="409575"/>
        </a:xfrm>
        <a:prstGeom prst="rect">
          <a:avLst/>
        </a:prstGeom>
        <a:noFill/>
        <a:ln w="9525">
          <a:solidFill>
            <a:srgbClr val="9900CC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266700</xdr:colOff>
      <xdr:row>58</xdr:row>
      <xdr:rowOff>180975</xdr:rowOff>
    </xdr:from>
    <xdr:to>
      <xdr:col>2</xdr:col>
      <xdr:colOff>523875</xdr:colOff>
      <xdr:row>60</xdr:row>
      <xdr:rowOff>85725</xdr:rowOff>
    </xdr:to>
    <xdr:pic>
      <xdr:nvPicPr>
        <xdr:cNvPr id="17465" name="Picture 10" descr="plus_sign_excel.jpg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11896725"/>
          <a:ext cx="2571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1381125</xdr:colOff>
      <xdr:row>1</xdr:row>
      <xdr:rowOff>0</xdr:rowOff>
    </xdr:from>
    <xdr:to>
      <xdr:col>2</xdr:col>
      <xdr:colOff>161925</xdr:colOff>
      <xdr:row>2</xdr:row>
      <xdr:rowOff>38100</xdr:rowOff>
    </xdr:to>
    <xdr:pic>
      <xdr:nvPicPr>
        <xdr:cNvPr id="17466" name="Picture 11" descr="plus_sign_excel.jpg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" y="190500"/>
          <a:ext cx="4667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578731</xdr:colOff>
      <xdr:row>4</xdr:row>
      <xdr:rowOff>84401</xdr:rowOff>
    </xdr:from>
    <xdr:to>
      <xdr:col>22</xdr:col>
      <xdr:colOff>36162</xdr:colOff>
      <xdr:row>5</xdr:row>
      <xdr:rowOff>146313</xdr:rowOff>
    </xdr:to>
    <xdr:sp macro="" textlink="">
      <xdr:nvSpPr>
        <xdr:cNvPr id="10" name="חץ שמאלה 4"/>
        <xdr:cNvSpPr/>
      </xdr:nvSpPr>
      <xdr:spPr>
        <a:xfrm flipH="1">
          <a:off x="9760831" y="1227401"/>
          <a:ext cx="1679931" cy="252412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endParaRPr lang="he-IL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352425</xdr:colOff>
      <xdr:row>1</xdr:row>
      <xdr:rowOff>47625</xdr:rowOff>
    </xdr:from>
    <xdr:to>
      <xdr:col>1</xdr:col>
      <xdr:colOff>1181100</xdr:colOff>
      <xdr:row>2</xdr:row>
      <xdr:rowOff>276225</xdr:rowOff>
    </xdr:to>
    <xdr:pic>
      <xdr:nvPicPr>
        <xdr:cNvPr id="5166" name="Picture 1" descr="Logo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257175"/>
          <a:ext cx="828675" cy="419100"/>
        </a:xfrm>
        <a:prstGeom prst="rect">
          <a:avLst/>
        </a:prstGeom>
        <a:noFill/>
        <a:ln w="9525">
          <a:solidFill>
            <a:srgbClr val="9900CC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9525</xdr:colOff>
      <xdr:row>0</xdr:row>
      <xdr:rowOff>19050</xdr:rowOff>
    </xdr:from>
    <xdr:to>
      <xdr:col>26</xdr:col>
      <xdr:colOff>704850</xdr:colOff>
      <xdr:row>1</xdr:row>
      <xdr:rowOff>123825</xdr:rowOff>
    </xdr:to>
    <xdr:pic>
      <xdr:nvPicPr>
        <xdr:cNvPr id="19463" name="Picture 1" descr="Logo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48975" y="19050"/>
          <a:ext cx="695325" cy="352425"/>
        </a:xfrm>
        <a:prstGeom prst="rect">
          <a:avLst/>
        </a:prstGeom>
        <a:noFill/>
        <a:ln w="9525">
          <a:solidFill>
            <a:srgbClr val="9900CC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171450</xdr:colOff>
      <xdr:row>0</xdr:row>
      <xdr:rowOff>38100</xdr:rowOff>
    </xdr:from>
    <xdr:to>
      <xdr:col>17</xdr:col>
      <xdr:colOff>276225</xdr:colOff>
      <xdr:row>1</xdr:row>
      <xdr:rowOff>247650</xdr:rowOff>
    </xdr:to>
    <xdr:pic>
      <xdr:nvPicPr>
        <xdr:cNvPr id="20488" name="Picture 1" descr="Logo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38100"/>
          <a:ext cx="923925" cy="419100"/>
        </a:xfrm>
        <a:prstGeom prst="rect">
          <a:avLst/>
        </a:prstGeom>
        <a:noFill/>
        <a:ln w="9525">
          <a:solidFill>
            <a:srgbClr val="9900CC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paamonim.org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59999389629810485"/>
  </sheetPr>
  <dimension ref="A1:T40"/>
  <sheetViews>
    <sheetView tabSelected="1" zoomScaleNormal="100" workbookViewId="0">
      <selection activeCell="Q2" sqref="Q2"/>
    </sheetView>
  </sheetViews>
  <sheetFormatPr defaultColWidth="9.125" defaultRowHeight="14.25"/>
  <cols>
    <col min="1" max="1" width="1.75" style="52" customWidth="1"/>
    <col min="2" max="2" width="9.125" style="52"/>
    <col min="3" max="3" width="9.625" style="52" customWidth="1"/>
    <col min="4" max="4" width="7" style="52" customWidth="1"/>
    <col min="5" max="6" width="2.375" style="52" customWidth="1"/>
    <col min="7" max="7" width="7.375" style="52" customWidth="1"/>
    <col min="8" max="8" width="12.75" style="52" customWidth="1"/>
    <col min="9" max="9" width="14.625" style="52" customWidth="1"/>
    <col min="10" max="10" width="9.125" style="52"/>
    <col min="11" max="11" width="9.375" style="52" customWidth="1"/>
    <col min="12" max="12" width="9" style="52" customWidth="1"/>
    <col min="13" max="13" width="11" style="52" customWidth="1"/>
    <col min="14" max="14" width="8.25" style="52" customWidth="1"/>
    <col min="15" max="15" width="9.375" style="52" customWidth="1"/>
    <col min="16" max="16" width="9.75" style="52" customWidth="1"/>
    <col min="17" max="17" width="9.125" style="52"/>
    <col min="18" max="18" width="10.875" style="52" customWidth="1"/>
    <col min="19" max="16384" width="9.125" style="52"/>
  </cols>
  <sheetData>
    <row r="1" spans="1:20" ht="6" customHeight="1" thickBot="1">
      <c r="A1" s="86"/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</row>
    <row r="2" spans="1:20" ht="18.75" thickBot="1">
      <c r="A2" s="86"/>
      <c r="B2" s="920" t="s">
        <v>513</v>
      </c>
      <c r="C2" s="921"/>
      <c r="D2" s="921"/>
      <c r="E2" s="921"/>
      <c r="F2" s="921"/>
      <c r="G2" s="921"/>
      <c r="H2" s="921"/>
      <c r="I2" s="921"/>
      <c r="J2" s="921"/>
      <c r="K2" s="921"/>
      <c r="L2" s="921"/>
      <c r="M2" s="921"/>
      <c r="N2" s="921"/>
      <c r="O2" s="921"/>
      <c r="P2" s="921"/>
      <c r="Q2" s="898" t="s">
        <v>457</v>
      </c>
      <c r="R2" s="458" t="s">
        <v>143</v>
      </c>
      <c r="S2" s="86"/>
      <c r="T2" s="86"/>
    </row>
    <row r="3" spans="1:20">
      <c r="A3" s="86"/>
      <c r="B3" s="921" t="s">
        <v>529</v>
      </c>
      <c r="C3" s="921"/>
      <c r="D3" s="921"/>
      <c r="E3" s="921"/>
      <c r="F3" s="921"/>
      <c r="G3" s="921"/>
      <c r="H3" s="921"/>
      <c r="I3" s="921"/>
      <c r="J3" s="921"/>
      <c r="K3" s="922"/>
      <c r="L3" s="921"/>
      <c r="M3" s="921"/>
      <c r="N3" s="921"/>
      <c r="O3" s="921"/>
      <c r="P3" s="921"/>
      <c r="Q3" s="921"/>
      <c r="R3" s="921"/>
      <c r="S3" s="86"/>
      <c r="T3" s="86"/>
    </row>
    <row r="4" spans="1:20">
      <c r="A4" s="86"/>
      <c r="B4" s="921" t="s">
        <v>538</v>
      </c>
      <c r="C4" s="921"/>
      <c r="D4" s="921"/>
      <c r="E4" s="921"/>
      <c r="F4" s="921"/>
      <c r="G4" s="921"/>
      <c r="H4" s="921"/>
      <c r="I4" s="921"/>
      <c r="J4" s="921"/>
      <c r="K4" s="921"/>
      <c r="L4" s="921"/>
      <c r="M4" s="921"/>
      <c r="N4" s="921"/>
      <c r="O4" s="921"/>
      <c r="P4" s="921"/>
      <c r="Q4" s="921"/>
      <c r="R4" s="921"/>
      <c r="S4" s="86"/>
      <c r="T4" s="86"/>
    </row>
    <row r="5" spans="1:20" ht="15" customHeight="1">
      <c r="A5" s="86"/>
      <c r="B5" s="921" t="s">
        <v>530</v>
      </c>
      <c r="C5" s="921"/>
      <c r="D5" s="921"/>
      <c r="E5" s="921"/>
      <c r="F5" s="923"/>
      <c r="G5" s="923"/>
      <c r="H5" s="923"/>
      <c r="I5" s="923"/>
      <c r="J5" s="923"/>
      <c r="K5" s="923"/>
      <c r="L5" s="923"/>
      <c r="M5" s="923"/>
      <c r="N5" s="923"/>
      <c r="O5" s="921"/>
      <c r="P5" s="921"/>
      <c r="Q5" s="921"/>
      <c r="R5" s="921"/>
      <c r="S5" s="86"/>
      <c r="T5" s="86"/>
    </row>
    <row r="6" spans="1:20" ht="12.75" customHeight="1">
      <c r="A6" s="86"/>
      <c r="B6" s="921" t="s">
        <v>533</v>
      </c>
      <c r="C6" s="921"/>
      <c r="D6" s="921"/>
      <c r="E6" s="921"/>
      <c r="F6" s="921"/>
      <c r="G6" s="921"/>
      <c r="H6" s="921"/>
      <c r="I6" s="921"/>
      <c r="J6" s="921"/>
      <c r="K6" s="921"/>
      <c r="L6" s="921"/>
      <c r="M6" s="921"/>
      <c r="N6" s="921"/>
      <c r="O6" s="921"/>
      <c r="P6" s="921"/>
      <c r="Q6" s="921"/>
      <c r="R6" s="921"/>
      <c r="S6" s="86"/>
      <c r="T6" s="86"/>
    </row>
    <row r="7" spans="1:20">
      <c r="A7" s="86"/>
      <c r="B7" s="921" t="s">
        <v>514</v>
      </c>
      <c r="C7" s="921"/>
      <c r="D7" s="921"/>
      <c r="E7" s="921"/>
      <c r="F7" s="921"/>
      <c r="G7" s="921"/>
      <c r="H7" s="921"/>
      <c r="I7" s="921"/>
      <c r="J7" s="921"/>
      <c r="K7" s="921"/>
      <c r="L7" s="921"/>
      <c r="M7" s="921"/>
      <c r="N7" s="921"/>
      <c r="O7" s="921"/>
      <c r="P7" s="921"/>
      <c r="Q7" s="921"/>
      <c r="R7" s="921"/>
      <c r="S7" s="86"/>
      <c r="T7" s="86"/>
    </row>
    <row r="8" spans="1:20" s="328" customFormat="1" ht="15">
      <c r="A8" s="364"/>
      <c r="B8" s="934" t="s">
        <v>534</v>
      </c>
      <c r="C8" s="149"/>
      <c r="D8" s="149"/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824"/>
      <c r="Q8" s="149"/>
      <c r="R8" s="149"/>
      <c r="S8" s="364"/>
      <c r="T8" s="364"/>
    </row>
    <row r="9" spans="1:20" ht="18">
      <c r="A9" s="86"/>
      <c r="B9" s="920" t="s">
        <v>520</v>
      </c>
      <c r="C9" s="824"/>
      <c r="D9" s="824"/>
      <c r="E9" s="824"/>
      <c r="F9" s="824"/>
      <c r="G9" s="824"/>
      <c r="H9" s="824"/>
      <c r="I9" s="824"/>
      <c r="J9" s="824"/>
      <c r="K9" s="824"/>
      <c r="L9" s="824"/>
      <c r="M9" s="824"/>
      <c r="N9" s="824"/>
      <c r="O9" s="824"/>
      <c r="P9" s="824"/>
      <c r="Q9" s="824"/>
      <c r="R9" s="149"/>
      <c r="S9" s="86"/>
      <c r="T9" s="86"/>
    </row>
    <row r="10" spans="1:20" ht="15">
      <c r="A10" s="86"/>
      <c r="B10" s="826" t="s">
        <v>535</v>
      </c>
      <c r="C10" s="916"/>
      <c r="D10" s="916"/>
      <c r="E10" s="916"/>
      <c r="F10" s="824"/>
      <c r="G10" s="921"/>
      <c r="H10" s="921"/>
      <c r="I10" s="921"/>
      <c r="J10" s="916"/>
      <c r="K10" s="916"/>
      <c r="L10" s="916"/>
      <c r="M10" s="916"/>
      <c r="N10" s="916"/>
      <c r="O10" s="921"/>
      <c r="P10" s="921"/>
      <c r="Q10" s="921"/>
      <c r="R10" s="149"/>
      <c r="S10" s="86"/>
      <c r="T10" s="86"/>
    </row>
    <row r="11" spans="1:20" s="81" customFormat="1" ht="15">
      <c r="A11" s="365"/>
      <c r="B11" s="825" t="s">
        <v>539</v>
      </c>
      <c r="C11" s="824"/>
      <c r="D11" s="824"/>
      <c r="E11" s="824"/>
      <c r="F11" s="824"/>
      <c r="G11" s="824"/>
      <c r="H11" s="824"/>
      <c r="I11" s="824"/>
      <c r="J11" s="824"/>
      <c r="K11" s="824"/>
      <c r="L11" s="824"/>
      <c r="M11" s="824"/>
      <c r="N11" s="824"/>
      <c r="O11" s="824"/>
      <c r="P11" s="824"/>
      <c r="Q11" s="824"/>
      <c r="R11" s="149"/>
      <c r="S11" s="365"/>
      <c r="T11" s="365"/>
    </row>
    <row r="12" spans="1:20" s="81" customFormat="1" ht="18">
      <c r="A12" s="365"/>
      <c r="B12" s="920" t="s">
        <v>521</v>
      </c>
      <c r="C12" s="824"/>
      <c r="D12" s="824"/>
      <c r="E12" s="824"/>
      <c r="F12" s="824"/>
      <c r="G12" s="824"/>
      <c r="H12" s="824"/>
      <c r="I12" s="824"/>
      <c r="J12" s="824"/>
      <c r="K12" s="824"/>
      <c r="L12" s="824"/>
      <c r="M12" s="824"/>
      <c r="N12" s="824"/>
      <c r="O12" s="824"/>
      <c r="P12" s="824"/>
      <c r="Q12" s="824"/>
      <c r="R12" s="149"/>
      <c r="S12" s="365"/>
      <c r="T12" s="365"/>
    </row>
    <row r="13" spans="1:20" ht="15">
      <c r="A13" s="86"/>
      <c r="B13" s="827" t="s">
        <v>516</v>
      </c>
      <c r="C13" s="82"/>
      <c r="D13" s="83"/>
      <c r="E13" s="83"/>
      <c r="F13" s="83"/>
      <c r="G13" s="82"/>
      <c r="H13" s="82"/>
      <c r="I13" s="824"/>
      <c r="J13" s="82"/>
      <c r="K13" s="82"/>
      <c r="L13" s="824"/>
      <c r="M13" s="82"/>
      <c r="N13" s="82"/>
      <c r="O13" s="82"/>
      <c r="P13" s="82"/>
      <c r="Q13" s="82"/>
      <c r="R13" s="149"/>
      <c r="S13" s="86"/>
      <c r="T13" s="86"/>
    </row>
    <row r="14" spans="1:20" ht="15">
      <c r="A14" s="86"/>
      <c r="B14" s="825" t="s">
        <v>517</v>
      </c>
      <c r="C14" s="824"/>
      <c r="D14" s="824"/>
      <c r="E14" s="824"/>
      <c r="F14" s="824"/>
      <c r="G14" s="824"/>
      <c r="H14" s="824"/>
      <c r="I14" s="824"/>
      <c r="J14" s="824"/>
      <c r="K14" s="824"/>
      <c r="L14" s="824"/>
      <c r="M14" s="824"/>
      <c r="N14" s="824"/>
      <c r="O14" s="824"/>
      <c r="P14" s="824"/>
      <c r="Q14" s="824"/>
      <c r="R14" s="149"/>
      <c r="S14" s="86"/>
      <c r="T14" s="86"/>
    </row>
    <row r="15" spans="1:20">
      <c r="A15" s="86"/>
      <c r="B15" s="825" t="s">
        <v>536</v>
      </c>
      <c r="C15" s="824"/>
      <c r="D15" s="824"/>
      <c r="E15" s="824"/>
      <c r="F15" s="824"/>
      <c r="G15" s="824"/>
      <c r="H15" s="824"/>
      <c r="I15" s="824"/>
      <c r="J15" s="824"/>
      <c r="K15" s="824"/>
      <c r="L15" s="824"/>
      <c r="M15" s="824"/>
      <c r="N15" s="824"/>
      <c r="O15" s="824"/>
      <c r="P15" s="824"/>
      <c r="Q15" s="824"/>
      <c r="R15" s="824"/>
      <c r="S15" s="86"/>
      <c r="T15" s="86"/>
    </row>
    <row r="16" spans="1:20" s="730" customFormat="1">
      <c r="A16" s="86"/>
      <c r="B16" s="826" t="s">
        <v>518</v>
      </c>
      <c r="C16" s="916"/>
      <c r="D16" s="916"/>
      <c r="E16" s="916"/>
      <c r="F16" s="916"/>
      <c r="G16" s="916"/>
      <c r="H16" s="916"/>
      <c r="I16" s="916"/>
      <c r="J16" s="916"/>
      <c r="K16" s="916"/>
      <c r="L16" s="916"/>
      <c r="M16" s="916"/>
      <c r="N16" s="916"/>
      <c r="O16" s="916"/>
      <c r="P16" s="916"/>
      <c r="Q16" s="916"/>
      <c r="R16" s="916"/>
      <c r="S16" s="86"/>
      <c r="T16" s="86"/>
    </row>
    <row r="17" spans="1:20" s="730" customFormat="1">
      <c r="A17" s="86"/>
      <c r="B17" s="826" t="s">
        <v>519</v>
      </c>
      <c r="C17" s="916"/>
      <c r="D17" s="916"/>
      <c r="E17" s="916"/>
      <c r="F17" s="916"/>
      <c r="G17" s="916"/>
      <c r="H17" s="916"/>
      <c r="I17" s="916"/>
      <c r="J17" s="916"/>
      <c r="K17" s="916"/>
      <c r="L17" s="916"/>
      <c r="M17" s="916"/>
      <c r="N17" s="916"/>
      <c r="O17" s="916"/>
      <c r="P17" s="916"/>
      <c r="Q17" s="916"/>
      <c r="R17" s="916"/>
      <c r="S17" s="86"/>
      <c r="T17" s="86"/>
    </row>
    <row r="18" spans="1:20" s="730" customFormat="1" ht="15" thickBot="1">
      <c r="A18" s="86"/>
      <c r="B18" s="826" t="s">
        <v>527</v>
      </c>
      <c r="C18" s="916"/>
      <c r="D18" s="916"/>
      <c r="E18" s="916"/>
      <c r="F18" s="916"/>
      <c r="G18" s="916"/>
      <c r="H18" s="916"/>
      <c r="I18" s="916"/>
      <c r="J18" s="916"/>
      <c r="K18" s="916"/>
      <c r="L18" s="916"/>
      <c r="M18" s="916"/>
      <c r="N18" s="916"/>
      <c r="O18" s="916"/>
      <c r="P18" s="916"/>
      <c r="Q18" s="916"/>
      <c r="R18" s="916"/>
      <c r="S18" s="86"/>
      <c r="T18" s="86"/>
    </row>
    <row r="19" spans="1:20" s="730" customFormat="1" ht="15.75" thickTop="1" thickBot="1">
      <c r="A19" s="86"/>
      <c r="B19" s="826" t="s">
        <v>515</v>
      </c>
      <c r="C19" s="916"/>
      <c r="D19" s="916"/>
      <c r="E19" s="916"/>
      <c r="F19" s="916"/>
      <c r="G19" s="916"/>
      <c r="H19" s="933"/>
      <c r="I19" s="931"/>
      <c r="J19" s="932"/>
      <c r="K19" s="916"/>
      <c r="L19" s="916"/>
      <c r="M19" s="916"/>
      <c r="N19" s="916"/>
      <c r="O19" s="916"/>
      <c r="P19" s="916"/>
      <c r="Q19" s="916"/>
      <c r="R19" s="916"/>
      <c r="S19" s="86"/>
      <c r="T19" s="86"/>
    </row>
    <row r="20" spans="1:20" s="730" customFormat="1" ht="18.75" thickTop="1">
      <c r="A20" s="86"/>
      <c r="B20" s="920" t="s">
        <v>522</v>
      </c>
      <c r="C20" s="916"/>
      <c r="D20" s="916"/>
      <c r="E20" s="916"/>
      <c r="F20" s="916"/>
      <c r="G20" s="916"/>
      <c r="H20" s="917"/>
      <c r="I20" s="917"/>
      <c r="J20" s="916"/>
      <c r="K20" s="916"/>
      <c r="L20" s="916"/>
      <c r="M20" s="916"/>
      <c r="N20" s="916"/>
      <c r="O20" s="916"/>
      <c r="P20" s="916"/>
      <c r="Q20" s="916"/>
      <c r="R20" s="916"/>
      <c r="S20" s="86"/>
      <c r="T20" s="86"/>
    </row>
    <row r="21" spans="1:20" s="730" customFormat="1">
      <c r="A21" s="86"/>
      <c r="B21" s="826" t="s">
        <v>523</v>
      </c>
      <c r="C21" s="916"/>
      <c r="D21" s="916"/>
      <c r="E21" s="916"/>
      <c r="F21" s="916"/>
      <c r="G21" s="916"/>
      <c r="H21" s="917"/>
      <c r="I21" s="917"/>
      <c r="J21" s="916"/>
      <c r="K21" s="916"/>
      <c r="L21" s="916"/>
      <c r="M21" s="916"/>
      <c r="N21" s="916"/>
      <c r="O21" s="916"/>
      <c r="P21" s="916"/>
      <c r="Q21" s="916"/>
      <c r="R21" s="916"/>
      <c r="S21" s="86"/>
      <c r="T21" s="86"/>
    </row>
    <row r="22" spans="1:20" s="730" customFormat="1">
      <c r="A22" s="86"/>
      <c r="B22" s="826" t="s">
        <v>524</v>
      </c>
      <c r="C22" s="916"/>
      <c r="D22" s="916"/>
      <c r="E22" s="916"/>
      <c r="F22" s="916"/>
      <c r="G22" s="916"/>
      <c r="H22" s="917"/>
      <c r="I22" s="917"/>
      <c r="J22" s="916"/>
      <c r="K22" s="916"/>
      <c r="L22" s="916"/>
      <c r="M22" s="916"/>
      <c r="N22" s="916"/>
      <c r="O22" s="916"/>
      <c r="P22" s="916"/>
      <c r="Q22" s="916"/>
      <c r="R22" s="916"/>
      <c r="S22" s="86"/>
      <c r="T22" s="86"/>
    </row>
    <row r="23" spans="1:20" s="730" customFormat="1">
      <c r="A23" s="86"/>
      <c r="B23" s="826" t="s">
        <v>526</v>
      </c>
      <c r="C23" s="916"/>
      <c r="D23" s="916"/>
      <c r="E23" s="916"/>
      <c r="F23" s="916"/>
      <c r="G23" s="916"/>
      <c r="H23" s="917"/>
      <c r="I23" s="917"/>
      <c r="J23" s="916"/>
      <c r="K23" s="916"/>
      <c r="L23" s="916"/>
      <c r="M23" s="916"/>
      <c r="N23" s="916"/>
      <c r="O23" s="916"/>
      <c r="P23" s="916"/>
      <c r="Q23" s="916"/>
      <c r="R23" s="916"/>
      <c r="S23" s="86"/>
      <c r="T23" s="86"/>
    </row>
    <row r="24" spans="1:20" s="730" customFormat="1">
      <c r="A24" s="86"/>
      <c r="B24" s="826" t="s">
        <v>531</v>
      </c>
      <c r="C24" s="916"/>
      <c r="D24" s="916"/>
      <c r="E24" s="916"/>
      <c r="F24" s="916"/>
      <c r="G24" s="916"/>
      <c r="H24" s="917"/>
      <c r="I24" s="917"/>
      <c r="J24" s="916"/>
      <c r="K24" s="916"/>
      <c r="L24" s="916"/>
      <c r="M24" s="916"/>
      <c r="N24" s="916"/>
      <c r="O24" s="916"/>
      <c r="P24" s="916"/>
      <c r="Q24" s="916"/>
      <c r="R24" s="916"/>
      <c r="S24" s="86"/>
      <c r="T24" s="86"/>
    </row>
    <row r="25" spans="1:20" s="730" customFormat="1" ht="15">
      <c r="A25" s="86"/>
      <c r="B25" s="826" t="s">
        <v>528</v>
      </c>
      <c r="C25" s="916"/>
      <c r="D25" s="916"/>
      <c r="E25" s="916"/>
      <c r="F25" s="916"/>
      <c r="G25" s="916"/>
      <c r="H25" s="917"/>
      <c r="I25" s="918"/>
      <c r="J25" s="919"/>
      <c r="K25" s="919"/>
      <c r="L25" s="916"/>
      <c r="M25" s="916"/>
      <c r="N25" s="916"/>
      <c r="O25" s="916"/>
      <c r="P25" s="916"/>
      <c r="Q25" s="916"/>
      <c r="R25" s="916"/>
      <c r="S25" s="86"/>
      <c r="T25" s="86"/>
    </row>
    <row r="26" spans="1:20" s="730" customFormat="1">
      <c r="A26" s="86"/>
      <c r="B26" s="826" t="s">
        <v>525</v>
      </c>
      <c r="C26" s="916"/>
      <c r="D26" s="916"/>
      <c r="E26" s="916"/>
      <c r="F26" s="916"/>
      <c r="G26" s="916"/>
      <c r="H26" s="917"/>
      <c r="I26" s="917"/>
      <c r="J26" s="916"/>
      <c r="K26" s="916"/>
      <c r="L26" s="916"/>
      <c r="M26" s="916"/>
      <c r="N26" s="916"/>
      <c r="O26" s="916"/>
      <c r="P26" s="916"/>
      <c r="Q26" s="916"/>
      <c r="R26" s="916"/>
      <c r="S26" s="86"/>
      <c r="T26" s="86"/>
    </row>
    <row r="27" spans="1:20" ht="18">
      <c r="A27" s="86"/>
      <c r="B27" s="930" t="s">
        <v>458</v>
      </c>
      <c r="C27" s="924"/>
      <c r="D27" s="924"/>
      <c r="E27" s="924"/>
      <c r="F27" s="924"/>
      <c r="G27" s="924"/>
      <c r="H27" s="924"/>
      <c r="I27" s="924"/>
      <c r="J27" s="924"/>
      <c r="K27" s="924"/>
      <c r="L27" s="924"/>
      <c r="M27" s="924"/>
      <c r="N27" s="924"/>
      <c r="O27" s="925"/>
      <c r="P27" s="925"/>
      <c r="Q27" s="926"/>
      <c r="R27" s="926"/>
      <c r="S27" s="86"/>
      <c r="T27" s="86"/>
    </row>
    <row r="28" spans="1:20">
      <c r="A28" s="86"/>
      <c r="B28" s="927" t="s">
        <v>460</v>
      </c>
      <c r="C28" s="928"/>
      <c r="D28" s="928"/>
      <c r="E28" s="928"/>
      <c r="F28" s="928"/>
      <c r="G28" s="928"/>
      <c r="H28" s="928"/>
      <c r="I28" s="928"/>
      <c r="J28" s="928"/>
      <c r="K28" s="928"/>
      <c r="L28" s="928"/>
      <c r="M28" s="928"/>
      <c r="N28" s="928"/>
      <c r="O28" s="929"/>
      <c r="P28" s="929"/>
      <c r="Q28" s="927"/>
      <c r="R28" s="926"/>
      <c r="S28" s="86"/>
      <c r="T28" s="86"/>
    </row>
    <row r="29" spans="1:20">
      <c r="A29" s="86"/>
      <c r="B29" s="927" t="s">
        <v>540</v>
      </c>
      <c r="C29" s="928"/>
      <c r="D29" s="928"/>
      <c r="E29" s="928"/>
      <c r="F29" s="928"/>
      <c r="G29" s="928"/>
      <c r="H29" s="928"/>
      <c r="I29" s="928"/>
      <c r="J29" s="928"/>
      <c r="K29" s="928"/>
      <c r="L29" s="928"/>
      <c r="M29" s="928"/>
      <c r="N29" s="928"/>
      <c r="O29" s="929"/>
      <c r="P29" s="929"/>
      <c r="Q29" s="927"/>
      <c r="R29" s="926"/>
      <c r="S29" s="86"/>
      <c r="T29" s="86"/>
    </row>
    <row r="30" spans="1:20">
      <c r="A30" s="86"/>
      <c r="B30" s="927" t="s">
        <v>532</v>
      </c>
      <c r="C30" s="928"/>
      <c r="D30" s="928"/>
      <c r="E30" s="928"/>
      <c r="F30" s="928"/>
      <c r="G30" s="928"/>
      <c r="H30" s="928"/>
      <c r="I30" s="928"/>
      <c r="J30" s="928"/>
      <c r="K30" s="928"/>
      <c r="L30" s="927"/>
      <c r="M30" s="928"/>
      <c r="N30" s="928"/>
      <c r="O30" s="929"/>
      <c r="P30" s="929"/>
      <c r="Q30" s="927"/>
      <c r="R30" s="926"/>
      <c r="S30" s="86"/>
      <c r="T30" s="86"/>
    </row>
    <row r="31" spans="1:20">
      <c r="A31" s="86"/>
      <c r="B31" s="927" t="s">
        <v>537</v>
      </c>
      <c r="C31" s="928"/>
      <c r="D31" s="928"/>
      <c r="E31" s="928"/>
      <c r="F31" s="928"/>
      <c r="G31" s="928"/>
      <c r="H31" s="928"/>
      <c r="I31" s="928"/>
      <c r="J31" s="928"/>
      <c r="K31" s="928"/>
      <c r="L31" s="928"/>
      <c r="M31" s="928"/>
      <c r="N31" s="928"/>
      <c r="O31" s="929"/>
      <c r="P31" s="929"/>
      <c r="Q31" s="927"/>
      <c r="R31" s="926"/>
      <c r="S31" s="86"/>
      <c r="T31" s="86"/>
    </row>
    <row r="32" spans="1:20" ht="15" customHeight="1">
      <c r="A32" s="86"/>
      <c r="B32" s="927" t="s">
        <v>499</v>
      </c>
      <c r="C32" s="928"/>
      <c r="D32" s="928"/>
      <c r="E32" s="928"/>
      <c r="F32" s="928"/>
      <c r="G32" s="928"/>
      <c r="H32" s="928"/>
      <c r="I32" s="928"/>
      <c r="J32" s="928"/>
      <c r="K32" s="928"/>
      <c r="L32" s="928"/>
      <c r="M32" s="928"/>
      <c r="N32" s="928"/>
      <c r="O32" s="929"/>
      <c r="P32" s="929"/>
      <c r="Q32" s="927"/>
      <c r="R32" s="926"/>
      <c r="S32" s="86"/>
      <c r="T32" s="86"/>
    </row>
    <row r="33" spans="1:20" ht="15" customHeight="1">
      <c r="A33" s="86"/>
      <c r="B33" s="927" t="s">
        <v>500</v>
      </c>
      <c r="C33" s="928"/>
      <c r="D33" s="928"/>
      <c r="E33" s="928"/>
      <c r="F33" s="928"/>
      <c r="G33" s="928"/>
      <c r="H33" s="928"/>
      <c r="I33" s="928"/>
      <c r="J33" s="928"/>
      <c r="K33" s="928"/>
      <c r="L33" s="928"/>
      <c r="M33" s="928"/>
      <c r="N33" s="928"/>
      <c r="O33" s="929"/>
      <c r="P33" s="929"/>
      <c r="Q33" s="927"/>
      <c r="R33" s="926"/>
      <c r="S33" s="86"/>
      <c r="T33" s="86"/>
    </row>
    <row r="34" spans="1:20" ht="7.5" customHeight="1">
      <c r="A34" s="86"/>
      <c r="B34" s="927"/>
      <c r="C34" s="928"/>
      <c r="D34" s="928"/>
      <c r="E34" s="928"/>
      <c r="F34" s="928"/>
      <c r="G34" s="928"/>
      <c r="H34" s="928"/>
      <c r="I34" s="928"/>
      <c r="J34" s="928"/>
      <c r="K34" s="928"/>
      <c r="L34" s="928"/>
      <c r="M34" s="928"/>
      <c r="N34" s="928"/>
      <c r="O34" s="929"/>
      <c r="P34" s="929"/>
      <c r="Q34" s="927"/>
      <c r="R34" s="926"/>
      <c r="S34" s="86"/>
      <c r="T34" s="86"/>
    </row>
    <row r="35" spans="1:20">
      <c r="A35" s="86"/>
      <c r="B35" s="828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5"/>
      <c r="P35" s="85"/>
      <c r="Q35" s="86"/>
      <c r="S35" s="86"/>
      <c r="T35" s="86"/>
    </row>
    <row r="36" spans="1:20">
      <c r="A36" s="86"/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5"/>
      <c r="P36" s="85"/>
      <c r="Q36" s="86"/>
      <c r="R36" s="86"/>
      <c r="S36" s="86"/>
      <c r="T36" s="86"/>
    </row>
    <row r="37" spans="1:20">
      <c r="A37" s="86"/>
      <c r="B37" s="366"/>
      <c r="C37" s="366"/>
      <c r="D37" s="366"/>
      <c r="E37" s="366"/>
      <c r="F37" s="366"/>
      <c r="G37" s="366"/>
      <c r="H37" s="366"/>
      <c r="I37" s="366"/>
      <c r="J37" s="84"/>
      <c r="K37" s="366"/>
      <c r="L37" s="366"/>
      <c r="M37" s="366"/>
      <c r="N37" s="366"/>
      <c r="O37" s="86"/>
      <c r="P37" s="86"/>
      <c r="Q37" s="86"/>
      <c r="R37" s="86"/>
      <c r="S37" s="86"/>
      <c r="T37" s="86"/>
    </row>
    <row r="38" spans="1:20">
      <c r="B38" s="87"/>
      <c r="C38" s="87"/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7"/>
    </row>
    <row r="39" spans="1:20">
      <c r="B39" s="87"/>
      <c r="C39" s="87"/>
      <c r="D39" s="87"/>
      <c r="E39" s="87"/>
      <c r="F39" s="87"/>
      <c r="G39" s="87"/>
      <c r="H39" s="87"/>
      <c r="I39" s="87"/>
      <c r="J39" s="87"/>
      <c r="K39" s="87"/>
      <c r="L39" s="87"/>
      <c r="M39" s="87"/>
      <c r="N39" s="87"/>
    </row>
    <row r="40" spans="1:20">
      <c r="B40" s="87"/>
      <c r="C40" s="87"/>
      <c r="D40" s="87"/>
      <c r="E40" s="87"/>
      <c r="F40" s="87"/>
      <c r="G40" s="87"/>
      <c r="H40" s="87"/>
      <c r="I40" s="87"/>
      <c r="J40" s="87"/>
      <c r="K40" s="87"/>
      <c r="L40" s="87"/>
      <c r="M40" s="87"/>
      <c r="N40" s="8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AB882"/>
  </sheetPr>
  <dimension ref="A1:BM99"/>
  <sheetViews>
    <sheetView showZeros="0" zoomScaleNormal="100" workbookViewId="0"/>
  </sheetViews>
  <sheetFormatPr defaultRowHeight="14.25"/>
  <cols>
    <col min="1" max="1" width="3.625" style="151" customWidth="1"/>
    <col min="2" max="2" width="4.25" style="292" customWidth="1"/>
    <col min="3" max="3" width="2.75" style="288" customWidth="1"/>
    <col min="4" max="4" width="9.375" customWidth="1"/>
    <col min="5" max="5" width="15.375" customWidth="1"/>
    <col min="6" max="6" width="10.875" customWidth="1"/>
    <col min="7" max="7" width="10.125" customWidth="1"/>
    <col min="8" max="8" width="4" customWidth="1"/>
    <col min="9" max="9" width="14.875" bestFit="1" customWidth="1"/>
    <col min="10" max="10" width="11" customWidth="1"/>
    <col min="11" max="11" width="11.25" customWidth="1"/>
    <col min="12" max="12" width="10.625" customWidth="1"/>
    <col min="13" max="14" width="7.625" customWidth="1"/>
    <col min="15" max="15" width="11.875" customWidth="1"/>
    <col min="16" max="16" width="17.25" bestFit="1" customWidth="1"/>
    <col min="17" max="17" width="9.875" bestFit="1" customWidth="1"/>
    <col min="18" max="18" width="13.375" bestFit="1" customWidth="1"/>
    <col min="19" max="19" width="9.375" bestFit="1" customWidth="1"/>
    <col min="20" max="20" width="11.625" bestFit="1" customWidth="1"/>
    <col min="21" max="21" width="9.375" bestFit="1" customWidth="1"/>
    <col min="22" max="22" width="9.875" bestFit="1" customWidth="1"/>
    <col min="23" max="23" width="9.375" bestFit="1" customWidth="1"/>
    <col min="24" max="24" width="10.875" customWidth="1"/>
    <col min="25" max="25" width="10.25" customWidth="1"/>
    <col min="26" max="26" width="9.875" bestFit="1" customWidth="1"/>
    <col min="27" max="27" width="9.375" bestFit="1" customWidth="1"/>
    <col min="28" max="29" width="7.625" customWidth="1"/>
    <col min="30" max="30" width="11.125" customWidth="1"/>
    <col min="31" max="31" width="10.375" customWidth="1"/>
    <col min="32" max="33" width="9.875" bestFit="1" customWidth="1"/>
    <col min="34" max="34" width="5.25" customWidth="1"/>
    <col min="35" max="35" width="10.75" customWidth="1"/>
    <col min="36" max="36" width="11.875" customWidth="1"/>
    <col min="37" max="37" width="9.875" bestFit="1" customWidth="1"/>
    <col min="38" max="38" width="9.875" style="290" customWidth="1"/>
    <col min="39" max="39" width="5.25" customWidth="1"/>
    <col min="41" max="41" width="13.375" customWidth="1"/>
    <col min="44" max="45" width="7.625" customWidth="1"/>
    <col min="46" max="46" width="4.375" customWidth="1"/>
    <col min="47" max="47" width="21.875" customWidth="1"/>
    <col min="48" max="48" width="14.625" customWidth="1"/>
    <col min="49" max="49" width="14.375" customWidth="1"/>
    <col min="50" max="50" width="11.75" bestFit="1" customWidth="1"/>
    <col min="51" max="51" width="19.25" bestFit="1" customWidth="1"/>
    <col min="52" max="52" width="17.125" bestFit="1" customWidth="1"/>
    <col min="53" max="53" width="12.75" bestFit="1" customWidth="1"/>
    <col min="54" max="54" width="31.25" customWidth="1"/>
    <col min="56" max="56" width="17.875" hidden="1" customWidth="1"/>
    <col min="57" max="57" width="19.375" hidden="1" customWidth="1"/>
    <col min="58" max="58" width="9.125" hidden="1" customWidth="1"/>
    <col min="59" max="59" width="6.75" hidden="1" customWidth="1"/>
    <col min="60" max="60" width="14.375" hidden="1" customWidth="1"/>
    <col min="61" max="61" width="13" hidden="1" customWidth="1"/>
    <col min="62" max="65" width="9.125" hidden="1" customWidth="1"/>
  </cols>
  <sheetData>
    <row r="1" spans="2:65" ht="25.5" customHeight="1">
      <c r="B1" s="152"/>
      <c r="C1" s="153"/>
      <c r="D1" s="439"/>
      <c r="E1" s="481"/>
      <c r="F1" s="439"/>
      <c r="G1" s="439"/>
      <c r="H1" s="439"/>
      <c r="I1" s="878" t="s">
        <v>488</v>
      </c>
      <c r="J1" s="439"/>
      <c r="K1" s="439"/>
      <c r="L1" s="439"/>
      <c r="M1" s="151"/>
      <c r="N1" s="151"/>
      <c r="O1" s="151"/>
      <c r="P1" s="151"/>
      <c r="Q1" s="151"/>
      <c r="R1" s="151" t="s">
        <v>256</v>
      </c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 t="s">
        <v>257</v>
      </c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77" t="s">
        <v>328</v>
      </c>
      <c r="AZ1" s="151"/>
      <c r="BA1" s="151"/>
      <c r="BB1" s="151"/>
      <c r="BC1" s="151"/>
    </row>
    <row r="2" spans="2:65" ht="15.95" customHeight="1" thickBot="1">
      <c r="B2" s="152"/>
      <c r="C2" s="153"/>
      <c r="D2" s="992" t="s">
        <v>258</v>
      </c>
      <c r="E2" s="992"/>
      <c r="F2" s="992"/>
      <c r="G2" s="992"/>
      <c r="H2" s="439"/>
      <c r="I2" s="993" t="s">
        <v>259</v>
      </c>
      <c r="J2" s="993"/>
      <c r="K2" s="993"/>
      <c r="L2" s="993"/>
      <c r="M2" s="151"/>
      <c r="N2" s="151"/>
      <c r="O2" s="151"/>
      <c r="P2" s="151"/>
      <c r="Q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994"/>
      <c r="BE2" s="995"/>
    </row>
    <row r="3" spans="2:65" ht="15.95" customHeight="1" thickBot="1">
      <c r="B3" s="962"/>
      <c r="C3" s="964" t="s">
        <v>274</v>
      </c>
      <c r="D3" s="965"/>
      <c r="E3" s="479"/>
      <c r="F3" s="996" t="s">
        <v>273</v>
      </c>
      <c r="G3" s="997"/>
      <c r="H3" s="154"/>
      <c r="I3" s="998" t="s">
        <v>275</v>
      </c>
      <c r="J3" s="999"/>
      <c r="K3" s="1000" t="s">
        <v>273</v>
      </c>
      <c r="L3" s="1001"/>
      <c r="M3" s="151"/>
      <c r="N3" s="151"/>
      <c r="O3" s="946" t="str">
        <f>D5</f>
        <v>Mortgage Payments</v>
      </c>
      <c r="P3" s="946"/>
      <c r="Q3" s="946"/>
      <c r="R3" s="946"/>
      <c r="S3" s="946"/>
      <c r="T3" s="946"/>
      <c r="U3" s="946"/>
      <c r="V3" s="155"/>
      <c r="W3" s="151"/>
      <c r="X3" s="151"/>
      <c r="Y3" s="151"/>
      <c r="Z3" s="151"/>
      <c r="AA3" s="151"/>
      <c r="AB3" s="151"/>
      <c r="AC3" s="151"/>
      <c r="AD3" s="942" t="str">
        <f>D24</f>
        <v>Car Maintenance</v>
      </c>
      <c r="AE3" s="943"/>
      <c r="AF3" s="943"/>
      <c r="AG3" s="944"/>
      <c r="AH3" s="155"/>
      <c r="AI3" s="945" t="str">
        <f>D25</f>
        <v>Clothing and Shoes</v>
      </c>
      <c r="AJ3" s="945"/>
      <c r="AK3" s="945"/>
      <c r="AL3" s="945"/>
      <c r="AM3" s="156"/>
      <c r="AN3" s="991" t="str">
        <f>D26</f>
        <v>Medicine/Treatment</v>
      </c>
      <c r="AO3" s="991"/>
      <c r="AP3" s="991"/>
      <c r="AQ3" s="991"/>
      <c r="AR3" s="151"/>
      <c r="AS3" s="157"/>
      <c r="AT3" s="151"/>
      <c r="AU3" s="151"/>
      <c r="AV3" s="151"/>
      <c r="AW3" s="151"/>
      <c r="AX3" s="151"/>
      <c r="AY3" s="151"/>
      <c r="AZ3" s="151"/>
      <c r="BA3" s="151"/>
      <c r="BB3" s="151"/>
      <c r="BC3" s="151"/>
      <c r="BD3" s="939" t="s">
        <v>24</v>
      </c>
      <c r="BE3" s="939"/>
      <c r="BF3" s="939"/>
      <c r="BG3" s="939"/>
      <c r="BH3" s="939"/>
      <c r="BI3" s="939"/>
      <c r="BJ3" s="939"/>
      <c r="BK3" s="939"/>
      <c r="BL3" s="939"/>
      <c r="BM3" s="939"/>
    </row>
    <row r="4" spans="2:65" ht="15.95" customHeight="1" thickBot="1">
      <c r="B4" s="963"/>
      <c r="C4" s="966"/>
      <c r="D4" s="967"/>
      <c r="E4" s="480"/>
      <c r="F4" s="486" t="s">
        <v>271</v>
      </c>
      <c r="G4" s="161" t="s">
        <v>272</v>
      </c>
      <c r="H4" s="154"/>
      <c r="I4" s="162" t="s">
        <v>285</v>
      </c>
      <c r="J4" s="163" t="s">
        <v>286</v>
      </c>
      <c r="K4" s="160" t="s">
        <v>271</v>
      </c>
      <c r="L4" s="161" t="s">
        <v>272</v>
      </c>
      <c r="M4" s="151"/>
      <c r="N4" s="151"/>
      <c r="O4" s="164"/>
      <c r="P4" s="164" t="s">
        <v>338</v>
      </c>
      <c r="Q4" s="165" t="s">
        <v>339</v>
      </c>
      <c r="R4" s="805" t="s">
        <v>340</v>
      </c>
      <c r="S4" s="165" t="s">
        <v>341</v>
      </c>
      <c r="T4" s="165" t="s">
        <v>342</v>
      </c>
      <c r="U4" s="165" t="s">
        <v>343</v>
      </c>
      <c r="V4" s="166"/>
      <c r="W4" s="151"/>
      <c r="X4" s="151"/>
      <c r="Y4" s="151"/>
      <c r="Z4" s="151"/>
      <c r="AA4" s="151"/>
      <c r="AB4" s="151"/>
      <c r="AC4" s="151"/>
      <c r="AD4" s="1003"/>
      <c r="AE4" s="1004"/>
      <c r="AF4" s="167" t="s">
        <v>202</v>
      </c>
      <c r="AG4" s="167" t="s">
        <v>203</v>
      </c>
      <c r="AH4" s="155"/>
      <c r="AI4" s="1005"/>
      <c r="AJ4" s="1005"/>
      <c r="AK4" s="167" t="s">
        <v>202</v>
      </c>
      <c r="AL4" s="167" t="s">
        <v>203</v>
      </c>
      <c r="AM4" s="156"/>
      <c r="AN4" s="968"/>
      <c r="AO4" s="969"/>
      <c r="AP4" s="167" t="s">
        <v>202</v>
      </c>
      <c r="AQ4" s="167" t="s">
        <v>203</v>
      </c>
      <c r="AR4" s="151"/>
      <c r="AS4" s="168"/>
      <c r="AT4" s="151"/>
      <c r="AU4" s="158" t="s">
        <v>329</v>
      </c>
      <c r="AV4" s="158" t="s">
        <v>330</v>
      </c>
      <c r="AW4" s="158" t="s">
        <v>331</v>
      </c>
      <c r="AX4" s="159" t="s">
        <v>332</v>
      </c>
      <c r="AY4" s="159" t="s">
        <v>446</v>
      </c>
      <c r="AZ4" s="158" t="s">
        <v>333</v>
      </c>
      <c r="BA4" s="158" t="s">
        <v>334</v>
      </c>
      <c r="BB4" s="158" t="s">
        <v>335</v>
      </c>
      <c r="BC4" s="151"/>
      <c r="BD4" s="697" t="s">
        <v>22</v>
      </c>
      <c r="BE4" s="698" t="s">
        <v>21</v>
      </c>
      <c r="BG4" s="692"/>
      <c r="BH4" s="685" t="s">
        <v>329</v>
      </c>
      <c r="BI4" s="685" t="s">
        <v>330</v>
      </c>
      <c r="BJ4" s="686" t="s">
        <v>446</v>
      </c>
      <c r="BK4" s="685" t="s">
        <v>333</v>
      </c>
      <c r="BL4" s="685" t="s">
        <v>334</v>
      </c>
      <c r="BM4" s="685" t="s">
        <v>335</v>
      </c>
    </row>
    <row r="5" spans="2:65" ht="15.95" customHeight="1">
      <c r="B5" s="959" t="s">
        <v>151</v>
      </c>
      <c r="C5" s="459">
        <v>6</v>
      </c>
      <c r="D5" s="833" t="s">
        <v>144</v>
      </c>
      <c r="E5" s="834"/>
      <c r="F5" s="329">
        <f>IF(Q11&lt;&gt;"",Q11,"")</f>
        <v>0</v>
      </c>
      <c r="G5" s="330">
        <f>F5</f>
        <v>0</v>
      </c>
      <c r="H5" s="154"/>
      <c r="I5" s="843" t="s">
        <v>276</v>
      </c>
      <c r="J5" s="174"/>
      <c r="K5" s="337">
        <v>0</v>
      </c>
      <c r="L5" s="338">
        <f>K5</f>
        <v>0</v>
      </c>
      <c r="M5" s="151"/>
      <c r="N5" s="151"/>
      <c r="O5" s="164" t="s">
        <v>162</v>
      </c>
      <c r="P5" s="478" t="s">
        <v>168</v>
      </c>
      <c r="Q5" s="175"/>
      <c r="R5" s="176"/>
      <c r="S5" s="345"/>
      <c r="T5" s="176"/>
      <c r="U5" s="176"/>
      <c r="V5" s="155"/>
      <c r="W5" s="177"/>
      <c r="X5" s="177"/>
      <c r="Y5" s="177"/>
      <c r="Z5" s="177"/>
      <c r="AA5" s="177"/>
      <c r="AB5" s="151"/>
      <c r="AC5" s="151"/>
      <c r="AD5" s="1002" t="s">
        <v>208</v>
      </c>
      <c r="AE5" s="1002"/>
      <c r="AF5" s="178"/>
      <c r="AG5" s="307">
        <f>AF5/12</f>
        <v>0</v>
      </c>
      <c r="AH5" s="155"/>
      <c r="AI5" s="935" t="s">
        <v>213</v>
      </c>
      <c r="AJ5" s="935"/>
      <c r="AK5" s="172"/>
      <c r="AL5" s="307">
        <f t="shared" ref="AL5:AL10" si="0">AK5/12</f>
        <v>0</v>
      </c>
      <c r="AM5" s="156"/>
      <c r="AN5" s="937" t="s">
        <v>219</v>
      </c>
      <c r="AO5" s="938"/>
      <c r="AP5" s="179"/>
      <c r="AQ5" s="305">
        <f>AP5/12</f>
        <v>0</v>
      </c>
      <c r="AR5" s="151"/>
      <c r="AS5" s="168"/>
      <c r="AT5" s="684">
        <v>1</v>
      </c>
      <c r="AU5" s="169"/>
      <c r="AV5" s="170"/>
      <c r="AW5" s="437"/>
      <c r="AX5" s="346"/>
      <c r="AY5" s="171"/>
      <c r="AZ5" s="172"/>
      <c r="BA5" s="313">
        <f>IF(AY5="",AV5,AY5*AZ5)</f>
        <v>0</v>
      </c>
      <c r="BB5" s="173"/>
      <c r="BC5" s="151"/>
      <c r="BD5" s="699">
        <f>IF(AY5="",0,BA5)</f>
        <v>0</v>
      </c>
      <c r="BE5" s="700">
        <f>IF(AY5="",BA5,0)</f>
        <v>0</v>
      </c>
      <c r="BG5" s="687" t="e">
        <f>INDEX($AT$5:$AT$40,MATCH(TRUE,INDEX(($AY$5:$AY$40&lt;&gt;0),0),0))</f>
        <v>#N/A</v>
      </c>
      <c r="BH5" s="688" t="str">
        <f t="shared" ref="BH5:BM5" si="1">IF(ISERROR(VLOOKUP($BG5,$AT$4:$BB$41,MATCH(BH$4,$AT$4:$BB$4,0),0)),"",VLOOKUP($BG5,$AT$4:$BB$41,MATCH(BH$4,$AT$4:$BB$4,0),0))</f>
        <v/>
      </c>
      <c r="BI5" s="687" t="str">
        <f t="shared" si="1"/>
        <v/>
      </c>
      <c r="BJ5" s="689" t="str">
        <f t="shared" si="1"/>
        <v/>
      </c>
      <c r="BK5" s="690" t="str">
        <f t="shared" si="1"/>
        <v/>
      </c>
      <c r="BL5" s="313" t="str">
        <f t="shared" si="1"/>
        <v/>
      </c>
      <c r="BM5" s="691" t="str">
        <f t="shared" si="1"/>
        <v/>
      </c>
    </row>
    <row r="6" spans="2:65" ht="15.95" customHeight="1">
      <c r="B6" s="960"/>
      <c r="C6" s="180"/>
      <c r="D6" s="835" t="s">
        <v>149</v>
      </c>
      <c r="E6" s="836"/>
      <c r="F6" s="331"/>
      <c r="G6" s="332">
        <f t="shared" ref="G6:G49" si="2">F6</f>
        <v>0</v>
      </c>
      <c r="H6" s="154"/>
      <c r="I6" s="844" t="s">
        <v>277</v>
      </c>
      <c r="J6" s="182"/>
      <c r="K6" s="339"/>
      <c r="L6" s="340">
        <f t="shared" ref="L6:L15" si="3">K6</f>
        <v>0</v>
      </c>
      <c r="M6" s="151"/>
      <c r="N6" s="151"/>
      <c r="O6" s="164" t="s">
        <v>163</v>
      </c>
      <c r="P6" s="478" t="s">
        <v>168</v>
      </c>
      <c r="Q6" s="175"/>
      <c r="R6" s="176"/>
      <c r="S6" s="345"/>
      <c r="T6" s="176"/>
      <c r="U6" s="176"/>
      <c r="V6" s="155"/>
      <c r="W6" s="151"/>
      <c r="X6" s="151"/>
      <c r="Y6" s="151"/>
      <c r="Z6" s="151"/>
      <c r="AA6" s="151"/>
      <c r="AB6" s="151"/>
      <c r="AC6" s="151"/>
      <c r="AD6" s="935" t="s">
        <v>498</v>
      </c>
      <c r="AE6" s="935"/>
      <c r="AF6" s="183"/>
      <c r="AG6" s="303">
        <f>AF6/12</f>
        <v>0</v>
      </c>
      <c r="AH6" s="155"/>
      <c r="AI6" s="935" t="s">
        <v>214</v>
      </c>
      <c r="AJ6" s="935"/>
      <c r="AK6" s="172"/>
      <c r="AL6" s="307">
        <f t="shared" si="0"/>
        <v>0</v>
      </c>
      <c r="AM6" s="156"/>
      <c r="AN6" s="936" t="s">
        <v>220</v>
      </c>
      <c r="AO6" s="936"/>
      <c r="AP6" s="179"/>
      <c r="AQ6" s="305">
        <f t="shared" ref="AQ6:AQ12" si="4">AP6/12</f>
        <v>0</v>
      </c>
      <c r="AR6" s="151"/>
      <c r="AS6" s="168"/>
      <c r="AT6" s="684" t="str">
        <f>IF(AU6="","",AT5+1)</f>
        <v/>
      </c>
      <c r="AU6" s="169"/>
      <c r="AV6" s="172"/>
      <c r="AW6" s="436"/>
      <c r="AX6" s="346"/>
      <c r="AY6" s="171"/>
      <c r="AZ6" s="172"/>
      <c r="BA6" s="313">
        <f t="shared" ref="BA6:BA39" si="5">IF(AY6="",AV6,AY6*AZ6)</f>
        <v>0</v>
      </c>
      <c r="BB6" s="173"/>
      <c r="BC6" s="151"/>
      <c r="BD6" s="699">
        <f t="shared" ref="BD6:BD39" si="6">IF(AY6="",0,BA6)</f>
        <v>0</v>
      </c>
      <c r="BE6" s="700">
        <f t="shared" ref="BE6:BE39" si="7">IF(AY6="",BA6,0)</f>
        <v>0</v>
      </c>
      <c r="BG6" s="690" t="e">
        <f t="shared" ref="BG6:BG40" ca="1" si="8">INDEX(INDIRECT("AT"&amp;BG5+5 &amp;":AT40"),MATCH(TRUE,INDEX((INDIRECT("AY"&amp;BG5+5 &amp;":AY40")&lt;&gt;0),0),0))</f>
        <v>#N/A</v>
      </c>
      <c r="BH6" s="688" t="str">
        <f t="shared" ref="BH6:BM40" ca="1" si="9">IF(ISERROR(VLOOKUP($BG6,$AT$4:$BB$41,MATCH(BH$4,$AT$4:$BB$4,0),0)),"",VLOOKUP($BG6,$AT$4:$BB$41,MATCH(BH$4,$AT$4:$BB$4,0),0))</f>
        <v/>
      </c>
      <c r="BI6" s="690" t="str">
        <f t="shared" ca="1" si="9"/>
        <v/>
      </c>
      <c r="BJ6" s="689" t="str">
        <f t="shared" ca="1" si="9"/>
        <v/>
      </c>
      <c r="BK6" s="690" t="str">
        <f t="shared" ca="1" si="9"/>
        <v/>
      </c>
      <c r="BL6" s="313" t="str">
        <f t="shared" ca="1" si="9"/>
        <v/>
      </c>
      <c r="BM6" s="691" t="str">
        <f t="shared" ca="1" si="9"/>
        <v/>
      </c>
    </row>
    <row r="7" spans="2:65" ht="15.95" customHeight="1">
      <c r="B7" s="960"/>
      <c r="C7" s="488"/>
      <c r="D7" s="835" t="s">
        <v>150</v>
      </c>
      <c r="E7" s="836"/>
      <c r="F7" s="331"/>
      <c r="G7" s="332">
        <f t="shared" si="2"/>
        <v>0</v>
      </c>
      <c r="H7" s="154"/>
      <c r="I7" s="844" t="s">
        <v>278</v>
      </c>
      <c r="J7" s="182"/>
      <c r="K7" s="339"/>
      <c r="L7" s="340">
        <f t="shared" si="3"/>
        <v>0</v>
      </c>
      <c r="M7" s="151"/>
      <c r="N7" s="151"/>
      <c r="O7" s="164" t="s">
        <v>164</v>
      </c>
      <c r="P7" s="478" t="s">
        <v>168</v>
      </c>
      <c r="Q7" s="175"/>
      <c r="R7" s="176"/>
      <c r="S7" s="345"/>
      <c r="T7" s="176"/>
      <c r="U7" s="176"/>
      <c r="V7" s="155"/>
      <c r="W7" s="151"/>
      <c r="X7" s="151"/>
      <c r="Y7" s="151"/>
      <c r="Z7" s="151"/>
      <c r="AA7" s="151"/>
      <c r="AB7" s="151"/>
      <c r="AC7" s="151"/>
      <c r="AD7" s="935" t="s">
        <v>209</v>
      </c>
      <c r="AE7" s="935"/>
      <c r="AF7" s="178"/>
      <c r="AG7" s="307">
        <f>AF7/12</f>
        <v>0</v>
      </c>
      <c r="AH7" s="155"/>
      <c r="AI7" s="935" t="s">
        <v>215</v>
      </c>
      <c r="AJ7" s="935"/>
      <c r="AK7" s="172"/>
      <c r="AL7" s="309">
        <f t="shared" si="0"/>
        <v>0</v>
      </c>
      <c r="AM7" s="156"/>
      <c r="AN7" s="936" t="s">
        <v>221</v>
      </c>
      <c r="AO7" s="936"/>
      <c r="AP7" s="179"/>
      <c r="AQ7" s="305">
        <f t="shared" si="4"/>
        <v>0</v>
      </c>
      <c r="AR7" s="151"/>
      <c r="AS7" s="168"/>
      <c r="AT7" s="684" t="str">
        <f t="shared" ref="AT7:AT39" si="10">IF(AU7="","",AT6+1)</f>
        <v/>
      </c>
      <c r="AU7" s="169"/>
      <c r="AV7" s="172"/>
      <c r="AW7" s="436"/>
      <c r="AX7" s="346"/>
      <c r="AY7" s="171"/>
      <c r="AZ7" s="172"/>
      <c r="BA7" s="313">
        <f t="shared" si="5"/>
        <v>0</v>
      </c>
      <c r="BB7" s="173"/>
      <c r="BC7" s="151"/>
      <c r="BD7" s="699">
        <f t="shared" si="6"/>
        <v>0</v>
      </c>
      <c r="BE7" s="700">
        <f t="shared" si="7"/>
        <v>0</v>
      </c>
      <c r="BG7" s="690" t="e">
        <f t="shared" ca="1" si="8"/>
        <v>#N/A</v>
      </c>
      <c r="BH7" s="688" t="str">
        <f t="shared" ca="1" si="9"/>
        <v/>
      </c>
      <c r="BI7" s="690" t="str">
        <f t="shared" ca="1" si="9"/>
        <v/>
      </c>
      <c r="BJ7" s="689" t="str">
        <f t="shared" ca="1" si="9"/>
        <v/>
      </c>
      <c r="BK7" s="690" t="str">
        <f t="shared" ca="1" si="9"/>
        <v/>
      </c>
      <c r="BL7" s="313" t="str">
        <f t="shared" ca="1" si="9"/>
        <v/>
      </c>
      <c r="BM7" s="691" t="str">
        <f t="shared" ca="1" si="9"/>
        <v/>
      </c>
    </row>
    <row r="8" spans="2:65" ht="15.95" customHeight="1">
      <c r="B8" s="960"/>
      <c r="C8" s="488"/>
      <c r="D8" s="835" t="s">
        <v>152</v>
      </c>
      <c r="E8" s="836"/>
      <c r="F8" s="331"/>
      <c r="G8" s="332">
        <f t="shared" si="2"/>
        <v>0</v>
      </c>
      <c r="H8" s="154"/>
      <c r="I8" s="844" t="s">
        <v>279</v>
      </c>
      <c r="J8" s="182"/>
      <c r="K8" s="339"/>
      <c r="L8" s="340">
        <f t="shared" si="3"/>
        <v>0</v>
      </c>
      <c r="M8" s="151"/>
      <c r="N8" s="151"/>
      <c r="O8" s="164" t="s">
        <v>165</v>
      </c>
      <c r="P8" s="478" t="s">
        <v>168</v>
      </c>
      <c r="Q8" s="175"/>
      <c r="R8" s="176"/>
      <c r="S8" s="345"/>
      <c r="T8" s="176"/>
      <c r="U8" s="176"/>
      <c r="V8" s="155"/>
      <c r="W8" s="177"/>
      <c r="X8" s="177"/>
      <c r="Y8" s="177"/>
      <c r="Z8" s="177"/>
      <c r="AA8" s="177"/>
      <c r="AB8" s="151"/>
      <c r="AC8" s="151"/>
      <c r="AD8" s="951"/>
      <c r="AE8" s="952"/>
      <c r="AF8" s="187"/>
      <c r="AG8" s="308">
        <f>AF8/12</f>
        <v>0</v>
      </c>
      <c r="AH8" s="155"/>
      <c r="AI8" s="935" t="s">
        <v>216</v>
      </c>
      <c r="AJ8" s="935"/>
      <c r="AK8" s="172"/>
      <c r="AL8" s="309">
        <f t="shared" si="0"/>
        <v>0</v>
      </c>
      <c r="AM8" s="156"/>
      <c r="AN8" s="936" t="s">
        <v>222</v>
      </c>
      <c r="AO8" s="936"/>
      <c r="AP8" s="179"/>
      <c r="AQ8" s="305">
        <f t="shared" si="4"/>
        <v>0</v>
      </c>
      <c r="AR8" s="151"/>
      <c r="AS8" s="168"/>
      <c r="AT8" s="684" t="str">
        <f t="shared" si="10"/>
        <v/>
      </c>
      <c r="AU8" s="169"/>
      <c r="AV8" s="172"/>
      <c r="AW8" s="436"/>
      <c r="AX8" s="346"/>
      <c r="AY8" s="184"/>
      <c r="AZ8" s="172"/>
      <c r="BA8" s="313">
        <f t="shared" si="5"/>
        <v>0</v>
      </c>
      <c r="BB8" s="173"/>
      <c r="BC8" s="151"/>
      <c r="BD8" s="699">
        <f t="shared" si="6"/>
        <v>0</v>
      </c>
      <c r="BE8" s="700">
        <f t="shared" si="7"/>
        <v>0</v>
      </c>
      <c r="BG8" s="690" t="e">
        <f t="shared" ca="1" si="8"/>
        <v>#N/A</v>
      </c>
      <c r="BH8" s="688" t="str">
        <f t="shared" ca="1" si="9"/>
        <v/>
      </c>
      <c r="BI8" s="690" t="str">
        <f t="shared" ca="1" si="9"/>
        <v/>
      </c>
      <c r="BJ8" s="689" t="str">
        <f t="shared" ca="1" si="9"/>
        <v/>
      </c>
      <c r="BK8" s="690" t="str">
        <f t="shared" ca="1" si="9"/>
        <v/>
      </c>
      <c r="BL8" s="313" t="str">
        <f t="shared" ca="1" si="9"/>
        <v/>
      </c>
      <c r="BM8" s="691" t="str">
        <f t="shared" ca="1" si="9"/>
        <v/>
      </c>
    </row>
    <row r="9" spans="2:65" ht="15.95" customHeight="1">
      <c r="B9" s="960"/>
      <c r="C9" s="489">
        <v>6</v>
      </c>
      <c r="D9" s="837" t="s">
        <v>153</v>
      </c>
      <c r="E9" s="838"/>
      <c r="F9" s="331">
        <f>IF(Q21&lt;&gt;"",Q21,"")</f>
        <v>0</v>
      </c>
      <c r="G9" s="332">
        <f t="shared" si="2"/>
        <v>0</v>
      </c>
      <c r="H9" s="188"/>
      <c r="I9" s="844" t="s">
        <v>280</v>
      </c>
      <c r="J9" s="182"/>
      <c r="K9" s="339"/>
      <c r="L9" s="340">
        <f t="shared" si="3"/>
        <v>0</v>
      </c>
      <c r="M9" s="151"/>
      <c r="N9" s="151"/>
      <c r="O9" s="164" t="s">
        <v>166</v>
      </c>
      <c r="P9" s="478" t="s">
        <v>168</v>
      </c>
      <c r="Q9" s="175"/>
      <c r="R9" s="176"/>
      <c r="S9" s="345"/>
      <c r="T9" s="176"/>
      <c r="U9" s="176"/>
      <c r="V9" s="155"/>
      <c r="W9" s="151"/>
      <c r="X9" s="151"/>
      <c r="Y9" s="151"/>
      <c r="Z9" s="151"/>
      <c r="AA9" s="151"/>
      <c r="AB9" s="151"/>
      <c r="AC9" s="151"/>
      <c r="AD9" s="948" t="s">
        <v>171</v>
      </c>
      <c r="AE9" s="949"/>
      <c r="AF9" s="950"/>
      <c r="AG9" s="189">
        <f>SUM(AG5:AG8)</f>
        <v>0</v>
      </c>
      <c r="AH9" s="155"/>
      <c r="AI9" s="935" t="s">
        <v>217</v>
      </c>
      <c r="AJ9" s="935"/>
      <c r="AK9" s="172"/>
      <c r="AL9" s="307">
        <f t="shared" si="0"/>
        <v>0</v>
      </c>
      <c r="AM9" s="156"/>
      <c r="AN9" s="936" t="s">
        <v>223</v>
      </c>
      <c r="AO9" s="936"/>
      <c r="AP9" s="179"/>
      <c r="AQ9" s="305">
        <f t="shared" si="4"/>
        <v>0</v>
      </c>
      <c r="AR9" s="151"/>
      <c r="AS9" s="190"/>
      <c r="AT9" s="684" t="str">
        <f t="shared" si="10"/>
        <v/>
      </c>
      <c r="AU9" s="169"/>
      <c r="AV9" s="172"/>
      <c r="AW9" s="436"/>
      <c r="AX9" s="346"/>
      <c r="AY9" s="171"/>
      <c r="AZ9" s="172"/>
      <c r="BA9" s="313">
        <f t="shared" si="5"/>
        <v>0</v>
      </c>
      <c r="BB9" s="173"/>
      <c r="BC9" s="151"/>
      <c r="BD9" s="699">
        <f t="shared" si="6"/>
        <v>0</v>
      </c>
      <c r="BE9" s="700">
        <f t="shared" si="7"/>
        <v>0</v>
      </c>
      <c r="BG9" s="690" t="e">
        <f t="shared" ca="1" si="8"/>
        <v>#N/A</v>
      </c>
      <c r="BH9" s="688" t="str">
        <f t="shared" ca="1" si="9"/>
        <v/>
      </c>
      <c r="BI9" s="690" t="str">
        <f t="shared" ca="1" si="9"/>
        <v/>
      </c>
      <c r="BJ9" s="689" t="str">
        <f t="shared" ca="1" si="9"/>
        <v/>
      </c>
      <c r="BK9" s="690" t="str">
        <f t="shared" ca="1" si="9"/>
        <v/>
      </c>
      <c r="BL9" s="313" t="str">
        <f t="shared" ca="1" si="9"/>
        <v/>
      </c>
      <c r="BM9" s="691" t="str">
        <f t="shared" ca="1" si="9"/>
        <v/>
      </c>
    </row>
    <row r="10" spans="2:65" ht="15.95" customHeight="1">
      <c r="B10" s="960"/>
      <c r="C10" s="490"/>
      <c r="D10" s="835" t="s">
        <v>154</v>
      </c>
      <c r="E10" s="836"/>
      <c r="F10" s="331"/>
      <c r="G10" s="332">
        <f t="shared" si="2"/>
        <v>0</v>
      </c>
      <c r="H10" s="154"/>
      <c r="I10" s="844" t="s">
        <v>368</v>
      </c>
      <c r="J10" s="182"/>
      <c r="K10" s="339"/>
      <c r="L10" s="340">
        <f t="shared" si="3"/>
        <v>0</v>
      </c>
      <c r="M10" s="151"/>
      <c r="N10" s="151"/>
      <c r="O10" s="164" t="s">
        <v>167</v>
      </c>
      <c r="P10" s="478" t="s">
        <v>168</v>
      </c>
      <c r="Q10" s="175"/>
      <c r="R10" s="176"/>
      <c r="S10" s="345"/>
      <c r="T10" s="176"/>
      <c r="U10" s="176"/>
      <c r="V10" s="155"/>
      <c r="W10" s="151"/>
      <c r="X10" s="151"/>
      <c r="Y10" s="151"/>
      <c r="Z10" s="151"/>
      <c r="AA10" s="151"/>
      <c r="AB10" s="151"/>
      <c r="AC10" s="151"/>
      <c r="AD10" s="155"/>
      <c r="AE10" s="155"/>
      <c r="AF10" s="155"/>
      <c r="AG10" s="155"/>
      <c r="AH10" s="155"/>
      <c r="AI10" s="935" t="s">
        <v>218</v>
      </c>
      <c r="AJ10" s="935"/>
      <c r="AK10" s="172"/>
      <c r="AL10" s="307">
        <f t="shared" si="0"/>
        <v>0</v>
      </c>
      <c r="AM10" s="156"/>
      <c r="AN10" s="936" t="s">
        <v>224</v>
      </c>
      <c r="AO10" s="936"/>
      <c r="AP10" s="179"/>
      <c r="AQ10" s="305">
        <f t="shared" si="4"/>
        <v>0</v>
      </c>
      <c r="AR10" s="151"/>
      <c r="AS10" s="191"/>
      <c r="AT10" s="684" t="str">
        <f t="shared" si="10"/>
        <v/>
      </c>
      <c r="AU10" s="169"/>
      <c r="AV10" s="172"/>
      <c r="AW10" s="436"/>
      <c r="AX10" s="346"/>
      <c r="AY10" s="171"/>
      <c r="AZ10" s="172"/>
      <c r="BA10" s="313">
        <f t="shared" si="5"/>
        <v>0</v>
      </c>
      <c r="BB10" s="173"/>
      <c r="BC10" s="151"/>
      <c r="BD10" s="699">
        <f t="shared" si="6"/>
        <v>0</v>
      </c>
      <c r="BE10" s="700">
        <f t="shared" si="7"/>
        <v>0</v>
      </c>
      <c r="BG10" s="690" t="e">
        <f t="shared" ca="1" si="8"/>
        <v>#N/A</v>
      </c>
      <c r="BH10" s="688" t="str">
        <f t="shared" ca="1" si="9"/>
        <v/>
      </c>
      <c r="BI10" s="690" t="str">
        <f t="shared" ca="1" si="9"/>
        <v/>
      </c>
      <c r="BJ10" s="689" t="str">
        <f t="shared" ca="1" si="9"/>
        <v/>
      </c>
      <c r="BK10" s="690" t="str">
        <f t="shared" ca="1" si="9"/>
        <v/>
      </c>
      <c r="BL10" s="313" t="str">
        <f t="shared" ca="1" si="9"/>
        <v/>
      </c>
      <c r="BM10" s="691" t="str">
        <f t="shared" ca="1" si="9"/>
        <v/>
      </c>
    </row>
    <row r="11" spans="2:65" ht="15.95" customHeight="1">
      <c r="B11" s="960"/>
      <c r="C11" s="491">
        <v>6</v>
      </c>
      <c r="D11" s="839" t="s">
        <v>155</v>
      </c>
      <c r="E11" s="838"/>
      <c r="F11" s="331">
        <f>IF(U24&lt;&gt;"",U24,"")</f>
        <v>0</v>
      </c>
      <c r="G11" s="332">
        <f t="shared" si="2"/>
        <v>0</v>
      </c>
      <c r="H11" s="154"/>
      <c r="I11" s="844" t="s">
        <v>281</v>
      </c>
      <c r="J11" s="182"/>
      <c r="K11" s="339"/>
      <c r="L11" s="340">
        <f t="shared" si="3"/>
        <v>0</v>
      </c>
      <c r="M11" s="151"/>
      <c r="N11" s="151"/>
      <c r="O11" s="984" t="s">
        <v>171</v>
      </c>
      <c r="P11" s="985"/>
      <c r="Q11" s="185">
        <f>SUM(Q5:Q10)</f>
        <v>0</v>
      </c>
      <c r="R11" s="186"/>
      <c r="S11" s="186"/>
      <c r="T11" s="186"/>
      <c r="U11" s="186"/>
      <c r="V11" s="155"/>
      <c r="W11" s="151"/>
      <c r="X11" s="151"/>
      <c r="Y11" s="151"/>
      <c r="Z11" s="151"/>
      <c r="AA11" s="151"/>
      <c r="AB11" s="151"/>
      <c r="AC11" s="151"/>
      <c r="AD11" s="155"/>
      <c r="AE11" s="155"/>
      <c r="AF11" s="155"/>
      <c r="AG11" s="155"/>
      <c r="AH11" s="155"/>
      <c r="AI11" s="948" t="s">
        <v>171</v>
      </c>
      <c r="AJ11" s="949"/>
      <c r="AK11" s="950"/>
      <c r="AL11" s="189">
        <f>SUM(AL5:AL10)</f>
        <v>0</v>
      </c>
      <c r="AM11" s="156"/>
      <c r="AN11" s="978"/>
      <c r="AO11" s="979"/>
      <c r="AP11" s="982"/>
      <c r="AQ11" s="970">
        <f t="shared" si="4"/>
        <v>0</v>
      </c>
      <c r="AR11" s="151"/>
      <c r="AS11" s="191"/>
      <c r="AT11" s="684" t="str">
        <f t="shared" si="10"/>
        <v/>
      </c>
      <c r="AU11" s="169"/>
      <c r="AV11" s="172"/>
      <c r="AW11" s="436"/>
      <c r="AX11" s="346"/>
      <c r="AY11" s="171"/>
      <c r="AZ11" s="172"/>
      <c r="BA11" s="313">
        <f t="shared" si="5"/>
        <v>0</v>
      </c>
      <c r="BB11" s="173"/>
      <c r="BC11" s="151"/>
      <c r="BD11" s="699">
        <f t="shared" si="6"/>
        <v>0</v>
      </c>
      <c r="BE11" s="700">
        <f t="shared" si="7"/>
        <v>0</v>
      </c>
      <c r="BG11" s="690" t="e">
        <f t="shared" ca="1" si="8"/>
        <v>#N/A</v>
      </c>
      <c r="BH11" s="688" t="str">
        <f t="shared" ca="1" si="9"/>
        <v/>
      </c>
      <c r="BI11" s="690" t="str">
        <f t="shared" ca="1" si="9"/>
        <v/>
      </c>
      <c r="BJ11" s="689" t="str">
        <f t="shared" ca="1" si="9"/>
        <v/>
      </c>
      <c r="BK11" s="690" t="str">
        <f t="shared" ca="1" si="9"/>
        <v/>
      </c>
      <c r="BL11" s="313" t="str">
        <f t="shared" ca="1" si="9"/>
        <v/>
      </c>
      <c r="BM11" s="691" t="str">
        <f t="shared" ca="1" si="9"/>
        <v/>
      </c>
    </row>
    <row r="12" spans="2:65" ht="15.95" customHeight="1">
      <c r="B12" s="960"/>
      <c r="C12" s="492"/>
      <c r="D12" s="835" t="s">
        <v>156</v>
      </c>
      <c r="E12" s="836"/>
      <c r="F12" s="331"/>
      <c r="G12" s="332">
        <f t="shared" si="2"/>
        <v>0</v>
      </c>
      <c r="H12" s="154"/>
      <c r="I12" s="844" t="s">
        <v>282</v>
      </c>
      <c r="J12" s="182"/>
      <c r="K12" s="339"/>
      <c r="L12" s="340">
        <f t="shared" si="3"/>
        <v>0</v>
      </c>
      <c r="M12" s="151"/>
      <c r="N12" s="151"/>
      <c r="O12" s="156"/>
      <c r="P12" s="156"/>
      <c r="Q12" s="156"/>
      <c r="R12" s="156"/>
      <c r="S12" s="156"/>
      <c r="T12" s="156"/>
      <c r="U12" s="156"/>
      <c r="V12" s="155"/>
      <c r="W12" s="151"/>
      <c r="X12" s="151"/>
      <c r="Y12" s="151"/>
      <c r="Z12" s="151"/>
      <c r="AA12" s="151"/>
      <c r="AB12" s="151"/>
      <c r="AC12" s="151"/>
      <c r="AD12" s="166"/>
      <c r="AE12" s="166"/>
      <c r="AF12" s="166"/>
      <c r="AG12" s="166"/>
      <c r="AH12" s="155"/>
      <c r="AI12" s="155"/>
      <c r="AJ12" s="155"/>
      <c r="AK12" s="155"/>
      <c r="AL12" s="155"/>
      <c r="AM12" s="155"/>
      <c r="AN12" s="980"/>
      <c r="AO12" s="981"/>
      <c r="AP12" s="983"/>
      <c r="AQ12" s="971">
        <f t="shared" si="4"/>
        <v>0</v>
      </c>
      <c r="AR12" s="151"/>
      <c r="AS12" s="194"/>
      <c r="AT12" s="684" t="str">
        <f t="shared" si="10"/>
        <v/>
      </c>
      <c r="AU12" s="169"/>
      <c r="AV12" s="172"/>
      <c r="AW12" s="436"/>
      <c r="AX12" s="346"/>
      <c r="AY12" s="171"/>
      <c r="AZ12" s="172"/>
      <c r="BA12" s="313">
        <f t="shared" si="5"/>
        <v>0</v>
      </c>
      <c r="BB12" s="173"/>
      <c r="BC12" s="151"/>
      <c r="BD12" s="699">
        <f t="shared" si="6"/>
        <v>0</v>
      </c>
      <c r="BE12" s="700">
        <f t="shared" si="7"/>
        <v>0</v>
      </c>
      <c r="BG12" s="690" t="e">
        <f t="shared" ca="1" si="8"/>
        <v>#N/A</v>
      </c>
      <c r="BH12" s="688" t="str">
        <f t="shared" ca="1" si="9"/>
        <v/>
      </c>
      <c r="BI12" s="690" t="str">
        <f t="shared" ca="1" si="9"/>
        <v/>
      </c>
      <c r="BJ12" s="689" t="str">
        <f t="shared" ca="1" si="9"/>
        <v/>
      </c>
      <c r="BK12" s="690" t="str">
        <f t="shared" ca="1" si="9"/>
        <v/>
      </c>
      <c r="BL12" s="313" t="str">
        <f t="shared" ca="1" si="9"/>
        <v/>
      </c>
      <c r="BM12" s="691" t="str">
        <f t="shared" ca="1" si="9"/>
        <v/>
      </c>
    </row>
    <row r="13" spans="2:65" ht="15.95" customHeight="1">
      <c r="B13" s="960"/>
      <c r="C13" s="492"/>
      <c r="D13" s="1071"/>
      <c r="E13" s="1072"/>
      <c r="F13" s="331"/>
      <c r="G13" s="332">
        <f t="shared" si="2"/>
        <v>0</v>
      </c>
      <c r="H13" s="154"/>
      <c r="I13" s="844" t="s">
        <v>369</v>
      </c>
      <c r="J13" s="182"/>
      <c r="K13" s="339"/>
      <c r="L13" s="340">
        <f t="shared" si="3"/>
        <v>0</v>
      </c>
      <c r="M13" s="151"/>
      <c r="N13" s="151"/>
      <c r="O13" s="946" t="str">
        <f>D9</f>
        <v xml:space="preserve">Insurance (excl. car) </v>
      </c>
      <c r="P13" s="946"/>
      <c r="Q13" s="946"/>
      <c r="R13" s="192"/>
      <c r="S13" s="975" t="str">
        <f>D11</f>
        <v>Subscriptions</v>
      </c>
      <c r="T13" s="976"/>
      <c r="U13" s="977"/>
      <c r="V13" s="151"/>
      <c r="W13" s="151"/>
      <c r="X13" s="151"/>
      <c r="Y13" s="151"/>
      <c r="Z13" s="151"/>
      <c r="AA13" s="151"/>
      <c r="AB13" s="177"/>
      <c r="AC13" s="177"/>
      <c r="AD13" s="155"/>
      <c r="AE13" s="155"/>
      <c r="AF13" s="155"/>
      <c r="AG13" s="155"/>
      <c r="AH13" s="155"/>
      <c r="AI13" s="155"/>
      <c r="AJ13" s="155"/>
      <c r="AK13" s="155"/>
      <c r="AL13" s="155"/>
      <c r="AM13" s="155"/>
      <c r="AN13" s="972" t="s">
        <v>171</v>
      </c>
      <c r="AO13" s="973"/>
      <c r="AP13" s="974"/>
      <c r="AQ13" s="197">
        <f>SUM(AQ5:AQ12)</f>
        <v>0</v>
      </c>
      <c r="AR13" s="151"/>
      <c r="AS13" s="194"/>
      <c r="AT13" s="684" t="str">
        <f t="shared" si="10"/>
        <v/>
      </c>
      <c r="AU13" s="169"/>
      <c r="AV13" s="172"/>
      <c r="AW13" s="436"/>
      <c r="AX13" s="346"/>
      <c r="AY13" s="171"/>
      <c r="AZ13" s="172"/>
      <c r="BA13" s="313">
        <f t="shared" si="5"/>
        <v>0</v>
      </c>
      <c r="BB13" s="173"/>
      <c r="BC13" s="151"/>
      <c r="BD13" s="699">
        <f t="shared" si="6"/>
        <v>0</v>
      </c>
      <c r="BE13" s="700">
        <f t="shared" si="7"/>
        <v>0</v>
      </c>
      <c r="BG13" s="690" t="e">
        <f t="shared" ca="1" si="8"/>
        <v>#N/A</v>
      </c>
      <c r="BH13" s="688" t="str">
        <f t="shared" ca="1" si="9"/>
        <v/>
      </c>
      <c r="BI13" s="690" t="str">
        <f t="shared" ca="1" si="9"/>
        <v/>
      </c>
      <c r="BJ13" s="689" t="str">
        <f t="shared" ca="1" si="9"/>
        <v/>
      </c>
      <c r="BK13" s="690" t="str">
        <f t="shared" ca="1" si="9"/>
        <v/>
      </c>
      <c r="BL13" s="313" t="str">
        <f t="shared" ca="1" si="9"/>
        <v/>
      </c>
      <c r="BM13" s="691" t="str">
        <f t="shared" ca="1" si="9"/>
        <v/>
      </c>
    </row>
    <row r="14" spans="2:65" ht="15.95" customHeight="1">
      <c r="B14" s="960"/>
      <c r="C14" s="492"/>
      <c r="D14" s="1071"/>
      <c r="E14" s="1072"/>
      <c r="F14" s="331"/>
      <c r="G14" s="332">
        <f>F14</f>
        <v>0</v>
      </c>
      <c r="H14" s="154"/>
      <c r="I14" s="844" t="s">
        <v>283</v>
      </c>
      <c r="J14" s="182"/>
      <c r="K14" s="339"/>
      <c r="L14" s="340">
        <f t="shared" si="3"/>
        <v>0</v>
      </c>
      <c r="M14" s="151"/>
      <c r="N14" s="151"/>
      <c r="O14" s="947"/>
      <c r="P14" s="947"/>
      <c r="Q14" s="167" t="s">
        <v>255</v>
      </c>
      <c r="R14" s="193"/>
      <c r="S14" s="947"/>
      <c r="T14" s="947"/>
      <c r="U14" s="167" t="s">
        <v>255</v>
      </c>
      <c r="V14" s="151"/>
      <c r="W14" s="151"/>
      <c r="X14" s="151"/>
      <c r="Y14" s="151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151"/>
      <c r="AL14" s="151"/>
      <c r="AM14" s="151"/>
      <c r="AN14" s="151"/>
      <c r="AO14" s="151"/>
      <c r="AP14" s="151"/>
      <c r="AQ14" s="151"/>
      <c r="AR14" s="151"/>
      <c r="AS14" s="151"/>
      <c r="AT14" s="684" t="str">
        <f t="shared" si="10"/>
        <v/>
      </c>
      <c r="AU14" s="169"/>
      <c r="AV14" s="172"/>
      <c r="AW14" s="436"/>
      <c r="AX14" s="346"/>
      <c r="AY14" s="171"/>
      <c r="AZ14" s="172"/>
      <c r="BA14" s="313">
        <f t="shared" si="5"/>
        <v>0</v>
      </c>
      <c r="BB14" s="173"/>
      <c r="BC14" s="151"/>
      <c r="BD14" s="699">
        <f t="shared" si="6"/>
        <v>0</v>
      </c>
      <c r="BE14" s="700">
        <f t="shared" si="7"/>
        <v>0</v>
      </c>
      <c r="BG14" s="690" t="e">
        <f t="shared" ca="1" si="8"/>
        <v>#N/A</v>
      </c>
      <c r="BH14" s="688" t="str">
        <f t="shared" ca="1" si="9"/>
        <v/>
      </c>
      <c r="BI14" s="690" t="str">
        <f t="shared" ca="1" si="9"/>
        <v/>
      </c>
      <c r="BJ14" s="689" t="str">
        <f t="shared" ca="1" si="9"/>
        <v/>
      </c>
      <c r="BK14" s="690" t="str">
        <f t="shared" ca="1" si="9"/>
        <v/>
      </c>
      <c r="BL14" s="313" t="str">
        <f t="shared" ca="1" si="9"/>
        <v/>
      </c>
      <c r="BM14" s="691" t="str">
        <f t="shared" ca="1" si="9"/>
        <v/>
      </c>
    </row>
    <row r="15" spans="2:65" ht="15.95" customHeight="1" thickBot="1">
      <c r="B15" s="961"/>
      <c r="C15" s="493"/>
      <c r="D15" s="1073"/>
      <c r="E15" s="1074"/>
      <c r="F15" s="331"/>
      <c r="G15" s="332">
        <f t="shared" si="2"/>
        <v>0</v>
      </c>
      <c r="H15" s="154"/>
      <c r="I15" s="845" t="s">
        <v>425</v>
      </c>
      <c r="J15" s="198"/>
      <c r="K15" s="341"/>
      <c r="L15" s="342">
        <f t="shared" si="3"/>
        <v>0</v>
      </c>
      <c r="M15" s="151"/>
      <c r="N15" s="151"/>
      <c r="O15" s="940" t="s">
        <v>145</v>
      </c>
      <c r="P15" s="940"/>
      <c r="Q15" s="195"/>
      <c r="R15" s="193"/>
      <c r="S15" s="936" t="s">
        <v>157</v>
      </c>
      <c r="T15" s="936"/>
      <c r="U15" s="196"/>
      <c r="V15" s="151"/>
      <c r="W15" s="151"/>
      <c r="X15" s="151"/>
      <c r="Y15" s="151"/>
      <c r="Z15" s="151"/>
      <c r="AA15" s="151"/>
      <c r="AB15" s="151"/>
      <c r="AC15" s="151"/>
      <c r="AD15" s="945" t="str">
        <f>D31</f>
        <v>Religious expenses</v>
      </c>
      <c r="AE15" s="945"/>
      <c r="AF15" s="945"/>
      <c r="AG15" s="945"/>
      <c r="AH15" s="155"/>
      <c r="AI15" s="945" t="str">
        <f>D32</f>
        <v>Gifts</v>
      </c>
      <c r="AJ15" s="945"/>
      <c r="AK15" s="945"/>
      <c r="AL15" s="945"/>
      <c r="AM15" s="156"/>
      <c r="AN15" s="945" t="str">
        <f>D33</f>
        <v>Small Purchases</v>
      </c>
      <c r="AO15" s="945"/>
      <c r="AP15" s="945"/>
      <c r="AQ15" s="945"/>
      <c r="AR15" s="151"/>
      <c r="AS15" s="151"/>
      <c r="AT15" s="684" t="str">
        <f t="shared" si="10"/>
        <v/>
      </c>
      <c r="AU15" s="169"/>
      <c r="AV15" s="172"/>
      <c r="AW15" s="436"/>
      <c r="AX15" s="346"/>
      <c r="AY15" s="171"/>
      <c r="AZ15" s="172"/>
      <c r="BA15" s="313">
        <f t="shared" si="5"/>
        <v>0</v>
      </c>
      <c r="BB15" s="173"/>
      <c r="BC15" s="151"/>
      <c r="BD15" s="699">
        <f t="shared" si="6"/>
        <v>0</v>
      </c>
      <c r="BE15" s="700">
        <f t="shared" si="7"/>
        <v>0</v>
      </c>
      <c r="BG15" s="690" t="e">
        <f t="shared" ca="1" si="8"/>
        <v>#N/A</v>
      </c>
      <c r="BH15" s="688" t="str">
        <f t="shared" ca="1" si="9"/>
        <v/>
      </c>
      <c r="BI15" s="690" t="str">
        <f t="shared" ca="1" si="9"/>
        <v/>
      </c>
      <c r="BJ15" s="689" t="str">
        <f t="shared" ca="1" si="9"/>
        <v/>
      </c>
      <c r="BK15" s="690" t="str">
        <f t="shared" ca="1" si="9"/>
        <v/>
      </c>
      <c r="BL15" s="313" t="str">
        <f t="shared" ca="1" si="9"/>
        <v/>
      </c>
      <c r="BM15" s="691" t="str">
        <f t="shared" ca="1" si="9"/>
        <v/>
      </c>
    </row>
    <row r="16" spans="2:65" ht="15.95" customHeight="1" thickBot="1">
      <c r="B16" s="956" t="s">
        <v>270</v>
      </c>
      <c r="C16" s="494"/>
      <c r="D16" s="840" t="s">
        <v>172</v>
      </c>
      <c r="E16" s="841"/>
      <c r="F16" s="329"/>
      <c r="G16" s="330">
        <f t="shared" si="2"/>
        <v>0</v>
      </c>
      <c r="H16" s="154"/>
      <c r="I16" s="1015" t="s">
        <v>284</v>
      </c>
      <c r="J16" s="1016"/>
      <c r="K16" s="201">
        <f>SUM(K5:K15)</f>
        <v>0</v>
      </c>
      <c r="L16" s="202">
        <f>SUM(L5:L15)</f>
        <v>0</v>
      </c>
      <c r="M16" s="151"/>
      <c r="N16" s="151"/>
      <c r="O16" s="940" t="s">
        <v>146</v>
      </c>
      <c r="P16" s="940"/>
      <c r="Q16" s="195"/>
      <c r="R16" s="193"/>
      <c r="S16" s="936" t="s">
        <v>158</v>
      </c>
      <c r="T16" s="936"/>
      <c r="U16" s="196"/>
      <c r="V16" s="151"/>
      <c r="W16" s="151"/>
      <c r="X16" s="151"/>
      <c r="Y16" s="151"/>
      <c r="Z16" s="151"/>
      <c r="AA16" s="151"/>
      <c r="AB16" s="151"/>
      <c r="AC16" s="151"/>
      <c r="AD16" s="1006"/>
      <c r="AE16" s="1006"/>
      <c r="AF16" s="167" t="s">
        <v>202</v>
      </c>
      <c r="AG16" s="167" t="s">
        <v>203</v>
      </c>
      <c r="AH16" s="155"/>
      <c r="AI16" s="968"/>
      <c r="AJ16" s="969"/>
      <c r="AK16" s="167" t="s">
        <v>202</v>
      </c>
      <c r="AL16" s="167" t="s">
        <v>203</v>
      </c>
      <c r="AM16" s="156"/>
      <c r="AN16" s="1007"/>
      <c r="AO16" s="1008"/>
      <c r="AP16" s="167" t="s">
        <v>202</v>
      </c>
      <c r="AQ16" s="167" t="s">
        <v>203</v>
      </c>
      <c r="AR16" s="151"/>
      <c r="AS16" s="151"/>
      <c r="AT16" s="684" t="str">
        <f t="shared" si="10"/>
        <v/>
      </c>
      <c r="AU16" s="169"/>
      <c r="AV16" s="172"/>
      <c r="AW16" s="436"/>
      <c r="AX16" s="346"/>
      <c r="AY16" s="171"/>
      <c r="AZ16" s="172"/>
      <c r="BA16" s="313">
        <f t="shared" si="5"/>
        <v>0</v>
      </c>
      <c r="BB16" s="173"/>
      <c r="BC16" s="151"/>
      <c r="BD16" s="699">
        <f t="shared" si="6"/>
        <v>0</v>
      </c>
      <c r="BE16" s="700">
        <f t="shared" si="7"/>
        <v>0</v>
      </c>
      <c r="BG16" s="690" t="e">
        <f t="shared" ca="1" si="8"/>
        <v>#N/A</v>
      </c>
      <c r="BH16" s="688" t="str">
        <f t="shared" ca="1" si="9"/>
        <v/>
      </c>
      <c r="BI16" s="690" t="str">
        <f t="shared" ca="1" si="9"/>
        <v/>
      </c>
      <c r="BJ16" s="689" t="str">
        <f t="shared" ca="1" si="9"/>
        <v/>
      </c>
      <c r="BK16" s="690" t="str">
        <f t="shared" ca="1" si="9"/>
        <v/>
      </c>
      <c r="BL16" s="313" t="str">
        <f t="shared" ca="1" si="9"/>
        <v/>
      </c>
      <c r="BM16" s="691" t="str">
        <f t="shared" ca="1" si="9"/>
        <v/>
      </c>
    </row>
    <row r="17" spans="1:65" ht="15.95" customHeight="1">
      <c r="B17" s="957"/>
      <c r="C17" s="488"/>
      <c r="D17" s="835" t="s">
        <v>173</v>
      </c>
      <c r="E17" s="836"/>
      <c r="F17" s="331"/>
      <c r="G17" s="332">
        <f t="shared" si="2"/>
        <v>0</v>
      </c>
      <c r="H17" s="154"/>
      <c r="I17" s="154"/>
      <c r="J17" s="205"/>
      <c r="K17" s="154"/>
      <c r="L17" s="205"/>
      <c r="M17" s="151"/>
      <c r="N17" s="151"/>
      <c r="O17" s="940" t="s">
        <v>147</v>
      </c>
      <c r="P17" s="940"/>
      <c r="Q17" s="195"/>
      <c r="R17" s="193"/>
      <c r="S17" s="936" t="s">
        <v>159</v>
      </c>
      <c r="T17" s="936"/>
      <c r="U17" s="196"/>
      <c r="V17" s="151"/>
      <c r="W17" s="151"/>
      <c r="X17" s="151"/>
      <c r="Y17" s="151"/>
      <c r="Z17" s="151"/>
      <c r="AA17" s="151"/>
      <c r="AB17" s="151"/>
      <c r="AC17" s="151"/>
      <c r="AD17" s="986" t="s">
        <v>234</v>
      </c>
      <c r="AE17" s="987"/>
      <c r="AF17" s="988"/>
      <c r="AG17" s="989">
        <f>AF17/12</f>
        <v>0</v>
      </c>
      <c r="AH17" s="155"/>
      <c r="AI17" s="951" t="s">
        <v>481</v>
      </c>
      <c r="AJ17" s="952"/>
      <c r="AK17" s="200"/>
      <c r="AL17" s="306">
        <f>AK17/12</f>
        <v>0</v>
      </c>
      <c r="AM17" s="156"/>
      <c r="AN17" s="935" t="s">
        <v>485</v>
      </c>
      <c r="AO17" s="935"/>
      <c r="AP17" s="200"/>
      <c r="AQ17" s="306">
        <f>AP17/12</f>
        <v>0</v>
      </c>
      <c r="AR17" s="151"/>
      <c r="AS17" s="151"/>
      <c r="AT17" s="684" t="str">
        <f t="shared" si="10"/>
        <v/>
      </c>
      <c r="AU17" s="169"/>
      <c r="AV17" s="172"/>
      <c r="AW17" s="436"/>
      <c r="AX17" s="346"/>
      <c r="AY17" s="171"/>
      <c r="AZ17" s="172"/>
      <c r="BA17" s="313">
        <f t="shared" si="5"/>
        <v>0</v>
      </c>
      <c r="BB17" s="173"/>
      <c r="BC17" s="151"/>
      <c r="BD17" s="699">
        <f t="shared" si="6"/>
        <v>0</v>
      </c>
      <c r="BE17" s="700">
        <f t="shared" si="7"/>
        <v>0</v>
      </c>
      <c r="BG17" s="690" t="e">
        <f t="shared" ca="1" si="8"/>
        <v>#N/A</v>
      </c>
      <c r="BH17" s="688" t="str">
        <f t="shared" ca="1" si="9"/>
        <v/>
      </c>
      <c r="BI17" s="690" t="str">
        <f t="shared" ca="1" si="9"/>
        <v/>
      </c>
      <c r="BJ17" s="689" t="str">
        <f t="shared" ca="1" si="9"/>
        <v/>
      </c>
      <c r="BK17" s="690" t="str">
        <f t="shared" ca="1" si="9"/>
        <v/>
      </c>
      <c r="BL17" s="313" t="str">
        <f t="shared" ca="1" si="9"/>
        <v/>
      </c>
      <c r="BM17" s="691" t="str">
        <f t="shared" ca="1" si="9"/>
        <v/>
      </c>
    </row>
    <row r="18" spans="1:65" ht="15.95" customHeight="1">
      <c r="B18" s="957"/>
      <c r="C18" s="488"/>
      <c r="D18" s="835" t="s">
        <v>174</v>
      </c>
      <c r="E18" s="836"/>
      <c r="F18" s="331"/>
      <c r="G18" s="332">
        <f t="shared" si="2"/>
        <v>0</v>
      </c>
      <c r="H18" s="154"/>
      <c r="I18" s="154"/>
      <c r="J18" s="205"/>
      <c r="K18" s="154"/>
      <c r="L18" s="205"/>
      <c r="M18" s="151"/>
      <c r="N18" s="151"/>
      <c r="O18" s="940" t="s">
        <v>148</v>
      </c>
      <c r="P18" s="940"/>
      <c r="Q18" s="195"/>
      <c r="R18" s="193"/>
      <c r="S18" s="936" t="s">
        <v>461</v>
      </c>
      <c r="T18" s="936"/>
      <c r="U18" s="196"/>
      <c r="V18" s="151"/>
      <c r="W18" s="151"/>
      <c r="X18" s="151"/>
      <c r="Y18" s="151"/>
      <c r="Z18" s="151"/>
      <c r="AA18" s="151"/>
      <c r="AB18" s="151"/>
      <c r="AC18" s="151"/>
      <c r="AD18" s="987"/>
      <c r="AE18" s="987"/>
      <c r="AF18" s="988"/>
      <c r="AG18" s="990"/>
      <c r="AH18" s="155"/>
      <c r="AI18" s="951" t="s">
        <v>210</v>
      </c>
      <c r="AJ18" s="952"/>
      <c r="AK18" s="200"/>
      <c r="AL18" s="307">
        <f t="shared" ref="AL18:AL24" si="11">AK18/12</f>
        <v>0</v>
      </c>
      <c r="AM18" s="156"/>
      <c r="AN18" s="935" t="s">
        <v>239</v>
      </c>
      <c r="AO18" s="935"/>
      <c r="AP18" s="200"/>
      <c r="AQ18" s="306">
        <f t="shared" ref="AQ18:AQ35" si="12">AP18/12</f>
        <v>0</v>
      </c>
      <c r="AR18" s="151"/>
      <c r="AS18" s="151"/>
      <c r="AT18" s="684" t="str">
        <f t="shared" si="10"/>
        <v/>
      </c>
      <c r="AU18" s="169"/>
      <c r="AV18" s="172"/>
      <c r="AW18" s="436"/>
      <c r="AX18" s="346"/>
      <c r="AY18" s="171"/>
      <c r="AZ18" s="172"/>
      <c r="BA18" s="313">
        <f t="shared" si="5"/>
        <v>0</v>
      </c>
      <c r="BB18" s="173"/>
      <c r="BC18" s="151"/>
      <c r="BD18" s="699">
        <f t="shared" si="6"/>
        <v>0</v>
      </c>
      <c r="BE18" s="700">
        <f t="shared" si="7"/>
        <v>0</v>
      </c>
      <c r="BG18" s="690" t="e">
        <f t="shared" ca="1" si="8"/>
        <v>#N/A</v>
      </c>
      <c r="BH18" s="688" t="str">
        <f t="shared" ca="1" si="9"/>
        <v/>
      </c>
      <c r="BI18" s="690" t="str">
        <f t="shared" ca="1" si="9"/>
        <v/>
      </c>
      <c r="BJ18" s="689" t="str">
        <f t="shared" ca="1" si="9"/>
        <v/>
      </c>
      <c r="BK18" s="690" t="str">
        <f t="shared" ca="1" si="9"/>
        <v/>
      </c>
      <c r="BL18" s="313" t="str">
        <f t="shared" ca="1" si="9"/>
        <v/>
      </c>
      <c r="BM18" s="691" t="str">
        <f t="shared" ca="1" si="9"/>
        <v/>
      </c>
    </row>
    <row r="19" spans="1:65" ht="15.95" customHeight="1">
      <c r="B19" s="957"/>
      <c r="C19" s="488"/>
      <c r="D19" s="835" t="s">
        <v>175</v>
      </c>
      <c r="E19" s="836"/>
      <c r="F19" s="331"/>
      <c r="G19" s="332">
        <f t="shared" si="2"/>
        <v>0</v>
      </c>
      <c r="H19" s="154"/>
      <c r="I19" s="154"/>
      <c r="J19" s="205"/>
      <c r="K19" s="154"/>
      <c r="L19" s="205"/>
      <c r="M19" s="151"/>
      <c r="N19" s="151"/>
      <c r="O19" s="941"/>
      <c r="P19" s="941"/>
      <c r="Q19" s="196"/>
      <c r="R19" s="193"/>
      <c r="S19" s="936" t="s">
        <v>160</v>
      </c>
      <c r="T19" s="936"/>
      <c r="U19" s="199"/>
      <c r="V19" s="151"/>
      <c r="W19" s="151"/>
      <c r="X19" s="151"/>
      <c r="Y19" s="151"/>
      <c r="Z19" s="151"/>
      <c r="AA19" s="151"/>
      <c r="AB19" s="151"/>
      <c r="AC19" s="151"/>
      <c r="AD19" s="986" t="s">
        <v>235</v>
      </c>
      <c r="AE19" s="987"/>
      <c r="AF19" s="178"/>
      <c r="AG19" s="310">
        <f>AF19/12</f>
        <v>0</v>
      </c>
      <c r="AH19" s="155"/>
      <c r="AI19" s="951" t="s">
        <v>482</v>
      </c>
      <c r="AJ19" s="952"/>
      <c r="AK19" s="200"/>
      <c r="AL19" s="306">
        <f t="shared" si="11"/>
        <v>0</v>
      </c>
      <c r="AM19" s="156"/>
      <c r="AN19" s="935" t="s">
        <v>240</v>
      </c>
      <c r="AO19" s="935"/>
      <c r="AP19" s="200"/>
      <c r="AQ19" s="306">
        <f t="shared" si="12"/>
        <v>0</v>
      </c>
      <c r="AR19" s="151"/>
      <c r="AS19" s="151"/>
      <c r="AT19" s="684" t="str">
        <f t="shared" si="10"/>
        <v/>
      </c>
      <c r="AU19" s="169"/>
      <c r="AV19" s="172"/>
      <c r="AW19" s="436"/>
      <c r="AX19" s="346"/>
      <c r="AY19" s="171"/>
      <c r="AZ19" s="172"/>
      <c r="BA19" s="313">
        <f t="shared" si="5"/>
        <v>0</v>
      </c>
      <c r="BB19" s="173"/>
      <c r="BC19" s="151"/>
      <c r="BD19" s="699">
        <f t="shared" si="6"/>
        <v>0</v>
      </c>
      <c r="BE19" s="700">
        <f t="shared" si="7"/>
        <v>0</v>
      </c>
      <c r="BG19" s="690" t="e">
        <f t="shared" ca="1" si="8"/>
        <v>#N/A</v>
      </c>
      <c r="BH19" s="688" t="str">
        <f t="shared" ca="1" si="9"/>
        <v/>
      </c>
      <c r="BI19" s="690" t="str">
        <f t="shared" ca="1" si="9"/>
        <v/>
      </c>
      <c r="BJ19" s="689" t="str">
        <f t="shared" ca="1" si="9"/>
        <v/>
      </c>
      <c r="BK19" s="690" t="str">
        <f t="shared" ca="1" si="9"/>
        <v/>
      </c>
      <c r="BL19" s="313" t="str">
        <f t="shared" ca="1" si="9"/>
        <v/>
      </c>
      <c r="BM19" s="691" t="str">
        <f t="shared" ca="1" si="9"/>
        <v/>
      </c>
    </row>
    <row r="20" spans="1:65" ht="15.95" customHeight="1" thickBot="1">
      <c r="B20" s="957"/>
      <c r="C20" s="488"/>
      <c r="D20" s="835" t="s">
        <v>176</v>
      </c>
      <c r="E20" s="836"/>
      <c r="F20" s="331"/>
      <c r="G20" s="332">
        <f t="shared" si="2"/>
        <v>0</v>
      </c>
      <c r="H20" s="154"/>
      <c r="I20" s="1019" t="s">
        <v>287</v>
      </c>
      <c r="J20" s="1019"/>
      <c r="K20" s="1019"/>
      <c r="L20" s="154"/>
      <c r="N20" s="151"/>
      <c r="O20" s="1017"/>
      <c r="P20" s="1017"/>
      <c r="Q20" s="203"/>
      <c r="R20" s="204"/>
      <c r="S20" s="936" t="s">
        <v>161</v>
      </c>
      <c r="T20" s="936"/>
      <c r="U20" s="196"/>
      <c r="V20" s="151"/>
      <c r="W20" s="151"/>
      <c r="X20" s="151"/>
      <c r="Y20" s="151"/>
      <c r="Z20" s="151"/>
      <c r="AA20" s="151"/>
      <c r="AB20" s="151"/>
      <c r="AC20" s="151"/>
      <c r="AD20" s="986" t="s">
        <v>236</v>
      </c>
      <c r="AE20" s="986"/>
      <c r="AF20" s="178"/>
      <c r="AG20" s="310">
        <f t="shared" ref="AG20:AG26" si="13">AF20/12</f>
        <v>0</v>
      </c>
      <c r="AH20" s="155"/>
      <c r="AI20" s="951" t="s">
        <v>483</v>
      </c>
      <c r="AJ20" s="952"/>
      <c r="AK20" s="200"/>
      <c r="AL20" s="307">
        <f t="shared" si="11"/>
        <v>0</v>
      </c>
      <c r="AM20" s="156"/>
      <c r="AN20" s="935" t="s">
        <v>241</v>
      </c>
      <c r="AO20" s="935"/>
      <c r="AP20" s="200"/>
      <c r="AQ20" s="306">
        <f t="shared" si="12"/>
        <v>0</v>
      </c>
      <c r="AR20" s="151"/>
      <c r="AS20" s="151"/>
      <c r="AT20" s="684" t="str">
        <f t="shared" si="10"/>
        <v/>
      </c>
      <c r="AU20" s="169"/>
      <c r="AV20" s="172"/>
      <c r="AW20" s="436"/>
      <c r="AX20" s="346"/>
      <c r="AY20" s="171"/>
      <c r="AZ20" s="172"/>
      <c r="BA20" s="313">
        <f t="shared" si="5"/>
        <v>0</v>
      </c>
      <c r="BB20" s="173"/>
      <c r="BC20" s="151"/>
      <c r="BD20" s="699">
        <f t="shared" si="6"/>
        <v>0</v>
      </c>
      <c r="BE20" s="700">
        <f t="shared" si="7"/>
        <v>0</v>
      </c>
      <c r="BG20" s="690" t="e">
        <f t="shared" ca="1" si="8"/>
        <v>#N/A</v>
      </c>
      <c r="BH20" s="688" t="str">
        <f t="shared" ca="1" si="9"/>
        <v/>
      </c>
      <c r="BI20" s="690" t="str">
        <f t="shared" ca="1" si="9"/>
        <v/>
      </c>
      <c r="BJ20" s="689" t="str">
        <f t="shared" ca="1" si="9"/>
        <v/>
      </c>
      <c r="BK20" s="690" t="str">
        <f t="shared" ca="1" si="9"/>
        <v/>
      </c>
      <c r="BL20" s="313" t="str">
        <f t="shared" ca="1" si="9"/>
        <v/>
      </c>
      <c r="BM20" s="691" t="str">
        <f t="shared" ca="1" si="9"/>
        <v/>
      </c>
    </row>
    <row r="21" spans="1:65" ht="15.95" customHeight="1">
      <c r="B21" s="957"/>
      <c r="C21" s="491">
        <v>6</v>
      </c>
      <c r="D21" s="839" t="s">
        <v>177</v>
      </c>
      <c r="E21" s="838"/>
      <c r="F21" s="331">
        <f>IF(Q37&lt;&gt;"",Q37,"")</f>
        <v>0</v>
      </c>
      <c r="G21" s="332">
        <f t="shared" si="2"/>
        <v>0</v>
      </c>
      <c r="H21" s="154"/>
      <c r="I21" s="208" t="s">
        <v>288</v>
      </c>
      <c r="J21" s="209" t="s">
        <v>271</v>
      </c>
      <c r="K21" s="210" t="s">
        <v>272</v>
      </c>
      <c r="L21" s="151"/>
      <c r="M21" s="151"/>
      <c r="N21" s="151"/>
      <c r="O21" s="1018" t="s">
        <v>171</v>
      </c>
      <c r="P21" s="1018"/>
      <c r="Q21" s="185">
        <f>SUM(Q15:Q20)</f>
        <v>0</v>
      </c>
      <c r="R21" s="206"/>
      <c r="S21" s="936"/>
      <c r="T21" s="936"/>
      <c r="U21" s="196"/>
      <c r="V21" s="151"/>
      <c r="W21" s="151"/>
      <c r="X21" s="151"/>
      <c r="Y21" s="151"/>
      <c r="Z21" s="151"/>
      <c r="AA21" s="151"/>
      <c r="AB21" s="151"/>
      <c r="AC21" s="151"/>
      <c r="AD21" s="986" t="s">
        <v>237</v>
      </c>
      <c r="AE21" s="987"/>
      <c r="AF21" s="1012"/>
      <c r="AG21" s="1013">
        <f t="shared" si="13"/>
        <v>0</v>
      </c>
      <c r="AH21" s="155"/>
      <c r="AI21" s="951" t="s">
        <v>344</v>
      </c>
      <c r="AJ21" s="952"/>
      <c r="AK21" s="178"/>
      <c r="AL21" s="307">
        <f t="shared" si="11"/>
        <v>0</v>
      </c>
      <c r="AM21" s="156"/>
      <c r="AN21" s="935" t="s">
        <v>242</v>
      </c>
      <c r="AO21" s="935"/>
      <c r="AP21" s="200"/>
      <c r="AQ21" s="306">
        <f t="shared" si="12"/>
        <v>0</v>
      </c>
      <c r="AR21" s="151"/>
      <c r="AS21" s="151"/>
      <c r="AT21" s="684" t="str">
        <f t="shared" si="10"/>
        <v/>
      </c>
      <c r="AU21" s="169"/>
      <c r="AV21" s="172"/>
      <c r="AW21" s="436"/>
      <c r="AX21" s="346"/>
      <c r="AY21" s="171"/>
      <c r="AZ21" s="172"/>
      <c r="BA21" s="313">
        <f t="shared" si="5"/>
        <v>0</v>
      </c>
      <c r="BB21" s="173"/>
      <c r="BC21" s="151"/>
      <c r="BD21" s="699">
        <f t="shared" si="6"/>
        <v>0</v>
      </c>
      <c r="BE21" s="700">
        <f t="shared" si="7"/>
        <v>0</v>
      </c>
      <c r="BG21" s="690" t="e">
        <f t="shared" ca="1" si="8"/>
        <v>#N/A</v>
      </c>
      <c r="BH21" s="688" t="str">
        <f t="shared" ca="1" si="9"/>
        <v/>
      </c>
      <c r="BI21" s="690" t="str">
        <f t="shared" ca="1" si="9"/>
        <v/>
      </c>
      <c r="BJ21" s="689" t="str">
        <f t="shared" ca="1" si="9"/>
        <v/>
      </c>
      <c r="BK21" s="690" t="str">
        <f t="shared" ca="1" si="9"/>
        <v/>
      </c>
      <c r="BL21" s="313" t="str">
        <f t="shared" ca="1" si="9"/>
        <v/>
      </c>
      <c r="BM21" s="691" t="str">
        <f t="shared" ca="1" si="9"/>
        <v/>
      </c>
    </row>
    <row r="22" spans="1:65" ht="15.95" customHeight="1">
      <c r="B22" s="957"/>
      <c r="C22" s="491">
        <v>6</v>
      </c>
      <c r="D22" s="839" t="s">
        <v>189</v>
      </c>
      <c r="E22" s="838"/>
      <c r="F22" s="331">
        <f>IF(R50&lt;&gt;"",R50,"")</f>
        <v>0</v>
      </c>
      <c r="G22" s="332">
        <f t="shared" si="2"/>
        <v>0</v>
      </c>
      <c r="H22" s="154"/>
      <c r="I22" s="211" t="s">
        <v>307</v>
      </c>
      <c r="J22" s="212">
        <f>SUM(F5:F15)</f>
        <v>0</v>
      </c>
      <c r="K22" s="213">
        <f>SUM(G5:G15)</f>
        <v>0</v>
      </c>
      <c r="L22" s="151"/>
      <c r="M22" s="151"/>
      <c r="N22" s="151"/>
      <c r="O22" s="206"/>
      <c r="P22" s="206"/>
      <c r="Q22" s="207"/>
      <c r="R22" s="206"/>
      <c r="S22" s="936"/>
      <c r="T22" s="936"/>
      <c r="U22" s="196"/>
      <c r="V22" s="151"/>
      <c r="W22" s="151"/>
      <c r="X22" s="151"/>
      <c r="Y22" s="151"/>
      <c r="Z22" s="151"/>
      <c r="AA22" s="151"/>
      <c r="AB22" s="151"/>
      <c r="AC22" s="151"/>
      <c r="AD22" s="987"/>
      <c r="AE22" s="987"/>
      <c r="AF22" s="1012"/>
      <c r="AG22" s="1014">
        <f t="shared" si="13"/>
        <v>0</v>
      </c>
      <c r="AH22" s="155"/>
      <c r="AI22" s="951" t="s">
        <v>211</v>
      </c>
      <c r="AJ22" s="952"/>
      <c r="AK22" s="178"/>
      <c r="AL22" s="307">
        <f t="shared" si="11"/>
        <v>0</v>
      </c>
      <c r="AM22" s="156"/>
      <c r="AN22" s="935" t="s">
        <v>243</v>
      </c>
      <c r="AO22" s="935"/>
      <c r="AP22" s="200"/>
      <c r="AQ22" s="306">
        <f t="shared" si="12"/>
        <v>0</v>
      </c>
      <c r="AR22" s="151"/>
      <c r="AS22" s="151"/>
      <c r="AT22" s="684" t="str">
        <f t="shared" si="10"/>
        <v/>
      </c>
      <c r="AU22" s="169"/>
      <c r="AV22" s="172"/>
      <c r="AW22" s="436"/>
      <c r="AX22" s="346"/>
      <c r="AY22" s="171"/>
      <c r="AZ22" s="172"/>
      <c r="BA22" s="313">
        <f t="shared" si="5"/>
        <v>0</v>
      </c>
      <c r="BB22" s="173"/>
      <c r="BC22" s="151"/>
      <c r="BD22" s="699">
        <f t="shared" si="6"/>
        <v>0</v>
      </c>
      <c r="BE22" s="700">
        <f t="shared" si="7"/>
        <v>0</v>
      </c>
      <c r="BG22" s="690" t="e">
        <f t="shared" ca="1" si="8"/>
        <v>#N/A</v>
      </c>
      <c r="BH22" s="688" t="str">
        <f t="shared" ca="1" si="9"/>
        <v/>
      </c>
      <c r="BI22" s="690" t="str">
        <f t="shared" ca="1" si="9"/>
        <v/>
      </c>
      <c r="BJ22" s="689" t="str">
        <f t="shared" ca="1" si="9"/>
        <v/>
      </c>
      <c r="BK22" s="690" t="str">
        <f t="shared" ca="1" si="9"/>
        <v/>
      </c>
      <c r="BL22" s="313" t="str">
        <f t="shared" ca="1" si="9"/>
        <v/>
      </c>
      <c r="BM22" s="691" t="str">
        <f t="shared" ca="1" si="9"/>
        <v/>
      </c>
    </row>
    <row r="23" spans="1:65" ht="15.95" customHeight="1">
      <c r="B23" s="957"/>
      <c r="C23" s="491">
        <v>6</v>
      </c>
      <c r="D23" s="839" t="s">
        <v>190</v>
      </c>
      <c r="E23" s="838"/>
      <c r="F23" s="331">
        <f>IF(W45&lt;&gt;"",W45,"")</f>
        <v>0</v>
      </c>
      <c r="G23" s="332">
        <f t="shared" si="2"/>
        <v>0</v>
      </c>
      <c r="H23" s="154"/>
      <c r="I23" s="214" t="s">
        <v>305</v>
      </c>
      <c r="J23" s="212">
        <f>SUM(F16:F37)</f>
        <v>0</v>
      </c>
      <c r="K23" s="213">
        <f>SUM(G16:G37)</f>
        <v>0</v>
      </c>
      <c r="L23" s="151"/>
      <c r="M23" s="151"/>
      <c r="N23" s="151"/>
      <c r="O23" s="156"/>
      <c r="P23" s="156"/>
      <c r="Q23" s="156"/>
      <c r="R23" s="192"/>
      <c r="S23" s="1011"/>
      <c r="T23" s="1011"/>
      <c r="U23" s="196"/>
      <c r="V23" s="151"/>
      <c r="W23" s="151"/>
      <c r="X23" s="151"/>
      <c r="Y23" s="151"/>
      <c r="Z23" s="151"/>
      <c r="AA23" s="151"/>
      <c r="AB23" s="151"/>
      <c r="AC23" s="151"/>
      <c r="AD23" s="1020" t="s">
        <v>238</v>
      </c>
      <c r="AE23" s="1021"/>
      <c r="AF23" s="200"/>
      <c r="AG23" s="311">
        <f t="shared" si="13"/>
        <v>0</v>
      </c>
      <c r="AH23" s="155"/>
      <c r="AI23" s="951" t="s">
        <v>212</v>
      </c>
      <c r="AJ23" s="952"/>
      <c r="AK23" s="178"/>
      <c r="AL23" s="307">
        <f t="shared" si="11"/>
        <v>0</v>
      </c>
      <c r="AM23" s="156"/>
      <c r="AN23" s="935" t="s">
        <v>244</v>
      </c>
      <c r="AO23" s="935"/>
      <c r="AP23" s="200"/>
      <c r="AQ23" s="306">
        <f t="shared" si="12"/>
        <v>0</v>
      </c>
      <c r="AR23" s="151"/>
      <c r="AS23" s="151"/>
      <c r="AT23" s="684" t="str">
        <f t="shared" si="10"/>
        <v/>
      </c>
      <c r="AU23" s="169"/>
      <c r="AV23" s="172"/>
      <c r="AW23" s="436"/>
      <c r="AX23" s="346"/>
      <c r="AY23" s="171"/>
      <c r="AZ23" s="172"/>
      <c r="BA23" s="313">
        <f t="shared" si="5"/>
        <v>0</v>
      </c>
      <c r="BB23" s="173"/>
      <c r="BC23" s="151"/>
      <c r="BD23" s="699">
        <f t="shared" si="6"/>
        <v>0</v>
      </c>
      <c r="BE23" s="700">
        <f t="shared" si="7"/>
        <v>0</v>
      </c>
      <c r="BG23" s="690" t="e">
        <f t="shared" ca="1" si="8"/>
        <v>#N/A</v>
      </c>
      <c r="BH23" s="688" t="str">
        <f t="shared" ca="1" si="9"/>
        <v/>
      </c>
      <c r="BI23" s="690" t="str">
        <f t="shared" ca="1" si="9"/>
        <v/>
      </c>
      <c r="BJ23" s="689" t="str">
        <f t="shared" ca="1" si="9"/>
        <v/>
      </c>
      <c r="BK23" s="690" t="str">
        <f t="shared" ca="1" si="9"/>
        <v/>
      </c>
      <c r="BL23" s="313" t="str">
        <f t="shared" ca="1" si="9"/>
        <v/>
      </c>
      <c r="BM23" s="691" t="str">
        <f t="shared" ca="1" si="9"/>
        <v/>
      </c>
    </row>
    <row r="24" spans="1:65" ht="15.95" customHeight="1" thickBot="1">
      <c r="B24" s="957"/>
      <c r="C24" s="491">
        <v>6</v>
      </c>
      <c r="D24" s="839" t="s">
        <v>191</v>
      </c>
      <c r="E24" s="838"/>
      <c r="F24" s="331">
        <f>IF(AG9&lt;&gt;"",AG9,"")</f>
        <v>0</v>
      </c>
      <c r="G24" s="332">
        <f t="shared" si="2"/>
        <v>0</v>
      </c>
      <c r="H24" s="154"/>
      <c r="I24" s="217" t="s">
        <v>306</v>
      </c>
      <c r="J24" s="218">
        <f>SUM(F38:F49)</f>
        <v>0</v>
      </c>
      <c r="K24" s="219">
        <f>SUM(G38:G49)</f>
        <v>0</v>
      </c>
      <c r="L24" s="151"/>
      <c r="M24" s="151"/>
      <c r="N24" s="151"/>
      <c r="O24" s="156"/>
      <c r="P24" s="156"/>
      <c r="Q24" s="156"/>
      <c r="R24" s="192"/>
      <c r="S24" s="1018" t="s">
        <v>171</v>
      </c>
      <c r="T24" s="1018"/>
      <c r="U24" s="185">
        <f>SUM(U15:U23)</f>
        <v>0</v>
      </c>
      <c r="V24" s="151"/>
      <c r="W24" s="151"/>
      <c r="X24" s="151"/>
      <c r="Y24" s="151"/>
      <c r="Z24" s="151"/>
      <c r="AA24" s="151"/>
      <c r="AB24" s="151"/>
      <c r="AC24" s="151"/>
      <c r="AD24" s="935"/>
      <c r="AE24" s="935"/>
      <c r="AF24" s="200"/>
      <c r="AG24" s="311">
        <f t="shared" si="13"/>
        <v>0</v>
      </c>
      <c r="AH24" s="155"/>
      <c r="AI24" s="951"/>
      <c r="AJ24" s="952"/>
      <c r="AK24" s="344"/>
      <c r="AL24" s="307">
        <f t="shared" si="11"/>
        <v>0</v>
      </c>
      <c r="AM24" s="156"/>
      <c r="AN24" s="935" t="s">
        <v>245</v>
      </c>
      <c r="AO24" s="935"/>
      <c r="AP24" s="200"/>
      <c r="AQ24" s="306">
        <f t="shared" si="12"/>
        <v>0</v>
      </c>
      <c r="AR24" s="151"/>
      <c r="AS24" s="151"/>
      <c r="AT24" s="684" t="str">
        <f t="shared" si="10"/>
        <v/>
      </c>
      <c r="AU24" s="169"/>
      <c r="AV24" s="172"/>
      <c r="AW24" s="436"/>
      <c r="AX24" s="346"/>
      <c r="AY24" s="171"/>
      <c r="AZ24" s="172"/>
      <c r="BA24" s="313">
        <f t="shared" si="5"/>
        <v>0</v>
      </c>
      <c r="BB24" s="173"/>
      <c r="BC24" s="151"/>
      <c r="BD24" s="699">
        <f t="shared" si="6"/>
        <v>0</v>
      </c>
      <c r="BE24" s="700">
        <f t="shared" si="7"/>
        <v>0</v>
      </c>
      <c r="BG24" s="690" t="e">
        <f t="shared" ca="1" si="8"/>
        <v>#N/A</v>
      </c>
      <c r="BH24" s="688" t="str">
        <f t="shared" ca="1" si="9"/>
        <v/>
      </c>
      <c r="BI24" s="690" t="str">
        <f t="shared" ca="1" si="9"/>
        <v/>
      </c>
      <c r="BJ24" s="689" t="str">
        <f t="shared" ca="1" si="9"/>
        <v/>
      </c>
      <c r="BK24" s="690" t="str">
        <f t="shared" ca="1" si="9"/>
        <v/>
      </c>
      <c r="BL24" s="313" t="str">
        <f t="shared" ca="1" si="9"/>
        <v/>
      </c>
      <c r="BM24" s="691" t="str">
        <f t="shared" ca="1" si="9"/>
        <v/>
      </c>
    </row>
    <row r="25" spans="1:65" ht="15.95" customHeight="1" thickBot="1">
      <c r="B25" s="957"/>
      <c r="C25" s="491">
        <v>6</v>
      </c>
      <c r="D25" s="839" t="s">
        <v>192</v>
      </c>
      <c r="E25" s="838"/>
      <c r="F25" s="331">
        <f>IF(AL11&lt;&gt;"",AL11,"")</f>
        <v>0</v>
      </c>
      <c r="G25" s="332">
        <f t="shared" si="2"/>
        <v>0</v>
      </c>
      <c r="H25" s="154"/>
      <c r="I25" s="223" t="s">
        <v>308</v>
      </c>
      <c r="J25" s="224">
        <f>SUM(J22:J24)</f>
        <v>0</v>
      </c>
      <c r="K25" s="225">
        <f>SUM(K22:K24)</f>
        <v>0</v>
      </c>
      <c r="L25" s="151"/>
      <c r="M25" s="151"/>
      <c r="N25" s="151"/>
      <c r="O25" s="151"/>
      <c r="P25" s="151"/>
      <c r="Q25" s="151"/>
      <c r="R25" s="151"/>
      <c r="S25" s="151"/>
      <c r="T25" s="151"/>
      <c r="U25" s="151"/>
      <c r="V25" s="151"/>
      <c r="W25" s="151"/>
      <c r="X25" s="151"/>
      <c r="Y25" s="151"/>
      <c r="Z25" s="151"/>
      <c r="AA25" s="151"/>
      <c r="AB25" s="151"/>
      <c r="AC25" s="151"/>
      <c r="AD25" s="1024"/>
      <c r="AE25" s="1024"/>
      <c r="AF25" s="1025"/>
      <c r="AG25" s="1009">
        <f t="shared" si="13"/>
        <v>0</v>
      </c>
      <c r="AH25" s="155"/>
      <c r="AI25" s="948" t="s">
        <v>171</v>
      </c>
      <c r="AJ25" s="949"/>
      <c r="AK25" s="950"/>
      <c r="AL25" s="189">
        <f>SUM(AL17:AL24)</f>
        <v>0</v>
      </c>
      <c r="AM25" s="156"/>
      <c r="AN25" s="935" t="s">
        <v>246</v>
      </c>
      <c r="AO25" s="935"/>
      <c r="AP25" s="200"/>
      <c r="AQ25" s="306">
        <f t="shared" si="12"/>
        <v>0</v>
      </c>
      <c r="AR25" s="151"/>
      <c r="AS25" s="151"/>
      <c r="AT25" s="684" t="str">
        <f t="shared" si="10"/>
        <v/>
      </c>
      <c r="AU25" s="169"/>
      <c r="AV25" s="172"/>
      <c r="AW25" s="436"/>
      <c r="AX25" s="346"/>
      <c r="AY25" s="171"/>
      <c r="AZ25" s="172"/>
      <c r="BA25" s="313">
        <f t="shared" si="5"/>
        <v>0</v>
      </c>
      <c r="BB25" s="173"/>
      <c r="BC25" s="151"/>
      <c r="BD25" s="699">
        <f t="shared" si="6"/>
        <v>0</v>
      </c>
      <c r="BE25" s="700">
        <f t="shared" si="7"/>
        <v>0</v>
      </c>
      <c r="BG25" s="690" t="e">
        <f t="shared" ca="1" si="8"/>
        <v>#N/A</v>
      </c>
      <c r="BH25" s="688" t="str">
        <f t="shared" ca="1" si="9"/>
        <v/>
      </c>
      <c r="BI25" s="690" t="str">
        <f t="shared" ca="1" si="9"/>
        <v/>
      </c>
      <c r="BJ25" s="689" t="str">
        <f t="shared" ca="1" si="9"/>
        <v/>
      </c>
      <c r="BK25" s="690" t="str">
        <f t="shared" ca="1" si="9"/>
        <v/>
      </c>
      <c r="BL25" s="313" t="str">
        <f t="shared" ca="1" si="9"/>
        <v/>
      </c>
      <c r="BM25" s="691" t="str">
        <f t="shared" ca="1" si="9"/>
        <v/>
      </c>
    </row>
    <row r="26" spans="1:65" ht="15.95" customHeight="1">
      <c r="A26" s="227"/>
      <c r="B26" s="957"/>
      <c r="C26" s="491">
        <v>6</v>
      </c>
      <c r="D26" s="839" t="s">
        <v>193</v>
      </c>
      <c r="E26" s="838"/>
      <c r="F26" s="331">
        <f>IF(AQ13&lt;&gt;"",AQ13,"")</f>
        <v>0</v>
      </c>
      <c r="G26" s="332">
        <f t="shared" si="2"/>
        <v>0</v>
      </c>
      <c r="H26" s="154"/>
      <c r="I26" s="228"/>
      <c r="J26" s="205"/>
      <c r="K26" s="205"/>
      <c r="L26" s="151"/>
      <c r="M26" s="151"/>
      <c r="N26" s="151"/>
      <c r="O26" s="229"/>
      <c r="P26" s="151"/>
      <c r="Q26" s="151"/>
      <c r="R26" s="151"/>
      <c r="S26" s="151"/>
      <c r="T26" s="151"/>
      <c r="U26" s="151"/>
      <c r="V26" s="151"/>
      <c r="W26" s="151"/>
      <c r="X26" s="151"/>
      <c r="Y26" s="151"/>
      <c r="Z26" s="151"/>
      <c r="AA26" s="151"/>
      <c r="AB26" s="151"/>
      <c r="AC26" s="151"/>
      <c r="AD26" s="1024"/>
      <c r="AE26" s="1024"/>
      <c r="AF26" s="1025"/>
      <c r="AG26" s="1010">
        <f t="shared" si="13"/>
        <v>0</v>
      </c>
      <c r="AH26" s="155"/>
      <c r="AI26" s="151"/>
      <c r="AJ26" s="151"/>
      <c r="AK26" s="151"/>
      <c r="AL26" s="151"/>
      <c r="AM26" s="156"/>
      <c r="AN26" s="935" t="s">
        <v>247</v>
      </c>
      <c r="AO26" s="935"/>
      <c r="AP26" s="200"/>
      <c r="AQ26" s="306">
        <f t="shared" si="12"/>
        <v>0</v>
      </c>
      <c r="AR26" s="151"/>
      <c r="AS26" s="151"/>
      <c r="AT26" s="684" t="str">
        <f t="shared" si="10"/>
        <v/>
      </c>
      <c r="AU26" s="169"/>
      <c r="AV26" s="172"/>
      <c r="AW26" s="436"/>
      <c r="AX26" s="346"/>
      <c r="AY26" s="171"/>
      <c r="AZ26" s="172"/>
      <c r="BA26" s="313">
        <f t="shared" si="5"/>
        <v>0</v>
      </c>
      <c r="BB26" s="173"/>
      <c r="BC26" s="151"/>
      <c r="BD26" s="699">
        <f t="shared" si="6"/>
        <v>0</v>
      </c>
      <c r="BE26" s="700">
        <f t="shared" si="7"/>
        <v>0</v>
      </c>
      <c r="BG26" s="690" t="e">
        <f t="shared" ca="1" si="8"/>
        <v>#N/A</v>
      </c>
      <c r="BH26" s="688" t="str">
        <f t="shared" ca="1" si="9"/>
        <v/>
      </c>
      <c r="BI26" s="690" t="str">
        <f t="shared" ca="1" si="9"/>
        <v/>
      </c>
      <c r="BJ26" s="689" t="str">
        <f t="shared" ca="1" si="9"/>
        <v/>
      </c>
      <c r="BK26" s="690" t="str">
        <f t="shared" ca="1" si="9"/>
        <v/>
      </c>
      <c r="BL26" s="313" t="str">
        <f t="shared" ca="1" si="9"/>
        <v/>
      </c>
      <c r="BM26" s="691" t="str">
        <f t="shared" ca="1" si="9"/>
        <v/>
      </c>
    </row>
    <row r="27" spans="1:65" ht="15.95" customHeight="1" thickBot="1">
      <c r="B27" s="957"/>
      <c r="C27" s="488"/>
      <c r="D27" s="835" t="s">
        <v>225</v>
      </c>
      <c r="E27" s="836"/>
      <c r="F27" s="331"/>
      <c r="G27" s="332">
        <f t="shared" si="2"/>
        <v>0</v>
      </c>
      <c r="H27" s="154"/>
      <c r="I27" s="1026" t="s">
        <v>289</v>
      </c>
      <c r="J27" s="1026"/>
      <c r="K27" s="1026"/>
      <c r="L27" s="151"/>
      <c r="M27" s="151"/>
      <c r="N27" s="151"/>
      <c r="O27" s="1027" t="str">
        <f>D21</f>
        <v>Education/Schoolbooks</v>
      </c>
      <c r="P27" s="1028"/>
      <c r="Q27" s="1028"/>
      <c r="R27" s="1028"/>
      <c r="S27" s="1028"/>
      <c r="T27" s="1028"/>
      <c r="U27" s="1028"/>
      <c r="V27" s="1028"/>
      <c r="W27" s="1028"/>
      <c r="X27" s="1028"/>
      <c r="Y27" s="1028"/>
      <c r="Z27" s="1028"/>
      <c r="AA27" s="1029"/>
      <c r="AB27" s="151"/>
      <c r="AC27" s="151"/>
      <c r="AD27" s="948" t="s">
        <v>171</v>
      </c>
      <c r="AE27" s="949"/>
      <c r="AF27" s="950"/>
      <c r="AG27" s="231">
        <f>SUM(AG17:AG26)</f>
        <v>0</v>
      </c>
      <c r="AH27" s="155"/>
      <c r="AI27" s="151"/>
      <c r="AJ27" s="151"/>
      <c r="AK27" s="151"/>
      <c r="AL27" s="151"/>
      <c r="AM27" s="156"/>
      <c r="AN27" s="935" t="s">
        <v>248</v>
      </c>
      <c r="AO27" s="935"/>
      <c r="AP27" s="200"/>
      <c r="AQ27" s="306">
        <f t="shared" si="12"/>
        <v>0</v>
      </c>
      <c r="AR27" s="151"/>
      <c r="AS27" s="151"/>
      <c r="AT27" s="684" t="str">
        <f t="shared" si="10"/>
        <v/>
      </c>
      <c r="AU27" s="169"/>
      <c r="AV27" s="172"/>
      <c r="AW27" s="436"/>
      <c r="AX27" s="346"/>
      <c r="AY27" s="171"/>
      <c r="AZ27" s="172"/>
      <c r="BA27" s="313">
        <f t="shared" si="5"/>
        <v>0</v>
      </c>
      <c r="BB27" s="173"/>
      <c r="BC27" s="151"/>
      <c r="BD27" s="699">
        <f t="shared" si="6"/>
        <v>0</v>
      </c>
      <c r="BE27" s="700">
        <f t="shared" si="7"/>
        <v>0</v>
      </c>
      <c r="BG27" s="690" t="e">
        <f t="shared" ca="1" si="8"/>
        <v>#N/A</v>
      </c>
      <c r="BH27" s="688" t="str">
        <f t="shared" ca="1" si="9"/>
        <v/>
      </c>
      <c r="BI27" s="690" t="str">
        <f t="shared" ca="1" si="9"/>
        <v/>
      </c>
      <c r="BJ27" s="689" t="str">
        <f t="shared" ca="1" si="9"/>
        <v/>
      </c>
      <c r="BK27" s="690" t="str">
        <f t="shared" ca="1" si="9"/>
        <v/>
      </c>
      <c r="BL27" s="313" t="str">
        <f t="shared" ca="1" si="9"/>
        <v/>
      </c>
      <c r="BM27" s="691" t="str">
        <f t="shared" ca="1" si="9"/>
        <v/>
      </c>
    </row>
    <row r="28" spans="1:65" ht="15.95" customHeight="1">
      <c r="B28" s="957"/>
      <c r="C28" s="488"/>
      <c r="D28" s="835" t="s">
        <v>226</v>
      </c>
      <c r="E28" s="836"/>
      <c r="F28" s="331"/>
      <c r="G28" s="332">
        <f t="shared" si="2"/>
        <v>0</v>
      </c>
      <c r="H28" s="154"/>
      <c r="I28" s="233" t="s">
        <v>290</v>
      </c>
      <c r="J28" s="234" t="s">
        <v>291</v>
      </c>
      <c r="K28" s="1030" t="s">
        <v>293</v>
      </c>
      <c r="L28" s="154"/>
      <c r="M28" s="151"/>
      <c r="N28" s="151"/>
      <c r="O28" s="1032" t="s">
        <v>178</v>
      </c>
      <c r="P28" s="1022" t="s">
        <v>180</v>
      </c>
      <c r="Q28" s="1023"/>
      <c r="R28" s="1022" t="s">
        <v>181</v>
      </c>
      <c r="S28" s="1023"/>
      <c r="T28" s="1022" t="s">
        <v>182</v>
      </c>
      <c r="U28" s="1023"/>
      <c r="V28" s="1022" t="s">
        <v>183</v>
      </c>
      <c r="W28" s="1023"/>
      <c r="X28" s="1022" t="s">
        <v>184</v>
      </c>
      <c r="Y28" s="1023"/>
      <c r="Z28" s="1022" t="s">
        <v>185</v>
      </c>
      <c r="AA28" s="1023"/>
      <c r="AB28" s="151"/>
      <c r="AC28" s="151"/>
      <c r="AD28" s="235"/>
      <c r="AE28" s="235"/>
      <c r="AF28" s="236"/>
      <c r="AG28" s="236"/>
      <c r="AH28" s="155"/>
      <c r="AI28" s="151"/>
      <c r="AJ28" s="151"/>
      <c r="AK28" s="151"/>
      <c r="AL28" s="151"/>
      <c r="AM28" s="156"/>
      <c r="AN28" s="935" t="s">
        <v>249</v>
      </c>
      <c r="AO28" s="935"/>
      <c r="AP28" s="200"/>
      <c r="AQ28" s="306">
        <f t="shared" si="12"/>
        <v>0</v>
      </c>
      <c r="AR28" s="151"/>
      <c r="AS28" s="151"/>
      <c r="AT28" s="684" t="str">
        <f t="shared" si="10"/>
        <v/>
      </c>
      <c r="AU28" s="169"/>
      <c r="AV28" s="172"/>
      <c r="AW28" s="436"/>
      <c r="AX28" s="346"/>
      <c r="AY28" s="171"/>
      <c r="AZ28" s="172"/>
      <c r="BA28" s="313">
        <f t="shared" si="5"/>
        <v>0</v>
      </c>
      <c r="BB28" s="173"/>
      <c r="BC28" s="151"/>
      <c r="BD28" s="699">
        <f t="shared" si="6"/>
        <v>0</v>
      </c>
      <c r="BE28" s="700">
        <f t="shared" si="7"/>
        <v>0</v>
      </c>
      <c r="BG28" s="690" t="e">
        <f t="shared" ca="1" si="8"/>
        <v>#N/A</v>
      </c>
      <c r="BH28" s="688" t="str">
        <f t="shared" ca="1" si="9"/>
        <v/>
      </c>
      <c r="BI28" s="690" t="str">
        <f t="shared" ca="1" si="9"/>
        <v/>
      </c>
      <c r="BJ28" s="689" t="str">
        <f t="shared" ca="1" si="9"/>
        <v/>
      </c>
      <c r="BK28" s="690" t="str">
        <f t="shared" ca="1" si="9"/>
        <v/>
      </c>
      <c r="BL28" s="313" t="str">
        <f t="shared" ca="1" si="9"/>
        <v/>
      </c>
      <c r="BM28" s="691" t="str">
        <f t="shared" ca="1" si="9"/>
        <v/>
      </c>
    </row>
    <row r="29" spans="1:65" ht="15.95" customHeight="1">
      <c r="B29" s="957"/>
      <c r="C29" s="488"/>
      <c r="D29" s="835" t="s">
        <v>227</v>
      </c>
      <c r="E29" s="836"/>
      <c r="F29" s="331"/>
      <c r="G29" s="332">
        <f t="shared" si="2"/>
        <v>0</v>
      </c>
      <c r="H29" s="154"/>
      <c r="I29" s="238" t="s">
        <v>294</v>
      </c>
      <c r="J29" s="239">
        <f>AV50</f>
        <v>0</v>
      </c>
      <c r="K29" s="1031"/>
      <c r="L29" s="151"/>
      <c r="M29" s="151"/>
      <c r="N29" s="151"/>
      <c r="O29" s="1033"/>
      <c r="P29" s="240" t="s">
        <v>186</v>
      </c>
      <c r="Q29" s="240" t="s">
        <v>188</v>
      </c>
      <c r="R29" s="240" t="s">
        <v>187</v>
      </c>
      <c r="S29" s="240" t="s">
        <v>188</v>
      </c>
      <c r="T29" s="240" t="s">
        <v>187</v>
      </c>
      <c r="U29" s="240" t="s">
        <v>188</v>
      </c>
      <c r="V29" s="240" t="s">
        <v>187</v>
      </c>
      <c r="W29" s="240" t="s">
        <v>188</v>
      </c>
      <c r="X29" s="240" t="s">
        <v>187</v>
      </c>
      <c r="Y29" s="240" t="s">
        <v>188</v>
      </c>
      <c r="Z29" s="240" t="s">
        <v>187</v>
      </c>
      <c r="AA29" s="240" t="s">
        <v>188</v>
      </c>
      <c r="AB29" s="151"/>
      <c r="AC29" s="151"/>
      <c r="AD29" s="157"/>
      <c r="AE29" s="157"/>
      <c r="AF29" s="157"/>
      <c r="AG29" s="156"/>
      <c r="AH29" s="156"/>
      <c r="AI29" s="151"/>
      <c r="AJ29" s="151"/>
      <c r="AK29" s="151"/>
      <c r="AL29" s="151"/>
      <c r="AM29" s="155"/>
      <c r="AN29" s="935" t="s">
        <v>250</v>
      </c>
      <c r="AO29" s="935"/>
      <c r="AP29" s="200"/>
      <c r="AQ29" s="306">
        <f t="shared" si="12"/>
        <v>0</v>
      </c>
      <c r="AR29" s="151"/>
      <c r="AS29" s="151"/>
      <c r="AT29" s="684" t="str">
        <f t="shared" si="10"/>
        <v/>
      </c>
      <c r="AU29" s="169"/>
      <c r="AV29" s="172"/>
      <c r="AW29" s="436"/>
      <c r="AX29" s="346"/>
      <c r="AY29" s="171"/>
      <c r="AZ29" s="172"/>
      <c r="BA29" s="313">
        <f t="shared" si="5"/>
        <v>0</v>
      </c>
      <c r="BB29" s="173"/>
      <c r="BC29" s="151"/>
      <c r="BD29" s="699">
        <f t="shared" si="6"/>
        <v>0</v>
      </c>
      <c r="BE29" s="700">
        <f t="shared" si="7"/>
        <v>0</v>
      </c>
      <c r="BG29" s="690" t="e">
        <f t="shared" ca="1" si="8"/>
        <v>#N/A</v>
      </c>
      <c r="BH29" s="688" t="str">
        <f t="shared" ca="1" si="9"/>
        <v/>
      </c>
      <c r="BI29" s="690" t="str">
        <f t="shared" ca="1" si="9"/>
        <v/>
      </c>
      <c r="BJ29" s="689" t="str">
        <f t="shared" ca="1" si="9"/>
        <v/>
      </c>
      <c r="BK29" s="690" t="str">
        <f t="shared" ca="1" si="9"/>
        <v/>
      </c>
      <c r="BL29" s="313" t="str">
        <f t="shared" ca="1" si="9"/>
        <v/>
      </c>
      <c r="BM29" s="691" t="str">
        <f t="shared" ca="1" si="9"/>
        <v/>
      </c>
    </row>
    <row r="30" spans="1:65" ht="15.95" customHeight="1" thickBot="1">
      <c r="B30" s="957"/>
      <c r="C30" s="488"/>
      <c r="D30" s="835" t="s">
        <v>228</v>
      </c>
      <c r="E30" s="836"/>
      <c r="F30" s="331"/>
      <c r="G30" s="332">
        <f t="shared" si="2"/>
        <v>0</v>
      </c>
      <c r="H30" s="154"/>
      <c r="I30" s="241" t="s">
        <v>295</v>
      </c>
      <c r="J30" s="242">
        <f>AV47</f>
        <v>0</v>
      </c>
      <c r="K30" s="243">
        <f>AV48</f>
        <v>0</v>
      </c>
      <c r="L30" s="151"/>
      <c r="M30" s="151"/>
      <c r="N30" s="151"/>
      <c r="O30" s="244"/>
      <c r="P30" s="245"/>
      <c r="Q30" s="303">
        <f t="shared" ref="Q30:Q35" si="14">P30/12</f>
        <v>0</v>
      </c>
      <c r="R30" s="245"/>
      <c r="S30" s="303">
        <f t="shared" ref="S30:S35" si="15">R30/12</f>
        <v>0</v>
      </c>
      <c r="T30" s="245"/>
      <c r="U30" s="303">
        <f t="shared" ref="U30:U35" si="16">T30/12</f>
        <v>0</v>
      </c>
      <c r="V30" s="245"/>
      <c r="W30" s="303">
        <f t="shared" ref="W30:W35" si="17">V30/12</f>
        <v>0</v>
      </c>
      <c r="X30" s="245"/>
      <c r="Y30" s="303">
        <f t="shared" ref="Y30:Y35" si="18">X30/12</f>
        <v>0</v>
      </c>
      <c r="Z30" s="245"/>
      <c r="AA30" s="303">
        <f t="shared" ref="AA30:AA35" si="19">Z30/12</f>
        <v>0</v>
      </c>
      <c r="AB30" s="151"/>
      <c r="AC30" s="151"/>
      <c r="AD30" s="246"/>
      <c r="AE30" s="246"/>
      <c r="AF30" s="247"/>
      <c r="AG30" s="156"/>
      <c r="AH30" s="156"/>
      <c r="AI30" s="151"/>
      <c r="AJ30" s="151"/>
      <c r="AK30" s="151"/>
      <c r="AL30" s="151"/>
      <c r="AM30" s="155"/>
      <c r="AN30" s="935" t="s">
        <v>251</v>
      </c>
      <c r="AO30" s="935"/>
      <c r="AP30" s="200"/>
      <c r="AQ30" s="306">
        <f t="shared" si="12"/>
        <v>0</v>
      </c>
      <c r="AR30" s="151"/>
      <c r="AS30" s="151"/>
      <c r="AT30" s="684" t="str">
        <f t="shared" si="10"/>
        <v/>
      </c>
      <c r="AU30" s="169"/>
      <c r="AV30" s="172"/>
      <c r="AW30" s="436"/>
      <c r="AX30" s="346"/>
      <c r="AY30" s="171"/>
      <c r="AZ30" s="172"/>
      <c r="BA30" s="313">
        <f t="shared" si="5"/>
        <v>0</v>
      </c>
      <c r="BB30" s="173"/>
      <c r="BC30" s="151"/>
      <c r="BD30" s="699">
        <f t="shared" si="6"/>
        <v>0</v>
      </c>
      <c r="BE30" s="700">
        <f t="shared" si="7"/>
        <v>0</v>
      </c>
      <c r="BG30" s="690" t="e">
        <f t="shared" ca="1" si="8"/>
        <v>#N/A</v>
      </c>
      <c r="BH30" s="688" t="str">
        <f t="shared" ca="1" si="9"/>
        <v/>
      </c>
      <c r="BI30" s="690" t="str">
        <f t="shared" ca="1" si="9"/>
        <v/>
      </c>
      <c r="BJ30" s="689" t="str">
        <f t="shared" ca="1" si="9"/>
        <v/>
      </c>
      <c r="BK30" s="690" t="str">
        <f t="shared" ca="1" si="9"/>
        <v/>
      </c>
      <c r="BL30" s="313" t="str">
        <f t="shared" ca="1" si="9"/>
        <v/>
      </c>
      <c r="BM30" s="691" t="str">
        <f t="shared" ca="1" si="9"/>
        <v/>
      </c>
    </row>
    <row r="31" spans="1:65" ht="15.95" customHeight="1" thickBot="1">
      <c r="B31" s="957"/>
      <c r="C31" s="491">
        <v>6</v>
      </c>
      <c r="D31" s="839" t="s">
        <v>229</v>
      </c>
      <c r="E31" s="838"/>
      <c r="F31" s="331">
        <f>IF(AG27&lt;&gt;"",AG27,"")</f>
        <v>0</v>
      </c>
      <c r="G31" s="332">
        <f t="shared" si="2"/>
        <v>0</v>
      </c>
      <c r="H31" s="154"/>
      <c r="I31" s="248" t="s">
        <v>292</v>
      </c>
      <c r="J31" s="249">
        <f>SUM(J29:J30)</f>
        <v>0</v>
      </c>
      <c r="K31" s="250"/>
      <c r="L31" s="151"/>
      <c r="M31" s="151"/>
      <c r="N31" s="151"/>
      <c r="O31" s="244"/>
      <c r="P31" s="245"/>
      <c r="Q31" s="303">
        <f t="shared" si="14"/>
        <v>0</v>
      </c>
      <c r="R31" s="245"/>
      <c r="S31" s="303">
        <f t="shared" si="15"/>
        <v>0</v>
      </c>
      <c r="T31" s="245"/>
      <c r="U31" s="303">
        <f t="shared" si="16"/>
        <v>0</v>
      </c>
      <c r="V31" s="245"/>
      <c r="W31" s="303">
        <f t="shared" si="17"/>
        <v>0</v>
      </c>
      <c r="X31" s="245"/>
      <c r="Y31" s="303">
        <f t="shared" si="18"/>
        <v>0</v>
      </c>
      <c r="Z31" s="245"/>
      <c r="AA31" s="303">
        <f t="shared" si="19"/>
        <v>0</v>
      </c>
      <c r="AB31" s="151"/>
      <c r="AC31" s="151"/>
      <c r="AD31" s="246"/>
      <c r="AE31" s="246"/>
      <c r="AF31" s="247"/>
      <c r="AG31" s="156"/>
      <c r="AH31" s="156"/>
      <c r="AI31" s="151"/>
      <c r="AJ31" s="151"/>
      <c r="AK31" s="151"/>
      <c r="AL31" s="151"/>
      <c r="AM31" s="155"/>
      <c r="AN31" s="935" t="s">
        <v>252</v>
      </c>
      <c r="AO31" s="935"/>
      <c r="AP31" s="200"/>
      <c r="AQ31" s="306">
        <f t="shared" si="12"/>
        <v>0</v>
      </c>
      <c r="AR31" s="151"/>
      <c r="AS31" s="151"/>
      <c r="AT31" s="684" t="str">
        <f t="shared" si="10"/>
        <v/>
      </c>
      <c r="AU31" s="169"/>
      <c r="AV31" s="172"/>
      <c r="AW31" s="436"/>
      <c r="AX31" s="346"/>
      <c r="AY31" s="171"/>
      <c r="AZ31" s="172"/>
      <c r="BA31" s="313">
        <f t="shared" si="5"/>
        <v>0</v>
      </c>
      <c r="BB31" s="173"/>
      <c r="BC31" s="151"/>
      <c r="BD31" s="699">
        <f t="shared" si="6"/>
        <v>0</v>
      </c>
      <c r="BE31" s="700">
        <f t="shared" si="7"/>
        <v>0</v>
      </c>
      <c r="BG31" s="690" t="e">
        <f t="shared" ca="1" si="8"/>
        <v>#N/A</v>
      </c>
      <c r="BH31" s="688" t="str">
        <f t="shared" ca="1" si="9"/>
        <v/>
      </c>
      <c r="BI31" s="690" t="str">
        <f t="shared" ca="1" si="9"/>
        <v/>
      </c>
      <c r="BJ31" s="689" t="str">
        <f t="shared" ca="1" si="9"/>
        <v/>
      </c>
      <c r="BK31" s="690" t="str">
        <f t="shared" ca="1" si="9"/>
        <v/>
      </c>
      <c r="BL31" s="313" t="str">
        <f t="shared" ca="1" si="9"/>
        <v/>
      </c>
      <c r="BM31" s="691" t="str">
        <f t="shared" ca="1" si="9"/>
        <v/>
      </c>
    </row>
    <row r="32" spans="1:65" ht="15.95" customHeight="1">
      <c r="B32" s="957"/>
      <c r="C32" s="491">
        <v>6</v>
      </c>
      <c r="D32" s="839" t="s">
        <v>230</v>
      </c>
      <c r="E32" s="838"/>
      <c r="F32" s="331">
        <f>IF(AL25&lt;&gt;"",AL25,"")</f>
        <v>0</v>
      </c>
      <c r="G32" s="332">
        <f t="shared" si="2"/>
        <v>0</v>
      </c>
      <c r="H32" s="154"/>
      <c r="I32" s="151"/>
      <c r="J32" s="215"/>
      <c r="K32" s="151"/>
      <c r="L32" s="151"/>
      <c r="M32" s="151"/>
      <c r="N32" s="151"/>
      <c r="O32" s="244"/>
      <c r="P32" s="245"/>
      <c r="Q32" s="303">
        <f t="shared" si="14"/>
        <v>0</v>
      </c>
      <c r="R32" s="245"/>
      <c r="S32" s="303">
        <f t="shared" si="15"/>
        <v>0</v>
      </c>
      <c r="T32" s="245"/>
      <c r="U32" s="303">
        <f t="shared" si="16"/>
        <v>0</v>
      </c>
      <c r="V32" s="245"/>
      <c r="W32" s="303">
        <f t="shared" si="17"/>
        <v>0</v>
      </c>
      <c r="X32" s="245"/>
      <c r="Y32" s="303">
        <f t="shared" si="18"/>
        <v>0</v>
      </c>
      <c r="Z32" s="245"/>
      <c r="AA32" s="303">
        <f t="shared" si="19"/>
        <v>0</v>
      </c>
      <c r="AB32" s="151"/>
      <c r="AC32" s="151"/>
      <c r="AD32" s="246"/>
      <c r="AE32" s="246"/>
      <c r="AF32" s="205"/>
      <c r="AG32" s="156"/>
      <c r="AH32" s="156"/>
      <c r="AI32" s="151"/>
      <c r="AJ32" s="151"/>
      <c r="AK32" s="151"/>
      <c r="AL32" s="151"/>
      <c r="AM32" s="156"/>
      <c r="AN32" s="935" t="s">
        <v>253</v>
      </c>
      <c r="AO32" s="935"/>
      <c r="AP32" s="200"/>
      <c r="AQ32" s="306">
        <f t="shared" si="12"/>
        <v>0</v>
      </c>
      <c r="AR32" s="151"/>
      <c r="AS32" s="151"/>
      <c r="AT32" s="684" t="str">
        <f t="shared" si="10"/>
        <v/>
      </c>
      <c r="AU32" s="169"/>
      <c r="AV32" s="172"/>
      <c r="AW32" s="436"/>
      <c r="AX32" s="346"/>
      <c r="AY32" s="171"/>
      <c r="AZ32" s="172"/>
      <c r="BA32" s="313">
        <f t="shared" si="5"/>
        <v>0</v>
      </c>
      <c r="BB32" s="173"/>
      <c r="BC32" s="151"/>
      <c r="BD32" s="699">
        <f t="shared" si="6"/>
        <v>0</v>
      </c>
      <c r="BE32" s="700">
        <f t="shared" si="7"/>
        <v>0</v>
      </c>
      <c r="BG32" s="690" t="e">
        <f t="shared" ca="1" si="8"/>
        <v>#N/A</v>
      </c>
      <c r="BH32" s="688" t="str">
        <f t="shared" ca="1" si="9"/>
        <v/>
      </c>
      <c r="BI32" s="690" t="str">
        <f t="shared" ca="1" si="9"/>
        <v/>
      </c>
      <c r="BJ32" s="689" t="str">
        <f t="shared" ca="1" si="9"/>
        <v/>
      </c>
      <c r="BK32" s="690" t="str">
        <f t="shared" ca="1" si="9"/>
        <v/>
      </c>
      <c r="BL32" s="313" t="str">
        <f t="shared" ca="1" si="9"/>
        <v/>
      </c>
      <c r="BM32" s="691" t="str">
        <f t="shared" ca="1" si="9"/>
        <v/>
      </c>
    </row>
    <row r="33" spans="2:65" ht="15.95" customHeight="1" thickBot="1">
      <c r="B33" s="957"/>
      <c r="C33" s="491">
        <v>6</v>
      </c>
      <c r="D33" s="839" t="s">
        <v>487</v>
      </c>
      <c r="E33" s="838"/>
      <c r="F33" s="331">
        <f>IF(AQ36&lt;&gt;"",AQ36,"")</f>
        <v>0</v>
      </c>
      <c r="G33" s="332">
        <f t="shared" si="2"/>
        <v>0</v>
      </c>
      <c r="H33" s="154"/>
      <c r="I33" s="1066" t="s">
        <v>273</v>
      </c>
      <c r="J33" s="1066"/>
      <c r="K33" s="1066"/>
      <c r="L33" s="1066"/>
      <c r="M33" s="151"/>
      <c r="N33" s="151"/>
      <c r="O33" s="244"/>
      <c r="P33" s="245"/>
      <c r="Q33" s="303">
        <f t="shared" si="14"/>
        <v>0</v>
      </c>
      <c r="R33" s="245"/>
      <c r="S33" s="303">
        <f t="shared" si="15"/>
        <v>0</v>
      </c>
      <c r="T33" s="245"/>
      <c r="U33" s="303">
        <f t="shared" si="16"/>
        <v>0</v>
      </c>
      <c r="V33" s="245"/>
      <c r="W33" s="303">
        <f t="shared" si="17"/>
        <v>0</v>
      </c>
      <c r="X33" s="253"/>
      <c r="Y33" s="303">
        <f t="shared" si="18"/>
        <v>0</v>
      </c>
      <c r="Z33" s="245"/>
      <c r="AA33" s="303">
        <f t="shared" si="19"/>
        <v>0</v>
      </c>
      <c r="AB33" s="151"/>
      <c r="AC33" s="151"/>
      <c r="AD33" s="254"/>
      <c r="AE33" s="254"/>
      <c r="AF33" s="205"/>
      <c r="AG33" s="156"/>
      <c r="AH33" s="156"/>
      <c r="AI33" s="151"/>
      <c r="AJ33" s="151"/>
      <c r="AK33" s="151"/>
      <c r="AL33" s="151"/>
      <c r="AM33" s="156"/>
      <c r="AN33" s="935" t="s">
        <v>486</v>
      </c>
      <c r="AO33" s="935"/>
      <c r="AP33" s="200"/>
      <c r="AQ33" s="306">
        <f t="shared" si="12"/>
        <v>0</v>
      </c>
      <c r="AR33" s="151"/>
      <c r="AS33" s="151"/>
      <c r="AT33" s="684" t="str">
        <f t="shared" si="10"/>
        <v/>
      </c>
      <c r="AU33" s="169"/>
      <c r="AV33" s="172"/>
      <c r="AW33" s="436"/>
      <c r="AX33" s="346"/>
      <c r="AY33" s="171"/>
      <c r="AZ33" s="172"/>
      <c r="BA33" s="313">
        <f t="shared" si="5"/>
        <v>0</v>
      </c>
      <c r="BB33" s="173"/>
      <c r="BC33" s="151"/>
      <c r="BD33" s="699">
        <f t="shared" si="6"/>
        <v>0</v>
      </c>
      <c r="BE33" s="700">
        <f t="shared" si="7"/>
        <v>0</v>
      </c>
      <c r="BG33" s="690" t="e">
        <f t="shared" ca="1" si="8"/>
        <v>#N/A</v>
      </c>
      <c r="BH33" s="688" t="str">
        <f t="shared" ca="1" si="9"/>
        <v/>
      </c>
      <c r="BI33" s="690" t="str">
        <f t="shared" ca="1" si="9"/>
        <v/>
      </c>
      <c r="BJ33" s="689" t="str">
        <f t="shared" ca="1" si="9"/>
        <v/>
      </c>
      <c r="BK33" s="690" t="str">
        <f t="shared" ca="1" si="9"/>
        <v/>
      </c>
      <c r="BL33" s="313" t="str">
        <f t="shared" ca="1" si="9"/>
        <v/>
      </c>
      <c r="BM33" s="691" t="str">
        <f t="shared" ca="1" si="9"/>
        <v/>
      </c>
    </row>
    <row r="34" spans="2:65" ht="15.95" customHeight="1">
      <c r="B34" s="957"/>
      <c r="C34" s="488"/>
      <c r="D34" s="835" t="s">
        <v>232</v>
      </c>
      <c r="E34" s="836"/>
      <c r="F34" s="331"/>
      <c r="G34" s="332">
        <f t="shared" si="2"/>
        <v>0</v>
      </c>
      <c r="H34" s="154"/>
      <c r="I34" s="1046" t="s">
        <v>296</v>
      </c>
      <c r="J34" s="1048" t="s">
        <v>297</v>
      </c>
      <c r="K34" s="1048" t="s">
        <v>298</v>
      </c>
      <c r="L34" s="1050" t="s">
        <v>299</v>
      </c>
      <c r="M34" s="151"/>
      <c r="N34" s="151"/>
      <c r="O34" s="244"/>
      <c r="P34" s="245"/>
      <c r="Q34" s="303">
        <f t="shared" si="14"/>
        <v>0</v>
      </c>
      <c r="R34" s="245"/>
      <c r="S34" s="303">
        <f t="shared" si="15"/>
        <v>0</v>
      </c>
      <c r="T34" s="245"/>
      <c r="U34" s="303">
        <f t="shared" si="16"/>
        <v>0</v>
      </c>
      <c r="V34" s="245"/>
      <c r="W34" s="303">
        <f t="shared" si="17"/>
        <v>0</v>
      </c>
      <c r="X34" s="245"/>
      <c r="Y34" s="303">
        <f t="shared" si="18"/>
        <v>0</v>
      </c>
      <c r="Z34" s="245"/>
      <c r="AA34" s="303">
        <f t="shared" si="19"/>
        <v>0</v>
      </c>
      <c r="AB34" s="151"/>
      <c r="AC34" s="151"/>
      <c r="AD34" s="246"/>
      <c r="AE34" s="246"/>
      <c r="AF34" s="168"/>
      <c r="AG34" s="156"/>
      <c r="AH34" s="156"/>
      <c r="AI34" s="151"/>
      <c r="AJ34" s="151"/>
      <c r="AK34" s="151"/>
      <c r="AL34" s="151"/>
      <c r="AM34" s="156"/>
      <c r="AN34" s="1002" t="s">
        <v>254</v>
      </c>
      <c r="AO34" s="1002"/>
      <c r="AP34" s="344"/>
      <c r="AQ34" s="312">
        <f>AP34/12</f>
        <v>0</v>
      </c>
      <c r="AR34" s="151"/>
      <c r="AS34" s="151"/>
      <c r="AT34" s="684" t="str">
        <f t="shared" si="10"/>
        <v/>
      </c>
      <c r="AU34" s="169"/>
      <c r="AV34" s="172"/>
      <c r="AW34" s="436"/>
      <c r="AX34" s="346"/>
      <c r="AY34" s="171"/>
      <c r="AZ34" s="172"/>
      <c r="BA34" s="313">
        <f t="shared" si="5"/>
        <v>0</v>
      </c>
      <c r="BB34" s="173"/>
      <c r="BC34" s="151"/>
      <c r="BD34" s="699">
        <f t="shared" si="6"/>
        <v>0</v>
      </c>
      <c r="BE34" s="700">
        <f t="shared" si="7"/>
        <v>0</v>
      </c>
      <c r="BG34" s="690" t="e">
        <f t="shared" ca="1" si="8"/>
        <v>#N/A</v>
      </c>
      <c r="BH34" s="688" t="str">
        <f t="shared" ca="1" si="9"/>
        <v/>
      </c>
      <c r="BI34" s="690" t="str">
        <f t="shared" ca="1" si="9"/>
        <v/>
      </c>
      <c r="BJ34" s="689" t="str">
        <f t="shared" ca="1" si="9"/>
        <v/>
      </c>
      <c r="BK34" s="690" t="str">
        <f t="shared" ca="1" si="9"/>
        <v/>
      </c>
      <c r="BL34" s="313" t="str">
        <f t="shared" ca="1" si="9"/>
        <v/>
      </c>
      <c r="BM34" s="691" t="str">
        <f t="shared" ca="1" si="9"/>
        <v/>
      </c>
    </row>
    <row r="35" spans="2:65" ht="15.95" customHeight="1">
      <c r="B35" s="957"/>
      <c r="C35" s="488"/>
      <c r="D35" s="835" t="s">
        <v>233</v>
      </c>
      <c r="E35" s="836"/>
      <c r="F35" s="333"/>
      <c r="G35" s="334">
        <f t="shared" si="2"/>
        <v>0</v>
      </c>
      <c r="H35" s="154"/>
      <c r="I35" s="1047"/>
      <c r="J35" s="1049"/>
      <c r="K35" s="1049"/>
      <c r="L35" s="1051"/>
      <c r="M35" s="151"/>
      <c r="N35" s="151"/>
      <c r="O35" s="343"/>
      <c r="P35" s="344"/>
      <c r="Q35" s="312">
        <f t="shared" si="14"/>
        <v>0</v>
      </c>
      <c r="R35" s="344"/>
      <c r="S35" s="312">
        <f t="shared" si="15"/>
        <v>0</v>
      </c>
      <c r="T35" s="344"/>
      <c r="U35" s="312">
        <f t="shared" si="16"/>
        <v>0</v>
      </c>
      <c r="V35" s="344"/>
      <c r="W35" s="312">
        <f t="shared" si="17"/>
        <v>0</v>
      </c>
      <c r="X35" s="344"/>
      <c r="Y35" s="312">
        <f t="shared" si="18"/>
        <v>0</v>
      </c>
      <c r="Z35" s="344"/>
      <c r="AA35" s="312">
        <f t="shared" si="19"/>
        <v>0</v>
      </c>
      <c r="AB35" s="151"/>
      <c r="AC35" s="151"/>
      <c r="AD35" s="246"/>
      <c r="AE35" s="246"/>
      <c r="AF35" s="168"/>
      <c r="AG35" s="156"/>
      <c r="AH35" s="156"/>
      <c r="AI35" s="151"/>
      <c r="AJ35" s="151"/>
      <c r="AK35" s="151"/>
      <c r="AL35" s="151"/>
      <c r="AM35" s="156"/>
      <c r="AN35" s="1002"/>
      <c r="AO35" s="1002"/>
      <c r="AP35" s="344"/>
      <c r="AQ35" s="312">
        <f t="shared" si="12"/>
        <v>0</v>
      </c>
      <c r="AR35" s="151"/>
      <c r="AS35" s="151"/>
      <c r="AT35" s="684" t="str">
        <f t="shared" si="10"/>
        <v/>
      </c>
      <c r="AU35" s="169"/>
      <c r="AV35" s="172"/>
      <c r="AW35" s="436"/>
      <c r="AX35" s="346"/>
      <c r="AY35" s="171"/>
      <c r="AZ35" s="172"/>
      <c r="BA35" s="313">
        <f t="shared" si="5"/>
        <v>0</v>
      </c>
      <c r="BB35" s="173"/>
      <c r="BC35" s="151"/>
      <c r="BD35" s="699">
        <f t="shared" si="6"/>
        <v>0</v>
      </c>
      <c r="BE35" s="700">
        <f t="shared" si="7"/>
        <v>0</v>
      </c>
      <c r="BG35" s="690" t="e">
        <f t="shared" ca="1" si="8"/>
        <v>#N/A</v>
      </c>
      <c r="BH35" s="688" t="str">
        <f t="shared" ca="1" si="9"/>
        <v/>
      </c>
      <c r="BI35" s="690" t="str">
        <f t="shared" ca="1" si="9"/>
        <v/>
      </c>
      <c r="BJ35" s="689" t="str">
        <f t="shared" ca="1" si="9"/>
        <v/>
      </c>
      <c r="BK35" s="690" t="str">
        <f t="shared" ca="1" si="9"/>
        <v/>
      </c>
      <c r="BL35" s="313" t="str">
        <f t="shared" ca="1" si="9"/>
        <v/>
      </c>
      <c r="BM35" s="691" t="str">
        <f t="shared" ca="1" si="9"/>
        <v/>
      </c>
    </row>
    <row r="36" spans="2:65" ht="15.95" customHeight="1">
      <c r="B36" s="957"/>
      <c r="C36" s="488"/>
      <c r="D36" s="1071"/>
      <c r="E36" s="1072"/>
      <c r="F36" s="333"/>
      <c r="G36" s="334">
        <f>F36</f>
        <v>0</v>
      </c>
      <c r="H36" s="154"/>
      <c r="I36" s="261">
        <f>K16</f>
        <v>0</v>
      </c>
      <c r="J36" s="262">
        <f>J25</f>
        <v>0</v>
      </c>
      <c r="K36" s="262">
        <f>I36-J36</f>
        <v>0</v>
      </c>
      <c r="L36" s="263">
        <f>K36-K30</f>
        <v>0</v>
      </c>
      <c r="M36" s="151"/>
      <c r="N36" s="151"/>
      <c r="O36" s="264" t="s">
        <v>179</v>
      </c>
      <c r="P36" s="265">
        <f>SUM(P30:P35)</f>
        <v>0</v>
      </c>
      <c r="Q36" s="304">
        <f t="shared" ref="Q36:AA36" si="20">SUM(Q30:Q35)</f>
        <v>0</v>
      </c>
      <c r="R36" s="266">
        <f t="shared" si="20"/>
        <v>0</v>
      </c>
      <c r="S36" s="304">
        <f t="shared" si="20"/>
        <v>0</v>
      </c>
      <c r="T36" s="266">
        <f t="shared" si="20"/>
        <v>0</v>
      </c>
      <c r="U36" s="304">
        <f t="shared" si="20"/>
        <v>0</v>
      </c>
      <c r="V36" s="266">
        <f t="shared" si="20"/>
        <v>0</v>
      </c>
      <c r="W36" s="304">
        <f t="shared" si="20"/>
        <v>0</v>
      </c>
      <c r="X36" s="266">
        <f t="shared" si="20"/>
        <v>0</v>
      </c>
      <c r="Y36" s="304">
        <f t="shared" si="20"/>
        <v>0</v>
      </c>
      <c r="Z36" s="266">
        <f t="shared" si="20"/>
        <v>0</v>
      </c>
      <c r="AA36" s="304">
        <f t="shared" si="20"/>
        <v>0</v>
      </c>
      <c r="AB36" s="151"/>
      <c r="AC36" s="151"/>
      <c r="AD36" s="267"/>
      <c r="AE36" s="267"/>
      <c r="AF36" s="252"/>
      <c r="AG36" s="156"/>
      <c r="AH36" s="156"/>
      <c r="AI36" s="156"/>
      <c r="AJ36" s="156"/>
      <c r="AK36" s="156"/>
      <c r="AL36" s="156"/>
      <c r="AM36" s="156"/>
      <c r="AN36" s="948" t="s">
        <v>171</v>
      </c>
      <c r="AO36" s="949"/>
      <c r="AP36" s="950"/>
      <c r="AQ36" s="189">
        <f>SUM(AQ17:AQ35)</f>
        <v>0</v>
      </c>
      <c r="AR36" s="151"/>
      <c r="AS36" s="151"/>
      <c r="AT36" s="684" t="str">
        <f t="shared" si="10"/>
        <v/>
      </c>
      <c r="AU36" s="169"/>
      <c r="AV36" s="216"/>
      <c r="AW36" s="436"/>
      <c r="AX36" s="346"/>
      <c r="AY36" s="171"/>
      <c r="AZ36" s="172"/>
      <c r="BA36" s="314">
        <f t="shared" si="5"/>
        <v>0</v>
      </c>
      <c r="BB36" s="173"/>
      <c r="BC36" s="151"/>
      <c r="BD36" s="699">
        <f t="shared" si="6"/>
        <v>0</v>
      </c>
      <c r="BE36" s="700">
        <f t="shared" si="7"/>
        <v>0</v>
      </c>
      <c r="BG36" s="690" t="e">
        <f t="shared" ca="1" si="8"/>
        <v>#N/A</v>
      </c>
      <c r="BH36" s="688" t="str">
        <f t="shared" ca="1" si="9"/>
        <v/>
      </c>
      <c r="BI36" s="690" t="str">
        <f t="shared" ca="1" si="9"/>
        <v/>
      </c>
      <c r="BJ36" s="689" t="str">
        <f t="shared" ca="1" si="9"/>
        <v/>
      </c>
      <c r="BK36" s="690" t="str">
        <f t="shared" ca="1" si="9"/>
        <v/>
      </c>
      <c r="BL36" s="313" t="str">
        <f t="shared" ca="1" si="9"/>
        <v/>
      </c>
      <c r="BM36" s="691" t="str">
        <f t="shared" ca="1" si="9"/>
        <v/>
      </c>
    </row>
    <row r="37" spans="2:65" ht="15.95" customHeight="1" thickBot="1">
      <c r="B37" s="958"/>
      <c r="C37" s="495"/>
      <c r="D37" s="1073"/>
      <c r="E37" s="1074"/>
      <c r="F37" s="335"/>
      <c r="G37" s="336">
        <f t="shared" si="2"/>
        <v>0</v>
      </c>
      <c r="H37" s="154"/>
      <c r="I37" s="1056" t="s">
        <v>463</v>
      </c>
      <c r="J37" s="1057"/>
      <c r="K37" s="1057"/>
      <c r="L37" s="1058"/>
      <c r="M37" s="151"/>
      <c r="N37" s="151"/>
      <c r="O37" s="1059" t="s">
        <v>171</v>
      </c>
      <c r="P37" s="1060"/>
      <c r="Q37" s="189">
        <f>Q36+S36+U36+W36+Y36+AA36</f>
        <v>0</v>
      </c>
      <c r="R37" s="156"/>
      <c r="S37" s="1061" t="s">
        <v>204</v>
      </c>
      <c r="T37" s="1061"/>
      <c r="U37" s="1061"/>
      <c r="V37" s="1061"/>
      <c r="W37" s="1061"/>
      <c r="X37" s="156"/>
      <c r="Y37" s="156"/>
      <c r="Z37" s="156"/>
      <c r="AA37" s="156"/>
      <c r="AB37" s="151"/>
      <c r="AC37" s="151"/>
      <c r="AD37" s="267"/>
      <c r="AE37" s="267"/>
      <c r="AF37" s="252"/>
      <c r="AG37" s="156"/>
      <c r="AH37" s="151"/>
      <c r="AI37" s="156"/>
      <c r="AJ37" s="156"/>
      <c r="AK37" s="156"/>
      <c r="AL37" s="156"/>
      <c r="AM37" s="151"/>
      <c r="AN37" s="151"/>
      <c r="AO37" s="151"/>
      <c r="AP37" s="151"/>
      <c r="AQ37" s="151"/>
      <c r="AR37" s="151"/>
      <c r="AS37" s="151"/>
      <c r="AT37" s="684" t="str">
        <f t="shared" si="10"/>
        <v/>
      </c>
      <c r="AU37" s="169"/>
      <c r="AV37" s="172"/>
      <c r="AW37" s="436"/>
      <c r="AX37" s="346"/>
      <c r="AY37" s="171"/>
      <c r="AZ37" s="172"/>
      <c r="BA37" s="313">
        <f t="shared" si="5"/>
        <v>0</v>
      </c>
      <c r="BB37" s="173"/>
      <c r="BC37" s="151"/>
      <c r="BD37" s="699">
        <f t="shared" si="6"/>
        <v>0</v>
      </c>
      <c r="BE37" s="700">
        <f t="shared" si="7"/>
        <v>0</v>
      </c>
      <c r="BG37" s="690" t="e">
        <f t="shared" ca="1" si="8"/>
        <v>#N/A</v>
      </c>
      <c r="BH37" s="688" t="str">
        <f t="shared" ca="1" si="9"/>
        <v/>
      </c>
      <c r="BI37" s="690" t="str">
        <f t="shared" ca="1" si="9"/>
        <v/>
      </c>
      <c r="BJ37" s="689" t="str">
        <f t="shared" ca="1" si="9"/>
        <v/>
      </c>
      <c r="BK37" s="690" t="str">
        <f t="shared" ca="1" si="9"/>
        <v/>
      </c>
      <c r="BL37" s="313" t="str">
        <f t="shared" ca="1" si="9"/>
        <v/>
      </c>
      <c r="BM37" s="691" t="str">
        <f t="shared" ca="1" si="9"/>
        <v/>
      </c>
    </row>
    <row r="38" spans="2:65" ht="15.95" customHeight="1" thickBot="1">
      <c r="B38" s="953" t="s">
        <v>269</v>
      </c>
      <c r="C38" s="496">
        <v>6</v>
      </c>
      <c r="D38" s="842" t="s">
        <v>260</v>
      </c>
      <c r="E38" s="834"/>
      <c r="F38" s="329">
        <f>IF(AG51&lt;&gt;"",AG51,"")</f>
        <v>0</v>
      </c>
      <c r="G38" s="330">
        <f t="shared" si="2"/>
        <v>0</v>
      </c>
      <c r="H38" s="154"/>
      <c r="I38" s="1063">
        <f>L36*12</f>
        <v>0</v>
      </c>
      <c r="J38" s="1064"/>
      <c r="K38" s="1064"/>
      <c r="L38" s="1065"/>
      <c r="M38" s="151"/>
      <c r="N38" s="151"/>
      <c r="O38" s="151"/>
      <c r="P38" s="151"/>
      <c r="Q38" s="151"/>
      <c r="R38" s="151"/>
      <c r="S38" s="1043" t="s">
        <v>205</v>
      </c>
      <c r="T38" s="1043"/>
      <c r="U38" s="1043"/>
      <c r="V38" s="1043"/>
      <c r="W38" s="1043"/>
      <c r="X38" s="268"/>
      <c r="Y38" s="268"/>
      <c r="Z38" s="268"/>
      <c r="AA38" s="268"/>
      <c r="AB38" s="151"/>
      <c r="AC38" s="151"/>
      <c r="AD38" s="1062" t="str">
        <f>D38</f>
        <v>Food</v>
      </c>
      <c r="AE38" s="1062"/>
      <c r="AF38" s="1062"/>
      <c r="AG38" s="1062"/>
      <c r="AH38" s="151"/>
      <c r="AI38" s="1062" t="str">
        <f>D40</f>
        <v>Gas and Parking</v>
      </c>
      <c r="AJ38" s="1062"/>
      <c r="AK38" s="1062"/>
      <c r="AL38" s="1062"/>
      <c r="AM38" s="151"/>
      <c r="AN38" s="1062" t="str">
        <f>D46</f>
        <v>Other</v>
      </c>
      <c r="AO38" s="1062"/>
      <c r="AP38" s="1062"/>
      <c r="AQ38" s="1062"/>
      <c r="AR38" s="151"/>
      <c r="AS38" s="151"/>
      <c r="AT38" s="684" t="str">
        <f t="shared" si="10"/>
        <v/>
      </c>
      <c r="AU38" s="169"/>
      <c r="AV38" s="172"/>
      <c r="AW38" s="436"/>
      <c r="AX38" s="346"/>
      <c r="AY38" s="171"/>
      <c r="AZ38" s="172"/>
      <c r="BA38" s="313">
        <f t="shared" si="5"/>
        <v>0</v>
      </c>
      <c r="BB38" s="173"/>
      <c r="BC38" s="151"/>
      <c r="BD38" s="699">
        <f t="shared" si="6"/>
        <v>0</v>
      </c>
      <c r="BE38" s="700">
        <f t="shared" si="7"/>
        <v>0</v>
      </c>
      <c r="BG38" s="690" t="e">
        <f t="shared" ca="1" si="8"/>
        <v>#N/A</v>
      </c>
      <c r="BH38" s="688" t="str">
        <f t="shared" ca="1" si="9"/>
        <v/>
      </c>
      <c r="BI38" s="690" t="str">
        <f t="shared" ca="1" si="9"/>
        <v/>
      </c>
      <c r="BJ38" s="689" t="str">
        <f t="shared" ca="1" si="9"/>
        <v/>
      </c>
      <c r="BK38" s="690" t="str">
        <f t="shared" ca="1" si="9"/>
        <v/>
      </c>
      <c r="BL38" s="313" t="str">
        <f t="shared" ca="1" si="9"/>
        <v/>
      </c>
      <c r="BM38" s="691" t="str">
        <f t="shared" ca="1" si="9"/>
        <v/>
      </c>
    </row>
    <row r="39" spans="2:65" ht="15.95" customHeight="1" thickBot="1">
      <c r="B39" s="954"/>
      <c r="C39" s="493"/>
      <c r="D39" s="835" t="s">
        <v>261</v>
      </c>
      <c r="E39" s="836"/>
      <c r="F39" s="331"/>
      <c r="G39" s="332">
        <f t="shared" si="2"/>
        <v>0</v>
      </c>
      <c r="H39" s="154"/>
      <c r="I39" s="168"/>
      <c r="J39" s="168"/>
      <c r="K39" s="168"/>
      <c r="L39" s="168"/>
      <c r="M39" s="151"/>
      <c r="N39" s="151"/>
      <c r="P39" s="154"/>
      <c r="Q39" s="154"/>
      <c r="R39" s="154"/>
      <c r="S39" s="154"/>
      <c r="T39" s="151"/>
      <c r="U39" s="154"/>
      <c r="V39" s="151"/>
      <c r="X39" s="151"/>
      <c r="Y39" s="151"/>
      <c r="Z39" s="151"/>
      <c r="AA39" s="151"/>
      <c r="AB39" s="151"/>
      <c r="AC39" s="151"/>
      <c r="AD39" s="1042"/>
      <c r="AE39" s="1042"/>
      <c r="AF39" s="1042"/>
      <c r="AG39" s="269" t="s">
        <v>255</v>
      </c>
      <c r="AH39" s="151"/>
      <c r="AI39" s="1042"/>
      <c r="AJ39" s="1042"/>
      <c r="AK39" s="1042"/>
      <c r="AL39" s="269" t="s">
        <v>255</v>
      </c>
      <c r="AM39" s="151"/>
      <c r="AN39" s="1042"/>
      <c r="AO39" s="1042"/>
      <c r="AP39" s="1042"/>
      <c r="AQ39" s="269" t="s">
        <v>255</v>
      </c>
      <c r="AR39" s="151"/>
      <c r="AS39" s="151"/>
      <c r="AT39" s="684" t="str">
        <f t="shared" si="10"/>
        <v/>
      </c>
      <c r="AU39" s="169"/>
      <c r="AV39" s="216"/>
      <c r="AW39" s="436"/>
      <c r="AX39" s="346"/>
      <c r="AY39" s="171"/>
      <c r="AZ39" s="172"/>
      <c r="BA39" s="314">
        <f t="shared" si="5"/>
        <v>0</v>
      </c>
      <c r="BB39" s="173"/>
      <c r="BC39" s="151"/>
      <c r="BD39" s="699">
        <f t="shared" si="6"/>
        <v>0</v>
      </c>
      <c r="BE39" s="700">
        <f t="shared" si="7"/>
        <v>0</v>
      </c>
      <c r="BG39" s="690" t="e">
        <f t="shared" ca="1" si="8"/>
        <v>#N/A</v>
      </c>
      <c r="BH39" s="688" t="str">
        <f t="shared" ca="1" si="9"/>
        <v/>
      </c>
      <c r="BI39" s="690" t="str">
        <f t="shared" ca="1" si="9"/>
        <v/>
      </c>
      <c r="BJ39" s="689" t="str">
        <f t="shared" ca="1" si="9"/>
        <v/>
      </c>
      <c r="BK39" s="690" t="str">
        <f t="shared" ca="1" si="9"/>
        <v/>
      </c>
      <c r="BL39" s="313" t="str">
        <f t="shared" ca="1" si="9"/>
        <v/>
      </c>
      <c r="BM39" s="691" t="str">
        <f t="shared" ca="1" si="9"/>
        <v/>
      </c>
    </row>
    <row r="40" spans="2:65" ht="15.95" customHeight="1" thickBot="1">
      <c r="B40" s="954"/>
      <c r="C40" s="497">
        <v>6</v>
      </c>
      <c r="D40" s="839" t="s">
        <v>262</v>
      </c>
      <c r="E40" s="838"/>
      <c r="F40" s="331">
        <f>IF(AL45&lt;&gt;"",AL45,"")</f>
        <v>0</v>
      </c>
      <c r="G40" s="332">
        <f t="shared" si="2"/>
        <v>0</v>
      </c>
      <c r="H40" s="154"/>
      <c r="I40" s="1066" t="s">
        <v>300</v>
      </c>
      <c r="J40" s="1066"/>
      <c r="K40" s="1066"/>
      <c r="L40" s="1066"/>
      <c r="M40" s="151"/>
      <c r="N40" s="151"/>
      <c r="O40" s="991" t="str">
        <f>D22</f>
        <v>Extracurricular Activities/Camps/Pool</v>
      </c>
      <c r="P40" s="991"/>
      <c r="Q40" s="991"/>
      <c r="R40" s="991"/>
      <c r="S40" s="156"/>
      <c r="T40" s="945" t="str">
        <f>D23</f>
        <v xml:space="preserve">  Car Insurance and Licensing</v>
      </c>
      <c r="U40" s="945"/>
      <c r="V40" s="945"/>
      <c r="W40" s="945"/>
      <c r="X40" s="151"/>
      <c r="Y40" s="151"/>
      <c r="Z40" s="151"/>
      <c r="AA40" s="151"/>
      <c r="AB40" s="151"/>
      <c r="AC40" s="151"/>
      <c r="AD40" s="935" t="s">
        <v>309</v>
      </c>
      <c r="AE40" s="935"/>
      <c r="AF40" s="935"/>
      <c r="AG40" s="200"/>
      <c r="AH40" s="151"/>
      <c r="AI40" s="935" t="s">
        <v>175</v>
      </c>
      <c r="AJ40" s="935"/>
      <c r="AK40" s="935"/>
      <c r="AL40" s="200"/>
      <c r="AM40" s="151"/>
      <c r="AN40" s="1021" t="s">
        <v>320</v>
      </c>
      <c r="AO40" s="1021"/>
      <c r="AP40" s="1021"/>
      <c r="AQ40" s="270"/>
      <c r="AR40" s="151"/>
      <c r="AS40" s="151"/>
      <c r="AT40" s="708" t="str">
        <f>IF(AU40="","",AT39+1)</f>
        <v/>
      </c>
      <c r="AU40" s="710"/>
      <c r="AV40" s="709"/>
      <c r="AW40" s="711"/>
      <c r="AX40" s="712"/>
      <c r="AY40" s="713"/>
      <c r="AZ40" s="709"/>
      <c r="BA40" s="709">
        <f>IF(AY40="",AV40,AY40*AZ40)</f>
        <v>0</v>
      </c>
      <c r="BB40" s="714"/>
      <c r="BC40" s="151"/>
      <c r="BD40" s="701">
        <f>SUM(BD5:BD39)</f>
        <v>0</v>
      </c>
      <c r="BE40" s="702">
        <f>SUM(BE5:BE39)</f>
        <v>0</v>
      </c>
      <c r="BG40" s="690" t="e">
        <f t="shared" ca="1" si="8"/>
        <v>#N/A</v>
      </c>
      <c r="BH40" s="688" t="str">
        <f t="shared" ca="1" si="9"/>
        <v/>
      </c>
      <c r="BI40" s="690" t="str">
        <f t="shared" ca="1" si="9"/>
        <v/>
      </c>
      <c r="BJ40" s="689" t="str">
        <f t="shared" ca="1" si="9"/>
        <v/>
      </c>
      <c r="BK40" s="690" t="str">
        <f t="shared" ca="1" si="9"/>
        <v/>
      </c>
      <c r="BL40" s="313" t="str">
        <f t="shared" ca="1" si="9"/>
        <v/>
      </c>
      <c r="BM40" s="691" t="str">
        <f t="shared" ca="1" si="9"/>
        <v/>
      </c>
    </row>
    <row r="41" spans="2:65" ht="15.95" customHeight="1">
      <c r="B41" s="954"/>
      <c r="C41" s="498"/>
      <c r="D41" s="835" t="s">
        <v>263</v>
      </c>
      <c r="E41" s="836"/>
      <c r="F41" s="331"/>
      <c r="G41" s="332">
        <f t="shared" si="2"/>
        <v>0</v>
      </c>
      <c r="H41" s="154"/>
      <c r="I41" s="1034" t="s">
        <v>301</v>
      </c>
      <c r="J41" s="1036" t="s">
        <v>302</v>
      </c>
      <c r="K41" s="1036" t="s">
        <v>303</v>
      </c>
      <c r="L41" s="1038" t="s">
        <v>304</v>
      </c>
      <c r="M41" s="151"/>
      <c r="N41" s="151"/>
      <c r="O41" s="1040"/>
      <c r="P41" s="1041"/>
      <c r="Q41" s="167" t="s">
        <v>202</v>
      </c>
      <c r="R41" s="167" t="s">
        <v>203</v>
      </c>
      <c r="S41" s="156"/>
      <c r="T41" s="1042"/>
      <c r="U41" s="1042"/>
      <c r="V41" s="167" t="s">
        <v>202</v>
      </c>
      <c r="W41" s="167" t="s">
        <v>203</v>
      </c>
      <c r="X41" s="151"/>
      <c r="Y41" s="151"/>
      <c r="Z41" s="151"/>
      <c r="AA41" s="151"/>
      <c r="AB41" s="151"/>
      <c r="AC41" s="151"/>
      <c r="AD41" s="935" t="s">
        <v>316</v>
      </c>
      <c r="AE41" s="935"/>
      <c r="AF41" s="935"/>
      <c r="AG41" s="200"/>
      <c r="AH41" s="151"/>
      <c r="AI41" s="935" t="s">
        <v>317</v>
      </c>
      <c r="AJ41" s="935"/>
      <c r="AK41" s="935"/>
      <c r="AL41" s="200"/>
      <c r="AM41" s="151"/>
      <c r="AN41" s="1021" t="s">
        <v>321</v>
      </c>
      <c r="AO41" s="1021"/>
      <c r="AP41" s="1021"/>
      <c r="AQ41" s="270"/>
      <c r="AR41" s="151"/>
      <c r="AS41" s="151"/>
      <c r="AT41" s="1052" t="s">
        <v>179</v>
      </c>
      <c r="AU41" s="1053"/>
      <c r="AV41" s="707">
        <f>SUM(AV5:AV39)</f>
        <v>0</v>
      </c>
      <c r="AW41" s="220"/>
      <c r="AX41" s="221"/>
      <c r="AY41" s="221"/>
      <c r="AZ41" s="707">
        <f>SUM(AZ5:AZ39)</f>
        <v>0</v>
      </c>
      <c r="BA41" s="707">
        <f>SUM(BA5:BA39)</f>
        <v>0</v>
      </c>
      <c r="BB41" s="222"/>
      <c r="BC41" s="151"/>
    </row>
    <row r="42" spans="2:65" ht="15.95" customHeight="1">
      <c r="B42" s="954"/>
      <c r="C42" s="498"/>
      <c r="D42" s="835" t="s">
        <v>264</v>
      </c>
      <c r="E42" s="836" t="s">
        <v>265</v>
      </c>
      <c r="F42" s="331"/>
      <c r="G42" s="332">
        <f t="shared" si="2"/>
        <v>0</v>
      </c>
      <c r="H42" s="154"/>
      <c r="I42" s="1035"/>
      <c r="J42" s="1037"/>
      <c r="K42" s="1037"/>
      <c r="L42" s="1039"/>
      <c r="M42" s="151"/>
      <c r="N42" s="151"/>
      <c r="O42" s="936" t="s">
        <v>194</v>
      </c>
      <c r="P42" s="936"/>
      <c r="Q42" s="253"/>
      <c r="R42" s="305">
        <f>Q42/12</f>
        <v>0</v>
      </c>
      <c r="S42" s="156"/>
      <c r="T42" s="935" t="s">
        <v>462</v>
      </c>
      <c r="U42" s="935"/>
      <c r="V42" s="172"/>
      <c r="W42" s="306">
        <f>V42/12</f>
        <v>0</v>
      </c>
      <c r="X42" s="151"/>
      <c r="Y42" s="151"/>
      <c r="Z42" s="151"/>
      <c r="AA42" s="151"/>
      <c r="AB42" s="151"/>
      <c r="AC42" s="151"/>
      <c r="AD42" s="935" t="s">
        <v>310</v>
      </c>
      <c r="AE42" s="935"/>
      <c r="AF42" s="935"/>
      <c r="AG42" s="200"/>
      <c r="AH42" s="151"/>
      <c r="AI42" s="1024" t="s">
        <v>318</v>
      </c>
      <c r="AJ42" s="1024"/>
      <c r="AK42" s="1024"/>
      <c r="AL42" s="200"/>
      <c r="AM42" s="151"/>
      <c r="AN42" s="1021" t="s">
        <v>322</v>
      </c>
      <c r="AO42" s="1021"/>
      <c r="AP42" s="1021"/>
      <c r="AQ42" s="270"/>
      <c r="AR42" s="151"/>
      <c r="AS42" s="151"/>
      <c r="AT42" s="151"/>
      <c r="AU42" s="151"/>
      <c r="AV42" s="177"/>
      <c r="AW42" s="151"/>
      <c r="AX42" s="226"/>
      <c r="AY42" s="226"/>
      <c r="AZ42" s="151"/>
      <c r="BA42" s="151"/>
      <c r="BB42" s="151"/>
      <c r="BC42" s="151"/>
    </row>
    <row r="43" spans="2:65" ht="15.95" customHeight="1">
      <c r="B43" s="954"/>
      <c r="C43" s="488"/>
      <c r="D43" s="835" t="s">
        <v>266</v>
      </c>
      <c r="E43" s="836"/>
      <c r="F43" s="331"/>
      <c r="G43" s="332">
        <f t="shared" si="2"/>
        <v>0</v>
      </c>
      <c r="H43" s="154"/>
      <c r="I43" s="271"/>
      <c r="J43" s="181"/>
      <c r="K43" s="181"/>
      <c r="L43" s="272"/>
      <c r="M43" s="151"/>
      <c r="N43" s="151"/>
      <c r="O43" s="936" t="s">
        <v>195</v>
      </c>
      <c r="P43" s="936"/>
      <c r="Q43" s="253"/>
      <c r="R43" s="305">
        <f t="shared" ref="R43:R49" si="21">Q43/12</f>
        <v>0</v>
      </c>
      <c r="S43" s="156"/>
      <c r="T43" s="935" t="s">
        <v>207</v>
      </c>
      <c r="U43" s="935"/>
      <c r="V43" s="172"/>
      <c r="W43" s="306">
        <f>V43/12</f>
        <v>0</v>
      </c>
      <c r="X43" s="151"/>
      <c r="Y43" s="151"/>
      <c r="Z43" s="151"/>
      <c r="AA43" s="151"/>
      <c r="AB43" s="151"/>
      <c r="AC43" s="151"/>
      <c r="AD43" s="935" t="s">
        <v>311</v>
      </c>
      <c r="AE43" s="935"/>
      <c r="AF43" s="935"/>
      <c r="AG43" s="200"/>
      <c r="AH43" s="151"/>
      <c r="AI43" s="1024" t="s">
        <v>319</v>
      </c>
      <c r="AJ43" s="1024"/>
      <c r="AK43" s="1024"/>
      <c r="AL43" s="200"/>
      <c r="AM43" s="151"/>
      <c r="AN43" s="1021" t="s">
        <v>323</v>
      </c>
      <c r="AO43" s="1021"/>
      <c r="AP43" s="1021"/>
      <c r="AQ43" s="270"/>
      <c r="AR43" s="151"/>
      <c r="AS43" s="151"/>
      <c r="AT43" s="151"/>
      <c r="AU43" s="230"/>
      <c r="AV43" s="230"/>
      <c r="AW43" s="230"/>
      <c r="AX43" s="230"/>
      <c r="AY43" s="230"/>
      <c r="AZ43" s="232"/>
      <c r="BA43" s="232"/>
      <c r="BB43" s="232"/>
      <c r="BC43" s="151"/>
    </row>
    <row r="44" spans="2:65" ht="15.95" customHeight="1">
      <c r="B44" s="954"/>
      <c r="C44" s="493"/>
      <c r="D44" s="835" t="s">
        <v>267</v>
      </c>
      <c r="E44" s="836"/>
      <c r="F44" s="331"/>
      <c r="G44" s="332">
        <f t="shared" si="2"/>
        <v>0</v>
      </c>
      <c r="H44" s="154"/>
      <c r="I44" s="271"/>
      <c r="J44" s="181"/>
      <c r="K44" s="181"/>
      <c r="L44" s="272"/>
      <c r="M44" s="151"/>
      <c r="N44" s="151"/>
      <c r="O44" s="936" t="s">
        <v>196</v>
      </c>
      <c r="P44" s="936"/>
      <c r="Q44" s="253"/>
      <c r="R44" s="305">
        <f t="shared" si="21"/>
        <v>0</v>
      </c>
      <c r="S44" s="156"/>
      <c r="T44" s="935" t="s">
        <v>206</v>
      </c>
      <c r="U44" s="935"/>
      <c r="V44" s="172"/>
      <c r="W44" s="306">
        <f>V44/12</f>
        <v>0</v>
      </c>
      <c r="X44" s="151"/>
      <c r="Y44" s="151"/>
      <c r="Z44" s="151"/>
      <c r="AA44" s="151"/>
      <c r="AB44" s="151"/>
      <c r="AC44" s="151"/>
      <c r="AD44" s="1024" t="s">
        <v>312</v>
      </c>
      <c r="AE44" s="1024"/>
      <c r="AF44" s="1024"/>
      <c r="AG44" s="200"/>
      <c r="AH44" s="151"/>
      <c r="AI44" s="936"/>
      <c r="AJ44" s="936"/>
      <c r="AK44" s="936"/>
      <c r="AL44" s="200"/>
      <c r="AM44" s="151"/>
      <c r="AN44" s="1021" t="s">
        <v>324</v>
      </c>
      <c r="AO44" s="1021"/>
      <c r="AP44" s="1021"/>
      <c r="AQ44" s="270"/>
      <c r="AR44" s="151"/>
      <c r="AS44" s="151"/>
      <c r="AT44" s="151"/>
      <c r="AU44" s="232"/>
      <c r="AV44" s="232"/>
      <c r="AW44" s="232"/>
      <c r="AX44" s="232"/>
      <c r="AY44" s="232"/>
      <c r="AZ44" s="232"/>
      <c r="BA44" s="232"/>
      <c r="BB44" s="232"/>
      <c r="BC44" s="151"/>
    </row>
    <row r="45" spans="2:65" ht="15.95" customHeight="1">
      <c r="B45" s="954"/>
      <c r="C45" s="498"/>
      <c r="D45" s="835" t="s">
        <v>268</v>
      </c>
      <c r="E45" s="836"/>
      <c r="F45" s="331"/>
      <c r="G45" s="332">
        <f t="shared" si="2"/>
        <v>0</v>
      </c>
      <c r="H45" s="154"/>
      <c r="I45" s="271"/>
      <c r="J45" s="181"/>
      <c r="K45" s="181"/>
      <c r="L45" s="272"/>
      <c r="M45" s="151"/>
      <c r="N45" s="151"/>
      <c r="O45" s="936" t="s">
        <v>197</v>
      </c>
      <c r="P45" s="936"/>
      <c r="Q45" s="253"/>
      <c r="R45" s="305">
        <f t="shared" si="21"/>
        <v>0</v>
      </c>
      <c r="S45" s="156"/>
      <c r="T45" s="1077" t="s">
        <v>171</v>
      </c>
      <c r="U45" s="1077"/>
      <c r="V45" s="1077"/>
      <c r="W45" s="276">
        <f>SUM(W42:W44)</f>
        <v>0</v>
      </c>
      <c r="X45" s="151"/>
      <c r="Y45" s="151"/>
      <c r="Z45" s="151"/>
      <c r="AA45" s="151"/>
      <c r="AB45" s="151"/>
      <c r="AC45" s="151"/>
      <c r="AD45" s="1024" t="s">
        <v>313</v>
      </c>
      <c r="AE45" s="1024"/>
      <c r="AF45" s="1024"/>
      <c r="AG45" s="200"/>
      <c r="AH45" s="151"/>
      <c r="AI45" s="1069" t="s">
        <v>171</v>
      </c>
      <c r="AJ45" s="1069"/>
      <c r="AK45" s="1069"/>
      <c r="AL45" s="273">
        <f>SUM(AL40:AL44)</f>
        <v>0</v>
      </c>
      <c r="AM45" s="151"/>
      <c r="AN45" s="1021" t="s">
        <v>325</v>
      </c>
      <c r="AO45" s="1021"/>
      <c r="AP45" s="1021"/>
      <c r="AQ45" s="270"/>
      <c r="AR45" s="151"/>
      <c r="AS45" s="151"/>
      <c r="AT45" s="151"/>
      <c r="AU45" s="232"/>
      <c r="AV45" s="237"/>
      <c r="AW45" s="232"/>
      <c r="AX45" s="232"/>
      <c r="AY45" s="232"/>
      <c r="AZ45" s="232"/>
      <c r="BA45" s="232"/>
      <c r="BB45" s="232"/>
      <c r="BC45" s="151"/>
    </row>
    <row r="46" spans="2:65" ht="15.95" customHeight="1" thickBot="1">
      <c r="B46" s="954"/>
      <c r="C46" s="491">
        <v>6</v>
      </c>
      <c r="D46" s="839" t="s">
        <v>201</v>
      </c>
      <c r="E46" s="838"/>
      <c r="F46" s="331">
        <f>IF(AQ50&lt;&gt;"",AQ50,"")</f>
        <v>0</v>
      </c>
      <c r="G46" s="332">
        <f t="shared" si="2"/>
        <v>0</v>
      </c>
      <c r="H46" s="154"/>
      <c r="I46" s="271"/>
      <c r="J46" s="181"/>
      <c r="K46" s="181"/>
      <c r="L46" s="272"/>
      <c r="M46" s="151"/>
      <c r="N46" s="151"/>
      <c r="O46" s="936" t="s">
        <v>198</v>
      </c>
      <c r="P46" s="936"/>
      <c r="Q46" s="278"/>
      <c r="R46" s="306">
        <f t="shared" si="21"/>
        <v>0</v>
      </c>
      <c r="S46" s="156"/>
      <c r="T46" s="156"/>
      <c r="U46" s="156"/>
      <c r="V46" s="156"/>
      <c r="W46" s="151"/>
      <c r="X46" s="151"/>
      <c r="Y46" s="151"/>
      <c r="Z46" s="151"/>
      <c r="AA46" s="151"/>
      <c r="AB46" s="151"/>
      <c r="AC46" s="151"/>
      <c r="AD46" s="935" t="s">
        <v>314</v>
      </c>
      <c r="AE46" s="935"/>
      <c r="AF46" s="935"/>
      <c r="AG46" s="200"/>
      <c r="AH46" s="151"/>
      <c r="AI46" s="156"/>
      <c r="AJ46" s="155"/>
      <c r="AK46" s="156"/>
      <c r="AL46" s="151"/>
      <c r="AM46" s="151"/>
      <c r="AN46" s="1021" t="s">
        <v>326</v>
      </c>
      <c r="AO46" s="1021"/>
      <c r="AP46" s="1021"/>
      <c r="AQ46" s="270"/>
      <c r="AR46" s="151"/>
      <c r="AS46" s="151"/>
      <c r="AT46" s="151"/>
      <c r="AV46" s="237"/>
      <c r="AW46" s="237"/>
      <c r="AX46" s="237"/>
      <c r="AY46" s="237"/>
      <c r="AZ46" s="237"/>
      <c r="BA46" s="237"/>
      <c r="BB46" s="237"/>
      <c r="BC46" s="151"/>
    </row>
    <row r="47" spans="2:65" ht="15.95" customHeight="1">
      <c r="B47" s="954"/>
      <c r="C47" s="498"/>
      <c r="D47" s="1071"/>
      <c r="E47" s="1072"/>
      <c r="F47" s="331"/>
      <c r="G47" s="332">
        <f>F47</f>
        <v>0</v>
      </c>
      <c r="H47" s="482"/>
      <c r="I47" s="271"/>
      <c r="J47" s="181"/>
      <c r="K47" s="181"/>
      <c r="L47" s="272"/>
      <c r="M47" s="151"/>
      <c r="N47" s="151"/>
      <c r="O47" s="1024" t="s">
        <v>199</v>
      </c>
      <c r="P47" s="1024"/>
      <c r="Q47" s="178"/>
      <c r="R47" s="307">
        <f t="shared" si="21"/>
        <v>0</v>
      </c>
      <c r="S47" s="156"/>
      <c r="T47" s="156"/>
      <c r="U47" s="151"/>
      <c r="V47" s="151"/>
      <c r="W47" s="151"/>
      <c r="X47" s="151"/>
      <c r="Y47" s="151"/>
      <c r="Z47" s="151"/>
      <c r="AA47" s="151"/>
      <c r="AB47" s="151"/>
      <c r="AC47" s="151"/>
      <c r="AD47" s="1090" t="s">
        <v>315</v>
      </c>
      <c r="AE47" s="1090"/>
      <c r="AF47" s="1090"/>
      <c r="AG47" s="200"/>
      <c r="AH47" s="151"/>
      <c r="AI47" s="156"/>
      <c r="AJ47" s="155"/>
      <c r="AK47" s="155"/>
      <c r="AL47" s="151"/>
      <c r="AM47" s="151"/>
      <c r="AN47" s="1021" t="s">
        <v>327</v>
      </c>
      <c r="AO47" s="1021"/>
      <c r="AP47" s="1021"/>
      <c r="AQ47" s="270"/>
      <c r="AR47" s="151"/>
      <c r="AS47" s="151"/>
      <c r="AT47" s="1067" t="s">
        <v>509</v>
      </c>
      <c r="AU47" s="1068"/>
      <c r="AV47" s="251">
        <f>BD40</f>
        <v>0</v>
      </c>
      <c r="AW47" s="252"/>
      <c r="AX47" s="151"/>
      <c r="AY47" s="151"/>
      <c r="AZ47" s="151"/>
      <c r="BA47" s="151"/>
      <c r="BB47" s="151"/>
      <c r="BC47" s="151"/>
    </row>
    <row r="48" spans="2:65" ht="15.95" customHeight="1" thickBot="1">
      <c r="B48" s="954"/>
      <c r="C48" s="499"/>
      <c r="D48" s="1071"/>
      <c r="E48" s="1072"/>
      <c r="F48" s="331"/>
      <c r="G48" s="483">
        <f>F48</f>
        <v>0</v>
      </c>
      <c r="H48" s="484"/>
      <c r="I48" s="271"/>
      <c r="J48" s="181"/>
      <c r="K48" s="181"/>
      <c r="L48" s="272"/>
      <c r="M48" s="151"/>
      <c r="N48" s="151"/>
      <c r="O48" s="936" t="s">
        <v>200</v>
      </c>
      <c r="P48" s="936"/>
      <c r="Q48" s="179"/>
      <c r="R48" s="307">
        <f t="shared" si="21"/>
        <v>0</v>
      </c>
      <c r="S48" s="156"/>
      <c r="T48" s="156"/>
      <c r="U48" s="151"/>
      <c r="V48" s="151"/>
      <c r="W48" s="151"/>
      <c r="X48" s="151"/>
      <c r="Y48" s="151"/>
      <c r="Z48" s="151"/>
      <c r="AA48" s="151"/>
      <c r="AB48" s="151"/>
      <c r="AC48" s="151"/>
      <c r="AD48" s="1070" t="s">
        <v>484</v>
      </c>
      <c r="AE48" s="1070"/>
      <c r="AF48" s="1070"/>
      <c r="AG48" s="200"/>
      <c r="AH48" s="151"/>
      <c r="AI48" s="155"/>
      <c r="AJ48" s="155"/>
      <c r="AK48" s="155"/>
      <c r="AL48" s="151"/>
      <c r="AM48" s="151"/>
      <c r="AN48" s="941"/>
      <c r="AO48" s="941"/>
      <c r="AP48" s="941"/>
      <c r="AQ48" s="270"/>
      <c r="AR48" s="151"/>
      <c r="AS48" s="151"/>
      <c r="AT48" s="1044" t="s">
        <v>336</v>
      </c>
      <c r="AU48" s="1045"/>
      <c r="AV48" s="255">
        <f>AZ41</f>
        <v>0</v>
      </c>
      <c r="AW48" s="151"/>
      <c r="AX48" s="256"/>
      <c r="AY48" s="257"/>
      <c r="AZ48" s="151"/>
      <c r="BA48" s="151"/>
      <c r="BB48" s="151"/>
      <c r="BC48" s="151"/>
    </row>
    <row r="49" spans="2:65" ht="15.95" customHeight="1" thickBot="1">
      <c r="B49" s="955"/>
      <c r="C49" s="500"/>
      <c r="D49" s="1073"/>
      <c r="E49" s="1074"/>
      <c r="F49" s="331"/>
      <c r="G49" s="332">
        <f t="shared" si="2"/>
        <v>0</v>
      </c>
      <c r="H49" s="154"/>
      <c r="I49" s="280"/>
      <c r="J49" s="258"/>
      <c r="K49" s="258"/>
      <c r="L49" s="281"/>
      <c r="M49" s="151"/>
      <c r="N49" s="151"/>
      <c r="O49" s="936" t="s">
        <v>201</v>
      </c>
      <c r="P49" s="936"/>
      <c r="Q49" s="179"/>
      <c r="R49" s="307">
        <f t="shared" si="21"/>
        <v>0</v>
      </c>
      <c r="S49" s="156"/>
      <c r="T49" s="156"/>
      <c r="U49" s="151"/>
      <c r="V49" s="151"/>
      <c r="W49" s="151"/>
      <c r="X49" s="151"/>
      <c r="Y49" s="151"/>
      <c r="Z49" s="151"/>
      <c r="AA49" s="151"/>
      <c r="AB49" s="151"/>
      <c r="AC49" s="151"/>
      <c r="AD49" s="1070"/>
      <c r="AE49" s="1070"/>
      <c r="AF49" s="1070"/>
      <c r="AG49" s="200"/>
      <c r="AH49" s="151"/>
      <c r="AI49" s="252"/>
      <c r="AJ49" s="151"/>
      <c r="AK49" s="151"/>
      <c r="AL49" s="151"/>
      <c r="AM49" s="151"/>
      <c r="AN49" s="1021"/>
      <c r="AO49" s="1021"/>
      <c r="AP49" s="1021"/>
      <c r="AQ49" s="270"/>
      <c r="AR49" s="151"/>
      <c r="AS49" s="151"/>
      <c r="AT49" s="259"/>
      <c r="AU49" s="259"/>
      <c r="AV49" s="151"/>
      <c r="AW49" s="151"/>
      <c r="AX49" s="151"/>
      <c r="AY49" s="151"/>
      <c r="AZ49" s="151"/>
      <c r="BA49" s="151"/>
      <c r="BB49" s="151"/>
      <c r="BC49" s="151"/>
    </row>
    <row r="50" spans="2:65" ht="15.95" customHeight="1" thickBot="1">
      <c r="B50" s="274"/>
      <c r="C50" s="1075" t="s">
        <v>179</v>
      </c>
      <c r="D50" s="1076"/>
      <c r="E50" s="501"/>
      <c r="F50" s="487">
        <f>SUM(F5:F49)</f>
        <v>0</v>
      </c>
      <c r="G50" s="275">
        <f>SUM(G5:G49)</f>
        <v>0</v>
      </c>
      <c r="H50" s="154"/>
      <c r="I50" s="282" t="s">
        <v>179</v>
      </c>
      <c r="J50" s="283">
        <f>SUM(J43:J49)</f>
        <v>0</v>
      </c>
      <c r="K50" s="284">
        <f>SUM(K43:K49)</f>
        <v>0</v>
      </c>
      <c r="L50" s="285"/>
      <c r="M50" s="151"/>
      <c r="N50" s="151"/>
      <c r="O50" s="972" t="s">
        <v>171</v>
      </c>
      <c r="P50" s="973"/>
      <c r="Q50" s="974"/>
      <c r="R50" s="197">
        <f>SUM(R42:R49)</f>
        <v>0</v>
      </c>
      <c r="S50" s="156"/>
      <c r="T50" s="156"/>
      <c r="U50" s="151"/>
      <c r="V50" s="151"/>
      <c r="W50" s="151"/>
      <c r="X50" s="151"/>
      <c r="Y50" s="151"/>
      <c r="Z50" s="151"/>
      <c r="AA50" s="151"/>
      <c r="AB50" s="151"/>
      <c r="AC50" s="151"/>
      <c r="AD50" s="1070"/>
      <c r="AE50" s="1070"/>
      <c r="AF50" s="1070"/>
      <c r="AG50" s="200"/>
      <c r="AH50" s="156"/>
      <c r="AI50" s="252"/>
      <c r="AJ50" s="151"/>
      <c r="AK50" s="151"/>
      <c r="AL50" s="151"/>
      <c r="AM50" s="151"/>
      <c r="AN50" s="1069" t="s">
        <v>171</v>
      </c>
      <c r="AO50" s="1069"/>
      <c r="AP50" s="1069"/>
      <c r="AQ50" s="273">
        <f>SUM(AQ40:AQ49)</f>
        <v>0</v>
      </c>
      <c r="AR50" s="151"/>
      <c r="AS50" s="151"/>
      <c r="AT50" s="1054" t="s">
        <v>337</v>
      </c>
      <c r="AU50" s="1055"/>
      <c r="AV50" s="260">
        <f>BE40</f>
        <v>0</v>
      </c>
      <c r="AW50" s="257"/>
      <c r="AX50" s="151"/>
      <c r="AY50" s="151"/>
      <c r="AZ50" s="151"/>
      <c r="BA50" s="151"/>
      <c r="BB50" s="151"/>
      <c r="BC50" s="151"/>
    </row>
    <row r="51" spans="2:65" ht="15.95" customHeight="1" thickBot="1">
      <c r="B51" s="286"/>
      <c r="C51" s="277"/>
      <c r="D51" s="151"/>
      <c r="E51" s="151"/>
      <c r="F51" s="151"/>
      <c r="G51" s="326"/>
      <c r="H51" s="151"/>
      <c r="I51" s="151"/>
      <c r="J51" s="151"/>
      <c r="K51" s="151"/>
      <c r="L51" s="151"/>
      <c r="M51" s="151"/>
      <c r="N51" s="151"/>
      <c r="O51" s="151"/>
      <c r="P51" s="151"/>
      <c r="Q51" s="151"/>
      <c r="R51" s="151"/>
      <c r="S51" s="151"/>
      <c r="T51" s="151"/>
      <c r="U51" s="151"/>
      <c r="V51" s="151"/>
      <c r="W51" s="151"/>
      <c r="X51" s="151"/>
      <c r="Y51" s="151"/>
      <c r="Z51" s="151"/>
      <c r="AA51" s="151"/>
      <c r="AB51" s="151"/>
      <c r="AC51" s="151"/>
      <c r="AD51" s="1069" t="s">
        <v>171</v>
      </c>
      <c r="AE51" s="1069"/>
      <c r="AF51" s="1069"/>
      <c r="AG51" s="273">
        <f>SUM(AG40:AG50)</f>
        <v>0</v>
      </c>
      <c r="AH51" s="287"/>
      <c r="AI51" s="252"/>
      <c r="AJ51" s="151"/>
      <c r="AK51" s="151"/>
      <c r="AL51" s="151"/>
      <c r="AM51" s="151"/>
      <c r="AN51" s="151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</row>
    <row r="52" spans="2:65" ht="15" hidden="1" customHeight="1" thickTop="1">
      <c r="B52" s="286"/>
      <c r="C52" s="327"/>
      <c r="D52" s="1081" t="s">
        <v>27</v>
      </c>
      <c r="E52" s="1082"/>
      <c r="F52" s="1083"/>
      <c r="G52" s="1087" t="s">
        <v>26</v>
      </c>
      <c r="H52" s="485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  <c r="AC52" s="151"/>
      <c r="AD52" s="151"/>
      <c r="AE52" s="151"/>
      <c r="AF52" s="151"/>
      <c r="AG52" s="151"/>
      <c r="AH52" s="287"/>
      <c r="AI52" s="252"/>
      <c r="AJ52" s="151"/>
      <c r="AK52" s="151"/>
      <c r="AL52" s="151"/>
      <c r="AM52" s="151"/>
      <c r="AN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</row>
    <row r="53" spans="2:65" ht="15" hidden="1" customHeight="1" thickBot="1">
      <c r="B53" s="286"/>
      <c r="C53" s="277"/>
      <c r="D53" s="1084" t="s">
        <v>43</v>
      </c>
      <c r="E53" s="1085"/>
      <c r="F53" s="1086"/>
      <c r="G53" s="1088"/>
      <c r="H53" s="485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  <c r="AC53" s="151"/>
      <c r="AD53" s="151"/>
      <c r="AE53" s="151"/>
      <c r="AF53" s="151"/>
      <c r="AG53" s="151"/>
      <c r="AH53" s="287"/>
      <c r="AI53" s="252"/>
      <c r="AJ53" s="151"/>
      <c r="AK53" s="151"/>
      <c r="AL53" s="151"/>
      <c r="AM53" s="151"/>
      <c r="AN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</row>
    <row r="54" spans="2:65" ht="15" customHeight="1" thickTop="1">
      <c r="B54" s="286"/>
      <c r="C54" s="279"/>
      <c r="D54" s="151"/>
      <c r="E54" s="151"/>
      <c r="F54" s="151"/>
      <c r="G54" s="325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  <c r="AB54" s="151"/>
      <c r="AC54" s="151"/>
      <c r="AD54" s="194"/>
      <c r="AE54" s="194"/>
      <c r="AF54" s="291"/>
      <c r="AG54" s="151"/>
      <c r="AH54" s="287"/>
      <c r="AI54" s="252"/>
      <c r="AJ54" s="151"/>
      <c r="AK54" s="151"/>
      <c r="AL54" s="151"/>
      <c r="AM54" s="151"/>
      <c r="AN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</row>
    <row r="55" spans="2:65" s="151" customFormat="1" ht="15" customHeight="1">
      <c r="B55" s="286"/>
      <c r="C55" s="279"/>
      <c r="AB55" s="252"/>
      <c r="AC55" s="252"/>
      <c r="AD55" s="194"/>
      <c r="AE55" s="194"/>
      <c r="AF55" s="291"/>
      <c r="AH55" s="287"/>
      <c r="AM55" s="252"/>
      <c r="BD55"/>
      <c r="BE55"/>
      <c r="BF55"/>
      <c r="BG55"/>
      <c r="BH55"/>
      <c r="BI55"/>
      <c r="BJ55"/>
      <c r="BK55"/>
      <c r="BL55"/>
      <c r="BM55"/>
    </row>
    <row r="56" spans="2:65" s="151" customFormat="1" ht="15" customHeight="1">
      <c r="B56" s="286"/>
      <c r="C56" s="279"/>
      <c r="AB56" s="252"/>
      <c r="AC56" s="252"/>
      <c r="AD56" s="194"/>
      <c r="AE56" s="194"/>
      <c r="AF56" s="291"/>
      <c r="AG56" s="252"/>
      <c r="AH56" s="287"/>
      <c r="AM56" s="252"/>
      <c r="AN56" s="252"/>
      <c r="AO56" s="252"/>
    </row>
    <row r="57" spans="2:65" s="151" customFormat="1" ht="15" customHeight="1">
      <c r="B57" s="286"/>
      <c r="C57" s="279"/>
      <c r="AB57" s="252"/>
      <c r="AC57" s="252"/>
      <c r="AD57" s="194"/>
      <c r="AE57" s="194"/>
      <c r="AF57" s="291"/>
      <c r="AG57" s="252"/>
      <c r="AH57" s="252"/>
      <c r="AM57" s="252"/>
      <c r="AN57" s="252"/>
      <c r="AO57" s="252"/>
    </row>
    <row r="58" spans="2:65" s="151" customFormat="1" ht="15" customHeight="1">
      <c r="B58" s="286"/>
      <c r="C58" s="279"/>
      <c r="AB58" s="252"/>
      <c r="AC58" s="252"/>
      <c r="AD58" s="194"/>
      <c r="AE58" s="194"/>
      <c r="AF58" s="291"/>
      <c r="AG58" s="252"/>
      <c r="AH58" s="194"/>
      <c r="AM58" s="252"/>
      <c r="AN58" s="252"/>
      <c r="AO58" s="252"/>
    </row>
    <row r="59" spans="2:65" s="151" customFormat="1" ht="15" hidden="1" customHeight="1" thickBot="1">
      <c r="B59" s="286"/>
      <c r="C59" s="279"/>
      <c r="AB59" s="252"/>
      <c r="AC59" s="252"/>
      <c r="AD59" s="194"/>
      <c r="AE59" s="194"/>
      <c r="AF59" s="291"/>
      <c r="AG59" s="252"/>
      <c r="AH59" s="194"/>
      <c r="AM59" s="252"/>
      <c r="AN59" s="252"/>
      <c r="AO59" s="252"/>
    </row>
    <row r="60" spans="2:65" ht="15" hidden="1" customHeight="1">
      <c r="G60" s="315" t="s">
        <v>25</v>
      </c>
      <c r="I60" s="151"/>
      <c r="J60" s="151"/>
      <c r="K60" s="151"/>
      <c r="L60" s="151"/>
      <c r="P60" s="315" t="s">
        <v>169</v>
      </c>
      <c r="AB60" s="289"/>
      <c r="AC60" s="289"/>
      <c r="AD60" s="194"/>
      <c r="AE60" s="194"/>
      <c r="AF60" s="291"/>
      <c r="AG60" s="252"/>
      <c r="AH60" s="289"/>
      <c r="AI60" s="151"/>
      <c r="AJ60" s="151"/>
      <c r="AK60" s="151"/>
      <c r="AL60" s="151"/>
      <c r="AM60" s="289"/>
      <c r="AN60" s="252"/>
      <c r="AO60" s="252"/>
      <c r="AP60" s="151"/>
      <c r="AQ60" s="151"/>
      <c r="AT60" s="151"/>
      <c r="AU60" s="151"/>
      <c r="AV60" s="151"/>
      <c r="AW60" s="151"/>
      <c r="AX60" s="151"/>
      <c r="AY60" s="151"/>
      <c r="AZ60" s="151"/>
      <c r="BA60" s="151"/>
      <c r="BB60" s="151"/>
      <c r="BC60" s="151"/>
      <c r="BD60" s="151"/>
      <c r="BE60" s="151"/>
      <c r="BF60" s="151"/>
      <c r="BG60" s="151"/>
      <c r="BH60" s="151"/>
      <c r="BI60" s="151"/>
      <c r="BJ60" s="151"/>
      <c r="BK60" s="151"/>
      <c r="BL60" s="151"/>
      <c r="BM60" s="151"/>
    </row>
    <row r="61" spans="2:65" ht="15" hidden="1" customHeight="1" thickBot="1">
      <c r="G61" s="316" t="s">
        <v>26</v>
      </c>
      <c r="I61" s="151"/>
      <c r="J61" s="151"/>
      <c r="K61" s="151"/>
      <c r="L61" s="151"/>
      <c r="P61" s="316" t="s">
        <v>170</v>
      </c>
      <c r="AB61" s="289"/>
      <c r="AC61" s="289"/>
      <c r="AD61" s="289"/>
      <c r="AE61" s="289"/>
      <c r="AF61" s="289"/>
      <c r="AG61" s="289"/>
      <c r="AH61" s="289"/>
      <c r="AM61" s="289"/>
      <c r="AN61" s="289"/>
      <c r="AO61" s="289"/>
      <c r="AT61" s="290"/>
      <c r="AU61" s="290"/>
      <c r="AV61" s="290"/>
      <c r="AW61" s="290"/>
      <c r="AX61" s="290"/>
      <c r="AY61" s="290"/>
      <c r="AZ61" s="290"/>
      <c r="BA61" s="290"/>
      <c r="BB61" s="290"/>
    </row>
    <row r="62" spans="2:65" ht="15" hidden="1" customHeight="1">
      <c r="AB62" s="289"/>
      <c r="AC62" s="289"/>
      <c r="AD62" s="293"/>
      <c r="AE62" s="293"/>
      <c r="AF62" s="294"/>
      <c r="AG62" s="289"/>
      <c r="AH62" s="289"/>
      <c r="AM62" s="289"/>
      <c r="AN62" s="289"/>
      <c r="AO62" s="289"/>
      <c r="AT62" s="290"/>
      <c r="AU62" s="290"/>
      <c r="AV62" s="290"/>
      <c r="AW62" s="290"/>
      <c r="AX62" s="290"/>
      <c r="AY62" s="290"/>
      <c r="AZ62" s="290"/>
      <c r="BA62" s="290"/>
      <c r="BB62" s="290"/>
    </row>
    <row r="63" spans="2:65" ht="15" customHeight="1">
      <c r="AB63" s="289"/>
      <c r="AC63" s="289"/>
      <c r="AD63" s="289"/>
      <c r="AE63" s="289"/>
      <c r="AF63" s="289"/>
      <c r="AG63" s="289"/>
      <c r="AH63" s="296"/>
      <c r="AM63" s="296"/>
      <c r="AN63" s="289"/>
      <c r="AO63" s="289"/>
      <c r="AT63" s="290"/>
      <c r="AU63" s="290"/>
      <c r="AV63" s="290"/>
      <c r="AW63" s="290"/>
      <c r="AX63" s="290"/>
      <c r="AY63" s="290"/>
      <c r="AZ63" s="290"/>
      <c r="BA63" s="290"/>
      <c r="BB63" s="290"/>
    </row>
    <row r="64" spans="2:65" ht="15" customHeight="1">
      <c r="AB64" s="289"/>
      <c r="AC64" s="289"/>
      <c r="AD64" s="295"/>
      <c r="AE64" s="295"/>
      <c r="AF64" s="295"/>
      <c r="AG64" s="289"/>
      <c r="AH64" s="297"/>
      <c r="AM64" s="289"/>
      <c r="AN64" s="289"/>
      <c r="AO64" s="289"/>
      <c r="AT64" s="290"/>
      <c r="AU64" s="290"/>
      <c r="AV64" s="290"/>
      <c r="AW64" s="290"/>
      <c r="AX64" s="290"/>
      <c r="AY64" s="290"/>
      <c r="AZ64" s="290"/>
      <c r="BA64" s="290"/>
      <c r="BB64" s="290"/>
    </row>
    <row r="65" spans="28:54" ht="15" customHeight="1">
      <c r="AB65" s="298"/>
      <c r="AC65" s="298"/>
      <c r="AD65" s="1089"/>
      <c r="AE65" s="1089"/>
      <c r="AF65" s="289"/>
      <c r="AG65" s="289"/>
      <c r="AH65" s="297"/>
      <c r="AM65" s="289"/>
      <c r="AN65" s="289"/>
      <c r="AO65" s="289"/>
      <c r="AT65" s="290"/>
      <c r="AU65" s="290"/>
      <c r="AV65" s="290"/>
      <c r="AW65" s="290"/>
      <c r="AX65" s="290"/>
      <c r="AY65" s="290"/>
      <c r="AZ65" s="290"/>
      <c r="BA65" s="290"/>
      <c r="BB65" s="290"/>
    </row>
    <row r="66" spans="28:54" ht="15" customHeight="1">
      <c r="AB66" s="289"/>
      <c r="AC66" s="289"/>
      <c r="AD66" s="1089"/>
      <c r="AE66" s="1089"/>
      <c r="AF66" s="289"/>
      <c r="AG66" s="289"/>
      <c r="AH66" s="297"/>
      <c r="AM66" s="289"/>
      <c r="AN66" s="289"/>
      <c r="AO66" s="289"/>
      <c r="AT66" s="290"/>
      <c r="AU66" s="290"/>
      <c r="AV66" s="290"/>
      <c r="AW66" s="290"/>
      <c r="AX66" s="290"/>
      <c r="AY66" s="290"/>
      <c r="AZ66" s="290"/>
      <c r="BA66" s="290"/>
      <c r="BB66" s="290"/>
    </row>
    <row r="67" spans="28:54" ht="15" customHeight="1">
      <c r="AB67" s="289"/>
      <c r="AC67" s="289"/>
      <c r="AD67" s="1078"/>
      <c r="AE67" s="1078"/>
      <c r="AF67" s="299"/>
      <c r="AG67" s="289"/>
      <c r="AH67" s="297"/>
      <c r="AM67" s="289"/>
      <c r="AN67" s="289"/>
      <c r="AO67" s="289"/>
      <c r="AT67" s="290"/>
      <c r="AU67" s="290"/>
      <c r="AV67" s="290"/>
      <c r="AW67" s="290"/>
      <c r="AX67" s="290"/>
      <c r="AY67" s="290"/>
      <c r="AZ67" s="290"/>
      <c r="BA67" s="290"/>
      <c r="BB67" s="290"/>
    </row>
    <row r="68" spans="28:54" ht="15" customHeight="1">
      <c r="AB68" s="289"/>
      <c r="AC68" s="289"/>
      <c r="AD68" s="1078"/>
      <c r="AE68" s="1078"/>
      <c r="AF68" s="299"/>
      <c r="AG68" s="289"/>
      <c r="AH68" s="297"/>
      <c r="AM68" s="300"/>
      <c r="AN68" s="289"/>
      <c r="AO68" s="289"/>
    </row>
    <row r="69" spans="28:54" ht="15" customHeight="1">
      <c r="AB69" s="289"/>
      <c r="AC69" s="289"/>
      <c r="AD69" s="1079"/>
      <c r="AE69" s="1079"/>
      <c r="AF69" s="299"/>
      <c r="AG69" s="289"/>
      <c r="AH69" s="297"/>
      <c r="AM69" s="300"/>
      <c r="AN69" s="289"/>
      <c r="AO69" s="289"/>
    </row>
    <row r="70" spans="28:54" ht="15" customHeight="1">
      <c r="AB70" s="289"/>
      <c r="AC70" s="289"/>
      <c r="AD70" s="1080"/>
      <c r="AE70" s="1080"/>
      <c r="AF70" s="301"/>
      <c r="AG70" s="289"/>
      <c r="AH70" s="297"/>
      <c r="AM70" s="289"/>
      <c r="AN70" s="289"/>
      <c r="AO70" s="289"/>
    </row>
    <row r="71" spans="28:54" ht="15" customHeight="1">
      <c r="AB71" s="289"/>
      <c r="AC71" s="289"/>
      <c r="AD71" s="289"/>
      <c r="AE71" s="289"/>
      <c r="AF71" s="289"/>
      <c r="AG71" s="289"/>
      <c r="AH71" s="297"/>
      <c r="AM71" s="300"/>
      <c r="AN71" s="289"/>
      <c r="AO71" s="289"/>
    </row>
    <row r="72" spans="28:54" ht="15" customHeight="1">
      <c r="AB72" s="289"/>
      <c r="AC72" s="289"/>
      <c r="AD72" s="289"/>
      <c r="AE72" s="289"/>
      <c r="AF72" s="289"/>
      <c r="AG72" s="289"/>
      <c r="AH72" s="289"/>
      <c r="AM72" s="300"/>
      <c r="AN72" s="289"/>
      <c r="AO72" s="289"/>
    </row>
    <row r="73" spans="28:54" ht="15" customHeight="1">
      <c r="AB73" s="289"/>
      <c r="AC73" s="289"/>
      <c r="AD73" s="289"/>
      <c r="AE73" s="289"/>
      <c r="AF73" s="289"/>
      <c r="AG73" s="289"/>
      <c r="AH73" s="297"/>
      <c r="AM73" s="294"/>
      <c r="AN73" s="289"/>
      <c r="AO73" s="289"/>
    </row>
    <row r="74" spans="28:54" ht="15" customHeight="1">
      <c r="AB74" s="289"/>
      <c r="AC74" s="289"/>
      <c r="AD74" s="289"/>
      <c r="AE74" s="289"/>
      <c r="AF74" s="289"/>
      <c r="AG74" s="289"/>
      <c r="AH74" s="293"/>
      <c r="AM74" s="289"/>
      <c r="AN74" s="289"/>
      <c r="AO74" s="289"/>
    </row>
    <row r="75" spans="28:54" ht="15" customHeight="1">
      <c r="AB75" s="289"/>
      <c r="AC75" s="289"/>
      <c r="AD75" s="289"/>
      <c r="AE75" s="289"/>
      <c r="AF75" s="289"/>
      <c r="AG75" s="289"/>
      <c r="AH75" s="289"/>
      <c r="AM75" s="289"/>
      <c r="AN75" s="289"/>
      <c r="AO75" s="289"/>
    </row>
    <row r="76" spans="28:54" ht="15" customHeight="1">
      <c r="AB76" s="302"/>
      <c r="AC76" s="302"/>
      <c r="AD76" s="289"/>
      <c r="AE76" s="289"/>
      <c r="AF76" s="289"/>
      <c r="AG76" s="289"/>
      <c r="AI76" s="289"/>
      <c r="AJ76" s="289"/>
      <c r="AK76" s="289"/>
      <c r="AL76" s="289"/>
      <c r="AN76" s="289"/>
      <c r="AO76" s="289"/>
    </row>
    <row r="77" spans="28:54" ht="15" customHeight="1">
      <c r="AB77" s="302"/>
      <c r="AC77" s="302"/>
    </row>
    <row r="78" spans="28:54" ht="15" customHeight="1">
      <c r="AB78" s="302"/>
      <c r="AC78" s="302"/>
    </row>
    <row r="79" spans="28:54" ht="15" customHeight="1"/>
    <row r="80" spans="28:54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</sheetData>
  <sheetProtection password="D37A" sheet="1" formatCells="0" formatColumns="0" formatRows="0" insertColumns="0" insertRows="0" sort="0" autoFilter="0"/>
  <mergeCells count="213">
    <mergeCell ref="O45:P45"/>
    <mergeCell ref="T45:V45"/>
    <mergeCell ref="AD46:AF46"/>
    <mergeCell ref="I33:L33"/>
    <mergeCell ref="AD68:AE68"/>
    <mergeCell ref="AD69:AE69"/>
    <mergeCell ref="AD70:AE70"/>
    <mergeCell ref="D52:F52"/>
    <mergeCell ref="D53:F53"/>
    <mergeCell ref="G52:G53"/>
    <mergeCell ref="AD65:AE65"/>
    <mergeCell ref="AD66:AE66"/>
    <mergeCell ref="AD67:AE67"/>
    <mergeCell ref="AD47:AF47"/>
    <mergeCell ref="D13:E13"/>
    <mergeCell ref="D14:E14"/>
    <mergeCell ref="D15:E15"/>
    <mergeCell ref="D36:E36"/>
    <mergeCell ref="D37:E37"/>
    <mergeCell ref="D47:E47"/>
    <mergeCell ref="D48:E48"/>
    <mergeCell ref="D49:E49"/>
    <mergeCell ref="C50:D50"/>
    <mergeCell ref="AN47:AP47"/>
    <mergeCell ref="AN50:AP50"/>
    <mergeCell ref="O50:Q50"/>
    <mergeCell ref="O47:P47"/>
    <mergeCell ref="AD48:AF48"/>
    <mergeCell ref="AD51:AF51"/>
    <mergeCell ref="AN48:AP48"/>
    <mergeCell ref="O48:P48"/>
    <mergeCell ref="AD49:AF49"/>
    <mergeCell ref="AN49:AP49"/>
    <mergeCell ref="O49:P49"/>
    <mergeCell ref="AD50:AF50"/>
    <mergeCell ref="AT50:AU50"/>
    <mergeCell ref="I37:L37"/>
    <mergeCell ref="O37:P37"/>
    <mergeCell ref="S37:W37"/>
    <mergeCell ref="AD38:AG38"/>
    <mergeCell ref="AI38:AL38"/>
    <mergeCell ref="AN38:AQ38"/>
    <mergeCell ref="I38:L38"/>
    <mergeCell ref="I40:L40"/>
    <mergeCell ref="O40:R40"/>
    <mergeCell ref="AT47:AU47"/>
    <mergeCell ref="T40:W40"/>
    <mergeCell ref="AD41:AF41"/>
    <mergeCell ref="AI41:AK41"/>
    <mergeCell ref="AN41:AP41"/>
    <mergeCell ref="AN44:AP44"/>
    <mergeCell ref="O44:P44"/>
    <mergeCell ref="T44:U44"/>
    <mergeCell ref="AD45:AF45"/>
    <mergeCell ref="AI45:AK45"/>
    <mergeCell ref="AN45:AP45"/>
    <mergeCell ref="AI44:AK44"/>
    <mergeCell ref="O43:P43"/>
    <mergeCell ref="T43:U43"/>
    <mergeCell ref="AT48:AU48"/>
    <mergeCell ref="I34:I35"/>
    <mergeCell ref="J34:J35"/>
    <mergeCell ref="K34:K35"/>
    <mergeCell ref="L34:L35"/>
    <mergeCell ref="AN35:AO35"/>
    <mergeCell ref="AI39:AK39"/>
    <mergeCell ref="AN39:AP39"/>
    <mergeCell ref="AD40:AF40"/>
    <mergeCell ref="AI40:AK40"/>
    <mergeCell ref="AN40:AP40"/>
    <mergeCell ref="AD42:AF42"/>
    <mergeCell ref="AT41:AU41"/>
    <mergeCell ref="AI42:AK42"/>
    <mergeCell ref="AN42:AP42"/>
    <mergeCell ref="O42:P42"/>
    <mergeCell ref="T42:U42"/>
    <mergeCell ref="AD43:AF43"/>
    <mergeCell ref="AI43:AK43"/>
    <mergeCell ref="AN43:AP43"/>
    <mergeCell ref="AN36:AP36"/>
    <mergeCell ref="AD44:AF44"/>
    <mergeCell ref="AN46:AP46"/>
    <mergeCell ref="O46:P46"/>
    <mergeCell ref="AN32:AO32"/>
    <mergeCell ref="AN31:AO31"/>
    <mergeCell ref="I27:K27"/>
    <mergeCell ref="O27:AA27"/>
    <mergeCell ref="AD27:AF27"/>
    <mergeCell ref="AN27:AO27"/>
    <mergeCell ref="K28:K29"/>
    <mergeCell ref="O28:O29"/>
    <mergeCell ref="I41:I42"/>
    <mergeCell ref="J41:J42"/>
    <mergeCell ref="K41:K42"/>
    <mergeCell ref="L41:L42"/>
    <mergeCell ref="O41:P41"/>
    <mergeCell ref="T41:U41"/>
    <mergeCell ref="AN34:AO34"/>
    <mergeCell ref="AN33:AO33"/>
    <mergeCell ref="S38:W38"/>
    <mergeCell ref="AD39:AF39"/>
    <mergeCell ref="P28:Q28"/>
    <mergeCell ref="R28:S28"/>
    <mergeCell ref="AI21:AJ21"/>
    <mergeCell ref="AN21:AO21"/>
    <mergeCell ref="S24:T24"/>
    <mergeCell ref="AI22:AJ22"/>
    <mergeCell ref="AN22:AO22"/>
    <mergeCell ref="AI25:AK25"/>
    <mergeCell ref="AN28:AO28"/>
    <mergeCell ref="AN29:AO29"/>
    <mergeCell ref="AN30:AO30"/>
    <mergeCell ref="AN25:AO25"/>
    <mergeCell ref="AN26:AO26"/>
    <mergeCell ref="AD23:AE23"/>
    <mergeCell ref="AI23:AJ23"/>
    <mergeCell ref="AN23:AO23"/>
    <mergeCell ref="AD24:AE24"/>
    <mergeCell ref="AI24:AJ24"/>
    <mergeCell ref="AN24:AO24"/>
    <mergeCell ref="T28:U28"/>
    <mergeCell ref="V28:W28"/>
    <mergeCell ref="X28:Y28"/>
    <mergeCell ref="Z28:AA28"/>
    <mergeCell ref="S21:T21"/>
    <mergeCell ref="AD25:AE26"/>
    <mergeCell ref="AF25:AF26"/>
    <mergeCell ref="AG25:AG26"/>
    <mergeCell ref="S22:T22"/>
    <mergeCell ref="S23:T23"/>
    <mergeCell ref="AD21:AE22"/>
    <mergeCell ref="AF21:AF22"/>
    <mergeCell ref="AG21:AG22"/>
    <mergeCell ref="I16:J16"/>
    <mergeCell ref="O20:P20"/>
    <mergeCell ref="S20:T20"/>
    <mergeCell ref="O21:P21"/>
    <mergeCell ref="I20:K20"/>
    <mergeCell ref="AD20:AE20"/>
    <mergeCell ref="AI20:AJ20"/>
    <mergeCell ref="AN17:AO17"/>
    <mergeCell ref="AI15:AL15"/>
    <mergeCell ref="AN15:AQ15"/>
    <mergeCell ref="O18:P18"/>
    <mergeCell ref="S18:T18"/>
    <mergeCell ref="AD16:AE16"/>
    <mergeCell ref="AI16:AJ16"/>
    <mergeCell ref="AN16:AO16"/>
    <mergeCell ref="O16:P16"/>
    <mergeCell ref="S16:T16"/>
    <mergeCell ref="AD15:AG15"/>
    <mergeCell ref="D2:G2"/>
    <mergeCell ref="I2:L2"/>
    <mergeCell ref="BD2:BE2"/>
    <mergeCell ref="AD8:AE8"/>
    <mergeCell ref="AI8:AJ8"/>
    <mergeCell ref="AN8:AO8"/>
    <mergeCell ref="F3:G3"/>
    <mergeCell ref="I3:J3"/>
    <mergeCell ref="K3:L3"/>
    <mergeCell ref="AD5:AE5"/>
    <mergeCell ref="AN6:AO6"/>
    <mergeCell ref="AD7:AE7"/>
    <mergeCell ref="AI7:AJ7"/>
    <mergeCell ref="AN7:AO7"/>
    <mergeCell ref="AD4:AE4"/>
    <mergeCell ref="AI4:AJ4"/>
    <mergeCell ref="B38:B49"/>
    <mergeCell ref="B16:B37"/>
    <mergeCell ref="B5:B15"/>
    <mergeCell ref="B3:B4"/>
    <mergeCell ref="C3:D4"/>
    <mergeCell ref="AN4:AO4"/>
    <mergeCell ref="AQ11:AQ12"/>
    <mergeCell ref="AI5:AJ5"/>
    <mergeCell ref="AN13:AP13"/>
    <mergeCell ref="AI10:AJ10"/>
    <mergeCell ref="AN10:AO10"/>
    <mergeCell ref="O13:Q13"/>
    <mergeCell ref="S13:U13"/>
    <mergeCell ref="AI11:AK11"/>
    <mergeCell ref="AN11:AO12"/>
    <mergeCell ref="AP11:AP12"/>
    <mergeCell ref="O11:P11"/>
    <mergeCell ref="AN20:AO20"/>
    <mergeCell ref="AD17:AE18"/>
    <mergeCell ref="AF17:AF18"/>
    <mergeCell ref="AG17:AG18"/>
    <mergeCell ref="AD19:AE19"/>
    <mergeCell ref="AI17:AJ17"/>
    <mergeCell ref="AN3:AQ3"/>
    <mergeCell ref="AI9:AJ9"/>
    <mergeCell ref="AN9:AO9"/>
    <mergeCell ref="AN5:AO5"/>
    <mergeCell ref="AD6:AE6"/>
    <mergeCell ref="AI6:AJ6"/>
    <mergeCell ref="BD3:BM3"/>
    <mergeCell ref="O17:P17"/>
    <mergeCell ref="S17:T17"/>
    <mergeCell ref="O19:P19"/>
    <mergeCell ref="S19:T19"/>
    <mergeCell ref="AD3:AG3"/>
    <mergeCell ref="AI3:AL3"/>
    <mergeCell ref="O3:U3"/>
    <mergeCell ref="O14:P14"/>
    <mergeCell ref="S14:T14"/>
    <mergeCell ref="O15:P15"/>
    <mergeCell ref="S15:T15"/>
    <mergeCell ref="AD9:AF9"/>
    <mergeCell ref="AI18:AJ18"/>
    <mergeCell ref="AN18:AO18"/>
    <mergeCell ref="AI19:AJ19"/>
    <mergeCell ref="AN19:AO19"/>
  </mergeCells>
  <conditionalFormatting sqref="L36 I38:L38">
    <cfRule type="cellIs" dxfId="4840" priority="8" stopIfTrue="1" operator="lessThan">
      <formula>0</formula>
    </cfRule>
  </conditionalFormatting>
  <conditionalFormatting sqref="K36">
    <cfRule type="cellIs" dxfId="4839" priority="7" stopIfTrue="1" operator="lessThan">
      <formula>0</formula>
    </cfRule>
  </conditionalFormatting>
  <conditionalFormatting sqref="G5:G49 L5:L15">
    <cfRule type="cellIs" dxfId="4838" priority="6" stopIfTrue="1" operator="notEqual">
      <formula>F5</formula>
    </cfRule>
  </conditionalFormatting>
  <conditionalFormatting sqref="Q15:Q20 U15:U23 K5:L15 AF5:AF8 AK5:AK10 AP5:AP12 AF17:AF26 AK17:AK24 AG40:AG50 AL40:AL44 AQ40:AQ49 Q5:T10 F5:G49 P30:P35 R30:R35 T30:T35 V30:V35 X30:X35 Z30:Z35 Q42:Q49 V42:V44 AP17:AP35 AV5:AV40 AX5:AZ40 BI5:BK40 BG5:BG40">
    <cfRule type="cellIs" dxfId="4837" priority="4" stopIfTrue="1" operator="lessThan">
      <formula>0</formula>
    </cfRule>
  </conditionalFormatting>
  <dataValidations count="12">
    <dataValidation type="custom" showInputMessage="1" showErrorMessage="1" error="חובה לתת שם לחוב ולהכניס את השורות ברצף" sqref="AV6:AV40">
      <formula1>ISTEXT(AU6)</formula1>
    </dataValidation>
    <dataValidation type="custom" showInputMessage="1" showErrorMessage="1" error="חובה לתת שם לחוב ולהכניס את השורות ברצף" sqref="AW6:AW40">
      <formula1>ISTEXT(AU6)</formula1>
    </dataValidation>
    <dataValidation type="custom" showInputMessage="1" showErrorMessage="1" error="חובה לתת שם לחוב ולהכניס את השורות ברצף" sqref="AX6:AX40">
      <formula1>ISTEXT(AU6)</formula1>
    </dataValidation>
    <dataValidation type="custom" showInputMessage="1" showErrorMessage="1" error="חובה לתת שם לחוב ולהכניס את השורות ברצף" sqref="AY6:AY39">
      <formula1>ISTEXT(AU6)</formula1>
    </dataValidation>
    <dataValidation type="custom" showInputMessage="1" showErrorMessage="1" error="חובה לתת שם לחוב ולהכניס את השורות ברצף" sqref="AZ6:AZ40">
      <formula1>ISTEXT(AU6)</formula1>
    </dataValidation>
    <dataValidation type="custom" showInputMessage="1" showErrorMessage="1" error="חובה לתת שם לחוב ולהכניס את השורות ברצף" sqref="BB6:BB40">
      <formula1>ISTEXT(AU6)</formula1>
    </dataValidation>
    <dataValidation type="decimal" allowBlank="1" showInputMessage="1" showErrorMessage="1" error="רק ערכים מספריים מותרים !" sqref="J43:K49 AV5 BI6:BI40 AP17:AP35 P30:P35 R30:R35 T30:T35 V30:V35 X30:X35 Z30:Z35 Q42:Q49 V42:V44 U15:U23 Q15:Q20 F6:F8 F10 F27:F30 F39 F41:F45 K5:L15 AF5:AF8 AK5:AK10 AP5:AP12 AF17:AF26 AK17:AK24 AG40:AG50 AL40:AL44 AQ40:AQ49 G5:G49 AZ5 Q5:Q10 F12:F20 F34:F37 F47:F49 BK6:BK40">
      <formula1>-1000000000</formula1>
      <formula2>1000000000</formula2>
    </dataValidation>
    <dataValidation type="list" allowBlank="1" showInputMessage="1" showErrorMessage="1" error="חובה לבחור מהתפריט !" prompt="בחרו: כן/לא." sqref="G52:G53">
      <formula1>$G$60:$G$61</formula1>
    </dataValidation>
    <dataValidation type="decimal" allowBlank="1" showInputMessage="1" showErrorMessage="1" error="רק ערכים מספריים מותרים !" promptTitle="שימו לב!" prompt="הקלדת ערך בתא זה, מונעת חישוב אוטומטי שלו, באמצעות המחשבונים. " sqref="F5 F9 F21:F26 F31:F33 F38 F40 F11 F46">
      <formula1>-1000000000</formula1>
      <formula2>1000000000</formula2>
    </dataValidation>
    <dataValidation type="list" errorStyle="warning" allowBlank="1" showInputMessage="1" showErrorMessage="1" error="The mortgage type is niether &quot;Eligiable&quot; nor &quot;Complementary&quot;._x000a_Continue?_x000a_" sqref="P5:P10">
      <formula1>$P$60:$P$61</formula1>
    </dataValidation>
    <dataValidation type="custom" showInputMessage="1" showErrorMessage="1" error="אין אפשרות להכניס חוב בהסדר בשורה האחרונה. במידת הצורך, החליפו שורות עם חוב אחר שלא בהסדר" sqref="AY40">
      <formula1>"&gt;0"</formula1>
    </dataValidation>
    <dataValidation type="custom" showInputMessage="1" showErrorMessage="1" error="לא מילאת את השורות ברצף ו/או שם הנושה בשורה הקודמת לא מכיל אותיות (חובה אות אחת לפחות)._x000a_נא לתקן בהתאם" sqref="AU6:AU40">
      <formula1>ISTEXT(AU5)</formula1>
    </dataValidation>
  </dataValidations>
  <hyperlinks>
    <hyperlink ref="C5" location="'Current Status (''Shikuf'')'!O3" tooltip="מחשבון משכנתא" display="'Current Status (''Shikuf'')'!O3"/>
    <hyperlink ref="C9" location="'Current Status (''Shikuf'')'!O13" tooltip="מחשבון ביטוחים" display="'Current Status (''Shikuf'')'!O13"/>
    <hyperlink ref="C11" location="'Current Status (''Shikuf'')'!S13" tooltip="מחשבון מנויים" display="'Current Status (''Shikuf'')'!S13"/>
    <hyperlink ref="C21" location="'Current Status (''Shikuf'')'!O27" tooltip="מחשבון חינוך" display="'Current Status (''Shikuf'')'!O27"/>
    <hyperlink ref="C22" location="'Current Status (''Shikuf'')'!O40" tooltip="מחשבון חוגים" display="'Current Status (''Shikuf'')'!O40"/>
    <hyperlink ref="C23" location="'Current Status (''Shikuf'')'!T40" tooltip="מחשבון ביטוחי רכב" display="'Current Status (''Shikuf'')'!T40"/>
    <hyperlink ref="C24" location="'Current Status (''Shikuf'')'!AD3" tooltip="מחשבון תיקוני רכב" display="'Current Status (''Shikuf'')'!AD3"/>
    <hyperlink ref="C25" location="'Current Status (''Shikuf'')'!AI3" tooltip="מחשבון ביגוד והנעלה" display="'Current Status (''Shikuf'')'!AI3"/>
    <hyperlink ref="C26" location="'Current Status (''Shikuf'')'!AN3" tooltip="מחשבון בריאות" display="'Current Status (''Shikuf'')'!AN3"/>
    <hyperlink ref="C31" location="'Current Status (''Shikuf'')'!AD15" tooltip="מחשבון יהדות/חגים" display="'Current Status (''Shikuf'')'!AD15"/>
    <hyperlink ref="C32" location="'Current Status (''Shikuf'')'!AI15" tooltip="מחשבון מתנות" display="'Current Status (''Shikuf'')'!AI15"/>
    <hyperlink ref="C33" location="'Current Status (''Shikuf'')'!AN15" tooltip="מחשבון רכישות" display="'Current Status (''Shikuf'')'!AN15"/>
    <hyperlink ref="C38" location="'Current Status (''Shikuf'')'!AD38" tooltip="מחשבון מזון" display="'Current Status (''Shikuf'')'!AD38"/>
    <hyperlink ref="C40" location="'Current Status (''Shikuf'')'!AI38" tooltip="מחשבון דלק וחניה" display="'Current Status (''Shikuf'')'!AI38"/>
    <hyperlink ref="C46" location="'Current Status (''Shikuf'')'!AN38" tooltip="מחשבון דברים נוספים" display="'Current Status (''Shikuf'')'!AN38"/>
  </hyperlinks>
  <pageMargins left="0.23622047244094491" right="0.23622047244094491" top="0.74803149606299213" bottom="0.74803149606299213" header="0.31496062992125984" footer="0.31496062992125984"/>
  <pageSetup paperSize="9" scale="62" orientation="portrait" r:id="rId1"/>
  <headerFooter>
    <oddHeader xml:space="preserve">&amp;C
טופס שיקוף למשפחה
שם המשפחה: _________________            שם המלווה: _________________            תאריך: _________________    </oddHeader>
  </headerFooter>
  <colBreaks count="3" manualBreakCount="3">
    <brk id="13" max="50" man="1"/>
    <brk id="28" max="50" man="1"/>
    <brk id="44" max="50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  <outlinePr summaryBelow="0" summaryRight="0"/>
  </sheetPr>
  <dimension ref="A1:CN248"/>
  <sheetViews>
    <sheetView showZeros="0" zoomScale="75" zoomScaleNormal="75" workbookViewId="0"/>
  </sheetViews>
  <sheetFormatPr defaultColWidth="9.125" defaultRowHeight="14.25" outlineLevelRow="1" outlineLevelCol="1"/>
  <cols>
    <col min="1" max="1" width="0.375" style="2" customWidth="1"/>
    <col min="2" max="2" width="22.125" style="2" customWidth="1"/>
    <col min="3" max="3" width="8.125" style="2" customWidth="1"/>
    <col min="4" max="4" width="9.75" style="2" customWidth="1" collapsed="1"/>
    <col min="5" max="5" width="12.375" style="2" hidden="1" customWidth="1" outlineLevel="1"/>
    <col min="6" max="6" width="20.75" style="2" hidden="1" customWidth="1" outlineLevel="1"/>
    <col min="7" max="7" width="1.375" style="2" customWidth="1"/>
    <col min="8" max="8" width="5.375" style="2" customWidth="1"/>
    <col min="9" max="9" width="22.125" style="2" customWidth="1"/>
    <col min="10" max="10" width="8.125" style="2" customWidth="1" collapsed="1"/>
    <col min="11" max="11" width="12.375" style="2" hidden="1" customWidth="1" outlineLevel="1"/>
    <col min="12" max="12" width="20.75" style="2" hidden="1" customWidth="1" outlineLevel="1"/>
    <col min="13" max="13" width="10.75" style="2" customWidth="1"/>
    <col min="14" max="14" width="4.875" style="2" customWidth="1"/>
    <col min="15" max="15" width="5" style="3" customWidth="1"/>
    <col min="16" max="16" width="22.125" style="2" customWidth="1"/>
    <col min="17" max="17" width="10.25" style="2" customWidth="1"/>
    <col min="18" max="18" width="9.875" style="2" bestFit="1" customWidth="1"/>
    <col min="19" max="19" width="4.625" style="26" customWidth="1"/>
    <col min="20" max="20" width="3.75" style="26" customWidth="1" collapsed="1"/>
    <col min="21" max="21" width="12.375" style="26" hidden="1" customWidth="1" outlineLevel="1"/>
    <col min="22" max="22" width="20.75" style="26" hidden="1" customWidth="1" outlineLevel="1"/>
    <col min="23" max="23" width="10.75" style="2" customWidth="1"/>
    <col min="24" max="24" width="1" style="2" customWidth="1"/>
    <col min="25" max="25" width="27.125" style="2" customWidth="1"/>
    <col min="26" max="26" width="9.875" style="2" bestFit="1" customWidth="1"/>
    <col min="27" max="27" width="10.875" style="2" bestFit="1" customWidth="1" collapsed="1"/>
    <col min="28" max="28" width="13" style="2" hidden="1" customWidth="1" outlineLevel="1"/>
    <col min="29" max="29" width="14.125" style="2" hidden="1" customWidth="1" outlineLevel="1"/>
    <col min="30" max="30" width="10.875" style="2" hidden="1" customWidth="1"/>
    <col min="31" max="31" width="13.875" style="2" customWidth="1"/>
    <col min="32" max="32" width="3" style="2" customWidth="1"/>
    <col min="33" max="33" width="9.75" style="2" customWidth="1"/>
    <col min="34" max="34" width="5.625" style="2" customWidth="1"/>
    <col min="35" max="35" width="4.25" style="2" customWidth="1"/>
    <col min="36" max="36" width="9.125" style="2"/>
    <col min="37" max="37" width="11.875" style="2" customWidth="1"/>
    <col min="38" max="38" width="13.875" style="2" customWidth="1"/>
    <col min="39" max="40" width="9.125" style="2"/>
    <col min="41" max="41" width="9.125" style="52" customWidth="1"/>
    <col min="42" max="42" width="13.875" style="52" hidden="1" customWidth="1"/>
    <col min="43" max="43" width="16" style="52" hidden="1" customWidth="1"/>
    <col min="44" max="44" width="18.125" style="52" hidden="1" customWidth="1"/>
    <col min="45" max="45" width="16.125" style="52" hidden="1" customWidth="1"/>
    <col min="46" max="46" width="11.75" style="52" hidden="1" customWidth="1"/>
    <col min="47" max="47" width="9.125" style="52" hidden="1" customWidth="1"/>
    <col min="48" max="48" width="14" style="52" hidden="1" customWidth="1"/>
    <col min="49" max="49" width="16.75" style="52" hidden="1" customWidth="1"/>
    <col min="50" max="50" width="17.375" style="52" hidden="1" customWidth="1"/>
    <col min="51" max="51" width="9.125" style="52" hidden="1" customWidth="1"/>
    <col min="52" max="53" width="9.125" style="2" hidden="1" customWidth="1"/>
    <col min="54" max="60" width="9.125" style="2"/>
    <col min="61" max="61" width="2.875" style="2" customWidth="1"/>
    <col min="62" max="90" width="9.125" style="2"/>
    <col min="91" max="92" width="9.125" style="52" hidden="1" customWidth="1"/>
    <col min="93" max="16384" width="9.125" style="2"/>
  </cols>
  <sheetData>
    <row r="1" spans="1:92" s="367" customFormat="1" ht="15">
      <c r="B1" s="880" t="s">
        <v>381</v>
      </c>
      <c r="O1" s="512"/>
      <c r="S1" s="371"/>
      <c r="T1" s="371"/>
      <c r="U1" s="371"/>
      <c r="V1" s="371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CM1" s="86"/>
      <c r="CN1" s="86"/>
    </row>
    <row r="2" spans="1:92" ht="20.25">
      <c r="A2" s="367"/>
      <c r="B2" s="808" t="s">
        <v>468</v>
      </c>
      <c r="C2" s="890" t="s">
        <v>475</v>
      </c>
      <c r="E2" s="367"/>
      <c r="F2" s="367"/>
      <c r="G2" s="367"/>
      <c r="H2" s="380"/>
      <c r="I2" s="380"/>
      <c r="J2" s="380"/>
      <c r="K2" s="595"/>
      <c r="L2" s="584"/>
      <c r="M2" s="68" t="s">
        <v>347</v>
      </c>
      <c r="N2" s="1198" t="s">
        <v>371</v>
      </c>
      <c r="O2" s="1198"/>
      <c r="Q2" s="369"/>
      <c r="R2" s="14"/>
      <c r="S2" s="370"/>
      <c r="T2" s="370"/>
      <c r="U2" s="370"/>
      <c r="V2" s="370"/>
      <c r="W2" s="14"/>
      <c r="X2" s="367"/>
      <c r="Y2" s="900" t="s">
        <v>489</v>
      </c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86"/>
    </row>
    <row r="3" spans="1:92" ht="19.5" customHeight="1" thickBot="1">
      <c r="A3" s="367"/>
      <c r="B3" s="1162" t="s">
        <v>348</v>
      </c>
      <c r="C3" s="1163"/>
      <c r="D3" s="378"/>
      <c r="E3" s="378"/>
      <c r="F3" s="378"/>
      <c r="G3" s="367"/>
      <c r="I3" s="830" t="s">
        <v>345</v>
      </c>
      <c r="J3" s="829"/>
      <c r="K3" s="367"/>
      <c r="L3" s="581"/>
      <c r="M3" s="367"/>
      <c r="N3" s="367"/>
      <c r="O3" s="379"/>
      <c r="P3" s="381"/>
      <c r="Q3" s="830" t="s">
        <v>346</v>
      </c>
      <c r="R3" s="831"/>
      <c r="S3" s="513"/>
      <c r="T3" s="381"/>
      <c r="U3" s="513"/>
      <c r="V3" s="513"/>
      <c r="W3" s="553"/>
      <c r="X3" s="382"/>
      <c r="Y3" s="1218" t="s">
        <v>296</v>
      </c>
      <c r="Z3" s="1218"/>
      <c r="AA3" s="1218"/>
      <c r="AB3" s="554"/>
      <c r="AC3" s="554"/>
      <c r="AD3" s="383"/>
      <c r="AE3" s="367"/>
      <c r="AF3" s="367"/>
      <c r="AG3" s="367"/>
      <c r="AH3" s="367"/>
      <c r="AI3" s="367"/>
      <c r="AJ3" s="367"/>
      <c r="AK3" s="367"/>
      <c r="AL3" s="367"/>
      <c r="AM3" s="367"/>
      <c r="AN3" s="367"/>
      <c r="AO3" s="86"/>
      <c r="CM3" s="52" t="s">
        <v>432</v>
      </c>
      <c r="CN3" s="52" t="s">
        <v>433</v>
      </c>
    </row>
    <row r="4" spans="1:92" s="614" customFormat="1" ht="34.5" customHeight="1" thickBot="1">
      <c r="A4" s="602"/>
      <c r="B4" s="879" t="s">
        <v>352</v>
      </c>
      <c r="C4" s="1166">
        <f>C18</f>
        <v>0</v>
      </c>
      <c r="D4" s="1167"/>
      <c r="E4" s="1158"/>
      <c r="F4" s="1159"/>
      <c r="G4" s="602"/>
      <c r="H4" s="603" t="s">
        <v>356</v>
      </c>
      <c r="I4" s="604" t="s">
        <v>357</v>
      </c>
      <c r="J4" s="605" t="s">
        <v>494</v>
      </c>
      <c r="K4" s="606" t="s">
        <v>380</v>
      </c>
      <c r="L4" s="607" t="s">
        <v>335</v>
      </c>
      <c r="M4" s="608" t="s">
        <v>389</v>
      </c>
      <c r="N4" s="602"/>
      <c r="O4" s="609" t="s">
        <v>356</v>
      </c>
      <c r="P4" s="610" t="s">
        <v>357</v>
      </c>
      <c r="Q4" s="806" t="s">
        <v>494</v>
      </c>
      <c r="R4" s="610" t="s">
        <v>359</v>
      </c>
      <c r="S4" s="1176" t="s">
        <v>360</v>
      </c>
      <c r="T4" s="1155" t="s">
        <v>361</v>
      </c>
      <c r="U4" s="787" t="s">
        <v>380</v>
      </c>
      <c r="V4" s="639" t="s">
        <v>335</v>
      </c>
      <c r="W4" s="640" t="s">
        <v>389</v>
      </c>
      <c r="X4" s="623"/>
      <c r="Y4" s="1208" t="s">
        <v>363</v>
      </c>
      <c r="Z4" s="1209"/>
      <c r="AA4" s="611">
        <f>Z17</f>
        <v>0</v>
      </c>
      <c r="AB4" s="1174"/>
      <c r="AC4" s="1175"/>
      <c r="AD4" s="612"/>
      <c r="AE4" s="613"/>
      <c r="AF4" s="602"/>
      <c r="AG4" s="602"/>
      <c r="AH4" s="602"/>
      <c r="AI4" s="602"/>
      <c r="AJ4" s="602"/>
      <c r="AK4" s="602"/>
      <c r="AL4" s="602"/>
      <c r="AM4" s="602"/>
      <c r="AN4" s="602"/>
      <c r="AO4" s="703"/>
      <c r="AP4" s="704"/>
      <c r="AQ4" s="704"/>
      <c r="AR4" s="704"/>
      <c r="AS4" s="704"/>
      <c r="AT4" s="705" t="s">
        <v>30</v>
      </c>
      <c r="AU4" s="704"/>
      <c r="AV4" s="704"/>
      <c r="AW4" s="704"/>
      <c r="AX4" s="704"/>
      <c r="AY4" s="704"/>
      <c r="CM4" s="823" t="s">
        <v>433</v>
      </c>
      <c r="CN4" s="823" t="s">
        <v>434</v>
      </c>
    </row>
    <row r="5" spans="1:92" ht="15" customHeight="1" thickBot="1">
      <c r="A5" s="367"/>
      <c r="B5" s="1164" t="s">
        <v>353</v>
      </c>
      <c r="C5" s="1170" t="s">
        <v>354</v>
      </c>
      <c r="D5" s="1168" t="s">
        <v>494</v>
      </c>
      <c r="E5" s="1109" t="s">
        <v>380</v>
      </c>
      <c r="F5" s="1108" t="s">
        <v>335</v>
      </c>
      <c r="G5" s="367"/>
      <c r="H5" s="1157"/>
      <c r="I5" s="1149" t="s">
        <v>362</v>
      </c>
      <c r="J5" s="1150"/>
      <c r="K5" s="1193"/>
      <c r="L5" s="1160"/>
      <c r="M5" s="1153">
        <f>C57+Z54</f>
        <v>0</v>
      </c>
      <c r="N5" s="14"/>
      <c r="O5" s="1182"/>
      <c r="P5" s="1183" t="s">
        <v>467</v>
      </c>
      <c r="Q5" s="1184"/>
      <c r="R5" s="1191"/>
      <c r="S5" s="1177"/>
      <c r="T5" s="1156"/>
      <c r="U5" s="1192"/>
      <c r="V5" s="1191"/>
      <c r="W5" s="1195">
        <f>Z45+Z55</f>
        <v>0</v>
      </c>
      <c r="X5" s="621"/>
      <c r="Y5" s="5" t="s">
        <v>364</v>
      </c>
      <c r="Z5" s="104" t="s">
        <v>354</v>
      </c>
      <c r="AA5" s="913" t="s">
        <v>494</v>
      </c>
      <c r="AB5" s="804" t="s">
        <v>386</v>
      </c>
      <c r="AC5" s="716" t="s">
        <v>335</v>
      </c>
      <c r="AD5" s="31"/>
      <c r="AE5" s="1130" t="s">
        <v>365</v>
      </c>
      <c r="AF5" s="367"/>
      <c r="AG5" s="367"/>
      <c r="AH5" s="367"/>
      <c r="AI5" s="367"/>
      <c r="AJ5" s="367"/>
      <c r="AK5" s="367"/>
      <c r="AL5" s="367"/>
      <c r="AM5" s="367"/>
      <c r="AN5" s="367"/>
      <c r="AO5" s="86"/>
      <c r="AT5" s="52" t="s">
        <v>476</v>
      </c>
      <c r="CM5" s="52" t="s">
        <v>434</v>
      </c>
      <c r="CN5" s="52" t="s">
        <v>435</v>
      </c>
    </row>
    <row r="6" spans="1:92" ht="15" customHeight="1" thickTop="1" thickBot="1">
      <c r="A6" s="367"/>
      <c r="B6" s="1165"/>
      <c r="C6" s="1171"/>
      <c r="D6" s="1169"/>
      <c r="E6" s="1109"/>
      <c r="F6" s="1108"/>
      <c r="G6" s="367"/>
      <c r="H6" s="1157"/>
      <c r="I6" s="1151"/>
      <c r="J6" s="1152"/>
      <c r="K6" s="1194"/>
      <c r="L6" s="1161"/>
      <c r="M6" s="1154"/>
      <c r="N6" s="367"/>
      <c r="O6" s="1182"/>
      <c r="P6" s="1185"/>
      <c r="Q6" s="1186"/>
      <c r="R6" s="1192"/>
      <c r="S6" s="638"/>
      <c r="T6" s="786"/>
      <c r="U6" s="1197"/>
      <c r="V6" s="1191"/>
      <c r="W6" s="1196"/>
      <c r="X6" s="395"/>
      <c r="Y6" s="683" t="str">
        <f>IF('Current Status (''Shikuf'')'!$G$52="כן",'Current Status (''Shikuf'')'!I5,"בעל עבודה 1")</f>
        <v>Husband job 1</v>
      </c>
      <c r="Z6" s="323">
        <f>IF('Current Status (''Shikuf'')'!$G$52="כן",'Current Status (''Shikuf'')'!L5,0)</f>
        <v>0</v>
      </c>
      <c r="AA6" s="69"/>
      <c r="AB6" s="717"/>
      <c r="AC6" s="869"/>
      <c r="AD6" s="32"/>
      <c r="AE6" s="1131"/>
      <c r="AF6" s="367"/>
      <c r="AG6" s="367"/>
      <c r="AH6" s="367"/>
      <c r="AI6" s="367"/>
      <c r="AJ6" s="367"/>
      <c r="AK6" s="367"/>
      <c r="AL6" s="367"/>
      <c r="AM6" s="367"/>
      <c r="AN6" s="367"/>
      <c r="AO6" s="86"/>
      <c r="AT6" s="52" t="s">
        <v>477</v>
      </c>
      <c r="CM6" s="52" t="s">
        <v>435</v>
      </c>
      <c r="CN6" s="52" t="s">
        <v>436</v>
      </c>
    </row>
    <row r="7" spans="1:92" ht="15" customHeight="1" thickTop="1" thickBot="1">
      <c r="A7" s="367"/>
      <c r="B7" s="846" t="str">
        <f>IF('Current Status (''Shikuf'')'!$G$52="כן",'Current Status (''Shikuf'')'!D5,"משכנתא")</f>
        <v>Mortgage Payments</v>
      </c>
      <c r="C7" s="319">
        <f>IF('Current Status (''Shikuf'')'!$G$52="כן",'Current Status (''Shikuf'')'!G5,0)</f>
        <v>0</v>
      </c>
      <c r="D7" s="78"/>
      <c r="E7" s="521"/>
      <c r="F7" s="858"/>
      <c r="G7" s="394"/>
      <c r="H7" s="542"/>
      <c r="I7" s="853"/>
      <c r="J7" s="6"/>
      <c r="K7" s="541"/>
      <c r="L7" s="860"/>
      <c r="M7" s="20" t="str">
        <f>IF(J7="","",$M$5-SUM($J$7:J7))</f>
        <v/>
      </c>
      <c r="N7" s="367"/>
      <c r="O7" s="106"/>
      <c r="P7" s="862"/>
      <c r="Q7" s="8"/>
      <c r="R7" s="628">
        <f t="shared" ref="R7:R45" si="0">Q7</f>
        <v>0</v>
      </c>
      <c r="S7" s="791"/>
      <c r="T7" s="791"/>
      <c r="U7" s="793"/>
      <c r="V7" s="867"/>
      <c r="W7" s="622" t="str">
        <f>IF(Q7="","",$W$5-SUM($Q$7:Q7))</f>
        <v/>
      </c>
      <c r="X7" s="395"/>
      <c r="Y7" s="683" t="str">
        <f>IF('Current Status (''Shikuf'')'!$G$52="כן",'Current Status (''Shikuf'')'!I6,"בעל עבודה 2")</f>
        <v>Husband job 2</v>
      </c>
      <c r="Z7" s="324">
        <f>IF('Current Status (''Shikuf'')'!$G$52="כן",'Current Status (''Shikuf'')'!L6,0)</f>
        <v>0</v>
      </c>
      <c r="AA7" s="69"/>
      <c r="AB7" s="521"/>
      <c r="AC7" s="858"/>
      <c r="AD7" s="32"/>
      <c r="AE7" s="1132"/>
      <c r="AF7" s="367"/>
      <c r="AG7" s="367"/>
      <c r="AH7" s="367"/>
      <c r="AI7" s="367"/>
      <c r="AJ7" s="367"/>
      <c r="AK7" s="367"/>
      <c r="AL7" s="367"/>
      <c r="AM7" s="367"/>
      <c r="AN7" s="367"/>
      <c r="AO7" s="86"/>
      <c r="AT7" s="52" t="s">
        <v>478</v>
      </c>
      <c r="CM7" s="52" t="s">
        <v>436</v>
      </c>
      <c r="CN7" s="52" t="s">
        <v>437</v>
      </c>
    </row>
    <row r="8" spans="1:92" ht="15" customHeight="1" thickBot="1">
      <c r="A8" s="367"/>
      <c r="B8" s="846" t="str">
        <f>IF('Current Status (''Shikuf'')'!$G$52="כן",'Current Status (''Shikuf'')'!D6,"ביטוח משכנתא")</f>
        <v>Mortgage Insurance</v>
      </c>
      <c r="C8" s="320">
        <f>IF('Current Status (''Shikuf'')'!$G$52="כן",'Current Status (''Shikuf'')'!G6,0)</f>
        <v>0</v>
      </c>
      <c r="D8" s="78"/>
      <c r="E8" s="521"/>
      <c r="F8" s="858"/>
      <c r="G8" s="367"/>
      <c r="H8" s="543"/>
      <c r="I8" s="853"/>
      <c r="J8" s="6"/>
      <c r="K8" s="541"/>
      <c r="L8" s="860"/>
      <c r="M8" s="20" t="str">
        <f>IF(J8="","",$M$5-SUM($J$7:J8))</f>
        <v/>
      </c>
      <c r="N8" s="367"/>
      <c r="O8" s="7"/>
      <c r="P8" s="863"/>
      <c r="Q8" s="8"/>
      <c r="R8" s="628">
        <f t="shared" si="0"/>
        <v>0</v>
      </c>
      <c r="S8" s="791"/>
      <c r="T8" s="791"/>
      <c r="U8" s="793"/>
      <c r="V8" s="867"/>
      <c r="W8" s="622" t="str">
        <f>IF(Q8="","",$W$5-SUM($Q$7:Q8))</f>
        <v/>
      </c>
      <c r="X8" s="395"/>
      <c r="Y8" s="683" t="str">
        <f>IF('Current Status (''Shikuf'')'!$G$52="כן",'Current Status (''Shikuf'')'!I7,"אישה עבודה 1")</f>
        <v>Wife job 1</v>
      </c>
      <c r="Z8" s="324">
        <f>IF('Current Status (''Shikuf'')'!$G$52="כן",'Current Status (''Shikuf'')'!L7,0)</f>
        <v>0</v>
      </c>
      <c r="AA8" s="69"/>
      <c r="AB8" s="521"/>
      <c r="AC8" s="858"/>
      <c r="AD8" s="32"/>
      <c r="AE8" s="363">
        <f>(AA17)/AR19</f>
        <v>0</v>
      </c>
      <c r="AF8" s="367"/>
      <c r="AG8" s="367"/>
      <c r="AH8" s="367"/>
      <c r="AI8" s="367"/>
      <c r="AJ8" s="367"/>
      <c r="AK8" s="367"/>
      <c r="AL8" s="367"/>
      <c r="AM8" s="367"/>
      <c r="AN8" s="367"/>
      <c r="AO8" s="86"/>
      <c r="AT8" s="52" t="s">
        <v>480</v>
      </c>
      <c r="CM8" s="52" t="s">
        <v>437</v>
      </c>
      <c r="CN8" s="52" t="s">
        <v>438</v>
      </c>
    </row>
    <row r="9" spans="1:92" ht="15" customHeight="1" thickBot="1">
      <c r="A9" s="367"/>
      <c r="B9" s="846" t="str">
        <f>IF('Current Status (''Shikuf'')'!$G$52="כן",'Current Status (''Shikuf'')'!D7,"שכר דירה")</f>
        <v>Rent</v>
      </c>
      <c r="C9" s="320">
        <f>IF('Current Status (''Shikuf'')'!$G$52="כן",'Current Status (''Shikuf'')'!G7,0)</f>
        <v>0</v>
      </c>
      <c r="D9" s="78"/>
      <c r="E9" s="521"/>
      <c r="F9" s="858"/>
      <c r="G9" s="367"/>
      <c r="H9" s="543"/>
      <c r="I9" s="853"/>
      <c r="J9" s="6"/>
      <c r="K9" s="541"/>
      <c r="L9" s="860"/>
      <c r="M9" s="20" t="str">
        <f>IF(J9="","",$M$5-SUM($J$7:J9))</f>
        <v/>
      </c>
      <c r="N9" s="367"/>
      <c r="O9" s="7"/>
      <c r="P9" s="862"/>
      <c r="Q9" s="8"/>
      <c r="R9" s="628">
        <f t="shared" si="0"/>
        <v>0</v>
      </c>
      <c r="S9" s="791"/>
      <c r="T9" s="791"/>
      <c r="U9" s="793"/>
      <c r="V9" s="867"/>
      <c r="W9" s="622" t="str">
        <f>IF(Q9="","",$W$5-SUM($Q$7:Q9))</f>
        <v/>
      </c>
      <c r="X9" s="395"/>
      <c r="Y9" s="683" t="str">
        <f>IF('Current Status (''Shikuf'')'!$G$52="כן",'Current Status (''Shikuf'')'!I8,"אישה עבודה 2")</f>
        <v>Wife job 2</v>
      </c>
      <c r="Z9" s="324">
        <f>IF('Current Status (''Shikuf'')'!$G$52="כן",'Current Status (''Shikuf'')'!L8,0)</f>
        <v>0</v>
      </c>
      <c r="AA9" s="69"/>
      <c r="AB9" s="521"/>
      <c r="AC9" s="858"/>
      <c r="AD9" s="32"/>
      <c r="AE9" s="367"/>
      <c r="AF9" s="367"/>
      <c r="AG9" s="367"/>
      <c r="AH9" s="367"/>
      <c r="AI9" s="367"/>
      <c r="AJ9" s="367"/>
      <c r="AK9" s="367"/>
      <c r="AL9" s="367"/>
      <c r="AM9" s="367"/>
      <c r="AN9" s="367"/>
      <c r="AO9" s="86"/>
      <c r="AT9" s="52" t="s">
        <v>479</v>
      </c>
      <c r="CM9" s="52" t="s">
        <v>438</v>
      </c>
      <c r="CN9" s="52" t="s">
        <v>439</v>
      </c>
    </row>
    <row r="10" spans="1:92" ht="15" customHeight="1">
      <c r="A10" s="367"/>
      <c r="B10" s="846" t="str">
        <f>IF('Current Status (''Shikuf'')'!$G$52="כן",'Current Status (''Shikuf'')'!D8,"מיסי ישוב / ועד בית")</f>
        <v>Town Taxes / Maintenance Fees</v>
      </c>
      <c r="C10" s="320">
        <f>IF('Current Status (''Shikuf'')'!$G$52="כן",'Current Status (''Shikuf'')'!G8,0)</f>
        <v>0</v>
      </c>
      <c r="D10" s="79"/>
      <c r="E10" s="522"/>
      <c r="F10" s="859"/>
      <c r="G10" s="367"/>
      <c r="H10" s="543"/>
      <c r="I10" s="853"/>
      <c r="J10" s="6"/>
      <c r="K10" s="541"/>
      <c r="L10" s="860"/>
      <c r="M10" s="20" t="str">
        <f>IF(J10="","",$M$5-SUM($J$7:J10))</f>
        <v/>
      </c>
      <c r="N10" s="367"/>
      <c r="O10" s="7"/>
      <c r="P10" s="862"/>
      <c r="Q10" s="4"/>
      <c r="R10" s="628">
        <f t="shared" si="0"/>
        <v>0</v>
      </c>
      <c r="S10" s="791"/>
      <c r="T10" s="791"/>
      <c r="U10" s="793"/>
      <c r="V10" s="867"/>
      <c r="W10" s="624" t="str">
        <f>IF(Q10="","",$W$5-SUM($Q$7:Q10))</f>
        <v/>
      </c>
      <c r="X10" s="621"/>
      <c r="Y10" s="683" t="str">
        <f>IF('Current Status (''Shikuf'')'!$G$52="כן",'Current Status (''Shikuf'')'!I9,"קצבת ילדים")</f>
        <v>National Social Security for Children</v>
      </c>
      <c r="Z10" s="324">
        <f>IF('Current Status (''Shikuf'')'!$G$52="כן",'Current Status (''Shikuf'')'!L9,0)</f>
        <v>0</v>
      </c>
      <c r="AA10" s="69"/>
      <c r="AB10" s="522"/>
      <c r="AC10" s="859"/>
      <c r="AD10" s="32"/>
      <c r="AE10" s="1133" t="s">
        <v>366</v>
      </c>
      <c r="AF10" s="367"/>
      <c r="AG10" s="367"/>
      <c r="AH10" s="367"/>
      <c r="AI10" s="367"/>
      <c r="AJ10" s="367"/>
      <c r="AK10" s="367"/>
      <c r="AL10" s="367"/>
      <c r="AM10" s="367"/>
      <c r="AN10" s="367"/>
      <c r="AO10" s="86"/>
      <c r="CM10" s="52" t="s">
        <v>439</v>
      </c>
      <c r="CN10" s="52" t="s">
        <v>440</v>
      </c>
    </row>
    <row r="11" spans="1:92" ht="15" customHeight="1" thickBot="1">
      <c r="A11" s="367"/>
      <c r="B11" s="846" t="str">
        <f>IF('Current Status (''Shikuf'')'!$G$52="כן",'Current Status (''Shikuf'')'!D9,"ביטוחים (למעט רכב)")</f>
        <v xml:space="preserve">Insurance (excl. car) </v>
      </c>
      <c r="C11" s="320">
        <f>IF('Current Status (''Shikuf'')'!$G$52="כן",'Current Status (''Shikuf'')'!G9,0)</f>
        <v>0</v>
      </c>
      <c r="D11" s="78"/>
      <c r="E11" s="521"/>
      <c r="F11" s="858"/>
      <c r="G11" s="367"/>
      <c r="H11" s="543"/>
      <c r="I11" s="853"/>
      <c r="J11" s="6"/>
      <c r="K11" s="541"/>
      <c r="L11" s="860"/>
      <c r="M11" s="20" t="str">
        <f>IF(J11="","",$M$5-SUM($J$7:J11))</f>
        <v/>
      </c>
      <c r="N11" s="367"/>
      <c r="O11" s="7"/>
      <c r="P11" s="862"/>
      <c r="Q11" s="8"/>
      <c r="R11" s="628">
        <f t="shared" si="0"/>
        <v>0</v>
      </c>
      <c r="S11" s="791"/>
      <c r="T11" s="791"/>
      <c r="U11" s="793"/>
      <c r="V11" s="867"/>
      <c r="W11" s="622" t="str">
        <f>IF(Q11="","",$W$5-SUM($Q$7:Q11))</f>
        <v/>
      </c>
      <c r="X11" s="395"/>
      <c r="Y11" s="683" t="str">
        <f>IF('Current Status (''Shikuf'')'!$G$52="כן",'Current Status (''Shikuf'')'!I10,"קצבאות נוספות")</f>
        <v>other Allowances</v>
      </c>
      <c r="Z11" s="324">
        <f>IF('Current Status (''Shikuf'')'!$G$52="כן",'Current Status (''Shikuf'')'!L10,0)</f>
        <v>0</v>
      </c>
      <c r="AA11" s="69"/>
      <c r="AB11" s="521"/>
      <c r="AC11" s="858"/>
      <c r="AD11" s="32"/>
      <c r="AE11" s="1134"/>
      <c r="AF11" s="367"/>
      <c r="AG11" s="367"/>
      <c r="AH11" s="367"/>
      <c r="AI11" s="367"/>
      <c r="AJ11" s="367"/>
      <c r="AK11" s="367"/>
      <c r="AL11" s="367"/>
      <c r="AM11" s="367"/>
      <c r="AN11" s="367"/>
      <c r="AO11" s="86"/>
      <c r="CM11" s="52" t="s">
        <v>440</v>
      </c>
      <c r="CN11" s="52" t="s">
        <v>441</v>
      </c>
    </row>
    <row r="12" spans="1:92" ht="15" customHeight="1" thickBot="1">
      <c r="A12" s="367"/>
      <c r="B12" s="846" t="str">
        <f>IF('Current Status (''Shikuf'')'!$G$52="כן",'Current Status (''Shikuf'')'!D10,"הוראות קבע לחיסכון")</f>
        <v>Bank Savings Program</v>
      </c>
      <c r="C12" s="320">
        <f>IF('Current Status (''Shikuf'')'!$G$52="כן",'Current Status (''Shikuf'')'!G10,0)</f>
        <v>0</v>
      </c>
      <c r="D12" s="78"/>
      <c r="E12" s="521"/>
      <c r="F12" s="858"/>
      <c r="G12" s="367"/>
      <c r="H12" s="543"/>
      <c r="I12" s="853"/>
      <c r="J12" s="6"/>
      <c r="K12" s="541"/>
      <c r="L12" s="860"/>
      <c r="M12" s="20" t="str">
        <f>IF(J12="","",$M$5-SUM($J$7:J12))</f>
        <v/>
      </c>
      <c r="N12" s="367"/>
      <c r="O12" s="7"/>
      <c r="P12" s="862"/>
      <c r="Q12" s="8"/>
      <c r="R12" s="628">
        <f t="shared" si="0"/>
        <v>0</v>
      </c>
      <c r="S12" s="791"/>
      <c r="T12" s="791"/>
      <c r="U12" s="793"/>
      <c r="V12" s="867"/>
      <c r="W12" s="622" t="str">
        <f>IF(Q12="","",$W$5-SUM($Q$7:Q12))</f>
        <v/>
      </c>
      <c r="X12" s="395"/>
      <c r="Y12" s="683" t="str">
        <f>IF('Current Status (''Shikuf'')'!$G$52="כן",'Current Status (''Shikuf'')'!I11,"סיוע בשכר דירה")</f>
        <v>Rent Assistance</v>
      </c>
      <c r="Z12" s="324">
        <f>IF('Current Status (''Shikuf'')'!$G$52="כן",'Current Status (''Shikuf'')'!L11,0)</f>
        <v>0</v>
      </c>
      <c r="AA12" s="69"/>
      <c r="AB12" s="521"/>
      <c r="AC12" s="858"/>
      <c r="AD12" s="32"/>
      <c r="AE12" s="1135"/>
      <c r="AF12" s="367"/>
      <c r="AG12" s="367"/>
      <c r="AH12" s="367"/>
      <c r="AI12" s="367"/>
      <c r="AJ12" s="367"/>
      <c r="AK12" s="367"/>
      <c r="AL12" s="367"/>
      <c r="AM12" s="367"/>
      <c r="AN12" s="367"/>
      <c r="AO12" s="86"/>
      <c r="AP12" s="1138" t="s">
        <v>20</v>
      </c>
      <c r="AQ12" s="1139"/>
      <c r="AR12" s="1139"/>
      <c r="AS12" s="1139"/>
      <c r="AT12" s="1139"/>
      <c r="AU12" s="1139"/>
      <c r="AV12" s="1139"/>
      <c r="AW12" s="1139"/>
      <c r="AX12" s="1140"/>
      <c r="CM12" s="52" t="s">
        <v>441</v>
      </c>
      <c r="CN12" s="52" t="s">
        <v>442</v>
      </c>
    </row>
    <row r="13" spans="1:92" ht="15" customHeight="1" thickBot="1">
      <c r="A13" s="367"/>
      <c r="B13" s="846" t="str">
        <f>IF('Current Status (''Shikuf'')'!$G$52="כן",'Current Status (''Shikuf'')'!D11,"מנויים")</f>
        <v>Subscriptions</v>
      </c>
      <c r="C13" s="320">
        <f>IF('Current Status (''Shikuf'')'!$G$52="כן",'Current Status (''Shikuf'')'!G11,0)</f>
        <v>0</v>
      </c>
      <c r="D13" s="78"/>
      <c r="E13" s="521"/>
      <c r="F13" s="858"/>
      <c r="G13" s="394"/>
      <c r="H13" s="543"/>
      <c r="I13" s="853"/>
      <c r="J13" s="6"/>
      <c r="K13" s="541"/>
      <c r="L13" s="860"/>
      <c r="M13" s="20" t="str">
        <f>IF(J13="","",$M$5-SUM($J$7:J13))</f>
        <v/>
      </c>
      <c r="N13" s="367"/>
      <c r="O13" s="7"/>
      <c r="P13" s="862"/>
      <c r="Q13" s="8"/>
      <c r="R13" s="628">
        <f t="shared" si="0"/>
        <v>0</v>
      </c>
      <c r="S13" s="791"/>
      <c r="T13" s="791"/>
      <c r="U13" s="793"/>
      <c r="V13" s="867"/>
      <c r="W13" s="622" t="str">
        <f>IF(Q13="","",$W$5-SUM($Q$7:Q13))</f>
        <v/>
      </c>
      <c r="X13" s="395"/>
      <c r="Y13" s="683" t="str">
        <f>IF('Current Status (''Shikuf'')'!$G$52="כן",'Current Status (''Shikuf'')'!I12,"מזונות")</f>
        <v>Food Packages</v>
      </c>
      <c r="Z13" s="324">
        <f>IF('Current Status (''Shikuf'')'!$G$52="כן",'Current Status (''Shikuf'')'!L12,0)</f>
        <v>0</v>
      </c>
      <c r="AA13" s="69"/>
      <c r="AB13" s="521"/>
      <c r="AC13" s="858"/>
      <c r="AD13" s="32"/>
      <c r="AE13" s="363">
        <f>AA18</f>
        <v>0</v>
      </c>
      <c r="AF13" s="367"/>
      <c r="AG13" s="367"/>
      <c r="AH13" s="367"/>
      <c r="AI13" s="367"/>
      <c r="AJ13" s="367"/>
      <c r="AK13" s="367"/>
      <c r="AL13" s="367"/>
      <c r="AM13" s="367"/>
      <c r="AN13" s="367"/>
      <c r="AO13" s="86"/>
      <c r="CM13" s="52" t="s">
        <v>442</v>
      </c>
      <c r="CN13" s="52" t="s">
        <v>443</v>
      </c>
    </row>
    <row r="14" spans="1:92" ht="15" customHeight="1">
      <c r="A14" s="367"/>
      <c r="B14" s="846" t="str">
        <f>IF('Current Status (''Shikuf'')'!$G$52="כן",'Current Status (''Shikuf'')'!D12,"תרומות בהוראת קבע")</f>
        <v>Donations</v>
      </c>
      <c r="C14" s="320">
        <f>IF('Current Status (''Shikuf'')'!$G$52="כן",'Current Status (''Shikuf'')'!G12,0)</f>
        <v>0</v>
      </c>
      <c r="D14" s="78"/>
      <c r="E14" s="521"/>
      <c r="F14" s="858"/>
      <c r="G14" s="367"/>
      <c r="H14" s="543"/>
      <c r="I14" s="853"/>
      <c r="J14" s="6"/>
      <c r="K14" s="541"/>
      <c r="L14" s="860"/>
      <c r="M14" s="20" t="str">
        <f>IF(J14="","",$M$5-SUM($J$7:J14))</f>
        <v/>
      </c>
      <c r="N14" s="367"/>
      <c r="O14" s="7"/>
      <c r="P14" s="862"/>
      <c r="Q14" s="8"/>
      <c r="R14" s="628">
        <f t="shared" si="0"/>
        <v>0</v>
      </c>
      <c r="S14" s="791"/>
      <c r="T14" s="791"/>
      <c r="U14" s="793"/>
      <c r="V14" s="867"/>
      <c r="W14" s="622" t="str">
        <f>IF(Q14="","",$W$5-SUM($Q$7:Q14))</f>
        <v/>
      </c>
      <c r="X14" s="395"/>
      <c r="Y14" s="683" t="str">
        <f>IF('Current Status (''Shikuf'')'!$G$52="כן",'Current Status (''Shikuf'')'!I13,"הכנסה מנכס")</f>
        <v>Income from Property</v>
      </c>
      <c r="Z14" s="324">
        <f>IF('Current Status (''Shikuf'')'!$G$52="כן",'Current Status (''Shikuf'')'!L13,0)</f>
        <v>0</v>
      </c>
      <c r="AA14" s="69"/>
      <c r="AB14" s="521"/>
      <c r="AC14" s="858"/>
      <c r="AD14" s="32"/>
      <c r="AE14" s="403"/>
      <c r="AF14" s="367"/>
      <c r="AG14" s="367"/>
      <c r="AH14" s="367"/>
      <c r="AI14" s="367"/>
      <c r="AJ14" s="367"/>
      <c r="AK14" s="367"/>
      <c r="AL14" s="367"/>
      <c r="AM14" s="367"/>
      <c r="AN14" s="367"/>
      <c r="AO14" s="86"/>
      <c r="AW14" s="52" t="s">
        <v>12</v>
      </c>
      <c r="CM14" s="52" t="s">
        <v>443</v>
      </c>
      <c r="CN14" s="52" t="s">
        <v>432</v>
      </c>
    </row>
    <row r="15" spans="1:92" ht="15" customHeight="1">
      <c r="A15" s="367"/>
      <c r="B15" s="846">
        <f>IF('Current Status (''Shikuf'')'!$G$52="כן",'Current Status (''Shikuf'')'!D13,0)</f>
        <v>0</v>
      </c>
      <c r="C15" s="320">
        <f>IF('Current Status (''Shikuf'')'!$G$52="כן",'Current Status (''Shikuf'')'!G13,0)</f>
        <v>0</v>
      </c>
      <c r="D15" s="78"/>
      <c r="E15" s="521"/>
      <c r="F15" s="858"/>
      <c r="G15" s="367"/>
      <c r="H15" s="543"/>
      <c r="I15" s="853"/>
      <c r="J15" s="6"/>
      <c r="K15" s="541"/>
      <c r="L15" s="860"/>
      <c r="M15" s="20" t="str">
        <f>IF(J15="","",$M$5-SUM($J$7:J15))</f>
        <v/>
      </c>
      <c r="N15" s="367"/>
      <c r="O15" s="7"/>
      <c r="P15" s="862"/>
      <c r="Q15" s="8"/>
      <c r="R15" s="628">
        <f t="shared" si="0"/>
        <v>0</v>
      </c>
      <c r="S15" s="791"/>
      <c r="T15" s="791"/>
      <c r="U15" s="793"/>
      <c r="V15" s="867"/>
      <c r="W15" s="625" t="str">
        <f>IF(Q15="","",$W$5-SUM($Q$7:Q15))</f>
        <v/>
      </c>
      <c r="X15" s="621"/>
      <c r="Y15" s="683" t="str">
        <f>IF('Current Status (''Shikuf'')'!$G$52="כן",'Current Status (''Shikuf'')'!I14,"עזרה מההורים")</f>
        <v>Help from parents</v>
      </c>
      <c r="Z15" s="324">
        <f>IF('Current Status (''Shikuf'')'!$G$52="כן",'Current Status (''Shikuf'')'!L14,0)</f>
        <v>0</v>
      </c>
      <c r="AA15" s="69"/>
      <c r="AB15" s="521"/>
      <c r="AC15" s="858"/>
      <c r="AD15" s="32"/>
      <c r="AE15" s="1137" t="str">
        <f>IF(COUNTIF(AE23:AE44,"&lt;0")&gt;0,"Over yearly budget!
Take an action from the options to your right.","")</f>
        <v/>
      </c>
      <c r="AF15" s="367"/>
      <c r="AG15" s="367"/>
      <c r="AH15" s="367"/>
      <c r="AI15" s="367"/>
      <c r="AJ15" s="367"/>
      <c r="AK15" s="367"/>
      <c r="AL15" s="367"/>
      <c r="AM15" s="367"/>
      <c r="AN15" s="367"/>
      <c r="AO15" s="86"/>
      <c r="AW15" s="52" t="s">
        <v>13</v>
      </c>
    </row>
    <row r="16" spans="1:92" ht="15" customHeight="1" thickBot="1">
      <c r="A16" s="367"/>
      <c r="B16" s="847">
        <f>IF('Current Status (''Shikuf'')'!$G$52="כן",'Current Status (''Shikuf'')'!D14,0)</f>
        <v>0</v>
      </c>
      <c r="C16" s="320">
        <f>IF('Current Status (''Shikuf'')'!$G$52="כן",'Current Status (''Shikuf'')'!G14,0)</f>
        <v>0</v>
      </c>
      <c r="D16" s="78"/>
      <c r="E16" s="521"/>
      <c r="F16" s="858"/>
      <c r="G16" s="367"/>
      <c r="H16" s="543"/>
      <c r="I16" s="853"/>
      <c r="J16" s="6"/>
      <c r="K16" s="541"/>
      <c r="L16" s="860"/>
      <c r="M16" s="20" t="str">
        <f>IF(J16="","",$M$5-SUM($J$7:J16))</f>
        <v/>
      </c>
      <c r="N16" s="367"/>
      <c r="O16" s="7"/>
      <c r="P16" s="864"/>
      <c r="Q16" s="8"/>
      <c r="R16" s="628">
        <f t="shared" si="0"/>
        <v>0</v>
      </c>
      <c r="S16" s="791"/>
      <c r="T16" s="791"/>
      <c r="U16" s="793"/>
      <c r="V16" s="867"/>
      <c r="W16" s="622" t="str">
        <f>IF(Q16="","",$W$5-SUM($Q$7:Q16))</f>
        <v/>
      </c>
      <c r="X16" s="395"/>
      <c r="Y16" s="683" t="str">
        <f>IF('Current Status (''Shikuf'')'!$G$52="כן",'Current Status (''Shikuf'')'!I15,0)</f>
        <v>Other Income</v>
      </c>
      <c r="Z16" s="550">
        <f>IF('Current Status (''Shikuf'')'!$G$52="כן",'Current Status (''Shikuf'')'!L15,0)</f>
        <v>0</v>
      </c>
      <c r="AA16" s="69"/>
      <c r="AB16" s="645"/>
      <c r="AC16" s="870"/>
      <c r="AD16" s="32"/>
      <c r="AE16" s="1137"/>
      <c r="AF16" s="367"/>
      <c r="AG16" s="367"/>
      <c r="AH16" s="367"/>
      <c r="AI16" s="367"/>
      <c r="AJ16" s="367"/>
      <c r="AK16" s="367"/>
      <c r="AL16" s="367"/>
      <c r="AM16" s="367"/>
      <c r="AN16" s="367"/>
      <c r="AO16" s="86"/>
      <c r="AW16" s="90">
        <f>13-AR19</f>
        <v>12</v>
      </c>
    </row>
    <row r="17" spans="1:63" ht="15" customHeight="1" thickTop="1" thickBot="1">
      <c r="A17" s="367"/>
      <c r="B17" s="847">
        <f>IF('Current Status (''Shikuf'')'!$G$52="כן",'Current Status (''Shikuf'')'!D15,0)</f>
        <v>0</v>
      </c>
      <c r="C17" s="548">
        <f>IF('Current Status (''Shikuf'')'!$G$52="כן",'Current Status (''Shikuf'')'!G15,0)</f>
        <v>0</v>
      </c>
      <c r="D17" s="78"/>
      <c r="E17" s="521"/>
      <c r="F17" s="858"/>
      <c r="G17" s="394"/>
      <c r="H17" s="543"/>
      <c r="I17" s="853"/>
      <c r="J17" s="6"/>
      <c r="K17" s="541"/>
      <c r="L17" s="860"/>
      <c r="M17" s="20" t="str">
        <f>IF(J17="","",$M$5-SUM($J$7:J17))</f>
        <v/>
      </c>
      <c r="N17" s="367"/>
      <c r="O17" s="7"/>
      <c r="P17" s="862"/>
      <c r="Q17" s="8"/>
      <c r="R17" s="628">
        <f t="shared" si="0"/>
        <v>0</v>
      </c>
      <c r="S17" s="791"/>
      <c r="T17" s="791"/>
      <c r="U17" s="793"/>
      <c r="V17" s="867"/>
      <c r="W17" s="624" t="str">
        <f>IF(Q17="","",$W$5-SUM($Q$7:Q17))</f>
        <v/>
      </c>
      <c r="X17" s="621"/>
      <c r="Y17" s="18" t="s">
        <v>179</v>
      </c>
      <c r="Z17" s="30">
        <f>SUM(Z6:Z16)</f>
        <v>0</v>
      </c>
      <c r="AA17" s="19">
        <f>SUM(AA6:AA16)</f>
        <v>0</v>
      </c>
      <c r="AB17" s="642"/>
      <c r="AC17" s="642"/>
      <c r="AD17" s="33"/>
      <c r="AE17" s="1137"/>
      <c r="AF17" s="367"/>
      <c r="AG17" s="367"/>
      <c r="AH17" s="367"/>
      <c r="AI17" s="367"/>
      <c r="AJ17" s="367"/>
      <c r="AK17" s="367"/>
      <c r="AL17" s="367"/>
      <c r="AM17" s="367"/>
      <c r="AN17" s="367"/>
      <c r="AO17" s="86"/>
    </row>
    <row r="18" spans="1:63" ht="15" customHeight="1" thickTop="1" thickBot="1">
      <c r="A18" s="367"/>
      <c r="B18" s="16" t="s">
        <v>179</v>
      </c>
      <c r="C18" s="77">
        <f>SUM(C7:C17)</f>
        <v>0</v>
      </c>
      <c r="D18" s="75">
        <f>SUM(D7:D17)</f>
        <v>0</v>
      </c>
      <c r="E18" s="515"/>
      <c r="F18" s="515"/>
      <c r="G18" s="367"/>
      <c r="H18" s="543"/>
      <c r="I18" s="853"/>
      <c r="J18" s="6"/>
      <c r="K18" s="541"/>
      <c r="L18" s="860"/>
      <c r="M18" s="20" t="str">
        <f>IF(J18="","",$M$5-SUM($J$7:J18))</f>
        <v/>
      </c>
      <c r="N18" s="367"/>
      <c r="O18" s="7"/>
      <c r="P18" s="864"/>
      <c r="Q18" s="8"/>
      <c r="R18" s="628">
        <f t="shared" si="0"/>
        <v>0</v>
      </c>
      <c r="S18" s="791"/>
      <c r="T18" s="791"/>
      <c r="U18" s="793"/>
      <c r="V18" s="867"/>
      <c r="W18" s="622" t="str">
        <f>IF(Q18="","",$W$5-SUM($Q$7:Q18))</f>
        <v/>
      </c>
      <c r="X18" s="395"/>
      <c r="Y18" s="1204" t="s">
        <v>367</v>
      </c>
      <c r="Z18" s="1205"/>
      <c r="AA18" s="121">
        <f>AA17-AA4</f>
        <v>0</v>
      </c>
      <c r="AB18" s="643"/>
      <c r="AC18" s="643"/>
      <c r="AD18" s="34"/>
      <c r="AE18" s="1137"/>
      <c r="AF18" s="367"/>
      <c r="AG18" s="372"/>
      <c r="AH18" s="885" t="s">
        <v>401</v>
      </c>
      <c r="AI18" s="367"/>
      <c r="AJ18" s="367"/>
      <c r="AK18" s="367"/>
      <c r="AL18" s="367"/>
      <c r="AM18" s="367"/>
      <c r="AN18" s="367"/>
      <c r="AO18" s="86"/>
      <c r="AR18" s="52" t="s">
        <v>5</v>
      </c>
    </row>
    <row r="19" spans="1:63" ht="15" customHeight="1" thickBot="1">
      <c r="A19" s="367"/>
      <c r="B19" s="95" t="s">
        <v>367</v>
      </c>
      <c r="C19" s="96"/>
      <c r="D19" s="97">
        <f>C18-D18</f>
        <v>0</v>
      </c>
      <c r="E19" s="516"/>
      <c r="F19" s="516"/>
      <c r="G19" s="367"/>
      <c r="H19" s="543"/>
      <c r="I19" s="853"/>
      <c r="J19" s="6"/>
      <c r="K19" s="541"/>
      <c r="L19" s="860"/>
      <c r="M19" s="20" t="str">
        <f>IF(J19="","",$M$5-SUM($J$7:J19))</f>
        <v/>
      </c>
      <c r="N19" s="367"/>
      <c r="O19" s="7"/>
      <c r="P19" s="862"/>
      <c r="Q19" s="8"/>
      <c r="R19" s="628">
        <f t="shared" si="0"/>
        <v>0</v>
      </c>
      <c r="S19" s="791"/>
      <c r="T19" s="791"/>
      <c r="U19" s="793"/>
      <c r="V19" s="867"/>
      <c r="W19" s="622" t="str">
        <f>IF(Q19="","",$W$5-SUM($Q$7:Q19))</f>
        <v/>
      </c>
      <c r="X19" s="395"/>
      <c r="Y19" s="378"/>
      <c r="Z19" s="378"/>
      <c r="AA19" s="378"/>
      <c r="AB19" s="378"/>
      <c r="AC19" s="378"/>
      <c r="AD19" s="9"/>
      <c r="AE19" s="1137"/>
      <c r="AF19" s="367"/>
      <c r="AG19" s="373"/>
      <c r="AH19" s="886" t="s">
        <v>402</v>
      </c>
      <c r="AI19" s="367"/>
      <c r="AJ19" s="367"/>
      <c r="AK19" s="367"/>
      <c r="AL19" s="367"/>
      <c r="AM19" s="367"/>
      <c r="AN19" s="367"/>
      <c r="AO19" s="86"/>
      <c r="AR19" s="88">
        <v>1</v>
      </c>
      <c r="AV19" s="52" t="s">
        <v>14</v>
      </c>
    </row>
    <row r="20" spans="1:63" ht="15" customHeight="1" thickBot="1">
      <c r="A20" s="367"/>
      <c r="B20" s="1095" t="str">
        <f>IF(D19&gt;0,"Unexpected positive difference - Check why!","")</f>
        <v/>
      </c>
      <c r="C20" s="1095"/>
      <c r="D20" s="1095"/>
      <c r="E20" s="514"/>
      <c r="F20" s="514"/>
      <c r="G20" s="367"/>
      <c r="H20" s="543"/>
      <c r="I20" s="853"/>
      <c r="J20" s="6"/>
      <c r="K20" s="541"/>
      <c r="L20" s="860"/>
      <c r="M20" s="20" t="str">
        <f>IF(J20="","",$M$5-SUM($J$7:J20))</f>
        <v/>
      </c>
      <c r="N20" s="367"/>
      <c r="O20" s="7"/>
      <c r="P20" s="862"/>
      <c r="Q20" s="8"/>
      <c r="R20" s="628">
        <f t="shared" si="0"/>
        <v>0</v>
      </c>
      <c r="S20" s="791"/>
      <c r="T20" s="791"/>
      <c r="U20" s="793"/>
      <c r="V20" s="867"/>
      <c r="W20" s="622" t="str">
        <f>IF(Q20="","",$W$5-SUM($Q$7:Q20))</f>
        <v/>
      </c>
      <c r="X20" s="395"/>
      <c r="Y20" s="1206" t="s">
        <v>350</v>
      </c>
      <c r="Z20" s="1207"/>
      <c r="AA20" s="1207"/>
      <c r="AB20" s="552"/>
      <c r="AC20" s="552"/>
      <c r="AD20" s="27"/>
      <c r="AE20" s="1137"/>
      <c r="AF20" s="367"/>
      <c r="AG20" s="374"/>
      <c r="AH20" s="887" t="s">
        <v>466</v>
      </c>
      <c r="AI20" s="367"/>
      <c r="AJ20" s="367"/>
      <c r="AK20" s="367"/>
      <c r="AL20" s="367"/>
      <c r="AM20" s="367"/>
      <c r="AN20" s="367"/>
      <c r="AO20" s="86"/>
      <c r="AQ20" s="1138" t="s">
        <v>23</v>
      </c>
      <c r="AR20" s="1139"/>
      <c r="AS20" s="1139"/>
      <c r="AT20" s="1140"/>
      <c r="AV20" s="52" t="s">
        <v>15</v>
      </c>
    </row>
    <row r="21" spans="1:63" ht="15" customHeight="1">
      <c r="A21" s="367"/>
      <c r="B21" s="399"/>
      <c r="C21" s="400"/>
      <c r="D21" s="400"/>
      <c r="E21" s="400"/>
      <c r="F21" s="400"/>
      <c r="G21" s="367"/>
      <c r="H21" s="543"/>
      <c r="I21" s="853"/>
      <c r="J21" s="6"/>
      <c r="K21" s="541"/>
      <c r="L21" s="860"/>
      <c r="M21" s="20" t="str">
        <f>IF(J21="","",$M$5-SUM($J$7:J21))</f>
        <v/>
      </c>
      <c r="N21" s="367"/>
      <c r="O21" s="7"/>
      <c r="P21" s="864"/>
      <c r="Q21" s="8"/>
      <c r="R21" s="628">
        <f t="shared" si="0"/>
        <v>0</v>
      </c>
      <c r="S21" s="791"/>
      <c r="T21" s="791"/>
      <c r="U21" s="793"/>
      <c r="V21" s="867"/>
      <c r="W21" s="622" t="str">
        <f>IF(Q21="","",$W$5-SUM($Q$7:Q21))</f>
        <v/>
      </c>
      <c r="X21" s="395"/>
      <c r="Y21" s="1187" t="s">
        <v>353</v>
      </c>
      <c r="Z21" s="1189" t="s">
        <v>354</v>
      </c>
      <c r="AA21" s="1210" t="s">
        <v>494</v>
      </c>
      <c r="AB21" s="719"/>
      <c r="AC21" s="720"/>
      <c r="AD21" s="1148" t="s">
        <v>2</v>
      </c>
      <c r="AE21" s="1141" t="s">
        <v>406</v>
      </c>
      <c r="AG21" s="1142" t="s">
        <v>405</v>
      </c>
      <c r="AH21" s="887" t="s">
        <v>403</v>
      </c>
      <c r="AI21" s="367"/>
      <c r="AJ21" s="367"/>
      <c r="AK21" s="367"/>
      <c r="AL21" s="367"/>
      <c r="AM21" s="367"/>
      <c r="AN21" s="367"/>
      <c r="AO21" s="86"/>
      <c r="AP21" s="89" t="s">
        <v>3</v>
      </c>
      <c r="AQ21" s="89" t="s">
        <v>7</v>
      </c>
      <c r="AR21" s="1136" t="s">
        <v>11</v>
      </c>
      <c r="AV21" s="52" t="s">
        <v>16</v>
      </c>
      <c r="AX21" s="90" t="s">
        <v>0</v>
      </c>
    </row>
    <row r="22" spans="1:63" ht="15.75" customHeight="1" thickBot="1">
      <c r="A22" s="367"/>
      <c r="B22" s="401" t="s">
        <v>349</v>
      </c>
      <c r="C22" s="402"/>
      <c r="D22" s="378"/>
      <c r="E22" s="378"/>
      <c r="F22" s="378"/>
      <c r="G22" s="367"/>
      <c r="H22" s="543"/>
      <c r="I22" s="853"/>
      <c r="J22" s="6"/>
      <c r="K22" s="541"/>
      <c r="L22" s="860"/>
      <c r="M22" s="20" t="str">
        <f>IF(J22="","",$M$5-SUM($J$7:J22))</f>
        <v/>
      </c>
      <c r="N22" s="367"/>
      <c r="O22" s="7"/>
      <c r="P22" s="862"/>
      <c r="Q22" s="8"/>
      <c r="R22" s="628">
        <f t="shared" si="0"/>
        <v>0</v>
      </c>
      <c r="S22" s="791"/>
      <c r="T22" s="791"/>
      <c r="U22" s="793"/>
      <c r="V22" s="867"/>
      <c r="W22" s="622" t="str">
        <f>IF(Q22="","",$W$5-SUM($Q$7:Q22))</f>
        <v/>
      </c>
      <c r="X22" s="395"/>
      <c r="Y22" s="1188"/>
      <c r="Z22" s="1190"/>
      <c r="AA22" s="1211"/>
      <c r="AB22" s="719"/>
      <c r="AC22" s="721"/>
      <c r="AD22" s="1148"/>
      <c r="AE22" s="1141"/>
      <c r="AF22" s="367"/>
      <c r="AG22" s="1143"/>
      <c r="AH22" s="367"/>
      <c r="AI22" s="367"/>
      <c r="AJ22" s="367"/>
      <c r="AK22" s="367"/>
      <c r="AL22" s="367"/>
      <c r="AM22" s="367"/>
      <c r="AN22" s="367"/>
      <c r="AO22" s="86"/>
      <c r="AP22" s="90" t="s">
        <v>9</v>
      </c>
      <c r="AQ22" s="89" t="s">
        <v>10</v>
      </c>
      <c r="AR22" s="1136"/>
      <c r="AS22" s="89" t="s">
        <v>8</v>
      </c>
      <c r="AT22" s="89" t="s">
        <v>6</v>
      </c>
      <c r="AV22" s="89" t="s">
        <v>17</v>
      </c>
      <c r="AW22" s="89" t="s">
        <v>18</v>
      </c>
      <c r="AX22" s="706" t="s">
        <v>19</v>
      </c>
      <c r="AZ22" s="725" t="s">
        <v>31</v>
      </c>
      <c r="BA22" s="724"/>
      <c r="BB22" s="724"/>
      <c r="BC22" s="724"/>
      <c r="BD22" s="724"/>
      <c r="BE22" s="724"/>
      <c r="BF22" s="724"/>
      <c r="BG22" s="724"/>
      <c r="BH22" s="724"/>
      <c r="BJ22" s="724"/>
      <c r="BK22" s="724"/>
    </row>
    <row r="23" spans="1:63" ht="16.5" thickTop="1">
      <c r="A23" s="367"/>
      <c r="B23" s="1102" t="s">
        <v>387</v>
      </c>
      <c r="C23" s="1104">
        <f ca="1">C40</f>
        <v>0</v>
      </c>
      <c r="D23" s="1105"/>
      <c r="E23" s="1091"/>
      <c r="F23" s="1092"/>
      <c r="G23" s="367"/>
      <c r="H23" s="543"/>
      <c r="I23" s="853"/>
      <c r="J23" s="6"/>
      <c r="K23" s="541"/>
      <c r="L23" s="860"/>
      <c r="M23" s="20" t="str">
        <f>IF(J23="","",$M$5-SUM($J$7:J23))</f>
        <v/>
      </c>
      <c r="N23" s="367"/>
      <c r="O23" s="7"/>
      <c r="P23" s="864"/>
      <c r="Q23" s="8"/>
      <c r="R23" s="628">
        <f t="shared" si="0"/>
        <v>0</v>
      </c>
      <c r="S23" s="791"/>
      <c r="T23" s="791"/>
      <c r="U23" s="793"/>
      <c r="V23" s="867"/>
      <c r="W23" s="622" t="str">
        <f>IF(Q23="","",$W$5-SUM($Q$7:Q23))</f>
        <v/>
      </c>
      <c r="X23" s="395"/>
      <c r="Y23" s="683" t="str">
        <f>IF('Current Status (''Shikuf'')'!$G$52="כן",'Current Status (''Shikuf'')'!D16,"ארנונה / שמירה")</f>
        <v>Municipal Taxes</v>
      </c>
      <c r="Z23" s="317">
        <f>IF('Current Status (''Shikuf'')'!$G$52="כן",'Current Status (''Shikuf'')'!G16,0)</f>
        <v>0</v>
      </c>
      <c r="AA23" s="28">
        <f t="shared" ref="AA23:AA44" si="1">SUMIF($P$7:$P$110,Y23,$Q$7:$Q$110)</f>
        <v>0</v>
      </c>
      <c r="AB23" s="722"/>
      <c r="AC23" s="722"/>
      <c r="AD23" s="35">
        <f t="shared" ref="AD23:AD44" si="2">SUMIF($P$7:$P$110,Y23,$R$7:$R$110)</f>
        <v>0</v>
      </c>
      <c r="AE23" s="23">
        <f>IF(AI23=0,AX23,0)</f>
        <v>0</v>
      </c>
      <c r="AF23" s="367"/>
      <c r="AG23" s="728">
        <f t="shared" ref="AG23:AG44" si="3">IF(AZ23&gt;1,"overrun",IF(AZ23&lt;0,"OK",AZ23))</f>
        <v>0</v>
      </c>
      <c r="AH23" s="367"/>
      <c r="AI23" s="375">
        <v>0</v>
      </c>
      <c r="AJ23" s="367"/>
      <c r="AK23" s="367"/>
      <c r="AL23" s="367"/>
      <c r="AM23" s="367"/>
      <c r="AN23" s="367"/>
      <c r="AO23" s="86"/>
      <c r="AP23" s="51">
        <f t="shared" ref="AP23:AP44" si="4">IF(AI23=1,AX23,0)</f>
        <v>0</v>
      </c>
      <c r="AQ23" s="51">
        <v>0</v>
      </c>
      <c r="AR23" s="51">
        <f t="shared" ref="AR23:AR44" si="5">Z23*12-AS23</f>
        <v>0</v>
      </c>
      <c r="AS23" s="51">
        <f t="shared" ref="AS23:AS44" si="6">AD23</f>
        <v>0</v>
      </c>
      <c r="AT23" s="51">
        <f t="shared" ref="AT23:AT44" si="7">AA23</f>
        <v>0</v>
      </c>
      <c r="AV23" s="51">
        <f>Z23</f>
        <v>0</v>
      </c>
      <c r="AW23" s="52">
        <f>IF(AE23&lt;0,AE23,0)</f>
        <v>0</v>
      </c>
      <c r="AX23" s="51">
        <f>Z23*$AW$16-AD23</f>
        <v>0</v>
      </c>
      <c r="AZ23" s="726">
        <f>(($Z23*(12-$AR$19))-$AE23)/($Z23*(12-$AR$19)+0.00001)</f>
        <v>0</v>
      </c>
    </row>
    <row r="24" spans="1:63" ht="15.75">
      <c r="A24" s="367"/>
      <c r="B24" s="1103"/>
      <c r="C24" s="1106"/>
      <c r="D24" s="1107"/>
      <c r="E24" s="1091"/>
      <c r="F24" s="1092"/>
      <c r="G24" s="367"/>
      <c r="H24" s="543"/>
      <c r="I24" s="853"/>
      <c r="J24" s="6"/>
      <c r="K24" s="541"/>
      <c r="L24" s="860"/>
      <c r="M24" s="20" t="str">
        <f>IF(J24="","",$M$5-SUM($J$7:J24))</f>
        <v/>
      </c>
      <c r="N24" s="367"/>
      <c r="O24" s="7"/>
      <c r="P24" s="864"/>
      <c r="Q24" s="8"/>
      <c r="R24" s="628">
        <f t="shared" si="0"/>
        <v>0</v>
      </c>
      <c r="S24" s="791"/>
      <c r="T24" s="791"/>
      <c r="U24" s="793"/>
      <c r="V24" s="867"/>
      <c r="W24" s="622" t="str">
        <f>IF(Q24="","",$W$5-SUM($Q$7:Q24))</f>
        <v/>
      </c>
      <c r="X24" s="395"/>
      <c r="Y24" s="683" t="str">
        <f>IF('Current Status (''Shikuf'')'!$G$52="כן",'Current Status (''Shikuf'')'!D17,"מים וביוב")</f>
        <v>Water and Sewage</v>
      </c>
      <c r="Z24" s="318">
        <f>IF('Current Status (''Shikuf'')'!$G$52="כן",'Current Status (''Shikuf'')'!G17,0)</f>
        <v>0</v>
      </c>
      <c r="AA24" s="29">
        <f t="shared" si="1"/>
        <v>0</v>
      </c>
      <c r="AB24" s="723"/>
      <c r="AC24" s="723"/>
      <c r="AD24" s="36">
        <f t="shared" si="2"/>
        <v>0</v>
      </c>
      <c r="AE24" s="23">
        <f t="shared" ref="AE24:AE44" si="8">IF(AI24=0,AX24,0)</f>
        <v>0</v>
      </c>
      <c r="AF24" s="367"/>
      <c r="AG24" s="728">
        <f t="shared" si="3"/>
        <v>0</v>
      </c>
      <c r="AH24" s="367"/>
      <c r="AI24" s="375">
        <v>0</v>
      </c>
      <c r="AJ24" s="367"/>
      <c r="AK24" s="367"/>
      <c r="AL24" s="367"/>
      <c r="AM24" s="367"/>
      <c r="AN24" s="367"/>
      <c r="AO24" s="86"/>
      <c r="AP24" s="51">
        <f t="shared" si="4"/>
        <v>0</v>
      </c>
      <c r="AQ24" s="51">
        <v>0</v>
      </c>
      <c r="AR24" s="51">
        <f t="shared" si="5"/>
        <v>0</v>
      </c>
      <c r="AS24" s="51">
        <f t="shared" si="6"/>
        <v>0</v>
      </c>
      <c r="AT24" s="51">
        <f t="shared" si="7"/>
        <v>0</v>
      </c>
      <c r="AV24" s="51">
        <f t="shared" ref="AV24:AV44" si="9">Z24</f>
        <v>0</v>
      </c>
      <c r="AW24" s="52">
        <f t="shared" ref="AW24:AW44" si="10">IF(AE24&lt;0,AE24,0)</f>
        <v>0</v>
      </c>
      <c r="AX24" s="51">
        <f t="shared" ref="AX24:AX44" si="11">Z24*$AW$16-AD24</f>
        <v>0</v>
      </c>
      <c r="AZ24" s="726">
        <f t="shared" ref="AZ24:AZ44" si="12">(($Z24*(12-$AR$19))-$AE24)/($Z24*(12-$AR$19)+0.00001)</f>
        <v>0</v>
      </c>
    </row>
    <row r="25" spans="1:63" ht="16.5" thickBot="1">
      <c r="A25" s="367"/>
      <c r="B25" s="1178" t="s">
        <v>388</v>
      </c>
      <c r="C25" s="1118" t="s">
        <v>354</v>
      </c>
      <c r="D25" s="1180" t="s">
        <v>494</v>
      </c>
      <c r="E25" s="1109" t="s">
        <v>380</v>
      </c>
      <c r="F25" s="1108" t="s">
        <v>335</v>
      </c>
      <c r="G25" s="367"/>
      <c r="H25" s="543"/>
      <c r="I25" s="853"/>
      <c r="J25" s="6"/>
      <c r="K25" s="541"/>
      <c r="L25" s="860"/>
      <c r="M25" s="20" t="str">
        <f>IF(J25="","",$M$5-SUM($J$7:J25))</f>
        <v/>
      </c>
      <c r="N25" s="367"/>
      <c r="O25" s="7"/>
      <c r="P25" s="864"/>
      <c r="Q25" s="8"/>
      <c r="R25" s="628">
        <f t="shared" si="0"/>
        <v>0</v>
      </c>
      <c r="S25" s="791"/>
      <c r="T25" s="791"/>
      <c r="U25" s="793"/>
      <c r="V25" s="867"/>
      <c r="W25" s="622" t="str">
        <f>IF(Q25="","",$W$5-SUM($Q$7:Q25))</f>
        <v/>
      </c>
      <c r="X25" s="395"/>
      <c r="Y25" s="683" t="str">
        <f>IF('Current Status (''Shikuf'')'!$G$52="כן",'Current Status (''Shikuf'')'!D18,"חשמל")</f>
        <v>Electricity</v>
      </c>
      <c r="Z25" s="318">
        <f>IF('Current Status (''Shikuf'')'!$G$52="כן",'Current Status (''Shikuf'')'!G18,0)</f>
        <v>0</v>
      </c>
      <c r="AA25" s="29">
        <f t="shared" si="1"/>
        <v>0</v>
      </c>
      <c r="AB25" s="723"/>
      <c r="AC25" s="723"/>
      <c r="AD25" s="36">
        <f t="shared" si="2"/>
        <v>0</v>
      </c>
      <c r="AE25" s="23">
        <f t="shared" si="8"/>
        <v>0</v>
      </c>
      <c r="AF25" s="367"/>
      <c r="AG25" s="728">
        <f t="shared" si="3"/>
        <v>0</v>
      </c>
      <c r="AH25" s="367"/>
      <c r="AI25" s="375">
        <v>0</v>
      </c>
      <c r="AJ25" s="367"/>
      <c r="AK25" s="367"/>
      <c r="AL25" s="367"/>
      <c r="AM25" s="367"/>
      <c r="AN25" s="367"/>
      <c r="AO25" s="86"/>
      <c r="AP25" s="51">
        <f t="shared" si="4"/>
        <v>0</v>
      </c>
      <c r="AQ25" s="51">
        <v>0</v>
      </c>
      <c r="AR25" s="51">
        <f t="shared" si="5"/>
        <v>0</v>
      </c>
      <c r="AS25" s="51">
        <f t="shared" si="6"/>
        <v>0</v>
      </c>
      <c r="AT25" s="51">
        <f t="shared" si="7"/>
        <v>0</v>
      </c>
      <c r="AV25" s="51">
        <f t="shared" si="9"/>
        <v>0</v>
      </c>
      <c r="AW25" s="52">
        <f t="shared" si="10"/>
        <v>0</v>
      </c>
      <c r="AX25" s="51">
        <f t="shared" si="11"/>
        <v>0</v>
      </c>
      <c r="AZ25" s="726">
        <f t="shared" si="12"/>
        <v>0</v>
      </c>
    </row>
    <row r="26" spans="1:63" ht="16.5" thickBot="1">
      <c r="A26" s="367"/>
      <c r="B26" s="1179"/>
      <c r="C26" s="1119"/>
      <c r="D26" s="1181"/>
      <c r="E26" s="1109"/>
      <c r="F26" s="1108"/>
      <c r="G26" s="367"/>
      <c r="H26" s="543"/>
      <c r="I26" s="853"/>
      <c r="J26" s="6"/>
      <c r="K26" s="541"/>
      <c r="L26" s="860"/>
      <c r="M26" s="20" t="str">
        <f>IF(J26="","",$M$5-SUM($J$7:J26))</f>
        <v/>
      </c>
      <c r="N26" s="367"/>
      <c r="O26" s="7"/>
      <c r="P26" s="864"/>
      <c r="Q26" s="8"/>
      <c r="R26" s="628">
        <f t="shared" si="0"/>
        <v>0</v>
      </c>
      <c r="S26" s="791"/>
      <c r="T26" s="791"/>
      <c r="U26" s="793"/>
      <c r="V26" s="867"/>
      <c r="W26" s="622" t="str">
        <f>IF(Q26="","",$W$5-SUM($Q$7:Q26))</f>
        <v/>
      </c>
      <c r="X26" s="395"/>
      <c r="Y26" s="683" t="str">
        <f>IF('Current Status (''Shikuf'')'!$G$52="כן",'Current Status (''Shikuf'')'!D19,"גז")</f>
        <v>Gas</v>
      </c>
      <c r="Z26" s="318">
        <f>IF('Current Status (''Shikuf'')'!$G$52="כן",'Current Status (''Shikuf'')'!G19,0)</f>
        <v>0</v>
      </c>
      <c r="AA26" s="29">
        <f t="shared" si="1"/>
        <v>0</v>
      </c>
      <c r="AB26" s="723"/>
      <c r="AC26" s="723"/>
      <c r="AD26" s="36">
        <f t="shared" si="2"/>
        <v>0</v>
      </c>
      <c r="AE26" s="23">
        <f t="shared" si="8"/>
        <v>0</v>
      </c>
      <c r="AF26" s="367"/>
      <c r="AG26" s="728">
        <f t="shared" si="3"/>
        <v>0</v>
      </c>
      <c r="AH26" s="367"/>
      <c r="AI26" s="375">
        <v>0</v>
      </c>
      <c r="AJ26" s="367"/>
      <c r="AK26" s="525" t="s">
        <v>404</v>
      </c>
      <c r="AL26" s="526"/>
      <c r="AM26" s="367"/>
      <c r="AN26" s="367"/>
      <c r="AO26" s="86"/>
      <c r="AP26" s="51">
        <f t="shared" si="4"/>
        <v>0</v>
      </c>
      <c r="AQ26" s="51">
        <v>0</v>
      </c>
      <c r="AR26" s="51">
        <f t="shared" si="5"/>
        <v>0</v>
      </c>
      <c r="AS26" s="51">
        <f t="shared" si="6"/>
        <v>0</v>
      </c>
      <c r="AT26" s="51">
        <f t="shared" si="7"/>
        <v>0</v>
      </c>
      <c r="AV26" s="51">
        <f t="shared" si="9"/>
        <v>0</v>
      </c>
      <c r="AW26" s="52">
        <f t="shared" si="10"/>
        <v>0</v>
      </c>
      <c r="AX26" s="51">
        <f t="shared" si="11"/>
        <v>0</v>
      </c>
      <c r="AZ26" s="726">
        <f t="shared" si="12"/>
        <v>0</v>
      </c>
    </row>
    <row r="27" spans="1:63" ht="16.5" thickTop="1">
      <c r="A27" s="367"/>
      <c r="B27" s="848">
        <f>IF('Current Status (''Shikuf'')'!$G$52="כן",IF('Current Status (''Shikuf'')'!BH5&lt;&gt;"",'Current Status (''Shikuf'')'!BH5,),)</f>
        <v>0</v>
      </c>
      <c r="C27" s="693">
        <f>IF('Current Status (''Shikuf'')'!$G$52="כן",IF('Current Status (''Shikuf'')'!BK5&lt;&gt;"",'Current Status (''Shikuf'')'!BK5,0),0)</f>
        <v>0</v>
      </c>
      <c r="D27" s="74"/>
      <c r="E27" s="521"/>
      <c r="F27" s="858"/>
      <c r="G27" s="367"/>
      <c r="H27" s="543"/>
      <c r="I27" s="853"/>
      <c r="J27" s="6"/>
      <c r="K27" s="541"/>
      <c r="L27" s="860"/>
      <c r="M27" s="20" t="str">
        <f>IF(J27="","",$M$5-SUM($J$7:J27))</f>
        <v/>
      </c>
      <c r="N27" s="367"/>
      <c r="O27" s="7"/>
      <c r="P27" s="864"/>
      <c r="Q27" s="8"/>
      <c r="R27" s="628">
        <f t="shared" si="0"/>
        <v>0</v>
      </c>
      <c r="S27" s="791"/>
      <c r="T27" s="791"/>
      <c r="U27" s="793"/>
      <c r="V27" s="867"/>
      <c r="W27" s="622" t="str">
        <f>IF(Q27="","",$W$5-SUM($Q$7:Q27))</f>
        <v/>
      </c>
      <c r="X27" s="395"/>
      <c r="Y27" s="683" t="str">
        <f>IF('Current Status (''Shikuf'')'!$G$52="כן",'Current Status (''Shikuf'')'!D20,"חימום - סולר, נפט")</f>
        <v>Heating</v>
      </c>
      <c r="Z27" s="318">
        <f>IF('Current Status (''Shikuf'')'!$G$52="כן",'Current Status (''Shikuf'')'!G20,0)</f>
        <v>0</v>
      </c>
      <c r="AA27" s="29">
        <f t="shared" si="1"/>
        <v>0</v>
      </c>
      <c r="AB27" s="723"/>
      <c r="AC27" s="723"/>
      <c r="AD27" s="36">
        <f t="shared" si="2"/>
        <v>0</v>
      </c>
      <c r="AE27" s="23">
        <f t="shared" si="8"/>
        <v>0</v>
      </c>
      <c r="AF27" s="367"/>
      <c r="AG27" s="728">
        <f t="shared" si="3"/>
        <v>0</v>
      </c>
      <c r="AH27" s="367"/>
      <c r="AI27" s="375">
        <v>0</v>
      </c>
      <c r="AJ27" s="367"/>
      <c r="AK27" s="527"/>
      <c r="AL27" s="394"/>
      <c r="AM27" s="367"/>
      <c r="AN27" s="367"/>
      <c r="AO27" s="86"/>
      <c r="AP27" s="51">
        <f t="shared" si="4"/>
        <v>0</v>
      </c>
      <c r="AQ27" s="51">
        <v>0</v>
      </c>
      <c r="AR27" s="51">
        <f t="shared" si="5"/>
        <v>0</v>
      </c>
      <c r="AS27" s="51">
        <f t="shared" si="6"/>
        <v>0</v>
      </c>
      <c r="AT27" s="51">
        <f t="shared" si="7"/>
        <v>0</v>
      </c>
      <c r="AV27" s="51">
        <f t="shared" si="9"/>
        <v>0</v>
      </c>
      <c r="AW27" s="52">
        <f t="shared" si="10"/>
        <v>0</v>
      </c>
      <c r="AX27" s="51">
        <f t="shared" si="11"/>
        <v>0</v>
      </c>
      <c r="AZ27" s="726">
        <f t="shared" si="12"/>
        <v>0</v>
      </c>
    </row>
    <row r="28" spans="1:63" ht="15" customHeight="1">
      <c r="A28" s="367"/>
      <c r="B28" s="848">
        <f ca="1">IF('Current Status (''Shikuf'')'!$G$52="כן",IF('Current Status (''Shikuf'')'!BH6&lt;&gt;"",'Current Status (''Shikuf'')'!BH6,),)</f>
        <v>0</v>
      </c>
      <c r="C28" s="694">
        <f ca="1">IF('Current Status (''Shikuf'')'!$G$52="כן",IF('Current Status (''Shikuf'')'!BK6&lt;&gt;"",'Current Status (''Shikuf'')'!BK6,0),0)</f>
        <v>0</v>
      </c>
      <c r="D28" s="74"/>
      <c r="E28" s="521"/>
      <c r="F28" s="858"/>
      <c r="G28" s="367"/>
      <c r="H28" s="543"/>
      <c r="I28" s="853"/>
      <c r="J28" s="6"/>
      <c r="K28" s="541"/>
      <c r="L28" s="860"/>
      <c r="M28" s="20" t="str">
        <f>IF(J28="","",$M$5-SUM($J$7:J28))</f>
        <v/>
      </c>
      <c r="N28" s="367"/>
      <c r="O28" s="7"/>
      <c r="P28" s="864"/>
      <c r="Q28" s="8"/>
      <c r="R28" s="628">
        <f t="shared" si="0"/>
        <v>0</v>
      </c>
      <c r="S28" s="791"/>
      <c r="T28" s="791"/>
      <c r="U28" s="793"/>
      <c r="V28" s="867"/>
      <c r="W28" s="622" t="str">
        <f>IF(Q28="","",$W$5-SUM($Q$7:Q28))</f>
        <v/>
      </c>
      <c r="X28" s="395"/>
      <c r="Y28" s="683" t="str">
        <f>IF('Current Status (''Shikuf'')'!$G$52="כן",'Current Status (''Shikuf'')'!D21,"חינוך")</f>
        <v>Education/Schoolbooks</v>
      </c>
      <c r="Z28" s="318">
        <f>IF('Current Status (''Shikuf'')'!$G$52="כן",'Current Status (''Shikuf'')'!G21,0)</f>
        <v>0</v>
      </c>
      <c r="AA28" s="29">
        <f t="shared" si="1"/>
        <v>0</v>
      </c>
      <c r="AB28" s="723"/>
      <c r="AC28" s="723"/>
      <c r="AD28" s="36">
        <f t="shared" si="2"/>
        <v>0</v>
      </c>
      <c r="AE28" s="23">
        <f>IF(AI28=0,AX28,0)</f>
        <v>0</v>
      </c>
      <c r="AF28" s="367"/>
      <c r="AG28" s="728">
        <f t="shared" si="3"/>
        <v>0</v>
      </c>
      <c r="AH28" s="367"/>
      <c r="AI28" s="375">
        <v>0</v>
      </c>
      <c r="AJ28" s="367"/>
      <c r="AK28" s="528" t="s">
        <v>405</v>
      </c>
      <c r="AL28" s="529" t="s">
        <v>407</v>
      </c>
      <c r="AM28" s="367"/>
      <c r="AN28" s="367"/>
      <c r="AO28" s="86"/>
      <c r="AP28" s="51">
        <f t="shared" si="4"/>
        <v>0</v>
      </c>
      <c r="AQ28" s="51">
        <v>0</v>
      </c>
      <c r="AR28" s="51">
        <f t="shared" si="5"/>
        <v>0</v>
      </c>
      <c r="AS28" s="51">
        <f t="shared" si="6"/>
        <v>0</v>
      </c>
      <c r="AT28" s="51">
        <f t="shared" si="7"/>
        <v>0</v>
      </c>
      <c r="AV28" s="51">
        <f t="shared" si="9"/>
        <v>0</v>
      </c>
      <c r="AW28" s="52">
        <f t="shared" si="10"/>
        <v>0</v>
      </c>
      <c r="AX28" s="51">
        <f t="shared" si="11"/>
        <v>0</v>
      </c>
      <c r="AZ28" s="726">
        <f t="shared" si="12"/>
        <v>0</v>
      </c>
    </row>
    <row r="29" spans="1:63" ht="15" customHeight="1">
      <c r="A29" s="367"/>
      <c r="B29" s="848">
        <f ca="1">IF('Current Status (''Shikuf'')'!$G$52="כן",IF('Current Status (''Shikuf'')'!BH7&lt;&gt;"",'Current Status (''Shikuf'')'!BH7,),)</f>
        <v>0</v>
      </c>
      <c r="C29" s="694">
        <f ca="1">IF('Current Status (''Shikuf'')'!$G$52="כן",IF('Current Status (''Shikuf'')'!BK7&lt;&gt;"",'Current Status (''Shikuf'')'!BK7,0),0)</f>
        <v>0</v>
      </c>
      <c r="D29" s="74"/>
      <c r="E29" s="521"/>
      <c r="F29" s="858"/>
      <c r="G29" s="367"/>
      <c r="H29" s="543"/>
      <c r="I29" s="854"/>
      <c r="J29" s="6"/>
      <c r="K29" s="541"/>
      <c r="L29" s="860"/>
      <c r="M29" s="20" t="str">
        <f>IF(J29="","",$M$5-SUM($J$7:J29))</f>
        <v/>
      </c>
      <c r="N29" s="367"/>
      <c r="O29" s="7"/>
      <c r="P29" s="864"/>
      <c r="Q29" s="8"/>
      <c r="R29" s="628">
        <f t="shared" si="0"/>
        <v>0</v>
      </c>
      <c r="S29" s="791"/>
      <c r="T29" s="791"/>
      <c r="U29" s="793"/>
      <c r="V29" s="867"/>
      <c r="W29" s="622" t="str">
        <f>IF(Q29="","",$W$5-SUM($Q$7:Q29))</f>
        <v/>
      </c>
      <c r="X29" s="395"/>
      <c r="Y29" s="683" t="str">
        <f>IF('Current Status (''Shikuf'')'!$G$52="כן",'Current Status (''Shikuf'')'!D22,"חוגים, קייטנות ובריכה" )</f>
        <v>Extracurricular Activities/Camps/Pool</v>
      </c>
      <c r="Z29" s="318">
        <f>IF('Current Status (''Shikuf'')'!$G$52="כן",'Current Status (''Shikuf'')'!G22,0)</f>
        <v>0</v>
      </c>
      <c r="AA29" s="29">
        <f t="shared" si="1"/>
        <v>0</v>
      </c>
      <c r="AB29" s="723"/>
      <c r="AC29" s="723"/>
      <c r="AD29" s="36">
        <f t="shared" si="2"/>
        <v>0</v>
      </c>
      <c r="AE29" s="23">
        <f t="shared" si="8"/>
        <v>0</v>
      </c>
      <c r="AF29" s="367"/>
      <c r="AG29" s="728">
        <f t="shared" si="3"/>
        <v>0</v>
      </c>
      <c r="AH29" s="367"/>
      <c r="AI29" s="375">
        <v>0</v>
      </c>
      <c r="AJ29" s="367"/>
      <c r="AK29" s="530" t="s">
        <v>32</v>
      </c>
      <c r="AL29" s="531" t="s">
        <v>33</v>
      </c>
      <c r="AM29" s="367"/>
      <c r="AN29" s="367"/>
      <c r="AO29" s="86"/>
      <c r="AP29" s="51">
        <f t="shared" si="4"/>
        <v>0</v>
      </c>
      <c r="AQ29" s="51">
        <v>0</v>
      </c>
      <c r="AR29" s="51">
        <f t="shared" si="5"/>
        <v>0</v>
      </c>
      <c r="AS29" s="51">
        <f t="shared" si="6"/>
        <v>0</v>
      </c>
      <c r="AT29" s="51">
        <f t="shared" si="7"/>
        <v>0</v>
      </c>
      <c r="AV29" s="51">
        <f t="shared" si="9"/>
        <v>0</v>
      </c>
      <c r="AW29" s="52">
        <f t="shared" si="10"/>
        <v>0</v>
      </c>
      <c r="AX29" s="51">
        <f t="shared" si="11"/>
        <v>0</v>
      </c>
      <c r="AZ29" s="726">
        <f t="shared" si="12"/>
        <v>0</v>
      </c>
    </row>
    <row r="30" spans="1:63" ht="15" customHeight="1">
      <c r="A30" s="367"/>
      <c r="B30" s="848">
        <f ca="1">IF('Current Status (''Shikuf'')'!$G$52="כן",IF('Current Status (''Shikuf'')'!BH8&lt;&gt;"",'Current Status (''Shikuf'')'!BH8,),)</f>
        <v>0</v>
      </c>
      <c r="C30" s="694">
        <f ca="1">IF('Current Status (''Shikuf'')'!$G$52="כן",IF('Current Status (''Shikuf'')'!BK8&lt;&gt;"",'Current Status (''Shikuf'')'!BK8,0),0)</f>
        <v>0</v>
      </c>
      <c r="D30" s="74"/>
      <c r="E30" s="521"/>
      <c r="F30" s="858"/>
      <c r="G30" s="367"/>
      <c r="H30" s="543"/>
      <c r="I30" s="853"/>
      <c r="J30" s="6"/>
      <c r="K30" s="541"/>
      <c r="L30" s="860"/>
      <c r="M30" s="20" t="str">
        <f>IF(J30="","",$M$5-SUM($J$7:J30))</f>
        <v/>
      </c>
      <c r="N30" s="367"/>
      <c r="O30" s="7"/>
      <c r="P30" s="864"/>
      <c r="Q30" s="8"/>
      <c r="R30" s="628">
        <f t="shared" si="0"/>
        <v>0</v>
      </c>
      <c r="S30" s="791"/>
      <c r="T30" s="791"/>
      <c r="U30" s="793"/>
      <c r="V30" s="867"/>
      <c r="W30" s="622" t="str">
        <f>IF(Q30="","",$W$5-SUM($Q$7:Q30))</f>
        <v/>
      </c>
      <c r="X30" s="395"/>
      <c r="Y30" s="683" t="str">
        <f>IF('Current Status (''Shikuf'')'!$G$52="כן",'Current Status (''Shikuf'')'!D23,"ביטוח רכב + טסט")</f>
        <v xml:space="preserve">  Car Insurance and Licensing</v>
      </c>
      <c r="Z30" s="318">
        <f>IF('Current Status (''Shikuf'')'!$G$52="כן",'Current Status (''Shikuf'')'!G23,0)</f>
        <v>0</v>
      </c>
      <c r="AA30" s="29">
        <f t="shared" si="1"/>
        <v>0</v>
      </c>
      <c r="AB30" s="723"/>
      <c r="AC30" s="723"/>
      <c r="AD30" s="36">
        <f t="shared" si="2"/>
        <v>0</v>
      </c>
      <c r="AE30" s="23">
        <f t="shared" si="8"/>
        <v>0</v>
      </c>
      <c r="AF30" s="367"/>
      <c r="AG30" s="728">
        <f t="shared" si="3"/>
        <v>0</v>
      </c>
      <c r="AH30" s="367"/>
      <c r="AI30" s="375">
        <v>0</v>
      </c>
      <c r="AJ30" s="367"/>
      <c r="AK30" s="530" t="s">
        <v>34</v>
      </c>
      <c r="AL30" s="532" t="s">
        <v>33</v>
      </c>
      <c r="AM30" s="367"/>
      <c r="AN30" s="367"/>
      <c r="AO30" s="86"/>
      <c r="AP30" s="51">
        <f t="shared" si="4"/>
        <v>0</v>
      </c>
      <c r="AQ30" s="51">
        <v>0</v>
      </c>
      <c r="AR30" s="51">
        <f t="shared" si="5"/>
        <v>0</v>
      </c>
      <c r="AS30" s="51">
        <f t="shared" si="6"/>
        <v>0</v>
      </c>
      <c r="AT30" s="51">
        <f t="shared" si="7"/>
        <v>0</v>
      </c>
      <c r="AV30" s="51">
        <f t="shared" si="9"/>
        <v>0</v>
      </c>
      <c r="AW30" s="52">
        <f t="shared" si="10"/>
        <v>0</v>
      </c>
      <c r="AX30" s="51">
        <f t="shared" si="11"/>
        <v>0</v>
      </c>
      <c r="AZ30" s="726">
        <f t="shared" si="12"/>
        <v>0</v>
      </c>
    </row>
    <row r="31" spans="1:63" ht="15" customHeight="1">
      <c r="A31" s="367"/>
      <c r="B31" s="848">
        <f ca="1">IF('Current Status (''Shikuf'')'!$G$52="כן",IF('Current Status (''Shikuf'')'!BH9&lt;&gt;"",'Current Status (''Shikuf'')'!BH9,),)</f>
        <v>0</v>
      </c>
      <c r="C31" s="694">
        <f ca="1">IF('Current Status (''Shikuf'')'!$G$52="כן",IF('Current Status (''Shikuf'')'!BK9&lt;&gt;"",'Current Status (''Shikuf'')'!BK9,0),0)</f>
        <v>0</v>
      </c>
      <c r="D31" s="74"/>
      <c r="E31" s="521"/>
      <c r="F31" s="858"/>
      <c r="G31" s="367"/>
      <c r="H31" s="543"/>
      <c r="I31" s="853"/>
      <c r="J31" s="6"/>
      <c r="K31" s="541"/>
      <c r="L31" s="860"/>
      <c r="M31" s="20" t="str">
        <f>IF(J31="","",$M$5-SUM($J$7:J31))</f>
        <v/>
      </c>
      <c r="N31" s="367"/>
      <c r="O31" s="7"/>
      <c r="P31" s="862"/>
      <c r="Q31" s="8"/>
      <c r="R31" s="628">
        <f t="shared" si="0"/>
        <v>0</v>
      </c>
      <c r="S31" s="791"/>
      <c r="T31" s="791"/>
      <c r="U31" s="793"/>
      <c r="V31" s="867"/>
      <c r="W31" s="622" t="str">
        <f>IF(Q31="","",$W$5-SUM($Q$7:Q31))</f>
        <v/>
      </c>
      <c r="X31" s="395"/>
      <c r="Y31" s="683" t="str">
        <f>IF('Current Status (''Shikuf'')'!$G$52="כן",'Current Status (''Shikuf'')'!D24,"תיקוני רכב")</f>
        <v>Car Maintenance</v>
      </c>
      <c r="Z31" s="318">
        <f>IF('Current Status (''Shikuf'')'!$G$52="כן",'Current Status (''Shikuf'')'!G24,0)</f>
        <v>0</v>
      </c>
      <c r="AA31" s="29">
        <f t="shared" si="1"/>
        <v>0</v>
      </c>
      <c r="AB31" s="723"/>
      <c r="AC31" s="723"/>
      <c r="AD31" s="36">
        <f t="shared" si="2"/>
        <v>0</v>
      </c>
      <c r="AE31" s="23">
        <f t="shared" si="8"/>
        <v>0</v>
      </c>
      <c r="AF31" s="367"/>
      <c r="AG31" s="728">
        <f t="shared" si="3"/>
        <v>0</v>
      </c>
      <c r="AH31" s="367"/>
      <c r="AI31" s="375">
        <v>0</v>
      </c>
      <c r="AJ31" s="367"/>
      <c r="AK31" s="530" t="s">
        <v>35</v>
      </c>
      <c r="AL31" s="533" t="s">
        <v>33</v>
      </c>
      <c r="AM31" s="367"/>
      <c r="AN31" s="367"/>
      <c r="AO31" s="86"/>
      <c r="AP31" s="51">
        <f t="shared" si="4"/>
        <v>0</v>
      </c>
      <c r="AQ31" s="51">
        <v>0</v>
      </c>
      <c r="AR31" s="51">
        <f t="shared" si="5"/>
        <v>0</v>
      </c>
      <c r="AS31" s="51">
        <f t="shared" si="6"/>
        <v>0</v>
      </c>
      <c r="AT31" s="51">
        <f t="shared" si="7"/>
        <v>0</v>
      </c>
      <c r="AV31" s="51">
        <f t="shared" si="9"/>
        <v>0</v>
      </c>
      <c r="AW31" s="52">
        <f t="shared" si="10"/>
        <v>0</v>
      </c>
      <c r="AX31" s="51">
        <f t="shared" si="11"/>
        <v>0</v>
      </c>
      <c r="AZ31" s="726">
        <f t="shared" si="12"/>
        <v>0</v>
      </c>
    </row>
    <row r="32" spans="1:63" ht="15" customHeight="1">
      <c r="A32" s="367"/>
      <c r="B32" s="848">
        <f ca="1">IF('Current Status (''Shikuf'')'!$G$52="כן",IF('Current Status (''Shikuf'')'!BH10&lt;&gt;"",'Current Status (''Shikuf'')'!BH10,),)</f>
        <v>0</v>
      </c>
      <c r="C32" s="694">
        <f ca="1">IF('Current Status (''Shikuf'')'!$G$52="כן",IF('Current Status (''Shikuf'')'!BK10&lt;&gt;"",'Current Status (''Shikuf'')'!BK10,0),0)</f>
        <v>0</v>
      </c>
      <c r="D32" s="74"/>
      <c r="E32" s="521"/>
      <c r="F32" s="858"/>
      <c r="G32" s="367"/>
      <c r="H32" s="543"/>
      <c r="I32" s="853"/>
      <c r="J32" s="6"/>
      <c r="K32" s="541"/>
      <c r="L32" s="860"/>
      <c r="M32" s="20" t="str">
        <f>IF(J32="","",$M$5-SUM($J$7:J32))</f>
        <v/>
      </c>
      <c r="N32" s="367"/>
      <c r="O32" s="7"/>
      <c r="P32" s="864"/>
      <c r="Q32" s="8"/>
      <c r="R32" s="628">
        <f t="shared" si="0"/>
        <v>0</v>
      </c>
      <c r="S32" s="791"/>
      <c r="T32" s="791"/>
      <c r="U32" s="793"/>
      <c r="V32" s="867"/>
      <c r="W32" s="622" t="str">
        <f>IF(Q32="","",$W$5-SUM($Q$7:Q32))</f>
        <v/>
      </c>
      <c r="X32" s="389"/>
      <c r="Y32" s="683" t="str">
        <f>IF('Current Status (''Shikuf'')'!$G$52="כן",'Current Status (''Shikuf'')'!D25,"ביגוד והנעלה")</f>
        <v>Clothing and Shoes</v>
      </c>
      <c r="Z32" s="318">
        <f>IF('Current Status (''Shikuf'')'!$G$52="כן",'Current Status (''Shikuf'')'!G25,0)</f>
        <v>0</v>
      </c>
      <c r="AA32" s="29">
        <f t="shared" si="1"/>
        <v>0</v>
      </c>
      <c r="AB32" s="723"/>
      <c r="AC32" s="723"/>
      <c r="AD32" s="36">
        <f t="shared" si="2"/>
        <v>0</v>
      </c>
      <c r="AE32" s="23">
        <f t="shared" si="8"/>
        <v>0</v>
      </c>
      <c r="AF32" s="367"/>
      <c r="AG32" s="728">
        <f t="shared" si="3"/>
        <v>0</v>
      </c>
      <c r="AH32" s="367"/>
      <c r="AI32" s="375">
        <v>0</v>
      </c>
      <c r="AJ32" s="367"/>
      <c r="AK32" s="530" t="s">
        <v>36</v>
      </c>
      <c r="AL32" s="534" t="s">
        <v>33</v>
      </c>
      <c r="AM32" s="367"/>
      <c r="AN32" s="367"/>
      <c r="AO32" s="86"/>
      <c r="AP32" s="51">
        <f t="shared" si="4"/>
        <v>0</v>
      </c>
      <c r="AQ32" s="51">
        <v>0</v>
      </c>
      <c r="AR32" s="51">
        <f t="shared" si="5"/>
        <v>0</v>
      </c>
      <c r="AS32" s="51">
        <f t="shared" si="6"/>
        <v>0</v>
      </c>
      <c r="AT32" s="51">
        <f t="shared" si="7"/>
        <v>0</v>
      </c>
      <c r="AV32" s="51">
        <f t="shared" si="9"/>
        <v>0</v>
      </c>
      <c r="AW32" s="52">
        <f t="shared" si="10"/>
        <v>0</v>
      </c>
      <c r="AX32" s="51">
        <f t="shared" si="11"/>
        <v>0</v>
      </c>
      <c r="AZ32" s="726">
        <f t="shared" si="12"/>
        <v>0</v>
      </c>
    </row>
    <row r="33" spans="1:52" ht="15" customHeight="1">
      <c r="A33" s="367"/>
      <c r="B33" s="848">
        <f ca="1">IF('Current Status (''Shikuf'')'!$G$52="כן",IF('Current Status (''Shikuf'')'!BH11&lt;&gt;"",'Current Status (''Shikuf'')'!BH11,),)</f>
        <v>0</v>
      </c>
      <c r="C33" s="694">
        <f ca="1">IF('Current Status (''Shikuf'')'!$G$52="כן",IF('Current Status (''Shikuf'')'!BK11&lt;&gt;"",'Current Status (''Shikuf'')'!BK11,0),0)</f>
        <v>0</v>
      </c>
      <c r="D33" s="74"/>
      <c r="E33" s="521"/>
      <c r="F33" s="858"/>
      <c r="G33" s="367"/>
      <c r="H33" s="543"/>
      <c r="I33" s="853"/>
      <c r="J33" s="6"/>
      <c r="K33" s="541"/>
      <c r="L33" s="860"/>
      <c r="M33" s="20" t="str">
        <f>IF(J33="","",$M$5-SUM($J$7:J33))</f>
        <v/>
      </c>
      <c r="N33" s="367"/>
      <c r="O33" s="7"/>
      <c r="P33" s="862"/>
      <c r="Q33" s="8"/>
      <c r="R33" s="628">
        <f t="shared" si="0"/>
        <v>0</v>
      </c>
      <c r="S33" s="791"/>
      <c r="T33" s="791"/>
      <c r="U33" s="793"/>
      <c r="V33" s="867"/>
      <c r="W33" s="622" t="str">
        <f>IF(Q33="","",$W$5-SUM($Q$7:Q33))</f>
        <v/>
      </c>
      <c r="X33" s="10"/>
      <c r="Y33" s="683" t="str">
        <f>IF('Current Status (''Shikuf'')'!$G$52="כן",'Current Status (''Shikuf'')'!D26,"בריאות")</f>
        <v>Medicine/Treatment</v>
      </c>
      <c r="Z33" s="318">
        <f>IF('Current Status (''Shikuf'')'!$G$52="כן",'Current Status (''Shikuf'')'!G26,0)</f>
        <v>0</v>
      </c>
      <c r="AA33" s="29">
        <f t="shared" si="1"/>
        <v>0</v>
      </c>
      <c r="AB33" s="723"/>
      <c r="AC33" s="723"/>
      <c r="AD33" s="36">
        <f t="shared" si="2"/>
        <v>0</v>
      </c>
      <c r="AE33" s="23">
        <f t="shared" si="8"/>
        <v>0</v>
      </c>
      <c r="AF33" s="367"/>
      <c r="AG33" s="728">
        <f t="shared" si="3"/>
        <v>0</v>
      </c>
      <c r="AH33" s="367"/>
      <c r="AI33" s="375">
        <v>0</v>
      </c>
      <c r="AJ33" s="367"/>
      <c r="AK33" s="530" t="s">
        <v>37</v>
      </c>
      <c r="AL33" s="535" t="s">
        <v>33</v>
      </c>
      <c r="AM33" s="367"/>
      <c r="AN33" s="367"/>
      <c r="AO33" s="86"/>
      <c r="AP33" s="51">
        <f t="shared" si="4"/>
        <v>0</v>
      </c>
      <c r="AQ33" s="51">
        <v>0</v>
      </c>
      <c r="AR33" s="51">
        <f t="shared" si="5"/>
        <v>0</v>
      </c>
      <c r="AS33" s="51">
        <f t="shared" si="6"/>
        <v>0</v>
      </c>
      <c r="AT33" s="51">
        <f t="shared" si="7"/>
        <v>0</v>
      </c>
      <c r="AV33" s="51">
        <f t="shared" si="9"/>
        <v>0</v>
      </c>
      <c r="AW33" s="52">
        <f t="shared" si="10"/>
        <v>0</v>
      </c>
      <c r="AX33" s="51">
        <f t="shared" si="11"/>
        <v>0</v>
      </c>
      <c r="AZ33" s="726">
        <f t="shared" si="12"/>
        <v>0</v>
      </c>
    </row>
    <row r="34" spans="1:52" ht="15" customHeight="1">
      <c r="A34" s="367"/>
      <c r="B34" s="848">
        <f ca="1">IF('Current Status (''Shikuf'')'!$G$52="כן",IF('Current Status (''Shikuf'')'!BH12&lt;&gt;"",'Current Status (''Shikuf'')'!BH12,),)</f>
        <v>0</v>
      </c>
      <c r="C34" s="694">
        <f ca="1">IF('Current Status (''Shikuf'')'!$G$52="כן",IF('Current Status (''Shikuf'')'!BK12&lt;&gt;"",'Current Status (''Shikuf'')'!BK12,0),0)</f>
        <v>0</v>
      </c>
      <c r="D34" s="74"/>
      <c r="E34" s="521"/>
      <c r="F34" s="858"/>
      <c r="G34" s="367"/>
      <c r="H34" s="543"/>
      <c r="I34" s="853"/>
      <c r="J34" s="6"/>
      <c r="K34" s="541"/>
      <c r="L34" s="860"/>
      <c r="M34" s="20" t="str">
        <f>IF(J34="","",$M$5-SUM($J$7:J34))</f>
        <v/>
      </c>
      <c r="N34" s="367"/>
      <c r="O34" s="7"/>
      <c r="P34" s="864"/>
      <c r="Q34" s="8"/>
      <c r="R34" s="628">
        <f t="shared" si="0"/>
        <v>0</v>
      </c>
      <c r="S34" s="791"/>
      <c r="T34" s="791"/>
      <c r="U34" s="793"/>
      <c r="V34" s="867"/>
      <c r="W34" s="622" t="str">
        <f>IF(Q34="","",$W$5-SUM($Q$7:Q34))</f>
        <v/>
      </c>
      <c r="X34" s="10"/>
      <c r="Y34" s="683" t="str">
        <f>IF('Current Status (''Shikuf'')'!$G$52="כן",'Current Status (''Shikuf'')'!D27,"עמלות וריביות בנקים")</f>
        <v>Bank Interest and Fees</v>
      </c>
      <c r="Z34" s="318">
        <f>IF('Current Status (''Shikuf'')'!$G$52="כן",'Current Status (''Shikuf'')'!G27,0)</f>
        <v>0</v>
      </c>
      <c r="AA34" s="29">
        <f t="shared" si="1"/>
        <v>0</v>
      </c>
      <c r="AB34" s="723"/>
      <c r="AC34" s="723"/>
      <c r="AD34" s="36">
        <f t="shared" si="2"/>
        <v>0</v>
      </c>
      <c r="AE34" s="23">
        <f t="shared" si="8"/>
        <v>0</v>
      </c>
      <c r="AF34" s="367"/>
      <c r="AG34" s="728">
        <f t="shared" si="3"/>
        <v>0</v>
      </c>
      <c r="AH34" s="367"/>
      <c r="AI34" s="375">
        <v>0</v>
      </c>
      <c r="AJ34" s="367"/>
      <c r="AK34" s="530" t="s">
        <v>38</v>
      </c>
      <c r="AL34" s="536" t="s">
        <v>33</v>
      </c>
      <c r="AM34" s="367"/>
      <c r="AN34" s="367"/>
      <c r="AO34" s="86"/>
      <c r="AP34" s="51">
        <f t="shared" si="4"/>
        <v>0</v>
      </c>
      <c r="AQ34" s="51">
        <v>0</v>
      </c>
      <c r="AR34" s="51">
        <f t="shared" si="5"/>
        <v>0</v>
      </c>
      <c r="AS34" s="51">
        <f t="shared" si="6"/>
        <v>0</v>
      </c>
      <c r="AT34" s="51">
        <f t="shared" si="7"/>
        <v>0</v>
      </c>
      <c r="AV34" s="51">
        <f t="shared" si="9"/>
        <v>0</v>
      </c>
      <c r="AW34" s="52">
        <f t="shared" si="10"/>
        <v>0</v>
      </c>
      <c r="AX34" s="51">
        <f t="shared" si="11"/>
        <v>0</v>
      </c>
      <c r="AZ34" s="726">
        <f t="shared" si="12"/>
        <v>0</v>
      </c>
    </row>
    <row r="35" spans="1:52" ht="15" customHeight="1">
      <c r="A35" s="367"/>
      <c r="B35" s="848">
        <f ca="1">IF('Current Status (''Shikuf'')'!$G$52="כן",IF('Current Status (''Shikuf'')'!BH13&lt;&gt;"",'Current Status (''Shikuf'')'!BH13,),)</f>
        <v>0</v>
      </c>
      <c r="C35" s="694">
        <f ca="1">IF('Current Status (''Shikuf'')'!$G$52="כן",IF('Current Status (''Shikuf'')'!BK13&lt;&gt;"",'Current Status (''Shikuf'')'!BK13,0),0)</f>
        <v>0</v>
      </c>
      <c r="D35" s="74"/>
      <c r="E35" s="521"/>
      <c r="F35" s="858"/>
      <c r="G35" s="367"/>
      <c r="H35" s="543"/>
      <c r="I35" s="853"/>
      <c r="J35" s="6"/>
      <c r="K35" s="541"/>
      <c r="L35" s="860"/>
      <c r="M35" s="20" t="str">
        <f>IF(J35="","",$M$5-SUM($J$7:J35))</f>
        <v/>
      </c>
      <c r="N35" s="367"/>
      <c r="O35" s="7"/>
      <c r="P35" s="862"/>
      <c r="Q35" s="6"/>
      <c r="R35" s="628">
        <f t="shared" si="0"/>
        <v>0</v>
      </c>
      <c r="S35" s="791"/>
      <c r="T35" s="791"/>
      <c r="U35" s="793"/>
      <c r="V35" s="867"/>
      <c r="W35" s="626" t="str">
        <f>IF(Q35="","",$W$5-SUM($Q$7:Q35))</f>
        <v/>
      </c>
      <c r="X35" s="395"/>
      <c r="Y35" s="683" t="str">
        <f>IF('Current Status (''Shikuf'')'!$G$52="כן",'Current Status (''Shikuf'')'!D28,"טיפולי שיניים")</f>
        <v>Dental treatments</v>
      </c>
      <c r="Z35" s="318">
        <f>IF('Current Status (''Shikuf'')'!$G$52="כן",'Current Status (''Shikuf'')'!G28,0)</f>
        <v>0</v>
      </c>
      <c r="AA35" s="29">
        <f t="shared" si="1"/>
        <v>0</v>
      </c>
      <c r="AB35" s="723"/>
      <c r="AC35" s="723"/>
      <c r="AD35" s="36">
        <f t="shared" si="2"/>
        <v>0</v>
      </c>
      <c r="AE35" s="23">
        <f t="shared" si="8"/>
        <v>0</v>
      </c>
      <c r="AF35" s="367"/>
      <c r="AG35" s="728">
        <f t="shared" si="3"/>
        <v>0</v>
      </c>
      <c r="AH35" s="367"/>
      <c r="AI35" s="375">
        <v>0</v>
      </c>
      <c r="AJ35" s="367"/>
      <c r="AK35" s="530" t="s">
        <v>39</v>
      </c>
      <c r="AL35" s="537" t="s">
        <v>33</v>
      </c>
      <c r="AM35" s="367"/>
      <c r="AN35" s="367"/>
      <c r="AO35" s="86"/>
      <c r="AP35" s="51">
        <f t="shared" si="4"/>
        <v>0</v>
      </c>
      <c r="AQ35" s="51">
        <v>0</v>
      </c>
      <c r="AR35" s="51">
        <f t="shared" si="5"/>
        <v>0</v>
      </c>
      <c r="AS35" s="51">
        <f t="shared" si="6"/>
        <v>0</v>
      </c>
      <c r="AT35" s="51">
        <f t="shared" si="7"/>
        <v>0</v>
      </c>
      <c r="AV35" s="51">
        <f t="shared" si="9"/>
        <v>0</v>
      </c>
      <c r="AW35" s="52">
        <f t="shared" si="10"/>
        <v>0</v>
      </c>
      <c r="AX35" s="51">
        <f t="shared" si="11"/>
        <v>0</v>
      </c>
      <c r="AZ35" s="726">
        <f t="shared" si="12"/>
        <v>0</v>
      </c>
    </row>
    <row r="36" spans="1:52" ht="15" customHeight="1">
      <c r="A36" s="367"/>
      <c r="B36" s="848">
        <f ca="1">IF('Current Status (''Shikuf'')'!$G$52="כן",IF('Current Status (''Shikuf'')'!BH14&lt;&gt;"",'Current Status (''Shikuf'')'!BH14,),)</f>
        <v>0</v>
      </c>
      <c r="C36" s="694">
        <f ca="1">IF('Current Status (''Shikuf'')'!$G$52="כן",IF('Current Status (''Shikuf'')'!BK14&lt;&gt;"",'Current Status (''Shikuf'')'!BK14,0),0)</f>
        <v>0</v>
      </c>
      <c r="D36" s="74"/>
      <c r="E36" s="521"/>
      <c r="F36" s="858"/>
      <c r="G36" s="367"/>
      <c r="H36" s="543"/>
      <c r="I36" s="853"/>
      <c r="J36" s="6"/>
      <c r="K36" s="541"/>
      <c r="L36" s="860"/>
      <c r="M36" s="20" t="str">
        <f>IF(J36="","",$M$5-SUM($J$7:J36))</f>
        <v/>
      </c>
      <c r="N36" s="367"/>
      <c r="O36" s="7"/>
      <c r="P36" s="864"/>
      <c r="Q36" s="8"/>
      <c r="R36" s="628">
        <f t="shared" si="0"/>
        <v>0</v>
      </c>
      <c r="S36" s="791"/>
      <c r="T36" s="791"/>
      <c r="U36" s="793"/>
      <c r="V36" s="867"/>
      <c r="W36" s="622" t="str">
        <f>IF(Q36="","",$W$5-SUM($Q$7:Q36))</f>
        <v/>
      </c>
      <c r="X36" s="395"/>
      <c r="Y36" s="683" t="str">
        <f>IF('Current Status (''Shikuf'')'!$G$52="כן",'Current Status (''Shikuf'')'!D29,"אופטיקה")</f>
        <v>Eyeglasses/Contact Lens</v>
      </c>
      <c r="Z36" s="318">
        <f>IF('Current Status (''Shikuf'')'!$G$52="כן",'Current Status (''Shikuf'')'!G29,0)</f>
        <v>0</v>
      </c>
      <c r="AA36" s="29">
        <f t="shared" si="1"/>
        <v>0</v>
      </c>
      <c r="AB36" s="723"/>
      <c r="AC36" s="723"/>
      <c r="AD36" s="36">
        <f t="shared" si="2"/>
        <v>0</v>
      </c>
      <c r="AE36" s="23">
        <f t="shared" si="8"/>
        <v>0</v>
      </c>
      <c r="AF36" s="367"/>
      <c r="AG36" s="728">
        <f t="shared" si="3"/>
        <v>0</v>
      </c>
      <c r="AH36" s="367"/>
      <c r="AI36" s="375">
        <v>0</v>
      </c>
      <c r="AJ36" s="367"/>
      <c r="AK36" s="530" t="s">
        <v>40</v>
      </c>
      <c r="AL36" s="538" t="s">
        <v>33</v>
      </c>
      <c r="AM36" s="367"/>
      <c r="AN36" s="367"/>
      <c r="AO36" s="86"/>
      <c r="AP36" s="51">
        <f t="shared" si="4"/>
        <v>0</v>
      </c>
      <c r="AQ36" s="51">
        <v>0</v>
      </c>
      <c r="AR36" s="51">
        <f t="shared" si="5"/>
        <v>0</v>
      </c>
      <c r="AS36" s="51">
        <f t="shared" si="6"/>
        <v>0</v>
      </c>
      <c r="AT36" s="51">
        <f t="shared" si="7"/>
        <v>0</v>
      </c>
      <c r="AV36" s="51">
        <f t="shared" si="9"/>
        <v>0</v>
      </c>
      <c r="AW36" s="52">
        <f t="shared" si="10"/>
        <v>0</v>
      </c>
      <c r="AX36" s="51">
        <f t="shared" si="11"/>
        <v>0</v>
      </c>
      <c r="AZ36" s="726">
        <f t="shared" si="12"/>
        <v>0</v>
      </c>
    </row>
    <row r="37" spans="1:52" ht="15" customHeight="1" thickBot="1">
      <c r="A37" s="367"/>
      <c r="B37" s="848">
        <f ca="1">IF('Current Status (''Shikuf'')'!$G$52="כן",IF('Current Status (''Shikuf'')'!BH15&lt;&gt;"",'Current Status (''Shikuf'')'!BH15,),)</f>
        <v>0</v>
      </c>
      <c r="C37" s="694">
        <f ca="1">IF('Current Status (''Shikuf'')'!$G$52="כן",IF('Current Status (''Shikuf'')'!BK15&lt;&gt;"",'Current Status (''Shikuf'')'!BK15,0),0)</f>
        <v>0</v>
      </c>
      <c r="D37" s="74"/>
      <c r="E37" s="521"/>
      <c r="F37" s="858"/>
      <c r="G37" s="367"/>
      <c r="H37" s="543"/>
      <c r="I37" s="853"/>
      <c r="J37" s="6"/>
      <c r="K37" s="541"/>
      <c r="L37" s="860"/>
      <c r="M37" s="20" t="str">
        <f>IF(J37="","",$M$5-SUM($J$7:J37))</f>
        <v/>
      </c>
      <c r="N37" s="367"/>
      <c r="O37" s="7"/>
      <c r="P37" s="862"/>
      <c r="Q37" s="8"/>
      <c r="R37" s="628">
        <f t="shared" si="0"/>
        <v>0</v>
      </c>
      <c r="S37" s="791"/>
      <c r="T37" s="791"/>
      <c r="U37" s="793"/>
      <c r="V37" s="867"/>
      <c r="W37" s="622" t="str">
        <f>IF(Q37="","",$W$5-SUM($Q$7:Q37))</f>
        <v/>
      </c>
      <c r="X37" s="395"/>
      <c r="Y37" s="683" t="str">
        <f>IF('Current Status (''Shikuf'')'!$G$52="כן",'Current Status (''Shikuf'')'!D30,"חופשה / טיול")</f>
        <v>Vacations</v>
      </c>
      <c r="Z37" s="318">
        <f>IF('Current Status (''Shikuf'')'!$G$52="כן",'Current Status (''Shikuf'')'!G30,0)</f>
        <v>0</v>
      </c>
      <c r="AA37" s="29">
        <f t="shared" si="1"/>
        <v>0</v>
      </c>
      <c r="AB37" s="723"/>
      <c r="AC37" s="723"/>
      <c r="AD37" s="36">
        <f t="shared" si="2"/>
        <v>0</v>
      </c>
      <c r="AE37" s="23">
        <f t="shared" si="8"/>
        <v>0</v>
      </c>
      <c r="AF37" s="367"/>
      <c r="AG37" s="728">
        <f t="shared" si="3"/>
        <v>0</v>
      </c>
      <c r="AH37" s="367"/>
      <c r="AI37" s="375">
        <v>0</v>
      </c>
      <c r="AJ37" s="367"/>
      <c r="AK37" s="539" t="s">
        <v>41</v>
      </c>
      <c r="AL37" s="540" t="s">
        <v>33</v>
      </c>
      <c r="AM37" s="367"/>
      <c r="AN37" s="367"/>
      <c r="AO37" s="86"/>
      <c r="AP37" s="51">
        <f t="shared" si="4"/>
        <v>0</v>
      </c>
      <c r="AQ37" s="51">
        <v>0</v>
      </c>
      <c r="AR37" s="51">
        <f t="shared" si="5"/>
        <v>0</v>
      </c>
      <c r="AS37" s="51">
        <f t="shared" si="6"/>
        <v>0</v>
      </c>
      <c r="AT37" s="51">
        <f t="shared" si="7"/>
        <v>0</v>
      </c>
      <c r="AV37" s="51">
        <f t="shared" si="9"/>
        <v>0</v>
      </c>
      <c r="AW37" s="52">
        <f t="shared" si="10"/>
        <v>0</v>
      </c>
      <c r="AX37" s="51">
        <f t="shared" si="11"/>
        <v>0</v>
      </c>
      <c r="AZ37" s="726">
        <f t="shared" si="12"/>
        <v>0</v>
      </c>
    </row>
    <row r="38" spans="1:52" ht="15" customHeight="1">
      <c r="A38" s="367"/>
      <c r="B38" s="848">
        <f ca="1">IF('Current Status (''Shikuf'')'!$G$52="כן",IF('Current Status (''Shikuf'')'!BH16&lt;&gt;"",'Current Status (''Shikuf'')'!BH16,),)</f>
        <v>0</v>
      </c>
      <c r="C38" s="694">
        <f ca="1">IF('Current Status (''Shikuf'')'!$G$52="כן",IF('Current Status (''Shikuf'')'!BK16&lt;&gt;"",'Current Status (''Shikuf'')'!BK16,0),0)</f>
        <v>0</v>
      </c>
      <c r="D38" s="74"/>
      <c r="E38" s="521"/>
      <c r="F38" s="858"/>
      <c r="G38" s="367"/>
      <c r="H38" s="543"/>
      <c r="I38" s="853"/>
      <c r="J38" s="6"/>
      <c r="K38" s="541"/>
      <c r="L38" s="860"/>
      <c r="M38" s="20" t="str">
        <f>IF(J38="","",$M$5-SUM($J$7:J38))</f>
        <v/>
      </c>
      <c r="N38" s="367"/>
      <c r="O38" s="7"/>
      <c r="P38" s="864"/>
      <c r="Q38" s="8"/>
      <c r="R38" s="628">
        <f t="shared" si="0"/>
        <v>0</v>
      </c>
      <c r="S38" s="791"/>
      <c r="T38" s="791"/>
      <c r="U38" s="793"/>
      <c r="V38" s="867"/>
      <c r="W38" s="625" t="str">
        <f>IF(Q38="","",$W$5-SUM($Q$7:Q38))</f>
        <v/>
      </c>
      <c r="X38" s="621"/>
      <c r="Y38" s="683" t="str">
        <f>IF('Current Status (''Shikuf'')'!$G$52="כן",'Current Status (''Shikuf'')'!D31,"יהדות / חגים")</f>
        <v>Religious expenses</v>
      </c>
      <c r="Z38" s="318">
        <f>IF('Current Status (''Shikuf'')'!$G$52="כן",'Current Status (''Shikuf'')'!G31,0)</f>
        <v>0</v>
      </c>
      <c r="AA38" s="29">
        <f t="shared" si="1"/>
        <v>0</v>
      </c>
      <c r="AB38" s="723"/>
      <c r="AC38" s="723"/>
      <c r="AD38" s="36">
        <f t="shared" si="2"/>
        <v>0</v>
      </c>
      <c r="AE38" s="23">
        <f t="shared" si="8"/>
        <v>0</v>
      </c>
      <c r="AF38" s="367"/>
      <c r="AG38" s="728">
        <f t="shared" si="3"/>
        <v>0</v>
      </c>
      <c r="AH38" s="367"/>
      <c r="AI38" s="375">
        <v>0</v>
      </c>
      <c r="AJ38" s="367"/>
      <c r="AK38" s="367"/>
      <c r="AL38" s="367"/>
      <c r="AM38" s="367"/>
      <c r="AN38" s="367"/>
      <c r="AO38" s="86"/>
      <c r="AP38" s="51">
        <f t="shared" si="4"/>
        <v>0</v>
      </c>
      <c r="AQ38" s="51">
        <v>0</v>
      </c>
      <c r="AR38" s="51">
        <f t="shared" si="5"/>
        <v>0</v>
      </c>
      <c r="AS38" s="51">
        <f t="shared" si="6"/>
        <v>0</v>
      </c>
      <c r="AT38" s="51">
        <f t="shared" si="7"/>
        <v>0</v>
      </c>
      <c r="AV38" s="51">
        <f t="shared" si="9"/>
        <v>0</v>
      </c>
      <c r="AW38" s="52">
        <f t="shared" si="10"/>
        <v>0</v>
      </c>
      <c r="AX38" s="51">
        <f t="shared" si="11"/>
        <v>0</v>
      </c>
      <c r="AZ38" s="726">
        <f t="shared" si="12"/>
        <v>0</v>
      </c>
    </row>
    <row r="39" spans="1:52" ht="15" customHeight="1" thickBot="1">
      <c r="A39" s="367"/>
      <c r="B39" s="848">
        <f ca="1">IF('Current Status (''Shikuf'')'!$G$52="כן",IF('Current Status (''Shikuf'')'!BH17&lt;&gt;"",'Current Status (''Shikuf'')'!BH17,),)</f>
        <v>0</v>
      </c>
      <c r="C39" s="695">
        <f ca="1">IF('Current Status (''Shikuf'')'!$G$52="כן",IF('Current Status (''Shikuf'')'!BK17&lt;&gt;"",'Current Status (''Shikuf'')'!BK17,0),0)</f>
        <v>0</v>
      </c>
      <c r="D39" s="74"/>
      <c r="E39" s="521"/>
      <c r="F39" s="858"/>
      <c r="G39" s="367"/>
      <c r="H39" s="543"/>
      <c r="I39" s="853"/>
      <c r="J39" s="6"/>
      <c r="K39" s="541"/>
      <c r="L39" s="860"/>
      <c r="M39" s="20" t="str">
        <f>IF(J39="","",$M$5-SUM($J$7:J39))</f>
        <v/>
      </c>
      <c r="N39" s="367"/>
      <c r="O39" s="7"/>
      <c r="P39" s="863"/>
      <c r="Q39" s="8"/>
      <c r="R39" s="628">
        <f t="shared" si="0"/>
        <v>0</v>
      </c>
      <c r="S39" s="791"/>
      <c r="T39" s="791"/>
      <c r="U39" s="793"/>
      <c r="V39" s="867"/>
      <c r="W39" s="622" t="str">
        <f>IF(Q39="","",$W$5-SUM($Q$7:Q39))</f>
        <v/>
      </c>
      <c r="X39" s="395"/>
      <c r="Y39" s="683" t="str">
        <f>IF('Current Status (''Shikuf'')'!$G$52="כן",'Current Status (''Shikuf'')'!D32,"מתנות לאירועים ושמחות")</f>
        <v>Gifts</v>
      </c>
      <c r="Z39" s="318">
        <f>IF('Current Status (''Shikuf'')'!$G$52="כן",'Current Status (''Shikuf'')'!G32,0)</f>
        <v>0</v>
      </c>
      <c r="AA39" s="29">
        <f t="shared" si="1"/>
        <v>0</v>
      </c>
      <c r="AB39" s="723"/>
      <c r="AC39" s="723"/>
      <c r="AD39" s="36">
        <f t="shared" si="2"/>
        <v>0</v>
      </c>
      <c r="AE39" s="23">
        <f t="shared" si="8"/>
        <v>0</v>
      </c>
      <c r="AF39" s="367"/>
      <c r="AG39" s="728">
        <f t="shared" si="3"/>
        <v>0</v>
      </c>
      <c r="AH39" s="367"/>
      <c r="AI39" s="375">
        <v>0</v>
      </c>
      <c r="AJ39" s="367"/>
      <c r="AK39" s="367"/>
      <c r="AL39" s="367"/>
      <c r="AM39" s="367"/>
      <c r="AN39" s="367"/>
      <c r="AO39" s="86"/>
      <c r="AP39" s="51">
        <f t="shared" si="4"/>
        <v>0</v>
      </c>
      <c r="AQ39" s="51">
        <v>0</v>
      </c>
      <c r="AR39" s="51">
        <f t="shared" si="5"/>
        <v>0</v>
      </c>
      <c r="AS39" s="51">
        <f t="shared" si="6"/>
        <v>0</v>
      </c>
      <c r="AT39" s="51">
        <f t="shared" si="7"/>
        <v>0</v>
      </c>
      <c r="AV39" s="51">
        <f t="shared" si="9"/>
        <v>0</v>
      </c>
      <c r="AW39" s="52">
        <f t="shared" si="10"/>
        <v>0</v>
      </c>
      <c r="AX39" s="51">
        <f t="shared" si="11"/>
        <v>0</v>
      </c>
      <c r="AZ39" s="726">
        <f t="shared" si="12"/>
        <v>0</v>
      </c>
    </row>
    <row r="40" spans="1:52" ht="15" customHeight="1" thickTop="1">
      <c r="A40" s="367"/>
      <c r="B40" s="16" t="s">
        <v>179</v>
      </c>
      <c r="C40" s="77">
        <f ca="1">SUM(C27:C39)+SUM(C65:C86)</f>
        <v>0</v>
      </c>
      <c r="D40" s="75">
        <f>SUM(D27:D39)+SUM(D65:D86)</f>
        <v>0</v>
      </c>
      <c r="E40" s="515"/>
      <c r="F40" s="515"/>
      <c r="G40" s="367"/>
      <c r="H40" s="543"/>
      <c r="I40" s="853"/>
      <c r="J40" s="6"/>
      <c r="K40" s="541"/>
      <c r="L40" s="860"/>
      <c r="M40" s="20" t="str">
        <f>IF(J40="","",$M$5-SUM($J$7:J40))</f>
        <v/>
      </c>
      <c r="N40" s="367"/>
      <c r="O40" s="7"/>
      <c r="P40" s="862"/>
      <c r="Q40" s="8"/>
      <c r="R40" s="628">
        <f t="shared" si="0"/>
        <v>0</v>
      </c>
      <c r="S40" s="791"/>
      <c r="T40" s="791"/>
      <c r="U40" s="793"/>
      <c r="V40" s="867"/>
      <c r="W40" s="622" t="str">
        <f>IF(Q40="","",$W$5-SUM($Q$7:Q40))</f>
        <v/>
      </c>
      <c r="X40" s="395"/>
      <c r="Y40" s="683" t="str">
        <f>IF('Current Status (''Shikuf'')'!$G$52="כן",'Current Status (''Shikuf'')'!D33,"רכישות ושירותים")</f>
        <v>Small Purchases</v>
      </c>
      <c r="Z40" s="318">
        <f>IF('Current Status (''Shikuf'')'!$G$52="כן",'Current Status (''Shikuf'')'!G33,0)</f>
        <v>0</v>
      </c>
      <c r="AA40" s="29">
        <f t="shared" si="1"/>
        <v>0</v>
      </c>
      <c r="AB40" s="723"/>
      <c r="AC40" s="723"/>
      <c r="AD40" s="36">
        <f t="shared" si="2"/>
        <v>0</v>
      </c>
      <c r="AE40" s="23">
        <f t="shared" si="8"/>
        <v>0</v>
      </c>
      <c r="AF40" s="367"/>
      <c r="AG40" s="728">
        <f t="shared" si="3"/>
        <v>0</v>
      </c>
      <c r="AH40" s="367"/>
      <c r="AI40" s="375">
        <v>0</v>
      </c>
      <c r="AJ40" s="367"/>
      <c r="AK40" s="367"/>
      <c r="AL40" s="367"/>
      <c r="AM40" s="367"/>
      <c r="AN40" s="367"/>
      <c r="AO40" s="86"/>
      <c r="AP40" s="51">
        <f t="shared" si="4"/>
        <v>0</v>
      </c>
      <c r="AQ40" s="51">
        <v>0</v>
      </c>
      <c r="AR40" s="51">
        <f t="shared" si="5"/>
        <v>0</v>
      </c>
      <c r="AS40" s="51">
        <f t="shared" si="6"/>
        <v>0</v>
      </c>
      <c r="AT40" s="51">
        <f t="shared" si="7"/>
        <v>0</v>
      </c>
      <c r="AV40" s="51">
        <f t="shared" si="9"/>
        <v>0</v>
      </c>
      <c r="AW40" s="52">
        <f t="shared" si="10"/>
        <v>0</v>
      </c>
      <c r="AX40" s="51">
        <f t="shared" si="11"/>
        <v>0</v>
      </c>
      <c r="AZ40" s="726">
        <f t="shared" si="12"/>
        <v>0</v>
      </c>
    </row>
    <row r="41" spans="1:52" ht="15" customHeight="1" thickBot="1">
      <c r="A41" s="367"/>
      <c r="B41" s="11" t="s">
        <v>367</v>
      </c>
      <c r="C41" s="1093">
        <f ca="1">C40-D40</f>
        <v>0</v>
      </c>
      <c r="D41" s="1094"/>
      <c r="E41" s="517"/>
      <c r="F41" s="517"/>
      <c r="G41" s="367"/>
      <c r="H41" s="543"/>
      <c r="I41" s="853"/>
      <c r="J41" s="6"/>
      <c r="K41" s="541"/>
      <c r="L41" s="860"/>
      <c r="M41" s="20" t="str">
        <f>IF(J41="","",$M$5-SUM($J$7:J41))</f>
        <v/>
      </c>
      <c r="N41" s="367"/>
      <c r="O41" s="7"/>
      <c r="P41" s="862"/>
      <c r="Q41" s="8"/>
      <c r="R41" s="628">
        <f t="shared" si="0"/>
        <v>0</v>
      </c>
      <c r="S41" s="791"/>
      <c r="T41" s="791"/>
      <c r="U41" s="793"/>
      <c r="V41" s="867"/>
      <c r="W41" s="622" t="str">
        <f>IF(Q41="","",$W$5-SUM($Q$7:Q41))</f>
        <v/>
      </c>
      <c r="X41" s="395"/>
      <c r="Y41" s="683" t="str">
        <f>IF('Current Status (''Shikuf'')'!$G$52="כן",'Current Status (''Shikuf'')'!D34,"תספורת וקוסמטיקה")</f>
        <v>Haircuts / Cosmetics Treatments</v>
      </c>
      <c r="Z41" s="318">
        <f>IF('Current Status (''Shikuf'')'!$G$52="כן",'Current Status (''Shikuf'')'!G34,0)</f>
        <v>0</v>
      </c>
      <c r="AA41" s="29">
        <f t="shared" si="1"/>
        <v>0</v>
      </c>
      <c r="AB41" s="723"/>
      <c r="AC41" s="723"/>
      <c r="AD41" s="36">
        <f t="shared" si="2"/>
        <v>0</v>
      </c>
      <c r="AE41" s="23">
        <f t="shared" si="8"/>
        <v>0</v>
      </c>
      <c r="AF41" s="367"/>
      <c r="AG41" s="728">
        <f t="shared" si="3"/>
        <v>0</v>
      </c>
      <c r="AH41" s="367"/>
      <c r="AI41" s="375">
        <v>0</v>
      </c>
      <c r="AJ41" s="367"/>
      <c r="AK41" s="367"/>
      <c r="AL41" s="367"/>
      <c r="AM41" s="367"/>
      <c r="AN41" s="367"/>
      <c r="AO41" s="86"/>
      <c r="AP41" s="51">
        <f t="shared" si="4"/>
        <v>0</v>
      </c>
      <c r="AQ41" s="51">
        <v>0</v>
      </c>
      <c r="AR41" s="51">
        <f t="shared" si="5"/>
        <v>0</v>
      </c>
      <c r="AS41" s="51">
        <f t="shared" si="6"/>
        <v>0</v>
      </c>
      <c r="AT41" s="51">
        <f t="shared" si="7"/>
        <v>0</v>
      </c>
      <c r="AV41" s="51">
        <f t="shared" si="9"/>
        <v>0</v>
      </c>
      <c r="AW41" s="52">
        <f t="shared" si="10"/>
        <v>0</v>
      </c>
      <c r="AX41" s="51">
        <f t="shared" si="11"/>
        <v>0</v>
      </c>
      <c r="AZ41" s="726">
        <f t="shared" si="12"/>
        <v>0</v>
      </c>
    </row>
    <row r="42" spans="1:52" ht="15" customHeight="1">
      <c r="A42" s="367"/>
      <c r="B42" s="1095" t="str">
        <f ca="1">IF(C41&gt;0,"Unexpected positive difference - Check why!","")</f>
        <v/>
      </c>
      <c r="C42" s="1095"/>
      <c r="D42" s="1095"/>
      <c r="E42" s="514"/>
      <c r="F42" s="514"/>
      <c r="G42" s="367"/>
      <c r="H42" s="543"/>
      <c r="I42" s="853"/>
      <c r="J42" s="6"/>
      <c r="K42" s="541"/>
      <c r="L42" s="860"/>
      <c r="M42" s="20" t="str">
        <f>IF(J42="","",$M$5-SUM($J$7:J42))</f>
        <v/>
      </c>
      <c r="N42" s="367"/>
      <c r="O42" s="7"/>
      <c r="P42" s="864"/>
      <c r="Q42" s="8"/>
      <c r="R42" s="628">
        <f t="shared" si="0"/>
        <v>0</v>
      </c>
      <c r="S42" s="791"/>
      <c r="T42" s="791"/>
      <c r="U42" s="793"/>
      <c r="V42" s="867"/>
      <c r="W42" s="622" t="str">
        <f>IF(Q42="","",$W$5-SUM($Q$7:Q42))</f>
        <v/>
      </c>
      <c r="X42" s="395"/>
      <c r="Y42" s="683" t="str">
        <f>IF('Current Status (''Shikuf'')'!$G$52="כן",'Current Status (''Shikuf'')'!D35,"ביטוח לאומי (למי שלא עובד)")</f>
        <v>National Insurance</v>
      </c>
      <c r="Z42" s="318">
        <f>IF('Current Status (''Shikuf'')'!$G$52="כן",'Current Status (''Shikuf'')'!G35,0)</f>
        <v>0</v>
      </c>
      <c r="AA42" s="29">
        <f t="shared" si="1"/>
        <v>0</v>
      </c>
      <c r="AB42" s="723"/>
      <c r="AC42" s="723"/>
      <c r="AD42" s="36">
        <f t="shared" si="2"/>
        <v>0</v>
      </c>
      <c r="AE42" s="23">
        <f t="shared" si="8"/>
        <v>0</v>
      </c>
      <c r="AF42" s="367"/>
      <c r="AG42" s="728">
        <f t="shared" si="3"/>
        <v>0</v>
      </c>
      <c r="AH42" s="367"/>
      <c r="AI42" s="375">
        <v>0</v>
      </c>
      <c r="AJ42" s="367"/>
      <c r="AK42" s="367"/>
      <c r="AL42" s="367"/>
      <c r="AM42" s="367"/>
      <c r="AN42" s="367"/>
      <c r="AO42" s="86"/>
      <c r="AP42" s="51">
        <f t="shared" si="4"/>
        <v>0</v>
      </c>
      <c r="AQ42" s="51">
        <v>0</v>
      </c>
      <c r="AR42" s="51">
        <f t="shared" si="5"/>
        <v>0</v>
      </c>
      <c r="AS42" s="51">
        <f t="shared" si="6"/>
        <v>0</v>
      </c>
      <c r="AT42" s="51">
        <f t="shared" si="7"/>
        <v>0</v>
      </c>
      <c r="AV42" s="51">
        <f t="shared" si="9"/>
        <v>0</v>
      </c>
      <c r="AW42" s="52">
        <f t="shared" si="10"/>
        <v>0</v>
      </c>
      <c r="AX42" s="51">
        <f t="shared" si="11"/>
        <v>0</v>
      </c>
      <c r="AZ42" s="726">
        <f t="shared" si="12"/>
        <v>0</v>
      </c>
    </row>
    <row r="43" spans="1:52" ht="15" customHeight="1" thickBot="1">
      <c r="A43" s="367"/>
      <c r="B43" s="1117" t="s">
        <v>351</v>
      </c>
      <c r="C43" s="1117"/>
      <c r="D43" s="398"/>
      <c r="E43" s="14"/>
      <c r="F43" s="14"/>
      <c r="G43" s="367"/>
      <c r="H43" s="543"/>
      <c r="I43" s="854"/>
      <c r="J43" s="6"/>
      <c r="K43" s="541"/>
      <c r="L43" s="860"/>
      <c r="M43" s="20" t="str">
        <f>IF(J43="","",$M$5-SUM($J$7:J43))</f>
        <v/>
      </c>
      <c r="N43" s="367"/>
      <c r="O43" s="7"/>
      <c r="P43" s="862"/>
      <c r="Q43" s="8"/>
      <c r="R43" s="628">
        <f t="shared" si="0"/>
        <v>0</v>
      </c>
      <c r="S43" s="791"/>
      <c r="T43" s="791"/>
      <c r="U43" s="793"/>
      <c r="V43" s="867"/>
      <c r="W43" s="622" t="str">
        <f>IF(Q43="","",$W$5-SUM($Q$7:Q43))</f>
        <v/>
      </c>
      <c r="X43" s="395"/>
      <c r="Y43" s="683">
        <f>IF('Current Status (''Shikuf'')'!$G$52="כן",'Current Status (''Shikuf'')'!D36,0)</f>
        <v>0</v>
      </c>
      <c r="Z43" s="318">
        <f>IF('Current Status (''Shikuf'')'!$G$52="כן",'Current Status (''Shikuf'')'!G36,0)</f>
        <v>0</v>
      </c>
      <c r="AA43" s="29">
        <f t="shared" si="1"/>
        <v>0</v>
      </c>
      <c r="AB43" s="723"/>
      <c r="AC43" s="723"/>
      <c r="AD43" s="36">
        <f t="shared" si="2"/>
        <v>0</v>
      </c>
      <c r="AE43" s="23">
        <f t="shared" si="8"/>
        <v>0</v>
      </c>
      <c r="AF43" s="367"/>
      <c r="AG43" s="728">
        <f t="shared" si="3"/>
        <v>0</v>
      </c>
      <c r="AH43" s="367"/>
      <c r="AI43" s="375">
        <v>0</v>
      </c>
      <c r="AJ43" s="367"/>
      <c r="AK43" s="367"/>
      <c r="AL43" s="367"/>
      <c r="AM43" s="367"/>
      <c r="AN43" s="367"/>
      <c r="AO43" s="86"/>
      <c r="AP43" s="51">
        <f t="shared" si="4"/>
        <v>0</v>
      </c>
      <c r="AQ43" s="51">
        <v>0</v>
      </c>
      <c r="AR43" s="51">
        <f t="shared" si="5"/>
        <v>0</v>
      </c>
      <c r="AS43" s="51">
        <f t="shared" si="6"/>
        <v>0</v>
      </c>
      <c r="AT43" s="51">
        <f t="shared" si="7"/>
        <v>0</v>
      </c>
      <c r="AV43" s="51">
        <f t="shared" si="9"/>
        <v>0</v>
      </c>
      <c r="AW43" s="52">
        <f t="shared" si="10"/>
        <v>0</v>
      </c>
      <c r="AX43" s="51">
        <f t="shared" si="11"/>
        <v>0</v>
      </c>
      <c r="AZ43" s="726">
        <f t="shared" si="12"/>
        <v>0</v>
      </c>
    </row>
    <row r="44" spans="1:52" ht="15" customHeight="1" thickBot="1">
      <c r="A44" s="367"/>
      <c r="B44" s="810" t="s">
        <v>353</v>
      </c>
      <c r="C44" s="100" t="s">
        <v>354</v>
      </c>
      <c r="D44" s="915" t="s">
        <v>494</v>
      </c>
      <c r="E44" s="518"/>
      <c r="F44" s="518"/>
      <c r="G44" s="367"/>
      <c r="H44" s="543"/>
      <c r="I44" s="853"/>
      <c r="J44" s="6"/>
      <c r="K44" s="541"/>
      <c r="L44" s="860"/>
      <c r="M44" s="20" t="str">
        <f>IF(J44="","",$M$5-SUM($J$7:J44))</f>
        <v/>
      </c>
      <c r="N44" s="367"/>
      <c r="O44" s="7"/>
      <c r="P44" s="862"/>
      <c r="Q44" s="8"/>
      <c r="R44" s="628">
        <f t="shared" si="0"/>
        <v>0</v>
      </c>
      <c r="S44" s="791"/>
      <c r="T44" s="791"/>
      <c r="U44" s="793"/>
      <c r="V44" s="867"/>
      <c r="W44" s="622" t="str">
        <f>IF(Q44="","",$W$5-SUM($Q$7:Q44))</f>
        <v/>
      </c>
      <c r="X44" s="396"/>
      <c r="Y44" s="683">
        <f>IF('Current Status (''Shikuf'')'!$G$52="כן",'Current Status (''Shikuf'')'!D37,0)</f>
        <v>0</v>
      </c>
      <c r="Z44" s="551">
        <f>IF('Current Status (''Shikuf'')'!$G$52="כן",'Current Status (''Shikuf'')'!G37,0)</f>
        <v>0</v>
      </c>
      <c r="AA44" s="29">
        <f t="shared" si="1"/>
        <v>0</v>
      </c>
      <c r="AB44" s="723"/>
      <c r="AC44" s="723"/>
      <c r="AD44" s="36">
        <f t="shared" si="2"/>
        <v>0</v>
      </c>
      <c r="AE44" s="23">
        <f t="shared" si="8"/>
        <v>0</v>
      </c>
      <c r="AF44" s="367"/>
      <c r="AG44" s="728">
        <f t="shared" si="3"/>
        <v>0</v>
      </c>
      <c r="AH44" s="367"/>
      <c r="AI44" s="375">
        <v>0</v>
      </c>
      <c r="AJ44" s="367"/>
      <c r="AK44" s="367"/>
      <c r="AL44" s="367"/>
      <c r="AM44" s="367"/>
      <c r="AN44" s="367"/>
      <c r="AO44" s="86"/>
      <c r="AP44" s="51">
        <f t="shared" si="4"/>
        <v>0</v>
      </c>
      <c r="AQ44" s="51">
        <v>0</v>
      </c>
      <c r="AR44" s="51">
        <f t="shared" si="5"/>
        <v>0</v>
      </c>
      <c r="AS44" s="51">
        <f t="shared" si="6"/>
        <v>0</v>
      </c>
      <c r="AT44" s="51">
        <f t="shared" si="7"/>
        <v>0</v>
      </c>
      <c r="AV44" s="51">
        <f t="shared" si="9"/>
        <v>0</v>
      </c>
      <c r="AW44" s="52">
        <f t="shared" si="10"/>
        <v>0</v>
      </c>
      <c r="AX44" s="51">
        <f t="shared" si="11"/>
        <v>0</v>
      </c>
      <c r="AZ44" s="727">
        <f t="shared" si="12"/>
        <v>0</v>
      </c>
    </row>
    <row r="45" spans="1:52" ht="16.5" thickTop="1">
      <c r="A45" s="367"/>
      <c r="B45" s="848" t="str">
        <f>IF('Current Status (''Shikuf'')'!$G$52="כן",'Current Status (''Shikuf'')'!D38,"מזון")</f>
        <v>Food</v>
      </c>
      <c r="C45" s="321">
        <f>IF('Current Status (''Shikuf'')'!$G$52="כן",'Current Status (''Shikuf'')'!G38,0)</f>
        <v>0</v>
      </c>
      <c r="D45" s="50">
        <f t="shared" ref="D45:D56" si="13">SUMIF($I$7:$I$110,B45,$J$7:$J$110)</f>
        <v>0</v>
      </c>
      <c r="E45" s="519"/>
      <c r="F45" s="519"/>
      <c r="G45" s="394"/>
      <c r="H45" s="543"/>
      <c r="I45" s="853"/>
      <c r="J45" s="6"/>
      <c r="K45" s="541"/>
      <c r="L45" s="860"/>
      <c r="M45" s="20" t="str">
        <f>IF(J45="","",$M$5-SUM($J$7:J45))</f>
        <v/>
      </c>
      <c r="N45" s="367"/>
      <c r="O45" s="107"/>
      <c r="P45" s="864"/>
      <c r="Q45" s="8"/>
      <c r="R45" s="628">
        <f t="shared" si="0"/>
        <v>0</v>
      </c>
      <c r="S45" s="791"/>
      <c r="T45" s="791"/>
      <c r="U45" s="793"/>
      <c r="V45" s="867"/>
      <c r="W45" s="622" t="str">
        <f>IF(Q45="","",$W$5-SUM($Q$7:Q45))</f>
        <v/>
      </c>
      <c r="X45" s="397"/>
      <c r="Y45" s="18" t="s">
        <v>179</v>
      </c>
      <c r="Z45" s="30">
        <f>SUM(Z23:Z44)</f>
        <v>0</v>
      </c>
      <c r="AA45" s="20">
        <f>SUM(AA23:AA44)</f>
        <v>0</v>
      </c>
      <c r="AB45" s="723"/>
      <c r="AC45" s="723"/>
      <c r="AD45" s="36"/>
      <c r="AE45" s="24">
        <f>SUM(AE23:AE44)</f>
        <v>0</v>
      </c>
      <c r="AF45" s="367"/>
      <c r="AG45" s="367"/>
      <c r="AH45" s="367"/>
      <c r="AI45" s="367"/>
      <c r="AJ45" s="367"/>
      <c r="AK45" s="367"/>
      <c r="AL45" s="367"/>
      <c r="AM45" s="367"/>
      <c r="AN45" s="367"/>
      <c r="AO45" s="86"/>
      <c r="AP45" s="51">
        <f>SUM(AP23:AP44)</f>
        <v>0</v>
      </c>
      <c r="AQ45" s="51">
        <f>SUM(AQ23:AQ44)</f>
        <v>0</v>
      </c>
      <c r="AR45" s="51">
        <f>SUM(AR23:AR44)</f>
        <v>0</v>
      </c>
      <c r="AS45" s="51">
        <f>SUM(AS23:AS44)</f>
        <v>0</v>
      </c>
      <c r="AT45" s="51">
        <f>SUM(AT23:AT44)</f>
        <v>0</v>
      </c>
      <c r="AV45" s="51">
        <f>SUM(AV23:AV44)</f>
        <v>0</v>
      </c>
      <c r="AW45" s="52">
        <f>SUM(AW23:AW44)</f>
        <v>0</v>
      </c>
      <c r="AX45" s="51">
        <f>SUM(AX23:AX44)</f>
        <v>0</v>
      </c>
    </row>
    <row r="46" spans="1:52" ht="15.75" customHeight="1" thickBot="1">
      <c r="A46" s="14"/>
      <c r="B46" s="848" t="str">
        <f>IF('Current Status (''Shikuf'')'!$G$52="כן",'Current Status (''Shikuf'')'!D39,"תחבורה ציבורית")</f>
        <v>Public Transportation</v>
      </c>
      <c r="C46" s="322">
        <f>IF('Current Status (''Shikuf'')'!$G$52="כן",'Current Status (''Shikuf'')'!G39,0)</f>
        <v>0</v>
      </c>
      <c r="D46" s="50">
        <f t="shared" si="13"/>
        <v>0</v>
      </c>
      <c r="E46" s="519"/>
      <c r="F46" s="519"/>
      <c r="G46" s="367"/>
      <c r="H46" s="543"/>
      <c r="I46" s="853"/>
      <c r="J46" s="6"/>
      <c r="K46" s="541"/>
      <c r="L46" s="860"/>
      <c r="M46" s="20" t="str">
        <f>IF(J46="","",$M$5-SUM($J$7:J46))</f>
        <v/>
      </c>
      <c r="N46" s="367"/>
      <c r="O46" s="652"/>
      <c r="P46" s="865" t="s">
        <v>429</v>
      </c>
      <c r="Q46" s="620"/>
      <c r="R46" s="619"/>
      <c r="S46" s="629"/>
      <c r="T46" s="629"/>
      <c r="U46" s="646"/>
      <c r="V46" s="618"/>
      <c r="W46" s="627">
        <f>W5-AA45</f>
        <v>0</v>
      </c>
      <c r="X46" s="386"/>
      <c r="Y46" s="125" t="s">
        <v>367</v>
      </c>
      <c r="Z46" s="1202">
        <f>Z45-AA45</f>
        <v>0</v>
      </c>
      <c r="AA46" s="1203"/>
      <c r="AB46" s="644"/>
      <c r="AC46" s="644"/>
      <c r="AD46" s="37"/>
      <c r="AF46" s="367"/>
      <c r="AG46" s="367"/>
      <c r="AH46" s="367"/>
      <c r="AI46" s="367"/>
      <c r="AJ46" s="367"/>
      <c r="AK46" s="367"/>
      <c r="AL46" s="367"/>
      <c r="AM46" s="367"/>
      <c r="AN46" s="367"/>
      <c r="AO46" s="86"/>
    </row>
    <row r="47" spans="1:52" ht="15.75" customHeight="1" thickBot="1">
      <c r="A47" s="14"/>
      <c r="B47" s="848" t="str">
        <f>IF('Current Status (''Shikuf'')'!$G$52="כן",'Current Status (''Shikuf'')'!D40,"דלק וחניה")</f>
        <v>Gas and Parking</v>
      </c>
      <c r="C47" s="322">
        <f>IF('Current Status (''Shikuf'')'!$G$52="כן",'Current Status (''Shikuf'')'!G40,0)</f>
        <v>0</v>
      </c>
      <c r="D47" s="50">
        <f t="shared" si="13"/>
        <v>0</v>
      </c>
      <c r="E47" s="519"/>
      <c r="F47" s="519"/>
      <c r="G47" s="367"/>
      <c r="H47" s="543"/>
      <c r="I47" s="853"/>
      <c r="J47" s="6"/>
      <c r="K47" s="541"/>
      <c r="L47" s="860"/>
      <c r="M47" s="20" t="str">
        <f>IF(J47="","",$M$5-SUM($J$7:J47))</f>
        <v/>
      </c>
      <c r="N47" s="367"/>
      <c r="O47" s="385"/>
      <c r="P47" s="393"/>
      <c r="Q47" s="378"/>
      <c r="R47" s="392"/>
      <c r="S47" s="387"/>
      <c r="T47" s="387"/>
      <c r="U47" s="387"/>
      <c r="V47" s="617"/>
      <c r="W47" s="392"/>
      <c r="X47" s="386"/>
      <c r="Y47" s="388"/>
      <c r="Z47" s="389"/>
      <c r="AA47" s="389"/>
      <c r="AB47" s="389"/>
      <c r="AC47" s="389"/>
      <c r="AD47" s="389"/>
      <c r="AE47" s="367"/>
      <c r="AF47" s="367"/>
      <c r="AG47" s="367"/>
      <c r="AH47" s="367"/>
      <c r="AI47" s="367"/>
      <c r="AJ47" s="367"/>
      <c r="AK47" s="367"/>
      <c r="AL47" s="367"/>
      <c r="AM47" s="367"/>
      <c r="AN47" s="367"/>
      <c r="AO47" s="86"/>
    </row>
    <row r="48" spans="1:52" ht="19.5" thickBot="1">
      <c r="A48" s="14"/>
      <c r="B48" s="848" t="str">
        <f>IF('Current Status (''Shikuf'')'!$G$52="כן",'Current Status (''Shikuf'')'!D41,"טלפון נייח")</f>
        <v>Telephone-Landline/Long Distance</v>
      </c>
      <c r="C48" s="322">
        <f>IF('Current Status (''Shikuf'')'!$G$52="כן",'Current Status (''Shikuf'')'!G41,0)</f>
        <v>0</v>
      </c>
      <c r="D48" s="50">
        <f t="shared" si="13"/>
        <v>0</v>
      </c>
      <c r="E48" s="519"/>
      <c r="F48" s="519"/>
      <c r="G48" s="367"/>
      <c r="H48" s="543"/>
      <c r="I48" s="853"/>
      <c r="J48" s="6"/>
      <c r="K48" s="541"/>
      <c r="L48" s="860"/>
      <c r="M48" s="20" t="str">
        <f>IF(J48="","",$M$5-SUM($J$7:J48))</f>
        <v/>
      </c>
      <c r="N48" s="367"/>
      <c r="P48" s="819" t="s">
        <v>395</v>
      </c>
      <c r="Q48" s="91" t="str">
        <f>M2</f>
        <v>Month</v>
      </c>
      <c r="R48" s="92" t="str">
        <f>N2</f>
        <v>Year</v>
      </c>
      <c r="S48" s="1215"/>
      <c r="T48" s="1215"/>
      <c r="U48" s="390"/>
      <c r="V48" s="390"/>
      <c r="W48" s="390"/>
      <c r="X48" s="386"/>
      <c r="Y48" s="568"/>
      <c r="Z48" s="569"/>
      <c r="AA48" s="570"/>
      <c r="AB48" s="391"/>
      <c r="AC48" s="391"/>
      <c r="AD48" s="391"/>
      <c r="AE48" s="367"/>
      <c r="AF48" s="367"/>
      <c r="AG48" s="367"/>
      <c r="AH48" s="367"/>
      <c r="AI48" s="367"/>
      <c r="AJ48" s="367"/>
      <c r="AK48" s="367"/>
      <c r="AL48" s="367"/>
      <c r="AM48" s="367"/>
      <c r="AN48" s="367"/>
      <c r="AO48" s="86"/>
    </row>
    <row r="49" spans="1:92" ht="16.5" thickBot="1">
      <c r="A49" s="14"/>
      <c r="B49" s="848" t="str">
        <f>IF('Current Status (''Shikuf'')'!$G$52="כן",'Current Status (''Shikuf'')'!D42,"טלפון נייד")</f>
        <v>Cell Phones</v>
      </c>
      <c r="C49" s="322">
        <f>IF('Current Status (''Shikuf'')'!$G$52="כן",'Current Status (''Shikuf'')'!G42,0)</f>
        <v>0</v>
      </c>
      <c r="D49" s="50">
        <f t="shared" si="13"/>
        <v>0</v>
      </c>
      <c r="E49" s="519"/>
      <c r="F49" s="519"/>
      <c r="G49" s="394"/>
      <c r="H49" s="543"/>
      <c r="I49" s="853"/>
      <c r="J49" s="6"/>
      <c r="K49" s="541"/>
      <c r="L49" s="860"/>
      <c r="M49" s="20" t="str">
        <f>IF(J49="","",$M$5-SUM($J$7:J49))</f>
        <v/>
      </c>
      <c r="N49" s="367"/>
      <c r="O49" s="377"/>
      <c r="P49" s="653" t="s">
        <v>288</v>
      </c>
      <c r="Q49" s="654" t="s">
        <v>354</v>
      </c>
      <c r="R49" s="654" t="s">
        <v>398</v>
      </c>
      <c r="S49" s="1216" t="s">
        <v>298</v>
      </c>
      <c r="T49" s="1217"/>
      <c r="U49" s="648"/>
      <c r="V49" s="371"/>
      <c r="W49" s="371"/>
      <c r="X49" s="367"/>
      <c r="Y49" s="1212" t="s">
        <v>372</v>
      </c>
      <c r="Z49" s="1213"/>
      <c r="AA49" s="1214"/>
      <c r="AB49" s="391"/>
      <c r="AC49" s="391"/>
      <c r="AD49" s="391"/>
      <c r="AE49" s="367"/>
      <c r="AF49" s="367"/>
      <c r="AG49" s="367"/>
      <c r="AH49" s="367"/>
      <c r="AI49" s="367"/>
      <c r="AJ49" s="367"/>
      <c r="AK49" s="367"/>
      <c r="AL49" s="367"/>
      <c r="AM49" s="367"/>
      <c r="AN49" s="367"/>
      <c r="AO49" s="86"/>
    </row>
    <row r="50" spans="1:92" ht="15.75">
      <c r="A50" s="14"/>
      <c r="B50" s="848" t="str">
        <f>IF('Current Status (''Shikuf'')'!$G$52="כן",'Current Status (''Shikuf'')'!D43,"אחזקת בית")</f>
        <v>Home</v>
      </c>
      <c r="C50" s="322">
        <f>IF('Current Status (''Shikuf'')'!$G$52="כן",'Current Status (''Shikuf'')'!G43,0)</f>
        <v>0</v>
      </c>
      <c r="D50" s="50">
        <f t="shared" si="13"/>
        <v>0</v>
      </c>
      <c r="E50" s="519"/>
      <c r="F50" s="519"/>
      <c r="G50" s="367"/>
      <c r="H50" s="543"/>
      <c r="I50" s="853"/>
      <c r="J50" s="6"/>
      <c r="K50" s="541"/>
      <c r="L50" s="860"/>
      <c r="M50" s="20" t="str">
        <f>IF(J50="","",$M$5-SUM($J$7:J50))</f>
        <v/>
      </c>
      <c r="N50" s="367"/>
      <c r="O50" s="377"/>
      <c r="P50" s="655" t="s">
        <v>151</v>
      </c>
      <c r="Q50" s="22">
        <f>C18</f>
        <v>0</v>
      </c>
      <c r="R50" s="22">
        <f>D18</f>
        <v>0</v>
      </c>
      <c r="S50" s="1096">
        <f>Q50-R50</f>
        <v>0</v>
      </c>
      <c r="T50" s="1097"/>
      <c r="U50" s="647"/>
      <c r="V50" s="371"/>
      <c r="W50" s="371"/>
      <c r="X50" s="367"/>
      <c r="Y50" s="888" t="s">
        <v>373</v>
      </c>
      <c r="Z50" s="14"/>
      <c r="AA50" s="572"/>
      <c r="AB50" s="386"/>
      <c r="AC50" s="386"/>
      <c r="AD50" s="386"/>
      <c r="AE50" s="367"/>
      <c r="AF50" s="367"/>
      <c r="AG50" s="367"/>
      <c r="AH50" s="367"/>
      <c r="AI50" s="367"/>
      <c r="AJ50" s="367"/>
      <c r="AK50" s="367"/>
      <c r="AL50" s="367"/>
      <c r="AM50" s="367"/>
      <c r="AN50" s="367"/>
      <c r="AO50" s="86"/>
    </row>
    <row r="51" spans="1:92" ht="15.75">
      <c r="A51" s="367"/>
      <c r="B51" s="848" t="str">
        <f>IF('Current Status (''Shikuf'')'!$G$52="כן",'Current Status (''Shikuf'')'!D44,"עוזרת / שמרטף")</f>
        <v>Cleaning help / Babysitter</v>
      </c>
      <c r="C51" s="322">
        <f>IF('Current Status (''Shikuf'')'!$G$52="כן",'Current Status (''Shikuf'')'!G44,0)</f>
        <v>0</v>
      </c>
      <c r="D51" s="50">
        <f t="shared" si="13"/>
        <v>0</v>
      </c>
      <c r="E51" s="519"/>
      <c r="F51" s="519"/>
      <c r="G51" s="394"/>
      <c r="H51" s="543"/>
      <c r="I51" s="853"/>
      <c r="J51" s="6"/>
      <c r="K51" s="541"/>
      <c r="L51" s="860"/>
      <c r="M51" s="20" t="str">
        <f>IF(J51="","",$M$5-SUM($J$7:J51))</f>
        <v/>
      </c>
      <c r="N51" s="367"/>
      <c r="O51" s="377"/>
      <c r="P51" s="656" t="s">
        <v>396</v>
      </c>
      <c r="Q51" s="22">
        <f>Z45</f>
        <v>0</v>
      </c>
      <c r="R51" s="22">
        <f>AA45</f>
        <v>0</v>
      </c>
      <c r="S51" s="1147">
        <f>Q51-R51</f>
        <v>0</v>
      </c>
      <c r="T51" s="1147"/>
      <c r="U51" s="647"/>
      <c r="V51" s="371"/>
      <c r="W51" s="371"/>
      <c r="X51" s="367"/>
      <c r="Y51" s="888" t="s">
        <v>374</v>
      </c>
      <c r="Z51" s="14"/>
      <c r="AA51" s="572"/>
      <c r="AB51" s="367"/>
      <c r="AC51" s="367"/>
      <c r="AD51" s="367"/>
      <c r="AE51" s="367"/>
      <c r="AF51" s="367"/>
      <c r="AG51" s="367"/>
      <c r="AH51" s="367"/>
      <c r="AI51" s="367"/>
      <c r="AJ51" s="367"/>
      <c r="AK51" s="367"/>
      <c r="AL51" s="367"/>
      <c r="AM51" s="367"/>
      <c r="AN51" s="367"/>
      <c r="AO51" s="86"/>
    </row>
    <row r="52" spans="1:92" ht="15.75">
      <c r="A52" s="367"/>
      <c r="B52" s="848" t="str">
        <f>IF('Current Status (''Shikuf'')'!$G$52="כן",'Current Status (''Shikuf'')'!D45,"סיגריות")</f>
        <v>Cigarettes</v>
      </c>
      <c r="C52" s="322">
        <f>IF('Current Status (''Shikuf'')'!$G$52="כן",'Current Status (''Shikuf'')'!G45,0)</f>
        <v>0</v>
      </c>
      <c r="D52" s="50">
        <f t="shared" si="13"/>
        <v>0</v>
      </c>
      <c r="E52" s="519"/>
      <c r="F52" s="519"/>
      <c r="G52" s="394"/>
      <c r="H52" s="543"/>
      <c r="I52" s="853"/>
      <c r="J52" s="6"/>
      <c r="K52" s="541"/>
      <c r="L52" s="860"/>
      <c r="M52" s="20" t="str">
        <f>IF(J52="","",$M$5-SUM($J$7:J52))</f>
        <v/>
      </c>
      <c r="N52" s="367"/>
      <c r="O52" s="377"/>
      <c r="P52" s="657" t="s">
        <v>397</v>
      </c>
      <c r="Q52" s="22">
        <f>C57</f>
        <v>0</v>
      </c>
      <c r="R52" s="22">
        <f>D57</f>
        <v>0</v>
      </c>
      <c r="S52" s="1098">
        <f>Q52-R52</f>
        <v>0</v>
      </c>
      <c r="T52" s="1099"/>
      <c r="U52" s="649"/>
      <c r="V52" s="371"/>
      <c r="W52" s="370"/>
      <c r="X52" s="367"/>
      <c r="Y52" s="888" t="s">
        <v>375</v>
      </c>
      <c r="Z52" s="14"/>
      <c r="AA52" s="572"/>
      <c r="AB52" s="367"/>
      <c r="AC52" s="367"/>
      <c r="AD52" s="367"/>
      <c r="AE52" s="367"/>
      <c r="AF52" s="367"/>
      <c r="AG52" s="367"/>
      <c r="AH52" s="367"/>
      <c r="AI52" s="367"/>
      <c r="AJ52" s="367"/>
      <c r="AK52" s="367"/>
      <c r="AL52" s="367"/>
      <c r="AM52" s="367"/>
      <c r="AN52" s="367"/>
      <c r="AO52" s="86"/>
    </row>
    <row r="53" spans="1:92" ht="15.75">
      <c r="A53" s="367"/>
      <c r="B53" s="848" t="str">
        <f>IF('Current Status (''Shikuf'')'!$G$52="כן",'Current Status (''Shikuf'')'!D46,"דברים נוספים")</f>
        <v>Other</v>
      </c>
      <c r="C53" s="322">
        <f>IF('Current Status (''Shikuf'')'!$G$52="כן",'Current Status (''Shikuf'')'!G46,0)</f>
        <v>0</v>
      </c>
      <c r="D53" s="50">
        <f t="shared" si="13"/>
        <v>0</v>
      </c>
      <c r="E53" s="519"/>
      <c r="F53" s="519"/>
      <c r="G53" s="394"/>
      <c r="H53" s="543"/>
      <c r="I53" s="853"/>
      <c r="J53" s="6"/>
      <c r="K53" s="541"/>
      <c r="L53" s="860"/>
      <c r="M53" s="20" t="str">
        <f>IF(J53="","",$M$5-SUM($J$7:J53))</f>
        <v/>
      </c>
      <c r="N53" s="1110" t="str">
        <f ca="1">IF(D19&lt;=0,IF(C41&lt;=0,"","Pass positive diff?"),"Pass positive diff?")</f>
        <v/>
      </c>
      <c r="O53" s="1111"/>
      <c r="P53" s="658" t="s">
        <v>308</v>
      </c>
      <c r="Q53" s="150">
        <f>SUM(Q50:Q52)</f>
        <v>0</v>
      </c>
      <c r="R53" s="150">
        <f>SUM(R50:R52)</f>
        <v>0</v>
      </c>
      <c r="S53" s="1100">
        <f>Q53-R53</f>
        <v>0</v>
      </c>
      <c r="T53" s="1101"/>
      <c r="U53" s="788"/>
      <c r="V53" s="371"/>
      <c r="W53" s="371"/>
      <c r="X53" s="367"/>
      <c r="Y53" s="573"/>
      <c r="Z53" s="14"/>
      <c r="AA53" s="574"/>
      <c r="AB53" s="367"/>
      <c r="AC53" s="367"/>
      <c r="AD53" s="367"/>
      <c r="AE53" s="367"/>
      <c r="AF53" s="367"/>
      <c r="AG53" s="367"/>
      <c r="AH53" s="367"/>
      <c r="AI53" s="367"/>
      <c r="AJ53" s="367"/>
      <c r="AK53" s="367"/>
      <c r="AL53" s="367"/>
      <c r="AM53" s="367"/>
      <c r="AN53" s="367"/>
      <c r="AO53" s="86"/>
    </row>
    <row r="54" spans="1:92" ht="15.75">
      <c r="A54" s="367"/>
      <c r="B54" s="848">
        <f>IF('Current Status (''Shikuf'')'!$G$52="כן",'Current Status (''Shikuf'')'!D47,0)</f>
        <v>0</v>
      </c>
      <c r="C54" s="322">
        <f>IF('Current Status (''Shikuf'')'!$G$52="כן",'Current Status (''Shikuf'')'!G47,0)</f>
        <v>0</v>
      </c>
      <c r="D54" s="50">
        <f t="shared" si="13"/>
        <v>0</v>
      </c>
      <c r="E54" s="519"/>
      <c r="F54" s="519"/>
      <c r="G54" s="367"/>
      <c r="H54" s="1199" t="s">
        <v>392</v>
      </c>
      <c r="I54" s="855" t="s">
        <v>430</v>
      </c>
      <c r="J54" s="816"/>
      <c r="K54" s="589"/>
      <c r="L54" s="590"/>
      <c r="M54" s="102">
        <f>M5-D57</f>
        <v>0</v>
      </c>
      <c r="N54" s="1112"/>
      <c r="O54" s="1111"/>
      <c r="P54" s="659" t="s">
        <v>296</v>
      </c>
      <c r="Q54" s="22">
        <f>AA4</f>
        <v>0</v>
      </c>
      <c r="R54" s="22">
        <f>AA17</f>
        <v>0</v>
      </c>
      <c r="S54" s="1096">
        <f>R54-Q54</f>
        <v>0</v>
      </c>
      <c r="T54" s="1097"/>
      <c r="U54" s="647"/>
      <c r="V54" s="371"/>
      <c r="W54" s="371"/>
      <c r="X54" s="367"/>
      <c r="Y54" s="583" t="s">
        <v>376</v>
      </c>
      <c r="Z54" s="575"/>
      <c r="AA54" s="572"/>
      <c r="AB54" s="367"/>
      <c r="AC54" s="367"/>
      <c r="AD54" s="367"/>
      <c r="AE54" s="367"/>
      <c r="AF54" s="367"/>
      <c r="AG54" s="367"/>
      <c r="AH54" s="367"/>
      <c r="AI54" s="367"/>
      <c r="AJ54" s="367"/>
      <c r="AK54" s="367"/>
      <c r="AL54" s="367"/>
      <c r="AM54" s="367"/>
      <c r="AN54" s="367"/>
      <c r="AO54" s="86"/>
    </row>
    <row r="55" spans="1:92" ht="16.5" thickBot="1">
      <c r="A55" s="14"/>
      <c r="B55" s="848">
        <f>IF('Current Status (''Shikuf'')'!$G$52="כן",'Current Status (''Shikuf'')'!D48,0)</f>
        <v>0</v>
      </c>
      <c r="C55" s="322">
        <f>IF('Current Status (''Shikuf'')'!$G$52="כן",'Current Status (''Shikuf'')'!G48,0)</f>
        <v>0</v>
      </c>
      <c r="D55" s="50">
        <f t="shared" si="13"/>
        <v>0</v>
      </c>
      <c r="E55" s="519"/>
      <c r="F55" s="519"/>
      <c r="G55" s="367"/>
      <c r="H55" s="1200"/>
      <c r="I55" s="856" t="s">
        <v>393</v>
      </c>
      <c r="J55" s="821"/>
      <c r="K55" s="592"/>
      <c r="L55" s="591"/>
      <c r="M55" s="99">
        <f>IF(D19&lt;=0,D19,IF(N55="Yes",D19,0))</f>
        <v>0</v>
      </c>
      <c r="N55" s="438" t="str">
        <f>IF(D19&gt;0,"No","")</f>
        <v/>
      </c>
      <c r="O55" s="377"/>
      <c r="P55" s="660" t="s">
        <v>349</v>
      </c>
      <c r="Q55" s="22">
        <f ca="1">C40</f>
        <v>0</v>
      </c>
      <c r="R55" s="22">
        <f>D40</f>
        <v>0</v>
      </c>
      <c r="S55" s="1144">
        <f ca="1">Q55-R55</f>
        <v>0</v>
      </c>
      <c r="T55" s="1146"/>
      <c r="U55" s="649"/>
      <c r="V55" s="370"/>
      <c r="W55" s="371"/>
      <c r="X55" s="367"/>
      <c r="Y55" s="583" t="s">
        <v>377</v>
      </c>
      <c r="Z55" s="576"/>
      <c r="AA55" s="572"/>
      <c r="AB55" s="367"/>
      <c r="AC55" s="367"/>
      <c r="AD55" s="367"/>
      <c r="AE55" s="367"/>
      <c r="AF55" s="367"/>
      <c r="AG55" s="367"/>
      <c r="AH55" s="367"/>
      <c r="AI55" s="367"/>
      <c r="AJ55" s="367"/>
      <c r="AK55" s="367"/>
      <c r="AL55" s="367"/>
      <c r="AM55" s="367"/>
      <c r="AN55" s="367"/>
      <c r="AO55" s="86"/>
      <c r="AP55" s="52" t="s">
        <v>408</v>
      </c>
      <c r="AQ55" s="52" t="s">
        <v>410</v>
      </c>
    </row>
    <row r="56" spans="1:92" ht="17.25" thickTop="1" thickBot="1">
      <c r="A56" s="367"/>
      <c r="B56" s="848">
        <f>IF('Current Status (''Shikuf'')'!$G$52="כן",'Current Status (''Shikuf'')'!D49,0)</f>
        <v>0</v>
      </c>
      <c r="C56" s="549">
        <f>IF('Current Status (''Shikuf'')'!$G$52="כן",'Current Status (''Shikuf'')'!G49,0)</f>
        <v>0</v>
      </c>
      <c r="D56" s="50">
        <f t="shared" si="13"/>
        <v>0</v>
      </c>
      <c r="E56" s="519"/>
      <c r="F56" s="519"/>
      <c r="G56" s="367"/>
      <c r="H56" s="1201"/>
      <c r="I56" s="1115" t="s">
        <v>394</v>
      </c>
      <c r="J56" s="1116"/>
      <c r="K56" s="587"/>
      <c r="L56" s="594"/>
      <c r="M56" s="1">
        <f ca="1">IF(C41&lt;=0,C41,IF(N56="Yes",C41,0))</f>
        <v>0</v>
      </c>
      <c r="N56" s="438" t="str">
        <f ca="1">IF(C41&gt;0,"No","")</f>
        <v/>
      </c>
      <c r="O56" s="377"/>
      <c r="P56" s="661" t="s">
        <v>179</v>
      </c>
      <c r="Q56" s="662">
        <f ca="1">Q54-Q53-Q55</f>
        <v>0</v>
      </c>
      <c r="R56" s="662">
        <f>R54-R53-R55</f>
        <v>0</v>
      </c>
      <c r="S56" s="1144">
        <f ca="1">SUM(S53:S55)</f>
        <v>0</v>
      </c>
      <c r="T56" s="1145"/>
      <c r="U56" s="647"/>
      <c r="V56" s="371"/>
      <c r="W56" s="371"/>
      <c r="X56" s="367"/>
      <c r="Y56" s="583" t="s">
        <v>378</v>
      </c>
      <c r="Z56" s="577"/>
      <c r="AA56" s="578"/>
      <c r="AB56" s="367"/>
      <c r="AC56" s="367"/>
      <c r="AD56" s="367"/>
      <c r="AE56" s="367"/>
      <c r="AF56" s="367"/>
      <c r="AG56" s="367"/>
      <c r="AH56" s="367"/>
      <c r="AI56" s="367"/>
      <c r="AJ56" s="367"/>
      <c r="AK56" s="367"/>
      <c r="AL56" s="367"/>
      <c r="AM56" s="367"/>
      <c r="AN56" s="367"/>
      <c r="AO56" s="86"/>
      <c r="AP56" s="52" t="s">
        <v>409</v>
      </c>
      <c r="AQ56" s="52" t="s">
        <v>411</v>
      </c>
    </row>
    <row r="57" spans="1:92" ht="17.25" thickTop="1" thickBot="1">
      <c r="A57" s="367"/>
      <c r="B57" s="16" t="s">
        <v>179</v>
      </c>
      <c r="C57" s="77">
        <f>SUM(C45:C56)</f>
        <v>0</v>
      </c>
      <c r="D57" s="76">
        <f>SUM(D45:D56)</f>
        <v>0</v>
      </c>
      <c r="E57" s="520"/>
      <c r="F57" s="520"/>
      <c r="G57" s="14"/>
      <c r="H57" s="12"/>
      <c r="I57" s="13"/>
      <c r="J57" s="14"/>
      <c r="K57" s="593"/>
      <c r="L57" s="14"/>
      <c r="M57" s="14"/>
      <c r="N57" s="367"/>
      <c r="O57" s="377"/>
      <c r="P57" s="438"/>
      <c r="Q57" s="790"/>
      <c r="R57" s="790"/>
      <c r="S57" s="789"/>
      <c r="T57" s="370"/>
      <c r="U57" s="370"/>
      <c r="V57" s="371"/>
      <c r="W57" s="371"/>
      <c r="X57" s="367"/>
      <c r="Y57" s="571"/>
      <c r="Z57" s="579"/>
      <c r="AA57" s="572"/>
      <c r="AB57" s="367"/>
      <c r="AC57" s="367"/>
      <c r="AD57" s="367"/>
      <c r="AE57" s="367"/>
      <c r="AF57" s="367"/>
      <c r="AG57" s="367"/>
      <c r="AH57" s="367"/>
      <c r="AI57" s="367"/>
      <c r="AJ57" s="367"/>
      <c r="AK57" s="367"/>
      <c r="AL57" s="367"/>
      <c r="AM57" s="367"/>
      <c r="AN57" s="367"/>
      <c r="AO57" s="86"/>
    </row>
    <row r="58" spans="1:92" ht="16.5" customHeight="1" thickBot="1">
      <c r="A58" s="367"/>
      <c r="B58" s="101" t="s">
        <v>367</v>
      </c>
      <c r="C58" s="1113">
        <f>C57-D57</f>
        <v>0</v>
      </c>
      <c r="D58" s="1114"/>
      <c r="E58" s="517"/>
      <c r="F58" s="517"/>
      <c r="G58" s="367"/>
      <c r="H58" s="818" t="s">
        <v>431</v>
      </c>
      <c r="I58" s="817"/>
      <c r="J58" s="817"/>
      <c r="K58" s="588"/>
      <c r="L58" s="588"/>
      <c r="M58" s="103">
        <f ca="1">SUM(M54:M56)</f>
        <v>0</v>
      </c>
      <c r="N58" s="729" t="s">
        <v>410</v>
      </c>
      <c r="O58" s="377"/>
      <c r="P58" s="663" t="s">
        <v>400</v>
      </c>
      <c r="Q58" s="668" t="str">
        <f>IF(Z56="","","Expected")</f>
        <v/>
      </c>
      <c r="R58" s="664" t="s">
        <v>398</v>
      </c>
      <c r="S58" s="1172" t="str">
        <f>IF(Z56="","","Diff")</f>
        <v/>
      </c>
      <c r="T58" s="1173"/>
      <c r="U58" s="650"/>
      <c r="V58" s="370"/>
      <c r="W58" s="371"/>
      <c r="X58" s="367"/>
      <c r="Y58" s="889" t="s">
        <v>465</v>
      </c>
      <c r="Z58" s="14"/>
      <c r="AA58" s="572"/>
      <c r="AB58" s="367"/>
      <c r="AC58" s="367"/>
      <c r="AD58" s="367"/>
      <c r="AE58" s="367"/>
      <c r="AF58" s="367"/>
      <c r="AG58" s="367"/>
      <c r="AH58" s="367"/>
      <c r="AI58" s="367"/>
      <c r="AJ58" s="367"/>
      <c r="AK58" s="367"/>
      <c r="AL58" s="367"/>
      <c r="AM58" s="367"/>
      <c r="AN58" s="367"/>
      <c r="AO58" s="86"/>
    </row>
    <row r="59" spans="1:92" ht="16.5" thickTop="1" thickBot="1">
      <c r="A59" s="367"/>
      <c r="B59" s="880" t="s">
        <v>382</v>
      </c>
      <c r="C59" s="367"/>
      <c r="D59" s="367"/>
      <c r="E59" s="367"/>
      <c r="F59" s="367"/>
      <c r="G59" s="367"/>
      <c r="H59" s="367"/>
      <c r="I59" s="367"/>
      <c r="J59" s="367"/>
      <c r="K59" s="367"/>
      <c r="L59" s="367"/>
      <c r="M59" s="367"/>
      <c r="N59" s="367"/>
      <c r="O59" s="377"/>
      <c r="P59" s="665" t="s">
        <v>399</v>
      </c>
      <c r="Q59" s="669" t="str">
        <f>IF(Z56="","",Z56+R56)</f>
        <v/>
      </c>
      <c r="R59" s="667"/>
      <c r="S59" s="1128" t="str">
        <f>IF(Z56="","",Q59-R59)</f>
        <v/>
      </c>
      <c r="T59" s="1129"/>
      <c r="U59" s="649"/>
      <c r="V59" s="371"/>
      <c r="W59" s="371"/>
      <c r="X59" s="367"/>
      <c r="Y59" s="580"/>
      <c r="Z59" s="581"/>
      <c r="AA59" s="582"/>
      <c r="AB59" s="367"/>
      <c r="AC59" s="367"/>
      <c r="AD59" s="367"/>
      <c r="AE59" s="367"/>
      <c r="AF59" s="367"/>
      <c r="AG59" s="367"/>
      <c r="AH59" s="367"/>
      <c r="AI59" s="367"/>
      <c r="AJ59" s="367"/>
      <c r="AK59" s="367"/>
      <c r="AL59" s="367"/>
      <c r="AM59" s="367"/>
      <c r="AN59" s="367"/>
      <c r="AO59" s="86"/>
    </row>
    <row r="60" spans="1:92" ht="15">
      <c r="A60" s="367"/>
      <c r="B60" s="807" t="s">
        <v>383</v>
      </c>
      <c r="C60" s="367"/>
      <c r="D60" s="881" t="s">
        <v>384</v>
      </c>
      <c r="E60" s="367"/>
      <c r="F60" s="367"/>
      <c r="G60" s="367"/>
      <c r="I60" s="367"/>
      <c r="J60" s="367"/>
      <c r="K60" s="367"/>
      <c r="L60" s="367"/>
      <c r="M60" s="367"/>
      <c r="N60" s="367"/>
      <c r="O60" s="377"/>
      <c r="P60" s="367"/>
      <c r="Q60" s="367"/>
      <c r="R60" s="367"/>
      <c r="S60" s="371"/>
      <c r="T60" s="371"/>
      <c r="U60" s="371"/>
      <c r="V60" s="371"/>
      <c r="W60" s="367"/>
      <c r="X60" s="367"/>
      <c r="Y60" s="367"/>
      <c r="Z60" s="367"/>
      <c r="AA60" s="367"/>
      <c r="AB60" s="367"/>
      <c r="AC60" s="367"/>
      <c r="AD60" s="367"/>
      <c r="AE60" s="367"/>
      <c r="AF60" s="367"/>
      <c r="AG60" s="367"/>
      <c r="AH60" s="367"/>
      <c r="AI60" s="367"/>
      <c r="AJ60" s="367"/>
      <c r="AK60" s="367"/>
      <c r="AL60" s="367"/>
      <c r="AM60" s="367"/>
      <c r="AN60" s="367"/>
      <c r="AO60" s="86"/>
    </row>
    <row r="61" spans="1:92" ht="15.75" collapsed="1" thickBot="1">
      <c r="A61" s="367"/>
      <c r="B61" s="883" t="s">
        <v>385</v>
      </c>
      <c r="C61" s="367"/>
      <c r="E61" s="367"/>
      <c r="F61" s="367"/>
      <c r="G61" s="367"/>
      <c r="I61" s="367"/>
      <c r="K61" s="510"/>
      <c r="L61" s="510"/>
      <c r="M61" s="510"/>
      <c r="N61" s="367"/>
      <c r="O61" s="377"/>
      <c r="Q61" s="367"/>
      <c r="R61" s="367"/>
      <c r="S61" s="371"/>
      <c r="T61" s="371"/>
      <c r="U61" s="371"/>
      <c r="V61" s="371"/>
      <c r="W61" s="367"/>
      <c r="X61" s="367"/>
      <c r="Y61" s="367"/>
      <c r="Z61" s="367"/>
      <c r="AA61" s="367"/>
      <c r="AB61" s="367"/>
      <c r="AC61" s="367"/>
      <c r="AD61" s="367"/>
      <c r="AE61" s="367"/>
      <c r="AF61" s="367"/>
      <c r="AG61" s="367"/>
      <c r="AH61" s="367"/>
      <c r="AI61" s="367"/>
      <c r="AJ61" s="367"/>
      <c r="AK61" s="367"/>
      <c r="AL61" s="367"/>
      <c r="AM61" s="367"/>
      <c r="AN61" s="367"/>
      <c r="AO61" s="86"/>
    </row>
    <row r="62" spans="1:92" ht="15" hidden="1" outlineLevel="1" thickBot="1">
      <c r="A62" s="367"/>
      <c r="B62" s="367"/>
      <c r="C62" s="367"/>
      <c r="D62" s="367"/>
      <c r="E62" s="367"/>
      <c r="F62" s="367"/>
      <c r="G62" s="367"/>
      <c r="H62" s="505"/>
      <c r="I62" s="367"/>
      <c r="J62" s="367"/>
      <c r="K62" s="581"/>
      <c r="L62" s="367"/>
      <c r="M62" s="367"/>
      <c r="N62" s="367"/>
      <c r="O62" s="502"/>
      <c r="P62" s="505"/>
      <c r="Q62" s="367"/>
      <c r="R62" s="367"/>
      <c r="S62" s="371"/>
      <c r="T62" s="371"/>
      <c r="U62" s="371"/>
      <c r="V62" s="631"/>
      <c r="W62" s="367"/>
      <c r="X62" s="367"/>
      <c r="Y62" s="367"/>
      <c r="Z62" s="367"/>
      <c r="AA62" s="367"/>
      <c r="AB62" s="367"/>
      <c r="AC62" s="367"/>
      <c r="AD62" s="367"/>
      <c r="AE62" s="367"/>
      <c r="AF62" s="367"/>
      <c r="AG62" s="367"/>
      <c r="AH62" s="367"/>
      <c r="AI62" s="367"/>
      <c r="AJ62" s="367"/>
      <c r="AK62" s="367"/>
      <c r="AL62" s="367"/>
      <c r="AM62" s="367"/>
      <c r="AN62" s="367"/>
      <c r="AO62" s="86"/>
    </row>
    <row r="63" spans="1:92" s="367" customFormat="1" ht="33.75" hidden="1" customHeight="1" outlineLevel="1">
      <c r="B63" s="1120" t="s">
        <v>388</v>
      </c>
      <c r="C63" s="1122" t="s">
        <v>354</v>
      </c>
      <c r="D63" s="1124" t="s">
        <v>355</v>
      </c>
      <c r="E63" s="1126" t="s">
        <v>380</v>
      </c>
      <c r="F63" s="1127" t="s">
        <v>335</v>
      </c>
      <c r="H63" s="503" t="s">
        <v>356</v>
      </c>
      <c r="I63" s="682" t="s">
        <v>357</v>
      </c>
      <c r="J63" s="812" t="s">
        <v>358</v>
      </c>
      <c r="K63" s="597" t="s">
        <v>380</v>
      </c>
      <c r="L63" s="599" t="s">
        <v>335</v>
      </c>
      <c r="M63" s="504" t="s">
        <v>389</v>
      </c>
      <c r="O63" s="506" t="s">
        <v>356</v>
      </c>
      <c r="P63" s="507" t="s">
        <v>357</v>
      </c>
      <c r="Q63" s="813" t="s">
        <v>358</v>
      </c>
      <c r="R63" s="507" t="s">
        <v>359</v>
      </c>
      <c r="S63" s="814" t="s">
        <v>390</v>
      </c>
      <c r="T63" s="815" t="s">
        <v>391</v>
      </c>
      <c r="U63" s="636" t="s">
        <v>380</v>
      </c>
      <c r="V63" s="615" t="s">
        <v>335</v>
      </c>
      <c r="W63" s="632" t="s">
        <v>389</v>
      </c>
      <c r="AO63" s="86"/>
      <c r="AP63" s="86"/>
      <c r="AQ63" s="86"/>
      <c r="AR63" s="86"/>
      <c r="AS63" s="86"/>
      <c r="AT63" s="86"/>
      <c r="AU63" s="86"/>
      <c r="AV63" s="86"/>
      <c r="AW63" s="86"/>
      <c r="AX63" s="86"/>
      <c r="AY63" s="86"/>
      <c r="CM63" s="86"/>
      <c r="CN63" s="86"/>
    </row>
    <row r="64" spans="1:92" s="367" customFormat="1" ht="15" hidden="1" customHeight="1" outlineLevel="1" thickBot="1">
      <c r="B64" s="1121"/>
      <c r="C64" s="1123"/>
      <c r="D64" s="1125"/>
      <c r="E64" s="1126"/>
      <c r="F64" s="1127"/>
      <c r="H64" s="543"/>
      <c r="I64" s="853"/>
      <c r="J64" s="6"/>
      <c r="K64" s="541"/>
      <c r="L64" s="860"/>
      <c r="M64" s="20" t="str">
        <f>IF(J64="","",$M$5-SUM($J$7:J64))</f>
        <v/>
      </c>
      <c r="O64" s="106"/>
      <c r="P64" s="862"/>
      <c r="Q64" s="8"/>
      <c r="R64" s="628">
        <f t="shared" ref="R64:R110" si="14">Q64</f>
        <v>0</v>
      </c>
      <c r="S64" s="791"/>
      <c r="T64" s="791"/>
      <c r="U64" s="793"/>
      <c r="V64" s="867"/>
      <c r="W64" s="633" t="str">
        <f>IF(Q64="","",$W$5-SUM($Q$7:$Q$45)-SUM($Q$64:Q64))</f>
        <v/>
      </c>
      <c r="AO64" s="86"/>
      <c r="AP64" s="86"/>
      <c r="AQ64" s="86"/>
      <c r="AR64" s="86"/>
      <c r="AS64" s="86"/>
      <c r="AT64" s="86"/>
      <c r="AU64" s="86"/>
      <c r="AV64" s="86"/>
      <c r="AW64" s="86"/>
      <c r="AX64" s="86"/>
      <c r="AY64" s="86"/>
      <c r="CM64" s="86"/>
      <c r="CN64" s="86"/>
    </row>
    <row r="65" spans="2:92" s="367" customFormat="1" ht="15" hidden="1" customHeight="1" outlineLevel="1" thickTop="1">
      <c r="B65" s="851">
        <f ca="1">IF('Current Status (''Shikuf'')'!$G$52="כן",IF('Current Status (''Shikuf'')'!BH18&lt;&gt;"",'Current Status (''Shikuf'')'!BH18,),)</f>
        <v>0</v>
      </c>
      <c r="C65" s="693">
        <f ca="1">IF('Current Status (''Shikuf'')'!$G$52="כן",IF('Current Status (''Shikuf'')'!BK18&lt;&gt;"",'Current Status (''Shikuf'')'!BK18,0),0)</f>
        <v>0</v>
      </c>
      <c r="D65" s="74"/>
      <c r="E65" s="521"/>
      <c r="F65" s="858"/>
      <c r="H65" s="543"/>
      <c r="I65" s="853"/>
      <c r="J65" s="6"/>
      <c r="K65" s="541"/>
      <c r="L65" s="860"/>
      <c r="M65" s="20" t="str">
        <f>IF(J65="","",$M$5-SUM($J$7:J65))</f>
        <v/>
      </c>
      <c r="O65" s="7"/>
      <c r="P65" s="863"/>
      <c r="Q65" s="8"/>
      <c r="R65" s="628">
        <f t="shared" si="14"/>
        <v>0</v>
      </c>
      <c r="S65" s="791"/>
      <c r="T65" s="791"/>
      <c r="U65" s="793"/>
      <c r="V65" s="867"/>
      <c r="W65" s="633" t="str">
        <f>IF(Q65="","",$W$5-SUM($Q$7:$Q$45)-SUM($Q$64:Q65))</f>
        <v/>
      </c>
      <c r="AO65" s="86"/>
      <c r="AP65" s="86"/>
      <c r="AQ65" s="86"/>
      <c r="AR65" s="86"/>
      <c r="AS65" s="86"/>
      <c r="AT65" s="86"/>
      <c r="AU65" s="86"/>
      <c r="AV65" s="86"/>
      <c r="AW65" s="86"/>
      <c r="AX65" s="86"/>
      <c r="AY65" s="86"/>
      <c r="CM65" s="86"/>
      <c r="CN65" s="86"/>
    </row>
    <row r="66" spans="2:92" s="367" customFormat="1" ht="15.75" hidden="1" outlineLevel="1">
      <c r="B66" s="851">
        <f ca="1">IF('Current Status (''Shikuf'')'!$G$52="כן",IF('Current Status (''Shikuf'')'!BH19&lt;&gt;"",'Current Status (''Shikuf'')'!BH19,),)</f>
        <v>0</v>
      </c>
      <c r="C66" s="694">
        <f ca="1">IF('Current Status (''Shikuf'')'!$G$52="כן",IF('Current Status (''Shikuf'')'!BK19&lt;&gt;"",'Current Status (''Shikuf'')'!BK19,0),0)</f>
        <v>0</v>
      </c>
      <c r="D66" s="74"/>
      <c r="E66" s="521"/>
      <c r="F66" s="858"/>
      <c r="H66" s="543"/>
      <c r="I66" s="853"/>
      <c r="J66" s="6"/>
      <c r="K66" s="541"/>
      <c r="L66" s="860"/>
      <c r="M66" s="20" t="str">
        <f>IF(J66="","",$M$5-SUM($J$7:J66))</f>
        <v/>
      </c>
      <c r="O66" s="7"/>
      <c r="P66" s="862"/>
      <c r="Q66" s="8"/>
      <c r="R66" s="628">
        <f t="shared" si="14"/>
        <v>0</v>
      </c>
      <c r="S66" s="791"/>
      <c r="T66" s="791"/>
      <c r="U66" s="793"/>
      <c r="V66" s="867"/>
      <c r="W66" s="633" t="str">
        <f>IF(Q66="","",$W$5-SUM($Q$7:$Q$45)-SUM($Q$64:Q66))</f>
        <v/>
      </c>
      <c r="AO66" s="86"/>
      <c r="AP66" s="86"/>
      <c r="AQ66" s="86"/>
      <c r="AR66" s="86"/>
      <c r="AS66" s="86"/>
      <c r="AT66" s="86"/>
      <c r="AU66" s="86"/>
      <c r="AV66" s="86"/>
      <c r="AW66" s="86"/>
      <c r="AX66" s="86"/>
      <c r="AY66" s="86"/>
      <c r="CM66" s="86"/>
      <c r="CN66" s="86"/>
    </row>
    <row r="67" spans="2:92" s="367" customFormat="1" ht="15.75" hidden="1" outlineLevel="1">
      <c r="B67" s="851">
        <f ca="1">IF('Current Status (''Shikuf'')'!$G$52="כן",IF('Current Status (''Shikuf'')'!BH20&lt;&gt;"",'Current Status (''Shikuf'')'!BH20,),)</f>
        <v>0</v>
      </c>
      <c r="C67" s="694">
        <f ca="1">IF('Current Status (''Shikuf'')'!$G$52="כן",IF('Current Status (''Shikuf'')'!BK20&lt;&gt;"",'Current Status (''Shikuf'')'!BK20,0),0)</f>
        <v>0</v>
      </c>
      <c r="D67" s="74"/>
      <c r="E67" s="521"/>
      <c r="F67" s="858"/>
      <c r="H67" s="543"/>
      <c r="I67" s="853"/>
      <c r="J67" s="6"/>
      <c r="K67" s="541"/>
      <c r="L67" s="860"/>
      <c r="M67" s="20" t="str">
        <f>IF(J67="","",$M$5-SUM($J$7:J67))</f>
        <v/>
      </c>
      <c r="O67" s="7"/>
      <c r="P67" s="862"/>
      <c r="Q67" s="4"/>
      <c r="R67" s="628">
        <f t="shared" si="14"/>
        <v>0</v>
      </c>
      <c r="S67" s="791"/>
      <c r="T67" s="791"/>
      <c r="U67" s="793"/>
      <c r="V67" s="867"/>
      <c r="W67" s="633" t="str">
        <f>IF(Q67="","",$W$5-SUM($Q$7:$Q$45)-SUM($Q$64:Q67))</f>
        <v/>
      </c>
      <c r="AO67" s="86"/>
      <c r="AP67" s="86"/>
      <c r="AQ67" s="86"/>
      <c r="AR67" s="86"/>
      <c r="AS67" s="86"/>
      <c r="AT67" s="86"/>
      <c r="AU67" s="86"/>
      <c r="AV67" s="86"/>
      <c r="AW67" s="86"/>
      <c r="AX67" s="86"/>
      <c r="AY67" s="86"/>
      <c r="CM67" s="86"/>
      <c r="CN67" s="86"/>
    </row>
    <row r="68" spans="2:92" s="367" customFormat="1" ht="15.75" hidden="1" outlineLevel="1">
      <c r="B68" s="851">
        <f ca="1">IF('Current Status (''Shikuf'')'!$G$52="כן",IF('Current Status (''Shikuf'')'!BH21&lt;&gt;"",'Current Status (''Shikuf'')'!BH21,),)</f>
        <v>0</v>
      </c>
      <c r="C68" s="694">
        <f ca="1">IF('Current Status (''Shikuf'')'!$G$52="כן",IF('Current Status (''Shikuf'')'!BK21&lt;&gt;"",'Current Status (''Shikuf'')'!BK21,0),0)</f>
        <v>0</v>
      </c>
      <c r="D68" s="74"/>
      <c r="E68" s="521"/>
      <c r="F68" s="858"/>
      <c r="H68" s="543"/>
      <c r="I68" s="853"/>
      <c r="J68" s="6"/>
      <c r="K68" s="541"/>
      <c r="L68" s="860"/>
      <c r="M68" s="20" t="str">
        <f>IF(J68="","",$M$5-SUM($J$7:J68))</f>
        <v/>
      </c>
      <c r="O68" s="7"/>
      <c r="P68" s="862"/>
      <c r="Q68" s="8"/>
      <c r="R68" s="628">
        <f t="shared" si="14"/>
        <v>0</v>
      </c>
      <c r="S68" s="791"/>
      <c r="T68" s="791"/>
      <c r="U68" s="793"/>
      <c r="V68" s="867"/>
      <c r="W68" s="633" t="str">
        <f>IF(Q68="","",$W$5-SUM($Q$7:$Q$45)-SUM($Q$64:Q68))</f>
        <v/>
      </c>
      <c r="AO68" s="86"/>
      <c r="AP68" s="86"/>
      <c r="AQ68" s="86"/>
      <c r="AR68" s="86"/>
      <c r="AS68" s="86"/>
      <c r="AT68" s="86"/>
      <c r="AU68" s="86"/>
      <c r="AV68" s="86"/>
      <c r="AW68" s="86"/>
      <c r="AX68" s="86"/>
      <c r="AY68" s="86"/>
      <c r="CM68" s="86"/>
      <c r="CN68" s="86"/>
    </row>
    <row r="69" spans="2:92" s="367" customFormat="1" ht="15.75" hidden="1" outlineLevel="1">
      <c r="B69" s="851">
        <f ca="1">IF('Current Status (''Shikuf'')'!$G$52="כן",IF('Current Status (''Shikuf'')'!BH22&lt;&gt;"",'Current Status (''Shikuf'')'!BH22,),)</f>
        <v>0</v>
      </c>
      <c r="C69" s="694">
        <f ca="1">IF('Current Status (''Shikuf'')'!$G$52="כן",IF('Current Status (''Shikuf'')'!BK22&lt;&gt;"",'Current Status (''Shikuf'')'!BK22,0),0)</f>
        <v>0</v>
      </c>
      <c r="D69" s="74"/>
      <c r="E69" s="521"/>
      <c r="F69" s="858"/>
      <c r="H69" s="543"/>
      <c r="I69" s="853"/>
      <c r="J69" s="6"/>
      <c r="K69" s="541"/>
      <c r="L69" s="860"/>
      <c r="M69" s="20" t="str">
        <f>IF(J69="","",$M$5-SUM($J$7:J69))</f>
        <v/>
      </c>
      <c r="O69" s="7"/>
      <c r="P69" s="862"/>
      <c r="Q69" s="8"/>
      <c r="R69" s="628">
        <f t="shared" si="14"/>
        <v>0</v>
      </c>
      <c r="S69" s="791"/>
      <c r="T69" s="791"/>
      <c r="U69" s="793"/>
      <c r="V69" s="867"/>
      <c r="W69" s="633" t="str">
        <f>IF(Q69="","",$W$5-SUM($Q$7:$Q$45)-SUM($Q$64:Q69))</f>
        <v/>
      </c>
      <c r="AO69" s="86"/>
      <c r="AP69" s="86"/>
      <c r="AQ69" s="86"/>
      <c r="AR69" s="86"/>
      <c r="AS69" s="86"/>
      <c r="AT69" s="86"/>
      <c r="AU69" s="86"/>
      <c r="AV69" s="86"/>
      <c r="AW69" s="86"/>
      <c r="AX69" s="86"/>
      <c r="AY69" s="86"/>
      <c r="CM69" s="86"/>
      <c r="CN69" s="86"/>
    </row>
    <row r="70" spans="2:92" s="367" customFormat="1" ht="15.75" hidden="1" outlineLevel="1">
      <c r="B70" s="851">
        <f ca="1">IF('Current Status (''Shikuf'')'!$G$52="כן",IF('Current Status (''Shikuf'')'!BH23&lt;&gt;"",'Current Status (''Shikuf'')'!BH23,),)</f>
        <v>0</v>
      </c>
      <c r="C70" s="694">
        <f ca="1">IF('Current Status (''Shikuf'')'!$G$52="כן",IF('Current Status (''Shikuf'')'!BK23&lt;&gt;"",'Current Status (''Shikuf'')'!BK23,0),0)</f>
        <v>0</v>
      </c>
      <c r="D70" s="74"/>
      <c r="E70" s="521"/>
      <c r="F70" s="858"/>
      <c r="H70" s="543"/>
      <c r="I70" s="853"/>
      <c r="J70" s="6"/>
      <c r="K70" s="541"/>
      <c r="L70" s="860"/>
      <c r="M70" s="20" t="str">
        <f>IF(J70="","",$M$5-SUM($J$7:J70))</f>
        <v/>
      </c>
      <c r="O70" s="7"/>
      <c r="P70" s="862"/>
      <c r="Q70" s="8"/>
      <c r="R70" s="628">
        <f t="shared" si="14"/>
        <v>0</v>
      </c>
      <c r="S70" s="791"/>
      <c r="T70" s="791"/>
      <c r="U70" s="793"/>
      <c r="V70" s="867"/>
      <c r="W70" s="633" t="str">
        <f>IF(Q70="","",$W$5-SUM($Q$7:$Q$45)-SUM($Q$64:Q70))</f>
        <v/>
      </c>
      <c r="AO70" s="86"/>
      <c r="AP70" s="86"/>
      <c r="AQ70" s="86"/>
      <c r="AR70" s="86"/>
      <c r="AS70" s="86"/>
      <c r="AT70" s="86"/>
      <c r="AU70" s="86"/>
      <c r="AV70" s="86"/>
      <c r="AW70" s="86"/>
      <c r="AX70" s="86"/>
      <c r="AY70" s="86"/>
      <c r="CM70" s="86"/>
      <c r="CN70" s="86"/>
    </row>
    <row r="71" spans="2:92" s="367" customFormat="1" ht="15.75" hidden="1" outlineLevel="1">
      <c r="B71" s="851">
        <f ca="1">IF('Current Status (''Shikuf'')'!$G$52="כן",IF('Current Status (''Shikuf'')'!BH24&lt;&gt;"",'Current Status (''Shikuf'')'!BH24,),)</f>
        <v>0</v>
      </c>
      <c r="C71" s="694">
        <f ca="1">IF('Current Status (''Shikuf'')'!$G$52="כן",IF('Current Status (''Shikuf'')'!BK24&lt;&gt;"",'Current Status (''Shikuf'')'!BK24,0),0)</f>
        <v>0</v>
      </c>
      <c r="D71" s="74"/>
      <c r="E71" s="521"/>
      <c r="F71" s="858"/>
      <c r="H71" s="543"/>
      <c r="I71" s="853"/>
      <c r="J71" s="6"/>
      <c r="K71" s="541"/>
      <c r="L71" s="860"/>
      <c r="M71" s="20" t="str">
        <f>IF(J71="","",$M$5-SUM($J$7:J71))</f>
        <v/>
      </c>
      <c r="O71" s="7"/>
      <c r="P71" s="862"/>
      <c r="Q71" s="8"/>
      <c r="R71" s="628">
        <f t="shared" si="14"/>
        <v>0</v>
      </c>
      <c r="S71" s="791"/>
      <c r="T71" s="791"/>
      <c r="U71" s="793"/>
      <c r="V71" s="867"/>
      <c r="W71" s="633" t="str">
        <f>IF(Q71="","",$W$5-SUM($Q$7:$Q$45)-SUM($Q$64:Q71))</f>
        <v/>
      </c>
      <c r="AO71" s="86"/>
      <c r="AP71" s="86"/>
      <c r="AQ71" s="86"/>
      <c r="AR71" s="86"/>
      <c r="AS71" s="86"/>
      <c r="AT71" s="86"/>
      <c r="AU71" s="86"/>
      <c r="AV71" s="86"/>
      <c r="AW71" s="86"/>
      <c r="AX71" s="86"/>
      <c r="AY71" s="86"/>
      <c r="CM71" s="86"/>
      <c r="CN71" s="86"/>
    </row>
    <row r="72" spans="2:92" s="367" customFormat="1" ht="15.75" hidden="1" outlineLevel="1">
      <c r="B72" s="851">
        <f ca="1">IF('Current Status (''Shikuf'')'!$G$52="כן",IF('Current Status (''Shikuf'')'!BH25&lt;&gt;"",'Current Status (''Shikuf'')'!BH25,),)</f>
        <v>0</v>
      </c>
      <c r="C72" s="694">
        <f ca="1">IF('Current Status (''Shikuf'')'!$G$52="כן",IF('Current Status (''Shikuf'')'!BK25&lt;&gt;"",'Current Status (''Shikuf'')'!BK25,0),0)</f>
        <v>0</v>
      </c>
      <c r="D72" s="74"/>
      <c r="E72" s="521"/>
      <c r="F72" s="858"/>
      <c r="H72" s="543"/>
      <c r="I72" s="853"/>
      <c r="J72" s="6"/>
      <c r="K72" s="541"/>
      <c r="L72" s="860"/>
      <c r="M72" s="20" t="str">
        <f>IF(J72="","",$M$5-SUM($J$7:J72))</f>
        <v/>
      </c>
      <c r="O72" s="7"/>
      <c r="P72" s="862"/>
      <c r="Q72" s="8"/>
      <c r="R72" s="628">
        <f t="shared" si="14"/>
        <v>0</v>
      </c>
      <c r="S72" s="791"/>
      <c r="T72" s="791"/>
      <c r="U72" s="793"/>
      <c r="V72" s="867"/>
      <c r="W72" s="633" t="str">
        <f>IF(Q72="","",$W$5-SUM($Q$7:$Q$45)-SUM($Q$64:Q72))</f>
        <v/>
      </c>
      <c r="AO72" s="86"/>
      <c r="AP72" s="86"/>
      <c r="AQ72" s="86"/>
      <c r="AR72" s="86"/>
      <c r="AS72" s="86"/>
      <c r="AT72" s="86"/>
      <c r="AU72" s="86"/>
      <c r="AV72" s="86"/>
      <c r="AW72" s="86"/>
      <c r="AX72" s="86"/>
      <c r="AY72" s="86"/>
      <c r="CM72" s="86"/>
      <c r="CN72" s="86"/>
    </row>
    <row r="73" spans="2:92" s="367" customFormat="1" ht="15.75" hidden="1" outlineLevel="1">
      <c r="B73" s="851">
        <f ca="1">IF('Current Status (''Shikuf'')'!$G$52="כן",IF('Current Status (''Shikuf'')'!BH26&lt;&gt;"",'Current Status (''Shikuf'')'!BH26,),)</f>
        <v>0</v>
      </c>
      <c r="C73" s="694">
        <f ca="1">IF('Current Status (''Shikuf'')'!$G$52="כן",IF('Current Status (''Shikuf'')'!BK26&lt;&gt;"",'Current Status (''Shikuf'')'!BK26,0),0)</f>
        <v>0</v>
      </c>
      <c r="D73" s="74"/>
      <c r="E73" s="521"/>
      <c r="F73" s="858"/>
      <c r="H73" s="543"/>
      <c r="I73" s="853"/>
      <c r="J73" s="6"/>
      <c r="K73" s="541"/>
      <c r="L73" s="860"/>
      <c r="M73" s="20" t="str">
        <f>IF(J73="","",$M$5-SUM($J$7:J73))</f>
        <v/>
      </c>
      <c r="O73" s="7"/>
      <c r="P73" s="864"/>
      <c r="Q73" s="8"/>
      <c r="R73" s="628">
        <f t="shared" si="14"/>
        <v>0</v>
      </c>
      <c r="S73" s="791"/>
      <c r="T73" s="791"/>
      <c r="U73" s="793"/>
      <c r="V73" s="867"/>
      <c r="W73" s="633" t="str">
        <f>IF(Q73="","",$W$5-SUM($Q$7:$Q$45)-SUM($Q$64:Q73))</f>
        <v/>
      </c>
      <c r="AO73" s="86"/>
      <c r="AP73" s="86"/>
      <c r="AQ73" s="86"/>
      <c r="AR73" s="86"/>
      <c r="AS73" s="86"/>
      <c r="AT73" s="86"/>
      <c r="AU73" s="86"/>
      <c r="AV73" s="86"/>
      <c r="AW73" s="86"/>
      <c r="AX73" s="86"/>
      <c r="AY73" s="86"/>
      <c r="CM73" s="86"/>
      <c r="CN73" s="86"/>
    </row>
    <row r="74" spans="2:92" s="367" customFormat="1" ht="15.75" hidden="1" outlineLevel="1">
      <c r="B74" s="851">
        <f ca="1">IF('Current Status (''Shikuf'')'!$G$52="כן",IF('Current Status (''Shikuf'')'!BH27&lt;&gt;"",'Current Status (''Shikuf'')'!BH27,),)</f>
        <v>0</v>
      </c>
      <c r="C74" s="694">
        <f ca="1">IF('Current Status (''Shikuf'')'!$G$52="כן",IF('Current Status (''Shikuf'')'!BK27&lt;&gt;"",'Current Status (''Shikuf'')'!BK27,0),0)</f>
        <v>0</v>
      </c>
      <c r="D74" s="74"/>
      <c r="E74" s="521"/>
      <c r="F74" s="858"/>
      <c r="H74" s="543"/>
      <c r="I74" s="853"/>
      <c r="J74" s="6"/>
      <c r="K74" s="541"/>
      <c r="L74" s="860"/>
      <c r="M74" s="20" t="str">
        <f>IF(J74="","",$M$5-SUM($J$7:J74))</f>
        <v/>
      </c>
      <c r="O74" s="7"/>
      <c r="P74" s="862"/>
      <c r="Q74" s="8"/>
      <c r="R74" s="628">
        <f t="shared" si="14"/>
        <v>0</v>
      </c>
      <c r="S74" s="791"/>
      <c r="T74" s="791"/>
      <c r="U74" s="793"/>
      <c r="V74" s="867"/>
      <c r="W74" s="633" t="str">
        <f>IF(Q74="","",$W$5-SUM($Q$7:$Q$45)-SUM($Q$64:Q74))</f>
        <v/>
      </c>
      <c r="AO74" s="86"/>
      <c r="AP74" s="86"/>
      <c r="AQ74" s="86"/>
      <c r="AR74" s="86"/>
      <c r="AS74" s="86"/>
      <c r="AT74" s="86"/>
      <c r="AU74" s="86"/>
      <c r="AV74" s="86"/>
      <c r="AW74" s="86"/>
      <c r="AX74" s="86"/>
      <c r="AY74" s="86"/>
      <c r="CM74" s="86"/>
      <c r="CN74" s="86"/>
    </row>
    <row r="75" spans="2:92" s="367" customFormat="1" ht="15.75" hidden="1" outlineLevel="1">
      <c r="B75" s="851">
        <f ca="1">IF('Current Status (''Shikuf'')'!$G$52="כן",IF('Current Status (''Shikuf'')'!BH28&lt;&gt;"",'Current Status (''Shikuf'')'!BH28,),)</f>
        <v>0</v>
      </c>
      <c r="C75" s="694">
        <f ca="1">IF('Current Status (''Shikuf'')'!$G$52="כן",IF('Current Status (''Shikuf'')'!BK28&lt;&gt;"",'Current Status (''Shikuf'')'!BK28,0),0)</f>
        <v>0</v>
      </c>
      <c r="D75" s="74"/>
      <c r="E75" s="521"/>
      <c r="F75" s="858"/>
      <c r="H75" s="543"/>
      <c r="I75" s="853"/>
      <c r="J75" s="6"/>
      <c r="K75" s="541"/>
      <c r="L75" s="860"/>
      <c r="M75" s="20" t="str">
        <f>IF(J75="","",$M$5-SUM($J$7:J75))</f>
        <v/>
      </c>
      <c r="O75" s="7"/>
      <c r="P75" s="864"/>
      <c r="Q75" s="8"/>
      <c r="R75" s="628">
        <f t="shared" si="14"/>
        <v>0</v>
      </c>
      <c r="S75" s="791"/>
      <c r="T75" s="791"/>
      <c r="U75" s="793"/>
      <c r="V75" s="867"/>
      <c r="W75" s="633" t="str">
        <f>IF(Q75="","",$W$5-SUM($Q$7:$Q$45)-SUM($Q$64:Q75))</f>
        <v/>
      </c>
      <c r="AO75" s="86"/>
      <c r="AP75" s="86"/>
      <c r="AQ75" s="86"/>
      <c r="AR75" s="86"/>
      <c r="AS75" s="86"/>
      <c r="AT75" s="86"/>
      <c r="AU75" s="86"/>
      <c r="AV75" s="86"/>
      <c r="AW75" s="86"/>
      <c r="AX75" s="86"/>
      <c r="AY75" s="86"/>
      <c r="CM75" s="86"/>
      <c r="CN75" s="86"/>
    </row>
    <row r="76" spans="2:92" s="367" customFormat="1" ht="15.75" hidden="1" outlineLevel="1">
      <c r="B76" s="851">
        <f ca="1">IF('Current Status (''Shikuf'')'!$G$52="כן",IF('Current Status (''Shikuf'')'!BH29&lt;&gt;"",'Current Status (''Shikuf'')'!BH29,),)</f>
        <v>0</v>
      </c>
      <c r="C76" s="694">
        <f ca="1">IF('Current Status (''Shikuf'')'!$G$52="כן",IF('Current Status (''Shikuf'')'!BK29&lt;&gt;"",'Current Status (''Shikuf'')'!BK29,0),0)</f>
        <v>0</v>
      </c>
      <c r="D76" s="74"/>
      <c r="E76" s="521"/>
      <c r="F76" s="858"/>
      <c r="H76" s="543"/>
      <c r="I76" s="853"/>
      <c r="J76" s="6"/>
      <c r="K76" s="541"/>
      <c r="L76" s="860"/>
      <c r="M76" s="20" t="str">
        <f>IF(J76="","",$M$5-SUM($J$7:J76))</f>
        <v/>
      </c>
      <c r="O76" s="7"/>
      <c r="P76" s="862"/>
      <c r="Q76" s="8"/>
      <c r="R76" s="628">
        <f t="shared" si="14"/>
        <v>0</v>
      </c>
      <c r="S76" s="791"/>
      <c r="T76" s="791"/>
      <c r="U76" s="793"/>
      <c r="V76" s="867"/>
      <c r="W76" s="633" t="str">
        <f>IF(Q76="","",$W$5-SUM($Q$7:$Q$45)-SUM($Q$64:Q76))</f>
        <v/>
      </c>
      <c r="AO76" s="86"/>
      <c r="AP76" s="86"/>
      <c r="AQ76" s="86"/>
      <c r="AR76" s="86"/>
      <c r="AS76" s="86"/>
      <c r="AT76" s="86"/>
      <c r="AU76" s="86"/>
      <c r="AV76" s="86"/>
      <c r="AW76" s="86"/>
      <c r="AX76" s="86"/>
      <c r="AY76" s="86"/>
      <c r="CM76" s="86"/>
      <c r="CN76" s="86"/>
    </row>
    <row r="77" spans="2:92" s="367" customFormat="1" ht="15.75" hidden="1" outlineLevel="1">
      <c r="B77" s="851">
        <f ca="1">IF('Current Status (''Shikuf'')'!$G$52="כן",IF('Current Status (''Shikuf'')'!BH30&lt;&gt;"",'Current Status (''Shikuf'')'!BH30,),)</f>
        <v>0</v>
      </c>
      <c r="C77" s="694">
        <f ca="1">IF('Current Status (''Shikuf'')'!$G$52="כן",IF('Current Status (''Shikuf'')'!BK30&lt;&gt;"",'Current Status (''Shikuf'')'!BK30,0),0)</f>
        <v>0</v>
      </c>
      <c r="D77" s="74"/>
      <c r="E77" s="521"/>
      <c r="F77" s="858"/>
      <c r="H77" s="543"/>
      <c r="I77" s="853"/>
      <c r="J77" s="6"/>
      <c r="K77" s="541"/>
      <c r="L77" s="860"/>
      <c r="M77" s="20" t="str">
        <f>IF(J77="","",$M$5-SUM($J$7:J77))</f>
        <v/>
      </c>
      <c r="O77" s="7"/>
      <c r="P77" s="862"/>
      <c r="Q77" s="8"/>
      <c r="R77" s="628">
        <f t="shared" si="14"/>
        <v>0</v>
      </c>
      <c r="S77" s="791"/>
      <c r="T77" s="791"/>
      <c r="U77" s="793"/>
      <c r="V77" s="867"/>
      <c r="W77" s="633" t="str">
        <f>IF(Q77="","",$W$5-SUM($Q$7:$Q$45)-SUM($Q$64:Q77))</f>
        <v/>
      </c>
      <c r="AO77" s="86"/>
      <c r="AP77" s="86"/>
      <c r="AQ77" s="86"/>
      <c r="AR77" s="86"/>
      <c r="AS77" s="86"/>
      <c r="AT77" s="86"/>
      <c r="AU77" s="86"/>
      <c r="AV77" s="86"/>
      <c r="AW77" s="86"/>
      <c r="AX77" s="86"/>
      <c r="AY77" s="86"/>
      <c r="CM77" s="86"/>
      <c r="CN77" s="86"/>
    </row>
    <row r="78" spans="2:92" s="367" customFormat="1" ht="15.75" hidden="1" outlineLevel="1">
      <c r="B78" s="851">
        <f ca="1">IF('Current Status (''Shikuf'')'!$G$52="כן",IF('Current Status (''Shikuf'')'!BH31&lt;&gt;"",'Current Status (''Shikuf'')'!BH31,),)</f>
        <v>0</v>
      </c>
      <c r="C78" s="696">
        <f ca="1">IF('Current Status (''Shikuf'')'!$G$52="כן",IF('Current Status (''Shikuf'')'!BK31&lt;&gt;"",'Current Status (''Shikuf'')'!BK31,0),0)</f>
        <v>0</v>
      </c>
      <c r="D78" s="74"/>
      <c r="E78" s="521"/>
      <c r="F78" s="858"/>
      <c r="H78" s="543"/>
      <c r="I78" s="853"/>
      <c r="J78" s="6"/>
      <c r="K78" s="541"/>
      <c r="L78" s="860"/>
      <c r="M78" s="20" t="str">
        <f>IF(J78="","",$M$5-SUM($J$7:J78))</f>
        <v/>
      </c>
      <c r="O78" s="7"/>
      <c r="P78" s="864"/>
      <c r="Q78" s="8"/>
      <c r="R78" s="628">
        <f t="shared" si="14"/>
        <v>0</v>
      </c>
      <c r="S78" s="791"/>
      <c r="T78" s="791"/>
      <c r="U78" s="793"/>
      <c r="V78" s="867"/>
      <c r="W78" s="633" t="str">
        <f>IF(Q78="","",$W$5-SUM($Q$7:$Q$45)-SUM($Q$64:Q78))</f>
        <v/>
      </c>
      <c r="AO78" s="86"/>
      <c r="AP78" s="86"/>
      <c r="AQ78" s="86"/>
      <c r="AR78" s="86"/>
      <c r="AS78" s="86"/>
      <c r="AT78" s="86"/>
      <c r="AU78" s="86"/>
      <c r="AV78" s="86"/>
      <c r="AW78" s="86"/>
      <c r="AX78" s="86"/>
      <c r="AY78" s="86"/>
      <c r="CM78" s="86"/>
      <c r="CN78" s="86"/>
    </row>
    <row r="79" spans="2:92" s="367" customFormat="1" ht="15.75" hidden="1" outlineLevel="1">
      <c r="B79" s="851">
        <f ca="1">IF('Current Status (''Shikuf'')'!$G$52="כן",IF('Current Status (''Shikuf'')'!BH32&lt;&gt;"",'Current Status (''Shikuf'')'!BH32,),)</f>
        <v>0</v>
      </c>
      <c r="C79" s="694">
        <f ca="1">IF('Current Status (''Shikuf'')'!$G$52="כן",IF('Current Status (''Shikuf'')'!BK32&lt;&gt;"",'Current Status (''Shikuf'')'!BK32,0),0)</f>
        <v>0</v>
      </c>
      <c r="D79" s="74"/>
      <c r="E79" s="521"/>
      <c r="F79" s="858"/>
      <c r="H79" s="543"/>
      <c r="I79" s="853"/>
      <c r="J79" s="6"/>
      <c r="K79" s="541"/>
      <c r="L79" s="860"/>
      <c r="M79" s="20" t="str">
        <f>IF(J79="","",$M$5-SUM($J$7:J79))</f>
        <v/>
      </c>
      <c r="O79" s="7"/>
      <c r="P79" s="862"/>
      <c r="Q79" s="8"/>
      <c r="R79" s="628">
        <f t="shared" si="14"/>
        <v>0</v>
      </c>
      <c r="S79" s="791"/>
      <c r="T79" s="791"/>
      <c r="U79" s="793"/>
      <c r="V79" s="867"/>
      <c r="W79" s="633" t="str">
        <f>IF(Q79="","",$W$5-SUM($Q$7:$Q$45)-SUM($Q$64:Q79))</f>
        <v/>
      </c>
      <c r="AO79" s="86"/>
      <c r="AP79" s="86"/>
      <c r="AQ79" s="86"/>
      <c r="AR79" s="86"/>
      <c r="AS79" s="86"/>
      <c r="AT79" s="86"/>
      <c r="AU79" s="86"/>
      <c r="AV79" s="86"/>
      <c r="AW79" s="86"/>
      <c r="AX79" s="86"/>
      <c r="AY79" s="86"/>
      <c r="CM79" s="86"/>
      <c r="CN79" s="86"/>
    </row>
    <row r="80" spans="2:92" s="367" customFormat="1" ht="15.75" hidden="1" outlineLevel="1">
      <c r="B80" s="851">
        <f ca="1">IF('Current Status (''Shikuf'')'!$G$52="כן",IF('Current Status (''Shikuf'')'!BH33&lt;&gt;"",'Current Status (''Shikuf'')'!BH33,),)</f>
        <v>0</v>
      </c>
      <c r="C80" s="694">
        <f ca="1">IF('Current Status (''Shikuf'')'!$G$52="כן",IF('Current Status (''Shikuf'')'!BK33&lt;&gt;"",'Current Status (''Shikuf'')'!BK33,0),0)</f>
        <v>0</v>
      </c>
      <c r="D80" s="74"/>
      <c r="E80" s="521"/>
      <c r="F80" s="858"/>
      <c r="H80" s="543"/>
      <c r="I80" s="853"/>
      <c r="J80" s="6"/>
      <c r="K80" s="541"/>
      <c r="L80" s="860"/>
      <c r="M80" s="20" t="str">
        <f>IF(J80="","",$M$5-SUM($J$7:J80))</f>
        <v/>
      </c>
      <c r="O80" s="7"/>
      <c r="P80" s="864"/>
      <c r="Q80" s="8"/>
      <c r="R80" s="628">
        <f t="shared" si="14"/>
        <v>0</v>
      </c>
      <c r="S80" s="791"/>
      <c r="T80" s="791"/>
      <c r="U80" s="793"/>
      <c r="V80" s="867"/>
      <c r="W80" s="633" t="str">
        <f>IF(Q80="","",$W$5-SUM($Q$7:$Q$45)-SUM($Q$64:Q80))</f>
        <v/>
      </c>
      <c r="AO80" s="86"/>
      <c r="AP80" s="86"/>
      <c r="AQ80" s="86"/>
      <c r="AR80" s="86"/>
      <c r="AS80" s="86"/>
      <c r="AT80" s="86"/>
      <c r="AU80" s="86"/>
      <c r="AV80" s="86"/>
      <c r="AW80" s="86"/>
      <c r="AX80" s="86"/>
      <c r="AY80" s="86"/>
      <c r="CM80" s="86"/>
      <c r="CN80" s="86"/>
    </row>
    <row r="81" spans="2:92" s="367" customFormat="1" ht="15.75" hidden="1" outlineLevel="1">
      <c r="B81" s="851">
        <f ca="1">IF('Current Status (''Shikuf'')'!$G$52="כן",IF('Current Status (''Shikuf'')'!BH34&lt;&gt;"",'Current Status (''Shikuf'')'!BH34,),)</f>
        <v>0</v>
      </c>
      <c r="C81" s="694">
        <f ca="1">IF('Current Status (''Shikuf'')'!$G$52="כן",IF('Current Status (''Shikuf'')'!BK34&lt;&gt;"",'Current Status (''Shikuf'')'!BK34,0),0)</f>
        <v>0</v>
      </c>
      <c r="D81" s="74"/>
      <c r="E81" s="521"/>
      <c r="F81" s="858"/>
      <c r="H81" s="543"/>
      <c r="I81" s="853"/>
      <c r="J81" s="6"/>
      <c r="K81" s="541"/>
      <c r="L81" s="860"/>
      <c r="M81" s="20" t="str">
        <f>IF(J81="","",$M$5-SUM($J$7:J81))</f>
        <v/>
      </c>
      <c r="O81" s="7"/>
      <c r="P81" s="864"/>
      <c r="Q81" s="8"/>
      <c r="R81" s="628">
        <f t="shared" si="14"/>
        <v>0</v>
      </c>
      <c r="S81" s="791"/>
      <c r="T81" s="791"/>
      <c r="U81" s="793"/>
      <c r="V81" s="867"/>
      <c r="W81" s="633" t="str">
        <f>IF(Q81="","",$W$5-SUM($Q$7:$Q$45)-SUM($Q$64:Q81))</f>
        <v/>
      </c>
      <c r="AO81" s="86"/>
      <c r="AP81" s="86"/>
      <c r="AQ81" s="86"/>
      <c r="AR81" s="86"/>
      <c r="AS81" s="86"/>
      <c r="AT81" s="86"/>
      <c r="AU81" s="86"/>
      <c r="AV81" s="86"/>
      <c r="AW81" s="86"/>
      <c r="AX81" s="86"/>
      <c r="AY81" s="86"/>
      <c r="CM81" s="86"/>
      <c r="CN81" s="86"/>
    </row>
    <row r="82" spans="2:92" s="367" customFormat="1" ht="15.75" hidden="1" outlineLevel="1">
      <c r="B82" s="851">
        <f ca="1">IF('Current Status (''Shikuf'')'!$G$52="כן",IF('Current Status (''Shikuf'')'!BH35&lt;&gt;"",'Current Status (''Shikuf'')'!BH35,),)</f>
        <v>0</v>
      </c>
      <c r="C82" s="694">
        <f ca="1">IF('Current Status (''Shikuf'')'!$G$52="כן",IF('Current Status (''Shikuf'')'!BK35&lt;&gt;"",'Current Status (''Shikuf'')'!BK35,0),0)</f>
        <v>0</v>
      </c>
      <c r="D82" s="74"/>
      <c r="E82" s="521"/>
      <c r="F82" s="858"/>
      <c r="H82" s="543"/>
      <c r="I82" s="853"/>
      <c r="J82" s="6"/>
      <c r="K82" s="541"/>
      <c r="L82" s="860"/>
      <c r="M82" s="20" t="str">
        <f>IF(J82="","",$M$5-SUM($J$7:J82))</f>
        <v/>
      </c>
      <c r="O82" s="7"/>
      <c r="P82" s="864"/>
      <c r="Q82" s="8"/>
      <c r="R82" s="628">
        <f t="shared" si="14"/>
        <v>0</v>
      </c>
      <c r="S82" s="791"/>
      <c r="T82" s="791"/>
      <c r="U82" s="793"/>
      <c r="V82" s="867"/>
      <c r="W82" s="633" t="str">
        <f>IF(Q82="","",$W$5-SUM($Q$7:$Q$45)-SUM($Q$64:Q82))</f>
        <v/>
      </c>
      <c r="AO82" s="86"/>
      <c r="AP82" s="86"/>
      <c r="AQ82" s="86"/>
      <c r="AR82" s="86"/>
      <c r="AS82" s="86"/>
      <c r="AT82" s="86"/>
      <c r="AU82" s="86"/>
      <c r="AV82" s="86"/>
      <c r="AW82" s="86"/>
      <c r="AX82" s="86"/>
      <c r="AY82" s="86"/>
      <c r="CM82" s="86"/>
      <c r="CN82" s="86"/>
    </row>
    <row r="83" spans="2:92" s="367" customFormat="1" ht="15.75" hidden="1" outlineLevel="1">
      <c r="B83" s="851">
        <f ca="1">IF('Current Status (''Shikuf'')'!$G$52="כן",IF('Current Status (''Shikuf'')'!BH36&lt;&gt;"",'Current Status (''Shikuf'')'!BH36,),)</f>
        <v>0</v>
      </c>
      <c r="C83" s="694">
        <f ca="1">IF('Current Status (''Shikuf'')'!$G$52="כן",IF('Current Status (''Shikuf'')'!BK36&lt;&gt;"",'Current Status (''Shikuf'')'!BK36,0),0)</f>
        <v>0</v>
      </c>
      <c r="D83" s="74"/>
      <c r="E83" s="521"/>
      <c r="F83" s="858"/>
      <c r="H83" s="543"/>
      <c r="I83" s="853"/>
      <c r="J83" s="6"/>
      <c r="K83" s="541"/>
      <c r="L83" s="860"/>
      <c r="M83" s="20" t="str">
        <f>IF(J83="","",$M$5-SUM($J$7:J83))</f>
        <v/>
      </c>
      <c r="O83" s="7"/>
      <c r="P83" s="864"/>
      <c r="Q83" s="8"/>
      <c r="R83" s="628">
        <f t="shared" si="14"/>
        <v>0</v>
      </c>
      <c r="S83" s="791"/>
      <c r="T83" s="791"/>
      <c r="U83" s="793"/>
      <c r="V83" s="867"/>
      <c r="W83" s="633" t="str">
        <f>IF(Q83="","",$W$5-SUM($Q$7:$Q$45)-SUM($Q$64:Q83))</f>
        <v/>
      </c>
      <c r="AO83" s="86"/>
      <c r="AP83" s="86"/>
      <c r="AQ83" s="86"/>
      <c r="AR83" s="86"/>
      <c r="AS83" s="86"/>
      <c r="AT83" s="86"/>
      <c r="AU83" s="86"/>
      <c r="AV83" s="86"/>
      <c r="AW83" s="86"/>
      <c r="AX83" s="86"/>
      <c r="AY83" s="86"/>
      <c r="CM83" s="86"/>
      <c r="CN83" s="86"/>
    </row>
    <row r="84" spans="2:92" s="367" customFormat="1" ht="15.75" hidden="1" outlineLevel="1">
      <c r="B84" s="851">
        <f ca="1">IF('Current Status (''Shikuf'')'!$G$52="כן",IF('Current Status (''Shikuf'')'!BH37&lt;&gt;"",'Current Status (''Shikuf'')'!BH37,),)</f>
        <v>0</v>
      </c>
      <c r="C84" s="694">
        <f ca="1">IF('Current Status (''Shikuf'')'!$G$52="כן",IF('Current Status (''Shikuf'')'!BK37&lt;&gt;"",'Current Status (''Shikuf'')'!BK37,0),0)</f>
        <v>0</v>
      </c>
      <c r="D84" s="74"/>
      <c r="E84" s="521"/>
      <c r="F84" s="858"/>
      <c r="H84" s="543"/>
      <c r="I84" s="853"/>
      <c r="J84" s="6"/>
      <c r="K84" s="541"/>
      <c r="L84" s="860"/>
      <c r="M84" s="20" t="str">
        <f>IF(J84="","",$M$5-SUM($J$7:J84))</f>
        <v/>
      </c>
      <c r="O84" s="7"/>
      <c r="P84" s="864"/>
      <c r="Q84" s="8"/>
      <c r="R84" s="628">
        <f t="shared" si="14"/>
        <v>0</v>
      </c>
      <c r="S84" s="791"/>
      <c r="T84" s="791"/>
      <c r="U84" s="793"/>
      <c r="V84" s="867"/>
      <c r="W84" s="633" t="str">
        <f>IF(Q84="","",$W$5-SUM($Q$7:$Q$45)-SUM($Q$64:Q84))</f>
        <v/>
      </c>
      <c r="AO84" s="86"/>
      <c r="AP84" s="86"/>
      <c r="AQ84" s="86"/>
      <c r="AR84" s="86"/>
      <c r="AS84" s="86"/>
      <c r="AT84" s="86"/>
      <c r="AU84" s="86"/>
      <c r="AV84" s="86"/>
      <c r="AW84" s="86"/>
      <c r="AX84" s="86"/>
      <c r="AY84" s="86"/>
      <c r="CM84" s="86"/>
      <c r="CN84" s="86"/>
    </row>
    <row r="85" spans="2:92" s="367" customFormat="1" ht="15.75" hidden="1" outlineLevel="1">
      <c r="B85" s="851">
        <f ca="1">IF('Current Status (''Shikuf'')'!$G$52="כן",IF('Current Status (''Shikuf'')'!BH38&lt;&gt;"",'Current Status (''Shikuf'')'!BH38,),)</f>
        <v>0</v>
      </c>
      <c r="C85" s="694">
        <f ca="1">IF('Current Status (''Shikuf'')'!$G$52="כן",IF('Current Status (''Shikuf'')'!BK38&lt;&gt;"",'Current Status (''Shikuf'')'!BK38,0),0)</f>
        <v>0</v>
      </c>
      <c r="D85" s="74"/>
      <c r="E85" s="521"/>
      <c r="F85" s="858"/>
      <c r="H85" s="543"/>
      <c r="I85" s="853"/>
      <c r="J85" s="6"/>
      <c r="K85" s="541"/>
      <c r="L85" s="860"/>
      <c r="M85" s="20" t="str">
        <f>IF(J85="","",$M$5-SUM($J$7:J85))</f>
        <v/>
      </c>
      <c r="O85" s="7"/>
      <c r="P85" s="864"/>
      <c r="Q85" s="8"/>
      <c r="R85" s="628">
        <f t="shared" si="14"/>
        <v>0</v>
      </c>
      <c r="S85" s="791"/>
      <c r="T85" s="791"/>
      <c r="U85" s="793"/>
      <c r="V85" s="867"/>
      <c r="W85" s="633" t="str">
        <f>IF(Q85="","",$W$5-SUM($Q$7:$Q$45)-SUM($Q$64:Q85))</f>
        <v/>
      </c>
      <c r="AO85" s="86"/>
      <c r="AP85" s="86"/>
      <c r="AQ85" s="86"/>
      <c r="AR85" s="86"/>
      <c r="AS85" s="86"/>
      <c r="AT85" s="86"/>
      <c r="AU85" s="86"/>
      <c r="AV85" s="86"/>
      <c r="AW85" s="86"/>
      <c r="AX85" s="86"/>
      <c r="AY85" s="86"/>
      <c r="CM85" s="86"/>
      <c r="CN85" s="86"/>
    </row>
    <row r="86" spans="2:92" s="367" customFormat="1" ht="16.5" hidden="1" outlineLevel="1" thickBot="1">
      <c r="B86" s="851">
        <f ca="1">IF('Current Status (''Shikuf'')'!$G$52="כן",IF('Current Status (''Shikuf'')'!BH39&lt;&gt;"",'Current Status (''Shikuf'')'!BH39,),)</f>
        <v>0</v>
      </c>
      <c r="C86" s="695">
        <f ca="1">IF('Current Status (''Shikuf'')'!$G$52="כן",IF('Current Status (''Shikuf'')'!BK39&lt;&gt;"",'Current Status (''Shikuf'')'!BK39,0),0)</f>
        <v>0</v>
      </c>
      <c r="D86" s="74"/>
      <c r="E86" s="521"/>
      <c r="F86" s="858"/>
      <c r="H86" s="543"/>
      <c r="I86" s="854"/>
      <c r="J86" s="6"/>
      <c r="K86" s="541"/>
      <c r="L86" s="860"/>
      <c r="M86" s="20" t="str">
        <f>IF(J86="","",$M$5-SUM($J$7:J86))</f>
        <v/>
      </c>
      <c r="O86" s="7"/>
      <c r="P86" s="864"/>
      <c r="Q86" s="8"/>
      <c r="R86" s="628">
        <f t="shared" si="14"/>
        <v>0</v>
      </c>
      <c r="S86" s="791"/>
      <c r="T86" s="791"/>
      <c r="U86" s="793"/>
      <c r="V86" s="867"/>
      <c r="W86" s="633" t="str">
        <f>IF(Q86="","",$W$5-SUM($Q$7:$Q$45)-SUM($Q$64:Q86))</f>
        <v/>
      </c>
      <c r="AO86" s="86"/>
      <c r="AP86" s="86"/>
      <c r="AQ86" s="86"/>
      <c r="AR86" s="86"/>
      <c r="AS86" s="86"/>
      <c r="AT86" s="86"/>
      <c r="AU86" s="86"/>
      <c r="AV86" s="86"/>
      <c r="AW86" s="86"/>
      <c r="AX86" s="86"/>
      <c r="AY86" s="86"/>
      <c r="CM86" s="86"/>
      <c r="CN86" s="86"/>
    </row>
    <row r="87" spans="2:92" s="367" customFormat="1" ht="16.5" hidden="1" outlineLevel="1" thickTop="1">
      <c r="H87" s="543"/>
      <c r="I87" s="853"/>
      <c r="J87" s="6"/>
      <c r="K87" s="541"/>
      <c r="L87" s="860"/>
      <c r="M87" s="20" t="str">
        <f>IF(J87="","",$M$5-SUM($J$7:J87))</f>
        <v/>
      </c>
      <c r="O87" s="7"/>
      <c r="P87" s="864"/>
      <c r="Q87" s="8"/>
      <c r="R87" s="628">
        <f t="shared" si="14"/>
        <v>0</v>
      </c>
      <c r="S87" s="791"/>
      <c r="T87" s="791"/>
      <c r="U87" s="793"/>
      <c r="V87" s="867"/>
      <c r="W87" s="633" t="str">
        <f>IF(Q87="","",$W$5-SUM($Q$7:$Q$45)-SUM($Q$64:Q87))</f>
        <v/>
      </c>
      <c r="AO87" s="86"/>
      <c r="AP87" s="86"/>
      <c r="AQ87" s="86"/>
      <c r="AR87" s="86"/>
      <c r="AS87" s="86"/>
      <c r="AT87" s="86"/>
      <c r="AU87" s="86"/>
      <c r="AV87" s="86"/>
      <c r="AW87" s="86"/>
      <c r="AX87" s="86"/>
      <c r="AY87" s="86"/>
      <c r="CM87" s="86"/>
      <c r="CN87" s="86"/>
    </row>
    <row r="88" spans="2:92" s="367" customFormat="1" ht="15.75" hidden="1" outlineLevel="1">
      <c r="H88" s="543"/>
      <c r="I88" s="853"/>
      <c r="J88" s="6"/>
      <c r="K88" s="541"/>
      <c r="L88" s="860"/>
      <c r="M88" s="20" t="str">
        <f>IF(J88="","",$M$5-SUM($J$7:J88))</f>
        <v/>
      </c>
      <c r="O88" s="7"/>
      <c r="P88" s="862"/>
      <c r="Q88" s="8"/>
      <c r="R88" s="628">
        <f t="shared" si="14"/>
        <v>0</v>
      </c>
      <c r="S88" s="791"/>
      <c r="T88" s="791"/>
      <c r="U88" s="793"/>
      <c r="V88" s="867"/>
      <c r="W88" s="633" t="str">
        <f>IF(Q88="","",$W$5-SUM($Q$7:$Q$45)-SUM($Q$64:Q88))</f>
        <v/>
      </c>
      <c r="AO88" s="86"/>
      <c r="AP88" s="86"/>
      <c r="AQ88" s="86"/>
      <c r="AR88" s="86"/>
      <c r="AS88" s="86"/>
      <c r="AT88" s="86"/>
      <c r="AU88" s="86"/>
      <c r="AV88" s="86"/>
      <c r="AW88" s="86"/>
      <c r="AX88" s="86"/>
      <c r="AY88" s="86"/>
      <c r="CM88" s="86"/>
      <c r="CN88" s="86"/>
    </row>
    <row r="89" spans="2:92" s="367" customFormat="1" ht="15.75" hidden="1" outlineLevel="1">
      <c r="H89" s="543"/>
      <c r="I89" s="853"/>
      <c r="J89" s="6"/>
      <c r="K89" s="541"/>
      <c r="L89" s="860"/>
      <c r="M89" s="20" t="str">
        <f>IF(J89="","",$M$5-SUM($J$7:J89))</f>
        <v/>
      </c>
      <c r="O89" s="7"/>
      <c r="P89" s="864"/>
      <c r="Q89" s="8"/>
      <c r="R89" s="628">
        <f t="shared" si="14"/>
        <v>0</v>
      </c>
      <c r="S89" s="791"/>
      <c r="T89" s="791"/>
      <c r="U89" s="793"/>
      <c r="V89" s="867"/>
      <c r="W89" s="633" t="str">
        <f>IF(Q89="","",$W$5-SUM($Q$7:$Q$45)-SUM($Q$64:Q89))</f>
        <v/>
      </c>
      <c r="AO89" s="86"/>
      <c r="AP89" s="86"/>
      <c r="AQ89" s="86"/>
      <c r="AR89" s="86"/>
      <c r="AS89" s="86"/>
      <c r="AT89" s="86"/>
      <c r="AU89" s="86"/>
      <c r="AV89" s="86"/>
      <c r="AW89" s="86"/>
      <c r="AX89" s="86"/>
      <c r="AY89" s="86"/>
      <c r="CM89" s="86"/>
      <c r="CN89" s="86"/>
    </row>
    <row r="90" spans="2:92" s="367" customFormat="1" ht="15.75" hidden="1" outlineLevel="1">
      <c r="H90" s="543"/>
      <c r="I90" s="853"/>
      <c r="J90" s="6"/>
      <c r="K90" s="541"/>
      <c r="L90" s="860"/>
      <c r="M90" s="20" t="str">
        <f>IF(J90="","",$M$5-SUM($J$7:J90))</f>
        <v/>
      </c>
      <c r="O90" s="7"/>
      <c r="P90" s="862"/>
      <c r="Q90" s="8"/>
      <c r="R90" s="628">
        <f t="shared" si="14"/>
        <v>0</v>
      </c>
      <c r="S90" s="791"/>
      <c r="T90" s="791"/>
      <c r="U90" s="793"/>
      <c r="V90" s="867"/>
      <c r="W90" s="633" t="str">
        <f>IF(Q90="","",$W$5-SUM($Q$7:$Q$45)-SUM($Q$64:Q90))</f>
        <v/>
      </c>
      <c r="AO90" s="86"/>
      <c r="AP90" s="86"/>
      <c r="AQ90" s="86"/>
      <c r="AR90" s="86"/>
      <c r="AS90" s="86"/>
      <c r="AT90" s="86"/>
      <c r="AU90" s="86"/>
      <c r="AV90" s="86"/>
      <c r="AW90" s="86"/>
      <c r="AX90" s="86"/>
      <c r="AY90" s="86"/>
      <c r="CM90" s="86"/>
      <c r="CN90" s="86"/>
    </row>
    <row r="91" spans="2:92" s="367" customFormat="1" ht="15.75" hidden="1" outlineLevel="1">
      <c r="H91" s="543"/>
      <c r="I91" s="853"/>
      <c r="J91" s="6"/>
      <c r="K91" s="541"/>
      <c r="L91" s="860"/>
      <c r="M91" s="20" t="str">
        <f>IF(J91="","",$M$5-SUM($J$7:J91))</f>
        <v/>
      </c>
      <c r="O91" s="7"/>
      <c r="P91" s="864"/>
      <c r="Q91" s="8"/>
      <c r="R91" s="628">
        <f t="shared" si="14"/>
        <v>0</v>
      </c>
      <c r="S91" s="791"/>
      <c r="T91" s="791"/>
      <c r="U91" s="793"/>
      <c r="V91" s="867"/>
      <c r="W91" s="633" t="str">
        <f>IF(Q91="","",$W$5-SUM($Q$7:$Q$45)-SUM($Q$64:Q91))</f>
        <v/>
      </c>
      <c r="AO91" s="86"/>
      <c r="AP91" s="86"/>
      <c r="AQ91" s="86"/>
      <c r="AR91" s="86"/>
      <c r="AS91" s="86"/>
      <c r="AT91" s="86"/>
      <c r="AU91" s="86"/>
      <c r="AV91" s="86"/>
      <c r="AW91" s="86"/>
      <c r="AX91" s="86"/>
      <c r="AY91" s="86"/>
      <c r="CM91" s="86"/>
      <c r="CN91" s="86"/>
    </row>
    <row r="92" spans="2:92" s="367" customFormat="1" ht="15.75" hidden="1" outlineLevel="1">
      <c r="H92" s="543"/>
      <c r="I92" s="853"/>
      <c r="J92" s="6"/>
      <c r="K92" s="541"/>
      <c r="L92" s="860"/>
      <c r="M92" s="20" t="str">
        <f>IF(J92="","",$M$5-SUM($J$7:J92))</f>
        <v/>
      </c>
      <c r="O92" s="7"/>
      <c r="P92" s="862"/>
      <c r="Q92" s="6"/>
      <c r="R92" s="628">
        <f t="shared" si="14"/>
        <v>0</v>
      </c>
      <c r="S92" s="791"/>
      <c r="T92" s="791"/>
      <c r="U92" s="793"/>
      <c r="V92" s="867"/>
      <c r="W92" s="634" t="str">
        <f>IF(Q92="","",$W$5-SUM($Q$7:$Q$45)-SUM($Q$64:Q92))</f>
        <v/>
      </c>
      <c r="AO92" s="86"/>
      <c r="AP92" s="86"/>
      <c r="AQ92" s="86"/>
      <c r="AR92" s="86"/>
      <c r="AS92" s="86"/>
      <c r="AT92" s="86"/>
      <c r="AU92" s="86"/>
      <c r="AV92" s="86"/>
      <c r="AW92" s="86"/>
      <c r="AX92" s="86"/>
      <c r="AY92" s="86"/>
      <c r="CM92" s="86"/>
      <c r="CN92" s="86"/>
    </row>
    <row r="93" spans="2:92" s="367" customFormat="1" ht="15.75" hidden="1" outlineLevel="1">
      <c r="H93" s="543"/>
      <c r="I93" s="853"/>
      <c r="J93" s="6"/>
      <c r="K93" s="541"/>
      <c r="L93" s="860"/>
      <c r="M93" s="20" t="str">
        <f>IF(J93="","",$M$5-SUM($J$7:J93))</f>
        <v/>
      </c>
      <c r="O93" s="7"/>
      <c r="P93" s="864"/>
      <c r="Q93" s="8"/>
      <c r="R93" s="628">
        <f t="shared" si="14"/>
        <v>0</v>
      </c>
      <c r="S93" s="791"/>
      <c r="T93" s="791"/>
      <c r="U93" s="793"/>
      <c r="V93" s="867"/>
      <c r="W93" s="633" t="str">
        <f>IF(Q93="","",$W$5-SUM($Q$7:$Q$45)-SUM($Q$64:Q93))</f>
        <v/>
      </c>
      <c r="AO93" s="86"/>
      <c r="AP93" s="86"/>
      <c r="AQ93" s="86"/>
      <c r="AR93" s="86"/>
      <c r="AS93" s="86"/>
      <c r="AT93" s="86"/>
      <c r="AU93" s="86"/>
      <c r="AV93" s="86"/>
      <c r="AW93" s="86"/>
      <c r="AX93" s="86"/>
      <c r="AY93" s="86"/>
      <c r="CM93" s="86"/>
      <c r="CN93" s="86"/>
    </row>
    <row r="94" spans="2:92" s="367" customFormat="1" ht="15.75" hidden="1" outlineLevel="1">
      <c r="H94" s="543"/>
      <c r="I94" s="853"/>
      <c r="J94" s="6"/>
      <c r="K94" s="541"/>
      <c r="L94" s="860"/>
      <c r="M94" s="20" t="str">
        <f>IF(J94="","",$M$5-SUM($J$7:J94))</f>
        <v/>
      </c>
      <c r="O94" s="7"/>
      <c r="P94" s="862"/>
      <c r="Q94" s="8"/>
      <c r="R94" s="628">
        <f t="shared" si="14"/>
        <v>0</v>
      </c>
      <c r="S94" s="791"/>
      <c r="T94" s="791"/>
      <c r="U94" s="793"/>
      <c r="V94" s="867"/>
      <c r="W94" s="633" t="str">
        <f>IF(Q94="","",$W$5-SUM($Q$7:$Q$45)-SUM($Q$64:Q94))</f>
        <v/>
      </c>
      <c r="AO94" s="86"/>
      <c r="AP94" s="86"/>
      <c r="AQ94" s="86"/>
      <c r="AR94" s="86"/>
      <c r="AS94" s="86"/>
      <c r="AT94" s="86"/>
      <c r="AU94" s="86"/>
      <c r="AV94" s="86"/>
      <c r="AW94" s="86"/>
      <c r="AX94" s="86"/>
      <c r="AY94" s="86"/>
      <c r="CM94" s="86"/>
      <c r="CN94" s="86"/>
    </row>
    <row r="95" spans="2:92" s="367" customFormat="1" ht="15.75" hidden="1" outlineLevel="1">
      <c r="H95" s="543"/>
      <c r="I95" s="853"/>
      <c r="J95" s="6"/>
      <c r="K95" s="541"/>
      <c r="L95" s="860"/>
      <c r="M95" s="20" t="str">
        <f>IF(J95="","",$M$5-SUM($J$7:J95))</f>
        <v/>
      </c>
      <c r="O95" s="7"/>
      <c r="P95" s="864"/>
      <c r="Q95" s="8"/>
      <c r="R95" s="628">
        <f t="shared" si="14"/>
        <v>0</v>
      </c>
      <c r="S95" s="791"/>
      <c r="T95" s="791"/>
      <c r="U95" s="793"/>
      <c r="V95" s="867"/>
      <c r="W95" s="633" t="str">
        <f>IF(Q95="","",$W$5-SUM($Q$7:$Q$45)-SUM($Q$64:Q95))</f>
        <v/>
      </c>
      <c r="AO95" s="86"/>
      <c r="AP95" s="86"/>
      <c r="AQ95" s="86"/>
      <c r="AR95" s="86"/>
      <c r="AS95" s="86"/>
      <c r="AT95" s="86"/>
      <c r="AU95" s="86"/>
      <c r="AV95" s="86"/>
      <c r="AW95" s="86"/>
      <c r="AX95" s="86"/>
      <c r="AY95" s="86"/>
      <c r="CM95" s="86"/>
      <c r="CN95" s="86"/>
    </row>
    <row r="96" spans="2:92" s="367" customFormat="1" ht="15.75" hidden="1" outlineLevel="1">
      <c r="H96" s="543"/>
      <c r="I96" s="853"/>
      <c r="J96" s="6"/>
      <c r="K96" s="541"/>
      <c r="L96" s="860"/>
      <c r="M96" s="20" t="str">
        <f>IF(J96="","",$M$5-SUM($J$7:J96))</f>
        <v/>
      </c>
      <c r="O96" s="7"/>
      <c r="P96" s="863"/>
      <c r="Q96" s="8"/>
      <c r="R96" s="628">
        <f t="shared" si="14"/>
        <v>0</v>
      </c>
      <c r="S96" s="791"/>
      <c r="T96" s="791"/>
      <c r="U96" s="793"/>
      <c r="V96" s="867"/>
      <c r="W96" s="633" t="str">
        <f>IF(Q96="","",$W$5-SUM($Q$7:$Q$45)-SUM($Q$64:Q96))</f>
        <v/>
      </c>
      <c r="AO96" s="86"/>
      <c r="AP96" s="86"/>
      <c r="AQ96" s="86"/>
      <c r="AR96" s="86"/>
      <c r="AS96" s="86"/>
      <c r="AT96" s="86"/>
      <c r="AU96" s="86"/>
      <c r="AV96" s="86"/>
      <c r="AW96" s="86"/>
      <c r="AX96" s="86"/>
      <c r="AY96" s="86"/>
      <c r="CM96" s="86"/>
      <c r="CN96" s="86"/>
    </row>
    <row r="97" spans="8:92" s="367" customFormat="1" ht="15.75" hidden="1" outlineLevel="1">
      <c r="H97" s="543"/>
      <c r="I97" s="853"/>
      <c r="J97" s="6"/>
      <c r="K97" s="541"/>
      <c r="L97" s="860"/>
      <c r="M97" s="20" t="str">
        <f>IF(J97="","",$M$5-SUM($J$7:J97))</f>
        <v/>
      </c>
      <c r="O97" s="7"/>
      <c r="P97" s="862"/>
      <c r="Q97" s="8"/>
      <c r="R97" s="628">
        <f t="shared" si="14"/>
        <v>0</v>
      </c>
      <c r="S97" s="791"/>
      <c r="T97" s="791"/>
      <c r="U97" s="793"/>
      <c r="V97" s="867"/>
      <c r="W97" s="633" t="str">
        <f>IF(Q97="","",$W$5-SUM($Q$7:$Q$45)-SUM($Q$64:Q97))</f>
        <v/>
      </c>
      <c r="AO97" s="86"/>
      <c r="AP97" s="86"/>
      <c r="AQ97" s="86"/>
      <c r="AR97" s="86"/>
      <c r="AS97" s="86"/>
      <c r="AT97" s="86"/>
      <c r="AU97" s="86"/>
      <c r="AV97" s="86"/>
      <c r="AW97" s="86"/>
      <c r="AX97" s="86"/>
      <c r="AY97" s="86"/>
      <c r="CM97" s="86"/>
      <c r="CN97" s="86"/>
    </row>
    <row r="98" spans="8:92" s="367" customFormat="1" ht="15.75" hidden="1" outlineLevel="1">
      <c r="H98" s="543"/>
      <c r="I98" s="853"/>
      <c r="J98" s="6"/>
      <c r="K98" s="541"/>
      <c r="L98" s="860"/>
      <c r="M98" s="20" t="str">
        <f>IF(J98="","",$M$5-SUM($J$7:J98))</f>
        <v/>
      </c>
      <c r="O98" s="7"/>
      <c r="P98" s="862"/>
      <c r="Q98" s="8"/>
      <c r="R98" s="628">
        <f t="shared" si="14"/>
        <v>0</v>
      </c>
      <c r="S98" s="791"/>
      <c r="T98" s="791"/>
      <c r="U98" s="793"/>
      <c r="V98" s="867"/>
      <c r="W98" s="633" t="str">
        <f>IF(Q98="","",$W$5-SUM($Q$7:$Q$45)-SUM($Q$64:Q98))</f>
        <v/>
      </c>
      <c r="AO98" s="86"/>
      <c r="AP98" s="86"/>
      <c r="AQ98" s="86"/>
      <c r="AR98" s="86"/>
      <c r="AS98" s="86"/>
      <c r="AT98" s="86"/>
      <c r="AU98" s="86"/>
      <c r="AV98" s="86"/>
      <c r="AW98" s="86"/>
      <c r="AX98" s="86"/>
      <c r="AY98" s="86"/>
      <c r="CM98" s="86"/>
      <c r="CN98" s="86"/>
    </row>
    <row r="99" spans="8:92" s="367" customFormat="1" ht="15.75" hidden="1" outlineLevel="1">
      <c r="H99" s="543"/>
      <c r="I99" s="853"/>
      <c r="J99" s="6"/>
      <c r="K99" s="541"/>
      <c r="L99" s="860"/>
      <c r="M99" s="20" t="str">
        <f>IF(J99="","",$M$5-SUM($J$7:J99))</f>
        <v/>
      </c>
      <c r="O99" s="7"/>
      <c r="P99" s="864"/>
      <c r="Q99" s="8"/>
      <c r="R99" s="628">
        <f t="shared" si="14"/>
        <v>0</v>
      </c>
      <c r="S99" s="791"/>
      <c r="T99" s="791"/>
      <c r="U99" s="793"/>
      <c r="V99" s="867"/>
      <c r="W99" s="633" t="str">
        <f>IF(Q99="","",$W$5-SUM($Q$7:$Q$45)-SUM($Q$64:Q99))</f>
        <v/>
      </c>
      <c r="AO99" s="86"/>
      <c r="AP99" s="86"/>
      <c r="AQ99" s="86"/>
      <c r="AR99" s="86"/>
      <c r="AS99" s="86"/>
      <c r="AT99" s="86"/>
      <c r="AU99" s="86"/>
      <c r="AV99" s="86"/>
      <c r="AW99" s="86"/>
      <c r="AX99" s="86"/>
      <c r="AY99" s="86"/>
      <c r="CM99" s="86"/>
      <c r="CN99" s="86"/>
    </row>
    <row r="100" spans="8:92" s="367" customFormat="1" ht="15.75" hidden="1" outlineLevel="1">
      <c r="H100" s="543"/>
      <c r="I100" s="854"/>
      <c r="J100" s="6"/>
      <c r="K100" s="541"/>
      <c r="L100" s="860"/>
      <c r="M100" s="20" t="str">
        <f>IF(J100="","",$M$5-SUM($J$7:J100))</f>
        <v/>
      </c>
      <c r="O100" s="7"/>
      <c r="P100" s="862"/>
      <c r="Q100" s="8"/>
      <c r="R100" s="628">
        <f t="shared" si="14"/>
        <v>0</v>
      </c>
      <c r="S100" s="791"/>
      <c r="T100" s="791"/>
      <c r="U100" s="793"/>
      <c r="V100" s="867"/>
      <c r="W100" s="633" t="str">
        <f>IF(Q100="","",$W$5-SUM($Q$7:$Q$45)-SUM($Q$64:Q100))</f>
        <v/>
      </c>
      <c r="AO100" s="86"/>
      <c r="AP100" s="86"/>
      <c r="AQ100" s="86"/>
      <c r="AR100" s="86"/>
      <c r="AS100" s="86"/>
      <c r="AT100" s="86"/>
      <c r="AU100" s="86"/>
      <c r="AV100" s="86"/>
      <c r="AW100" s="86"/>
      <c r="AX100" s="86"/>
      <c r="AY100" s="86"/>
      <c r="CM100" s="86"/>
      <c r="CN100" s="86"/>
    </row>
    <row r="101" spans="8:92" s="367" customFormat="1" ht="15.75" hidden="1" outlineLevel="1">
      <c r="H101" s="543"/>
      <c r="I101" s="853"/>
      <c r="J101" s="6"/>
      <c r="K101" s="541"/>
      <c r="L101" s="860"/>
      <c r="M101" s="20" t="str">
        <f>IF(J101="","",$M$5-SUM($J$7:J101))</f>
        <v/>
      </c>
      <c r="O101" s="7"/>
      <c r="P101" s="862"/>
      <c r="Q101" s="8"/>
      <c r="R101" s="628">
        <f t="shared" si="14"/>
        <v>0</v>
      </c>
      <c r="S101" s="791"/>
      <c r="T101" s="791"/>
      <c r="U101" s="793"/>
      <c r="V101" s="867"/>
      <c r="W101" s="633" t="str">
        <f>IF(Q101="","",$W$5-SUM($Q$7:$Q$45)-SUM($Q$64:Q101))</f>
        <v/>
      </c>
      <c r="AO101" s="86"/>
      <c r="AP101" s="86"/>
      <c r="AQ101" s="86"/>
      <c r="AR101" s="86"/>
      <c r="AS101" s="86"/>
      <c r="AT101" s="86"/>
      <c r="AU101" s="86"/>
      <c r="AV101" s="86"/>
      <c r="AW101" s="86"/>
      <c r="AX101" s="86"/>
      <c r="AY101" s="86"/>
      <c r="CM101" s="86"/>
      <c r="CN101" s="86"/>
    </row>
    <row r="102" spans="8:92" s="367" customFormat="1" ht="15.75" hidden="1" outlineLevel="1">
      <c r="H102" s="543"/>
      <c r="I102" s="853"/>
      <c r="J102" s="6"/>
      <c r="K102" s="541"/>
      <c r="L102" s="860"/>
      <c r="M102" s="20" t="str">
        <f>IF(J102="","",$M$5-SUM($J$7:J102))</f>
        <v/>
      </c>
      <c r="O102" s="7"/>
      <c r="P102" s="864"/>
      <c r="Q102" s="8"/>
      <c r="R102" s="628">
        <f t="shared" si="14"/>
        <v>0</v>
      </c>
      <c r="S102" s="791"/>
      <c r="T102" s="791"/>
      <c r="U102" s="793"/>
      <c r="V102" s="867"/>
      <c r="W102" s="633" t="str">
        <f>IF(Q102="","",$W$5-SUM($Q$7:$Q$45)-SUM($Q$64:Q102))</f>
        <v/>
      </c>
      <c r="AO102" s="86"/>
      <c r="AP102" s="86"/>
      <c r="AQ102" s="86"/>
      <c r="AR102" s="86"/>
      <c r="AS102" s="86"/>
      <c r="AT102" s="86"/>
      <c r="AU102" s="86"/>
      <c r="AV102" s="86"/>
      <c r="AW102" s="86"/>
      <c r="AX102" s="86"/>
      <c r="AY102" s="86"/>
      <c r="CM102" s="86"/>
      <c r="CN102" s="86"/>
    </row>
    <row r="103" spans="8:92" s="367" customFormat="1" ht="15.75" hidden="1" outlineLevel="1">
      <c r="H103" s="543"/>
      <c r="I103" s="853"/>
      <c r="J103" s="6"/>
      <c r="K103" s="541"/>
      <c r="L103" s="860"/>
      <c r="M103" s="20" t="str">
        <f>IF(J103="","",$M$5-SUM($J$7:J103))</f>
        <v/>
      </c>
      <c r="O103" s="7"/>
      <c r="P103" s="862"/>
      <c r="Q103" s="8"/>
      <c r="R103" s="628">
        <f t="shared" si="14"/>
        <v>0</v>
      </c>
      <c r="S103" s="791"/>
      <c r="T103" s="791"/>
      <c r="U103" s="793"/>
      <c r="V103" s="867"/>
      <c r="W103" s="633" t="str">
        <f>IF(Q103="","",$W$5-SUM($Q$7:$Q$45)-SUM($Q$64:Q103))</f>
        <v/>
      </c>
      <c r="AO103" s="86"/>
      <c r="AP103" s="86"/>
      <c r="AQ103" s="86"/>
      <c r="AR103" s="86"/>
      <c r="AS103" s="86"/>
      <c r="AT103" s="86"/>
      <c r="AU103" s="86"/>
      <c r="AV103" s="86"/>
      <c r="AW103" s="86"/>
      <c r="AX103" s="86"/>
      <c r="AY103" s="86"/>
      <c r="CM103" s="86"/>
      <c r="CN103" s="86"/>
    </row>
    <row r="104" spans="8:92" s="367" customFormat="1" ht="15.75" hidden="1" outlineLevel="1">
      <c r="H104" s="543"/>
      <c r="I104" s="853"/>
      <c r="J104" s="6"/>
      <c r="K104" s="541"/>
      <c r="L104" s="860"/>
      <c r="M104" s="20" t="str">
        <f>IF(J104="","",$M$5-SUM($J$7:J104))</f>
        <v/>
      </c>
      <c r="O104" s="7"/>
      <c r="P104" s="864"/>
      <c r="Q104" s="8"/>
      <c r="R104" s="628">
        <f t="shared" si="14"/>
        <v>0</v>
      </c>
      <c r="S104" s="791"/>
      <c r="T104" s="791"/>
      <c r="U104" s="793"/>
      <c r="V104" s="867"/>
      <c r="W104" s="633" t="str">
        <f>IF(Q104="","",$W$5-SUM($Q$7:$Q$45)-SUM($Q$64:Q104))</f>
        <v/>
      </c>
      <c r="AO104" s="86"/>
      <c r="AP104" s="86"/>
      <c r="AQ104" s="86"/>
      <c r="AR104" s="86"/>
      <c r="AS104" s="86"/>
      <c r="AT104" s="86"/>
      <c r="AU104" s="86"/>
      <c r="AV104" s="86"/>
      <c r="AW104" s="86"/>
      <c r="AX104" s="86"/>
      <c r="AY104" s="86"/>
      <c r="CM104" s="86"/>
      <c r="CN104" s="86"/>
    </row>
    <row r="105" spans="8:92" s="367" customFormat="1" ht="15.75" hidden="1" outlineLevel="1">
      <c r="H105" s="543"/>
      <c r="I105" s="853"/>
      <c r="J105" s="6"/>
      <c r="K105" s="541"/>
      <c r="L105" s="860"/>
      <c r="M105" s="20" t="str">
        <f>IF(J105="","",$M$5-SUM($J$7:J105))</f>
        <v/>
      </c>
      <c r="O105" s="7"/>
      <c r="P105" s="863"/>
      <c r="Q105" s="8"/>
      <c r="R105" s="628">
        <f t="shared" si="14"/>
        <v>0</v>
      </c>
      <c r="S105" s="791"/>
      <c r="T105" s="791"/>
      <c r="U105" s="793"/>
      <c r="V105" s="867"/>
      <c r="W105" s="633" t="str">
        <f>IF(Q105="","",$W$5-SUM($Q$7:$Q$45)-SUM($Q$64:Q105))</f>
        <v/>
      </c>
      <c r="AO105" s="86"/>
      <c r="AP105" s="86"/>
      <c r="AQ105" s="86"/>
      <c r="AR105" s="86"/>
      <c r="AS105" s="86"/>
      <c r="AT105" s="86"/>
      <c r="AU105" s="86"/>
      <c r="AV105" s="86"/>
      <c r="AW105" s="86"/>
      <c r="AX105" s="86"/>
      <c r="AY105" s="86"/>
      <c r="CM105" s="86"/>
      <c r="CN105" s="86"/>
    </row>
    <row r="106" spans="8:92" s="367" customFormat="1" ht="15.75" hidden="1" outlineLevel="1">
      <c r="H106" s="543"/>
      <c r="I106" s="853"/>
      <c r="J106" s="6"/>
      <c r="K106" s="541"/>
      <c r="L106" s="860"/>
      <c r="M106" s="20" t="str">
        <f>IF(J106="","",$M$5-SUM($J$7:J106))</f>
        <v/>
      </c>
      <c r="O106" s="7"/>
      <c r="P106" s="862"/>
      <c r="Q106" s="8"/>
      <c r="R106" s="628">
        <f t="shared" si="14"/>
        <v>0</v>
      </c>
      <c r="S106" s="791"/>
      <c r="T106" s="791"/>
      <c r="U106" s="793"/>
      <c r="V106" s="867"/>
      <c r="W106" s="633" t="str">
        <f>IF(Q106="","",$W$5-SUM($Q$7:$Q$45)-SUM($Q$64:Q106))</f>
        <v/>
      </c>
      <c r="AO106" s="86"/>
      <c r="AP106" s="86"/>
      <c r="AQ106" s="86"/>
      <c r="AR106" s="86"/>
      <c r="AS106" s="86"/>
      <c r="AT106" s="86"/>
      <c r="AU106" s="86"/>
      <c r="AV106" s="86"/>
      <c r="AW106" s="86"/>
      <c r="AX106" s="86"/>
      <c r="AY106" s="86"/>
      <c r="CM106" s="86"/>
      <c r="CN106" s="86"/>
    </row>
    <row r="107" spans="8:92" s="367" customFormat="1" ht="15.75" hidden="1" outlineLevel="1">
      <c r="H107" s="543"/>
      <c r="I107" s="853"/>
      <c r="J107" s="6"/>
      <c r="K107" s="541"/>
      <c r="L107" s="860"/>
      <c r="M107" s="20" t="str">
        <f>IF(J107="","",$M$5-SUM($J$7:J107))</f>
        <v/>
      </c>
      <c r="O107" s="7"/>
      <c r="P107" s="862"/>
      <c r="Q107" s="8"/>
      <c r="R107" s="628">
        <f t="shared" si="14"/>
        <v>0</v>
      </c>
      <c r="S107" s="791"/>
      <c r="T107" s="791"/>
      <c r="U107" s="793"/>
      <c r="V107" s="867"/>
      <c r="W107" s="633" t="str">
        <f>IF(Q107="","",$W$5-SUM($Q$7:$Q$45)-SUM($Q$64:Q107))</f>
        <v/>
      </c>
      <c r="AO107" s="86"/>
      <c r="AP107" s="86"/>
      <c r="AQ107" s="86"/>
      <c r="AR107" s="86"/>
      <c r="AS107" s="86"/>
      <c r="AT107" s="86"/>
      <c r="AU107" s="86"/>
      <c r="AV107" s="86"/>
      <c r="AW107" s="86"/>
      <c r="AX107" s="86"/>
      <c r="AY107" s="86"/>
      <c r="CM107" s="86"/>
      <c r="CN107" s="86"/>
    </row>
    <row r="108" spans="8:92" s="367" customFormat="1" ht="15.75" hidden="1" outlineLevel="1">
      <c r="H108" s="543"/>
      <c r="I108" s="853"/>
      <c r="J108" s="6"/>
      <c r="K108" s="541"/>
      <c r="L108" s="860"/>
      <c r="M108" s="20" t="str">
        <f>IF(J108="","",$M$5-SUM($J$7:J108))</f>
        <v/>
      </c>
      <c r="O108" s="7"/>
      <c r="P108" s="864"/>
      <c r="Q108" s="8"/>
      <c r="R108" s="628">
        <f t="shared" si="14"/>
        <v>0</v>
      </c>
      <c r="S108" s="791"/>
      <c r="T108" s="791"/>
      <c r="U108" s="793"/>
      <c r="V108" s="867"/>
      <c r="W108" s="633" t="str">
        <f>IF(Q108="","",$W$5-SUM($Q$7:$Q$45)-SUM($Q$64:Q108))</f>
        <v/>
      </c>
      <c r="AO108" s="86"/>
      <c r="AP108" s="86"/>
      <c r="AQ108" s="86"/>
      <c r="AR108" s="86"/>
      <c r="AS108" s="86"/>
      <c r="AT108" s="86"/>
      <c r="AU108" s="86"/>
      <c r="AV108" s="86"/>
      <c r="AW108" s="86"/>
      <c r="AX108" s="86"/>
      <c r="AY108" s="86"/>
      <c r="CM108" s="86"/>
      <c r="CN108" s="86"/>
    </row>
    <row r="109" spans="8:92" s="367" customFormat="1" ht="15.75" hidden="1" outlineLevel="1">
      <c r="H109" s="543"/>
      <c r="I109" s="853"/>
      <c r="J109" s="6"/>
      <c r="K109" s="541"/>
      <c r="L109" s="860"/>
      <c r="M109" s="20" t="str">
        <f>IF(J109="","",$M$5-SUM($J$7:J109))</f>
        <v/>
      </c>
      <c r="O109" s="7"/>
      <c r="P109" s="862"/>
      <c r="Q109" s="8"/>
      <c r="R109" s="628">
        <f t="shared" si="14"/>
        <v>0</v>
      </c>
      <c r="S109" s="791"/>
      <c r="T109" s="791"/>
      <c r="U109" s="793"/>
      <c r="V109" s="867"/>
      <c r="W109" s="633" t="str">
        <f>IF(Q109="","",$W$5-SUM($Q$7:$Q$45)-SUM($Q$64:Q109))</f>
        <v/>
      </c>
      <c r="AO109" s="86"/>
      <c r="AP109" s="86"/>
      <c r="AQ109" s="86"/>
      <c r="AR109" s="86"/>
      <c r="AS109" s="86"/>
      <c r="AT109" s="86"/>
      <c r="AU109" s="86"/>
      <c r="AV109" s="86"/>
      <c r="AW109" s="86"/>
      <c r="AX109" s="86"/>
      <c r="AY109" s="86"/>
      <c r="CM109" s="86"/>
      <c r="CN109" s="86"/>
    </row>
    <row r="110" spans="8:92" s="367" customFormat="1" ht="16.5" hidden="1" outlineLevel="1" thickBot="1">
      <c r="H110" s="544"/>
      <c r="I110" s="857"/>
      <c r="J110" s="545"/>
      <c r="K110" s="601"/>
      <c r="L110" s="861"/>
      <c r="M110" s="546" t="str">
        <f>IF(J110="","",$M$5-SUM($J$7:J110))</f>
        <v/>
      </c>
      <c r="O110" s="523"/>
      <c r="P110" s="866"/>
      <c r="Q110" s="524"/>
      <c r="R110" s="630">
        <f t="shared" si="14"/>
        <v>0</v>
      </c>
      <c r="S110" s="792"/>
      <c r="T110" s="792"/>
      <c r="U110" s="794"/>
      <c r="V110" s="868"/>
      <c r="W110" s="635" t="str">
        <f>IF(Q110="","",$W$5-SUM($Q$7:$Q$45)-SUM($Q$64:Q110))</f>
        <v/>
      </c>
      <c r="AO110" s="86"/>
      <c r="AP110" s="86"/>
      <c r="AQ110" s="86"/>
      <c r="AR110" s="86"/>
      <c r="AS110" s="86"/>
      <c r="AT110" s="86"/>
      <c r="AU110" s="86"/>
      <c r="AV110" s="86"/>
      <c r="AW110" s="86"/>
      <c r="AX110" s="86"/>
      <c r="AY110" s="86"/>
      <c r="CM110" s="86"/>
      <c r="CN110" s="86"/>
    </row>
    <row r="111" spans="8:92" s="367" customFormat="1">
      <c r="K111" s="593"/>
      <c r="L111" s="593"/>
      <c r="O111" s="502"/>
      <c r="S111" s="371"/>
      <c r="T111" s="371"/>
      <c r="U111" s="371"/>
      <c r="V111" s="371"/>
      <c r="AO111" s="86"/>
      <c r="AP111" s="86"/>
      <c r="AQ111" s="86"/>
      <c r="AR111" s="86"/>
      <c r="AS111" s="86"/>
      <c r="AT111" s="86"/>
      <c r="AU111" s="86"/>
      <c r="AV111" s="86"/>
      <c r="AW111" s="86"/>
      <c r="AX111" s="86"/>
      <c r="AY111" s="86"/>
      <c r="CM111" s="86"/>
      <c r="CN111" s="86"/>
    </row>
    <row r="112" spans="8:92" s="367" customFormat="1">
      <c r="O112" s="502"/>
      <c r="S112" s="371"/>
      <c r="T112" s="371"/>
      <c r="U112" s="371"/>
      <c r="V112" s="371"/>
      <c r="AO112" s="86"/>
      <c r="AP112" s="86"/>
      <c r="AQ112" s="86"/>
      <c r="AR112" s="86"/>
      <c r="AS112" s="86"/>
      <c r="AT112" s="86"/>
      <c r="AU112" s="86"/>
      <c r="AV112" s="86"/>
      <c r="AW112" s="86"/>
      <c r="AX112" s="86"/>
      <c r="AY112" s="86"/>
      <c r="CM112" s="86"/>
      <c r="CN112" s="86"/>
    </row>
    <row r="113" spans="15:92" s="367" customFormat="1">
      <c r="O113" s="502"/>
      <c r="S113" s="371"/>
      <c r="T113" s="371"/>
      <c r="U113" s="371"/>
      <c r="V113" s="371"/>
      <c r="AO113" s="86"/>
      <c r="AP113" s="86"/>
      <c r="AQ113" s="86"/>
      <c r="AR113" s="86"/>
      <c r="AS113" s="86"/>
      <c r="AT113" s="86"/>
      <c r="AU113" s="86"/>
      <c r="AV113" s="86"/>
      <c r="AW113" s="86"/>
      <c r="AX113" s="86"/>
      <c r="AY113" s="86"/>
      <c r="CM113" s="86"/>
      <c r="CN113" s="86"/>
    </row>
    <row r="114" spans="15:92" s="367" customFormat="1">
      <c r="O114" s="502"/>
      <c r="S114" s="371"/>
      <c r="T114" s="371"/>
      <c r="U114" s="371"/>
      <c r="V114" s="371"/>
      <c r="AO114" s="86"/>
      <c r="AP114" s="86"/>
      <c r="AQ114" s="86"/>
      <c r="AR114" s="86"/>
      <c r="AS114" s="86"/>
      <c r="AT114" s="86"/>
      <c r="AU114" s="86"/>
      <c r="AV114" s="86"/>
      <c r="AW114" s="86"/>
      <c r="AX114" s="86"/>
      <c r="AY114" s="86"/>
      <c r="CM114" s="86"/>
      <c r="CN114" s="86"/>
    </row>
    <row r="115" spans="15:92" s="367" customFormat="1">
      <c r="O115" s="502"/>
      <c r="S115" s="371"/>
      <c r="T115" s="371"/>
      <c r="U115" s="371"/>
      <c r="V115" s="371"/>
      <c r="AO115" s="86"/>
      <c r="AP115" s="86"/>
      <c r="AQ115" s="86"/>
      <c r="AR115" s="86"/>
      <c r="AS115" s="86"/>
      <c r="AT115" s="86"/>
      <c r="AU115" s="86"/>
      <c r="AV115" s="86"/>
      <c r="AW115" s="86"/>
      <c r="AX115" s="86"/>
      <c r="AY115" s="86"/>
      <c r="CM115" s="86"/>
      <c r="CN115" s="86"/>
    </row>
    <row r="116" spans="15:92" s="367" customFormat="1">
      <c r="O116" s="502"/>
      <c r="S116" s="371"/>
      <c r="T116" s="371"/>
      <c r="U116" s="371"/>
      <c r="V116" s="371"/>
      <c r="AO116" s="86"/>
      <c r="AP116" s="86"/>
      <c r="AQ116" s="86"/>
      <c r="AR116" s="86"/>
      <c r="AS116" s="86"/>
      <c r="AT116" s="86"/>
      <c r="AU116" s="86"/>
      <c r="AV116" s="86"/>
      <c r="AW116" s="86"/>
      <c r="AX116" s="86"/>
      <c r="AY116" s="86"/>
      <c r="CM116" s="86"/>
      <c r="CN116" s="86"/>
    </row>
    <row r="117" spans="15:92" s="367" customFormat="1">
      <c r="O117" s="502"/>
      <c r="S117" s="371"/>
      <c r="T117" s="371"/>
      <c r="U117" s="371"/>
      <c r="V117" s="371"/>
      <c r="AO117" s="86"/>
      <c r="AP117" s="86"/>
      <c r="AQ117" s="86"/>
      <c r="AR117" s="86"/>
      <c r="AS117" s="86"/>
      <c r="AT117" s="86"/>
      <c r="AU117" s="86"/>
      <c r="AV117" s="86"/>
      <c r="AW117" s="86"/>
      <c r="AX117" s="86"/>
      <c r="AY117" s="86"/>
      <c r="CM117" s="86"/>
      <c r="CN117" s="86"/>
    </row>
    <row r="118" spans="15:92" s="367" customFormat="1">
      <c r="O118" s="502"/>
      <c r="S118" s="371"/>
      <c r="T118" s="371"/>
      <c r="U118" s="371"/>
      <c r="V118" s="371"/>
      <c r="AO118" s="86"/>
      <c r="AP118" s="86"/>
      <c r="AQ118" s="86"/>
      <c r="AR118" s="86"/>
      <c r="AS118" s="86"/>
      <c r="AT118" s="86"/>
      <c r="AU118" s="86"/>
      <c r="AV118" s="86"/>
      <c r="AW118" s="86"/>
      <c r="AX118" s="86"/>
      <c r="AY118" s="86"/>
      <c r="CM118" s="86"/>
      <c r="CN118" s="86"/>
    </row>
    <row r="119" spans="15:92" s="367" customFormat="1">
      <c r="O119" s="502"/>
      <c r="S119" s="371"/>
      <c r="T119" s="371"/>
      <c r="U119" s="371"/>
      <c r="V119" s="371"/>
      <c r="AO119" s="86"/>
      <c r="AP119" s="86"/>
      <c r="AQ119" s="86"/>
      <c r="AR119" s="86"/>
      <c r="AS119" s="86"/>
      <c r="AT119" s="86"/>
      <c r="AU119" s="86"/>
      <c r="AV119" s="86"/>
      <c r="AW119" s="86"/>
      <c r="AX119" s="86"/>
      <c r="AY119" s="86"/>
      <c r="CM119" s="86"/>
      <c r="CN119" s="86"/>
    </row>
    <row r="120" spans="15:92" s="367" customFormat="1">
      <c r="O120" s="502"/>
      <c r="S120" s="371"/>
      <c r="T120" s="371"/>
      <c r="U120" s="371"/>
      <c r="V120" s="371"/>
      <c r="AO120" s="86"/>
      <c r="AP120" s="86"/>
      <c r="AQ120" s="86"/>
      <c r="AR120" s="86"/>
      <c r="AS120" s="86"/>
      <c r="AT120" s="86"/>
      <c r="AU120" s="86"/>
      <c r="AV120" s="86"/>
      <c r="AW120" s="86"/>
      <c r="AX120" s="86"/>
      <c r="AY120" s="86"/>
      <c r="CM120" s="86"/>
      <c r="CN120" s="86"/>
    </row>
    <row r="121" spans="15:92" s="367" customFormat="1">
      <c r="O121" s="502"/>
      <c r="S121" s="371"/>
      <c r="T121" s="371"/>
      <c r="U121" s="371"/>
      <c r="V121" s="371"/>
      <c r="AO121" s="86"/>
      <c r="AP121" s="86"/>
      <c r="AQ121" s="86"/>
      <c r="AR121" s="86"/>
      <c r="AS121" s="86"/>
      <c r="AT121" s="86"/>
      <c r="AU121" s="86"/>
      <c r="AV121" s="86"/>
      <c r="AW121" s="86"/>
      <c r="AX121" s="86"/>
      <c r="AY121" s="86"/>
      <c r="CM121" s="86"/>
      <c r="CN121" s="86"/>
    </row>
    <row r="122" spans="15:92" s="367" customFormat="1">
      <c r="O122" s="502"/>
      <c r="S122" s="371"/>
      <c r="T122" s="371"/>
      <c r="U122" s="371"/>
      <c r="V122" s="371"/>
      <c r="AO122" s="86"/>
      <c r="AP122" s="86"/>
      <c r="AQ122" s="86"/>
      <c r="AR122" s="86"/>
      <c r="AS122" s="86"/>
      <c r="AT122" s="86"/>
      <c r="AU122" s="86"/>
      <c r="AV122" s="86"/>
      <c r="AW122" s="86"/>
      <c r="AX122" s="86"/>
      <c r="AY122" s="86"/>
      <c r="CM122" s="86"/>
      <c r="CN122" s="86"/>
    </row>
    <row r="123" spans="15:92" s="367" customFormat="1">
      <c r="O123" s="502"/>
      <c r="S123" s="371"/>
      <c r="T123" s="371"/>
      <c r="U123" s="371"/>
      <c r="V123" s="371"/>
      <c r="AO123" s="86"/>
      <c r="AP123" s="86"/>
      <c r="AQ123" s="86"/>
      <c r="AR123" s="86"/>
      <c r="AS123" s="86"/>
      <c r="AT123" s="86"/>
      <c r="AU123" s="86"/>
      <c r="AV123" s="86"/>
      <c r="AW123" s="86"/>
      <c r="AX123" s="86"/>
      <c r="AY123" s="86"/>
      <c r="CM123" s="86"/>
      <c r="CN123" s="86"/>
    </row>
    <row r="124" spans="15:92" s="367" customFormat="1">
      <c r="O124" s="502"/>
      <c r="S124" s="371"/>
      <c r="T124" s="371"/>
      <c r="U124" s="371"/>
      <c r="V124" s="371"/>
      <c r="AO124" s="86"/>
      <c r="AP124" s="86"/>
      <c r="AQ124" s="86"/>
      <c r="AR124" s="86"/>
      <c r="AS124" s="86"/>
      <c r="AT124" s="86"/>
      <c r="AU124" s="86"/>
      <c r="AV124" s="86"/>
      <c r="AW124" s="86"/>
      <c r="AX124" s="86"/>
      <c r="AY124" s="86"/>
      <c r="CM124" s="86"/>
      <c r="CN124" s="86"/>
    </row>
    <row r="125" spans="15:92" s="367" customFormat="1">
      <c r="O125" s="502"/>
      <c r="S125" s="371"/>
      <c r="T125" s="371"/>
      <c r="U125" s="371"/>
      <c r="V125" s="371"/>
      <c r="AO125" s="86"/>
      <c r="AP125" s="86"/>
      <c r="AQ125" s="86"/>
      <c r="AR125" s="86"/>
      <c r="AS125" s="86"/>
      <c r="AT125" s="86"/>
      <c r="AU125" s="86"/>
      <c r="AV125" s="86"/>
      <c r="AW125" s="86"/>
      <c r="AX125" s="86"/>
      <c r="AY125" s="86"/>
      <c r="CM125" s="86"/>
      <c r="CN125" s="86"/>
    </row>
    <row r="126" spans="15:92" s="367" customFormat="1">
      <c r="O126" s="502"/>
      <c r="S126" s="371"/>
      <c r="T126" s="371"/>
      <c r="U126" s="371"/>
      <c r="V126" s="371"/>
      <c r="AO126" s="86"/>
      <c r="AP126" s="86"/>
      <c r="AQ126" s="86"/>
      <c r="AR126" s="86"/>
      <c r="AS126" s="86"/>
      <c r="AT126" s="86"/>
      <c r="AU126" s="86"/>
      <c r="AV126" s="86"/>
      <c r="AW126" s="86"/>
      <c r="AX126" s="86"/>
      <c r="AY126" s="86"/>
      <c r="CM126" s="86"/>
      <c r="CN126" s="86"/>
    </row>
    <row r="127" spans="15:92" s="367" customFormat="1">
      <c r="O127" s="502"/>
      <c r="S127" s="371"/>
      <c r="T127" s="371"/>
      <c r="U127" s="371"/>
      <c r="V127" s="371"/>
      <c r="AO127" s="86"/>
      <c r="AP127" s="86"/>
      <c r="AQ127" s="86"/>
      <c r="AR127" s="86"/>
      <c r="AS127" s="86"/>
      <c r="AT127" s="86"/>
      <c r="AU127" s="86"/>
      <c r="AV127" s="86"/>
      <c r="AW127" s="86"/>
      <c r="AX127" s="86"/>
      <c r="AY127" s="86"/>
      <c r="CM127" s="86"/>
      <c r="CN127" s="86"/>
    </row>
    <row r="128" spans="15:92" s="367" customFormat="1">
      <c r="O128" s="502"/>
      <c r="S128" s="371"/>
      <c r="T128" s="371"/>
      <c r="U128" s="371"/>
      <c r="V128" s="371"/>
      <c r="AO128" s="86"/>
      <c r="AP128" s="86"/>
      <c r="AQ128" s="86"/>
      <c r="AR128" s="86"/>
      <c r="AS128" s="86"/>
      <c r="AT128" s="86"/>
      <c r="AU128" s="86"/>
      <c r="AV128" s="86"/>
      <c r="AW128" s="86"/>
      <c r="AX128" s="86"/>
      <c r="AY128" s="86"/>
      <c r="CM128" s="86"/>
      <c r="CN128" s="86"/>
    </row>
    <row r="129" spans="15:92" s="367" customFormat="1">
      <c r="O129" s="502"/>
      <c r="S129" s="371"/>
      <c r="T129" s="371"/>
      <c r="U129" s="371"/>
      <c r="V129" s="371"/>
      <c r="AO129" s="86"/>
      <c r="AP129" s="86"/>
      <c r="AQ129" s="86"/>
      <c r="AR129" s="86"/>
      <c r="AS129" s="86"/>
      <c r="AT129" s="86"/>
      <c r="AU129" s="86"/>
      <c r="AV129" s="86"/>
      <c r="AW129" s="86"/>
      <c r="AX129" s="86"/>
      <c r="AY129" s="86"/>
      <c r="CM129" s="86"/>
      <c r="CN129" s="86"/>
    </row>
    <row r="130" spans="15:92" s="367" customFormat="1">
      <c r="O130" s="502"/>
      <c r="S130" s="371"/>
      <c r="T130" s="371"/>
      <c r="U130" s="371"/>
      <c r="V130" s="371"/>
      <c r="AO130" s="86"/>
      <c r="AP130" s="86"/>
      <c r="AQ130" s="86"/>
      <c r="AR130" s="86"/>
      <c r="AS130" s="86"/>
      <c r="AT130" s="86"/>
      <c r="AU130" s="86"/>
      <c r="AV130" s="86"/>
      <c r="AW130" s="86"/>
      <c r="AX130" s="86"/>
      <c r="AY130" s="86"/>
      <c r="CM130" s="86"/>
      <c r="CN130" s="86"/>
    </row>
    <row r="131" spans="15:92" s="367" customFormat="1">
      <c r="O131" s="502"/>
      <c r="S131" s="371"/>
      <c r="T131" s="371"/>
      <c r="U131" s="371"/>
      <c r="V131" s="371"/>
      <c r="AO131" s="86"/>
      <c r="AP131" s="86"/>
      <c r="AQ131" s="86"/>
      <c r="AR131" s="86"/>
      <c r="AS131" s="86"/>
      <c r="AT131" s="86"/>
      <c r="AU131" s="86"/>
      <c r="AV131" s="86"/>
      <c r="AW131" s="86"/>
      <c r="AX131" s="86"/>
      <c r="AY131" s="86"/>
      <c r="CM131" s="86"/>
      <c r="CN131" s="86"/>
    </row>
    <row r="132" spans="15:92" s="367" customFormat="1">
      <c r="O132" s="502"/>
      <c r="S132" s="371"/>
      <c r="T132" s="371"/>
      <c r="U132" s="371"/>
      <c r="V132" s="371"/>
      <c r="AO132" s="86"/>
      <c r="AP132" s="86"/>
      <c r="AQ132" s="86"/>
      <c r="AR132" s="86"/>
      <c r="AS132" s="86"/>
      <c r="AT132" s="86"/>
      <c r="AU132" s="86"/>
      <c r="AV132" s="86"/>
      <c r="AW132" s="86"/>
      <c r="AX132" s="86"/>
      <c r="AY132" s="86"/>
      <c r="CM132" s="86"/>
      <c r="CN132" s="86"/>
    </row>
    <row r="133" spans="15:92" s="367" customFormat="1">
      <c r="O133" s="502"/>
      <c r="S133" s="371"/>
      <c r="T133" s="371"/>
      <c r="U133" s="371"/>
      <c r="V133" s="371"/>
      <c r="AO133" s="86"/>
      <c r="AP133" s="86"/>
      <c r="AQ133" s="86"/>
      <c r="AR133" s="86"/>
      <c r="AS133" s="86"/>
      <c r="AT133" s="86"/>
      <c r="AU133" s="86"/>
      <c r="AV133" s="86"/>
      <c r="AW133" s="86"/>
      <c r="AX133" s="86"/>
      <c r="AY133" s="86"/>
      <c r="CM133" s="86"/>
      <c r="CN133" s="86"/>
    </row>
    <row r="134" spans="15:92" s="367" customFormat="1">
      <c r="O134" s="502"/>
      <c r="S134" s="371"/>
      <c r="T134" s="371"/>
      <c r="U134" s="371"/>
      <c r="V134" s="371"/>
      <c r="AO134" s="86"/>
      <c r="AP134" s="86"/>
      <c r="AQ134" s="86"/>
      <c r="AR134" s="86"/>
      <c r="AS134" s="86"/>
      <c r="AT134" s="86"/>
      <c r="AU134" s="86"/>
      <c r="AV134" s="86"/>
      <c r="AW134" s="86"/>
      <c r="AX134" s="86"/>
      <c r="AY134" s="86"/>
      <c r="CM134" s="86"/>
      <c r="CN134" s="86"/>
    </row>
    <row r="135" spans="15:92" s="367" customFormat="1">
      <c r="O135" s="502"/>
      <c r="S135" s="371"/>
      <c r="T135" s="371"/>
      <c r="U135" s="371"/>
      <c r="V135" s="371"/>
      <c r="AO135" s="86"/>
      <c r="AP135" s="86"/>
      <c r="AQ135" s="86"/>
      <c r="AR135" s="86"/>
      <c r="AS135" s="86"/>
      <c r="AT135" s="86"/>
      <c r="AU135" s="86"/>
      <c r="AV135" s="86"/>
      <c r="AW135" s="86"/>
      <c r="AX135" s="86"/>
      <c r="AY135" s="86"/>
      <c r="CM135" s="86"/>
      <c r="CN135" s="86"/>
    </row>
    <row r="136" spans="15:92" s="367" customFormat="1">
      <c r="O136" s="502"/>
      <c r="S136" s="371"/>
      <c r="T136" s="371"/>
      <c r="U136" s="371"/>
      <c r="V136" s="371"/>
      <c r="AO136" s="86"/>
      <c r="AP136" s="86"/>
      <c r="AQ136" s="86"/>
      <c r="AR136" s="86"/>
      <c r="AS136" s="86"/>
      <c r="AT136" s="86"/>
      <c r="AU136" s="86"/>
      <c r="AV136" s="86"/>
      <c r="AW136" s="86"/>
      <c r="AX136" s="86"/>
      <c r="AY136" s="86"/>
      <c r="CM136" s="86"/>
      <c r="CN136" s="86"/>
    </row>
    <row r="137" spans="15:92" s="367" customFormat="1">
      <c r="O137" s="502"/>
      <c r="S137" s="371"/>
      <c r="T137" s="371"/>
      <c r="U137" s="371"/>
      <c r="V137" s="371"/>
      <c r="AO137" s="86"/>
      <c r="AP137" s="86"/>
      <c r="AQ137" s="86"/>
      <c r="AR137" s="86"/>
      <c r="AS137" s="86"/>
      <c r="AT137" s="86"/>
      <c r="AU137" s="86"/>
      <c r="AV137" s="86"/>
      <c r="AW137" s="86"/>
      <c r="AX137" s="86"/>
      <c r="AY137" s="86"/>
      <c r="CM137" s="86"/>
      <c r="CN137" s="86"/>
    </row>
    <row r="138" spans="15:92" s="367" customFormat="1">
      <c r="O138" s="502"/>
      <c r="S138" s="371"/>
      <c r="T138" s="371"/>
      <c r="U138" s="371"/>
      <c r="V138" s="371"/>
      <c r="AO138" s="86"/>
      <c r="AP138" s="86"/>
      <c r="AQ138" s="86"/>
      <c r="AR138" s="86"/>
      <c r="AS138" s="86"/>
      <c r="AT138" s="86"/>
      <c r="AU138" s="86"/>
      <c r="AV138" s="86"/>
      <c r="AW138" s="86"/>
      <c r="AX138" s="86"/>
      <c r="AY138" s="86"/>
      <c r="CM138" s="86"/>
      <c r="CN138" s="86"/>
    </row>
    <row r="139" spans="15:92" s="367" customFormat="1">
      <c r="O139" s="502"/>
      <c r="S139" s="371"/>
      <c r="T139" s="371"/>
      <c r="U139" s="371"/>
      <c r="V139" s="371"/>
      <c r="AO139" s="86"/>
      <c r="AP139" s="86"/>
      <c r="AQ139" s="86"/>
      <c r="AR139" s="86"/>
      <c r="AS139" s="86"/>
      <c r="AT139" s="86"/>
      <c r="AU139" s="86"/>
      <c r="AV139" s="86"/>
      <c r="AW139" s="86"/>
      <c r="AX139" s="86"/>
      <c r="AY139" s="86"/>
      <c r="CM139" s="86"/>
      <c r="CN139" s="86"/>
    </row>
    <row r="140" spans="15:92" s="367" customFormat="1">
      <c r="O140" s="502"/>
      <c r="S140" s="371"/>
      <c r="T140" s="371"/>
      <c r="U140" s="371"/>
      <c r="V140" s="371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CM140" s="86"/>
      <c r="CN140" s="86"/>
    </row>
    <row r="141" spans="15:92" s="367" customFormat="1">
      <c r="O141" s="502"/>
      <c r="S141" s="371"/>
      <c r="T141" s="371"/>
      <c r="U141" s="371"/>
      <c r="V141" s="371"/>
      <c r="AO141" s="86"/>
      <c r="AP141" s="86"/>
      <c r="AQ141" s="86"/>
      <c r="AR141" s="86"/>
      <c r="AS141" s="86"/>
      <c r="AT141" s="86"/>
      <c r="AU141" s="86"/>
      <c r="AV141" s="86"/>
      <c r="AW141" s="86"/>
      <c r="AX141" s="86"/>
      <c r="AY141" s="86"/>
      <c r="CM141" s="86"/>
      <c r="CN141" s="86"/>
    </row>
    <row r="142" spans="15:92" s="367" customFormat="1">
      <c r="O142" s="502"/>
      <c r="S142" s="371"/>
      <c r="T142" s="371"/>
      <c r="U142" s="371"/>
      <c r="V142" s="371"/>
      <c r="AO142" s="86"/>
      <c r="AP142" s="86"/>
      <c r="AQ142" s="86"/>
      <c r="AR142" s="86"/>
      <c r="AS142" s="86"/>
      <c r="AT142" s="86"/>
      <c r="AU142" s="86"/>
      <c r="AV142" s="86"/>
      <c r="AW142" s="86"/>
      <c r="AX142" s="86"/>
      <c r="AY142" s="86"/>
      <c r="CM142" s="86"/>
      <c r="CN142" s="86"/>
    </row>
    <row r="143" spans="15:92" s="367" customFormat="1">
      <c r="O143" s="502"/>
      <c r="S143" s="371"/>
      <c r="T143" s="371"/>
      <c r="U143" s="371"/>
      <c r="V143" s="371"/>
      <c r="AO143" s="86"/>
      <c r="AP143" s="86"/>
      <c r="AQ143" s="86"/>
      <c r="AR143" s="86"/>
      <c r="AS143" s="86"/>
      <c r="AT143" s="86"/>
      <c r="AU143" s="86"/>
      <c r="AV143" s="86"/>
      <c r="AW143" s="86"/>
      <c r="AX143" s="86"/>
      <c r="AY143" s="86"/>
      <c r="CM143" s="86"/>
      <c r="CN143" s="86"/>
    </row>
    <row r="144" spans="15:92" s="367" customFormat="1">
      <c r="O144" s="502"/>
      <c r="S144" s="371"/>
      <c r="T144" s="371"/>
      <c r="U144" s="371"/>
      <c r="V144" s="371"/>
      <c r="AO144" s="86"/>
      <c r="AP144" s="86"/>
      <c r="AQ144" s="86"/>
      <c r="AR144" s="86"/>
      <c r="AS144" s="86"/>
      <c r="AT144" s="86"/>
      <c r="AU144" s="86"/>
      <c r="AV144" s="86"/>
      <c r="AW144" s="86"/>
      <c r="AX144" s="86"/>
      <c r="AY144" s="86"/>
      <c r="CM144" s="86"/>
      <c r="CN144" s="86"/>
    </row>
    <row r="145" spans="8:92" s="367" customFormat="1">
      <c r="O145" s="502"/>
      <c r="S145" s="371"/>
      <c r="T145" s="371"/>
      <c r="U145" s="371"/>
      <c r="V145" s="371"/>
      <c r="AO145" s="86"/>
      <c r="AP145" s="86"/>
      <c r="AQ145" s="86"/>
      <c r="AR145" s="86"/>
      <c r="AS145" s="86"/>
      <c r="AT145" s="86"/>
      <c r="AU145" s="86"/>
      <c r="AV145" s="86"/>
      <c r="AW145" s="86"/>
      <c r="AX145" s="86"/>
      <c r="AY145" s="86"/>
      <c r="CM145" s="86"/>
      <c r="CN145" s="86"/>
    </row>
    <row r="146" spans="8:92" s="367" customFormat="1">
      <c r="O146" s="502"/>
      <c r="S146" s="371"/>
      <c r="T146" s="371"/>
      <c r="U146" s="371"/>
      <c r="V146" s="371"/>
      <c r="AO146" s="86"/>
      <c r="AP146" s="86"/>
      <c r="AQ146" s="86"/>
      <c r="AR146" s="86"/>
      <c r="AS146" s="86"/>
      <c r="AT146" s="86"/>
      <c r="AU146" s="86"/>
      <c r="AV146" s="86"/>
      <c r="AW146" s="86"/>
      <c r="AX146" s="86"/>
      <c r="AY146" s="86"/>
      <c r="CM146" s="86"/>
      <c r="CN146" s="86"/>
    </row>
    <row r="147" spans="8:92" s="367" customFormat="1">
      <c r="O147" s="502"/>
      <c r="S147" s="371"/>
      <c r="T147" s="371"/>
      <c r="U147" s="371"/>
      <c r="V147" s="371"/>
      <c r="AO147" s="86"/>
      <c r="AP147" s="86"/>
      <c r="AQ147" s="86"/>
      <c r="AR147" s="86"/>
      <c r="AS147" s="86"/>
      <c r="AT147" s="86"/>
      <c r="AU147" s="86"/>
      <c r="AV147" s="86"/>
      <c r="AW147" s="86"/>
      <c r="AX147" s="86"/>
      <c r="AY147" s="86"/>
      <c r="CM147" s="86"/>
      <c r="CN147" s="86"/>
    </row>
    <row r="148" spans="8:92" s="367" customFormat="1">
      <c r="O148" s="502"/>
      <c r="S148" s="371"/>
      <c r="T148" s="371"/>
      <c r="U148" s="371"/>
      <c r="V148" s="371"/>
      <c r="AO148" s="86"/>
      <c r="AP148" s="86"/>
      <c r="AQ148" s="86"/>
      <c r="AR148" s="86"/>
      <c r="AS148" s="86"/>
      <c r="AT148" s="86"/>
      <c r="AU148" s="86"/>
      <c r="AV148" s="86"/>
      <c r="AW148" s="86"/>
      <c r="AX148" s="86"/>
      <c r="AY148" s="86"/>
      <c r="CM148" s="86"/>
      <c r="CN148" s="86"/>
    </row>
    <row r="149" spans="8:92" s="367" customFormat="1">
      <c r="O149" s="502"/>
      <c r="S149" s="371"/>
      <c r="T149" s="371"/>
      <c r="U149" s="371"/>
      <c r="V149" s="371"/>
      <c r="AO149" s="86"/>
      <c r="AP149" s="86"/>
      <c r="AQ149" s="86"/>
      <c r="AR149" s="86"/>
      <c r="AS149" s="86"/>
      <c r="AT149" s="86"/>
      <c r="AU149" s="86"/>
      <c r="AV149" s="86"/>
      <c r="AW149" s="86"/>
      <c r="AX149" s="86"/>
      <c r="AY149" s="86"/>
      <c r="CM149" s="86"/>
      <c r="CN149" s="86"/>
    </row>
    <row r="150" spans="8:92" s="367" customFormat="1">
      <c r="O150" s="502"/>
      <c r="S150" s="371"/>
      <c r="T150" s="371"/>
      <c r="U150" s="371"/>
      <c r="V150" s="371"/>
      <c r="AO150" s="86"/>
      <c r="AP150" s="86"/>
      <c r="AQ150" s="86"/>
      <c r="AR150" s="86"/>
      <c r="AS150" s="86"/>
      <c r="AT150" s="86"/>
      <c r="AU150" s="86"/>
      <c r="AV150" s="86"/>
      <c r="AW150" s="86"/>
      <c r="AX150" s="86"/>
      <c r="AY150" s="86"/>
      <c r="CM150" s="86"/>
      <c r="CN150" s="86"/>
    </row>
    <row r="151" spans="8:92" s="367" customFormat="1">
      <c r="O151" s="502"/>
      <c r="S151" s="371"/>
      <c r="T151" s="371"/>
      <c r="U151" s="371"/>
      <c r="V151" s="371"/>
      <c r="AO151" s="86"/>
      <c r="AP151" s="86"/>
      <c r="AQ151" s="86"/>
      <c r="AR151" s="86"/>
      <c r="AS151" s="86"/>
      <c r="AT151" s="86"/>
      <c r="AU151" s="86"/>
      <c r="AV151" s="86"/>
      <c r="AW151" s="86"/>
      <c r="AX151" s="86"/>
      <c r="AY151" s="86"/>
      <c r="CM151" s="86"/>
      <c r="CN151" s="86"/>
    </row>
    <row r="152" spans="8:92" s="367" customFormat="1">
      <c r="O152" s="502"/>
      <c r="S152" s="371"/>
      <c r="T152" s="371"/>
      <c r="U152" s="371"/>
      <c r="V152" s="371"/>
      <c r="AO152" s="86"/>
      <c r="AP152" s="86"/>
      <c r="AQ152" s="86"/>
      <c r="AR152" s="86"/>
      <c r="AS152" s="86"/>
      <c r="AT152" s="86"/>
      <c r="AU152" s="86"/>
      <c r="AV152" s="86"/>
      <c r="AW152" s="86"/>
      <c r="AX152" s="86"/>
      <c r="AY152" s="86"/>
      <c r="CM152" s="86"/>
      <c r="CN152" s="86"/>
    </row>
    <row r="153" spans="8:92">
      <c r="H153" s="15"/>
      <c r="I153" s="15"/>
      <c r="J153" s="15"/>
      <c r="K153" s="15"/>
      <c r="L153" s="15"/>
      <c r="M153" s="15"/>
      <c r="N153" s="15"/>
      <c r="O153" s="508"/>
      <c r="P153" s="15"/>
      <c r="Q153" s="15"/>
      <c r="R153" s="15"/>
      <c r="S153" s="509"/>
      <c r="T153" s="509"/>
      <c r="U153" s="509"/>
      <c r="V153" s="509"/>
      <c r="W153" s="15"/>
    </row>
    <row r="154" spans="8:92">
      <c r="H154" s="15"/>
      <c r="I154" s="15"/>
      <c r="J154" s="15"/>
      <c r="K154" s="15"/>
      <c r="L154" s="15"/>
      <c r="M154" s="15"/>
      <c r="N154" s="15"/>
      <c r="O154" s="508"/>
      <c r="P154" s="15"/>
      <c r="Q154" s="15"/>
      <c r="R154" s="15"/>
      <c r="S154" s="509"/>
      <c r="T154" s="509"/>
      <c r="U154" s="509"/>
      <c r="V154" s="509"/>
      <c r="W154" s="15"/>
    </row>
    <row r="155" spans="8:92">
      <c r="H155" s="15"/>
      <c r="I155" s="15"/>
      <c r="J155" s="15"/>
      <c r="K155" s="15"/>
      <c r="L155" s="15"/>
      <c r="M155" s="15"/>
      <c r="N155" s="15"/>
      <c r="O155" s="508"/>
      <c r="P155" s="15"/>
      <c r="Q155" s="15"/>
      <c r="R155" s="15"/>
      <c r="S155" s="509"/>
      <c r="T155" s="509"/>
      <c r="U155" s="509"/>
      <c r="V155" s="509"/>
      <c r="W155" s="15"/>
    </row>
    <row r="156" spans="8:92">
      <c r="H156" s="15"/>
      <c r="I156" s="15"/>
      <c r="J156" s="15"/>
      <c r="K156" s="15"/>
      <c r="L156" s="15"/>
      <c r="M156" s="15"/>
      <c r="N156" s="15"/>
      <c r="O156" s="508"/>
      <c r="P156" s="15"/>
      <c r="Q156" s="15"/>
      <c r="R156" s="15"/>
      <c r="S156" s="509"/>
      <c r="T156" s="509"/>
      <c r="U156" s="509"/>
      <c r="V156" s="509"/>
      <c r="W156" s="15"/>
    </row>
    <row r="157" spans="8:92">
      <c r="H157" s="15"/>
      <c r="I157" s="15"/>
      <c r="J157" s="15"/>
      <c r="K157" s="15"/>
      <c r="L157" s="15"/>
      <c r="M157" s="15"/>
      <c r="N157" s="15"/>
      <c r="O157" s="508"/>
      <c r="P157" s="15"/>
      <c r="Q157" s="15"/>
      <c r="R157" s="15"/>
      <c r="S157" s="509"/>
      <c r="T157" s="509"/>
      <c r="U157" s="509"/>
      <c r="V157" s="509"/>
      <c r="W157" s="15"/>
    </row>
    <row r="158" spans="8:92">
      <c r="H158" s="15"/>
      <c r="I158" s="15"/>
      <c r="J158" s="15"/>
      <c r="K158" s="15"/>
      <c r="L158" s="15"/>
      <c r="M158" s="15"/>
      <c r="N158" s="15"/>
      <c r="O158" s="508"/>
      <c r="P158" s="15"/>
      <c r="Q158" s="15"/>
      <c r="R158" s="15"/>
      <c r="S158" s="509"/>
      <c r="T158" s="509"/>
      <c r="U158" s="509"/>
      <c r="V158" s="509"/>
      <c r="W158" s="15"/>
    </row>
    <row r="159" spans="8:92">
      <c r="H159" s="15"/>
      <c r="I159" s="15"/>
      <c r="J159" s="15"/>
      <c r="K159" s="15"/>
      <c r="L159" s="15"/>
      <c r="M159" s="15"/>
      <c r="N159" s="15"/>
      <c r="O159" s="508"/>
      <c r="P159" s="15"/>
      <c r="Q159" s="15"/>
      <c r="R159" s="15"/>
      <c r="S159" s="509"/>
      <c r="T159" s="509"/>
      <c r="U159" s="509"/>
      <c r="V159" s="509"/>
      <c r="W159" s="15"/>
    </row>
    <row r="160" spans="8:92">
      <c r="H160" s="15"/>
      <c r="I160" s="15"/>
      <c r="J160" s="15"/>
      <c r="K160" s="15"/>
      <c r="L160" s="15"/>
      <c r="M160" s="15"/>
      <c r="N160" s="15"/>
      <c r="O160" s="508"/>
      <c r="P160" s="15"/>
      <c r="Q160" s="15"/>
      <c r="R160" s="15"/>
      <c r="S160" s="509"/>
      <c r="T160" s="509"/>
      <c r="U160" s="509"/>
      <c r="V160" s="509"/>
      <c r="W160" s="15"/>
    </row>
    <row r="161" spans="8:23">
      <c r="H161" s="15"/>
      <c r="I161" s="15"/>
      <c r="J161" s="15"/>
      <c r="K161" s="15"/>
      <c r="L161" s="15"/>
      <c r="M161" s="15"/>
      <c r="N161" s="15"/>
      <c r="O161" s="508"/>
      <c r="P161" s="15"/>
      <c r="Q161" s="15"/>
      <c r="R161" s="15"/>
      <c r="S161" s="509"/>
      <c r="T161" s="509"/>
      <c r="U161" s="509"/>
      <c r="V161" s="509"/>
      <c r="W161" s="15"/>
    </row>
    <row r="162" spans="8:23">
      <c r="H162" s="15"/>
      <c r="I162" s="15"/>
      <c r="J162" s="15"/>
      <c r="K162" s="15"/>
      <c r="L162" s="15"/>
      <c r="M162" s="15"/>
      <c r="N162" s="15"/>
      <c r="O162" s="508"/>
      <c r="P162" s="15"/>
      <c r="Q162" s="15"/>
      <c r="R162" s="15"/>
      <c r="S162" s="509"/>
      <c r="T162" s="509"/>
      <c r="U162" s="509"/>
      <c r="V162" s="509"/>
      <c r="W162" s="15"/>
    </row>
    <row r="163" spans="8:23">
      <c r="H163" s="15"/>
      <c r="I163" s="15"/>
      <c r="J163" s="15"/>
      <c r="K163" s="15"/>
      <c r="L163" s="15"/>
      <c r="M163" s="15"/>
      <c r="N163" s="15"/>
      <c r="O163" s="508"/>
      <c r="P163" s="15"/>
      <c r="Q163" s="15"/>
      <c r="R163" s="15"/>
      <c r="S163" s="509"/>
      <c r="T163" s="509"/>
      <c r="U163" s="509"/>
      <c r="V163" s="509"/>
      <c r="W163" s="15"/>
    </row>
    <row r="164" spans="8:23">
      <c r="H164" s="15"/>
      <c r="I164" s="15"/>
      <c r="J164" s="15"/>
      <c r="K164" s="15"/>
      <c r="L164" s="15"/>
      <c r="M164" s="15"/>
      <c r="N164" s="15"/>
      <c r="O164" s="508"/>
      <c r="P164" s="15"/>
      <c r="Q164" s="15"/>
      <c r="R164" s="15"/>
      <c r="S164" s="509"/>
      <c r="T164" s="509"/>
      <c r="U164" s="509"/>
      <c r="V164" s="509"/>
      <c r="W164" s="15"/>
    </row>
    <row r="165" spans="8:23">
      <c r="H165" s="15"/>
      <c r="I165" s="15"/>
      <c r="J165" s="15"/>
      <c r="K165" s="15"/>
      <c r="L165" s="15"/>
      <c r="M165" s="15"/>
      <c r="N165" s="15"/>
      <c r="O165" s="508"/>
      <c r="P165" s="15"/>
      <c r="Q165" s="15"/>
      <c r="R165" s="15"/>
      <c r="S165" s="509"/>
      <c r="T165" s="509"/>
      <c r="U165" s="509"/>
      <c r="V165" s="509"/>
      <c r="W165" s="15"/>
    </row>
    <row r="166" spans="8:23">
      <c r="H166" s="15"/>
      <c r="I166" s="15"/>
      <c r="J166" s="15"/>
      <c r="K166" s="15"/>
      <c r="L166" s="15"/>
      <c r="M166" s="15"/>
      <c r="N166" s="15"/>
      <c r="O166" s="508"/>
      <c r="P166" s="15"/>
      <c r="Q166" s="15"/>
      <c r="R166" s="15"/>
      <c r="S166" s="509"/>
      <c r="T166" s="509"/>
      <c r="U166" s="509"/>
      <c r="V166" s="509"/>
      <c r="W166" s="15"/>
    </row>
    <row r="167" spans="8:23">
      <c r="H167" s="15"/>
      <c r="I167" s="15"/>
      <c r="J167" s="15"/>
      <c r="K167" s="15"/>
      <c r="L167" s="15"/>
      <c r="M167" s="15"/>
      <c r="N167" s="15"/>
      <c r="O167" s="508"/>
      <c r="P167" s="15"/>
      <c r="Q167" s="15"/>
      <c r="R167" s="15"/>
      <c r="S167" s="509"/>
      <c r="T167" s="509"/>
      <c r="U167" s="509"/>
      <c r="V167" s="509"/>
      <c r="W167" s="15"/>
    </row>
    <row r="168" spans="8:23">
      <c r="H168" s="15"/>
      <c r="I168" s="15"/>
      <c r="J168" s="15"/>
      <c r="K168" s="15"/>
      <c r="L168" s="15"/>
      <c r="M168" s="15"/>
      <c r="N168" s="15"/>
      <c r="O168" s="508"/>
      <c r="P168" s="15"/>
      <c r="Q168" s="15"/>
      <c r="R168" s="15"/>
      <c r="S168" s="509"/>
      <c r="T168" s="509"/>
      <c r="U168" s="509"/>
      <c r="V168" s="509"/>
      <c r="W168" s="15"/>
    </row>
    <row r="169" spans="8:23">
      <c r="H169" s="15"/>
      <c r="I169" s="15"/>
      <c r="J169" s="15"/>
      <c r="K169" s="15"/>
      <c r="L169" s="15"/>
      <c r="M169" s="15"/>
      <c r="N169" s="15"/>
      <c r="O169" s="508"/>
      <c r="P169" s="15"/>
      <c r="Q169" s="15"/>
      <c r="R169" s="15"/>
      <c r="S169" s="509"/>
      <c r="T169" s="509"/>
      <c r="U169" s="509"/>
      <c r="V169" s="509"/>
      <c r="W169" s="15"/>
    </row>
    <row r="170" spans="8:23">
      <c r="H170" s="15"/>
      <c r="I170" s="15"/>
      <c r="J170" s="15"/>
      <c r="K170" s="15"/>
      <c r="L170" s="15"/>
      <c r="M170" s="15"/>
      <c r="N170" s="15"/>
      <c r="O170" s="508"/>
      <c r="P170" s="15"/>
      <c r="Q170" s="15"/>
      <c r="R170" s="15"/>
      <c r="S170" s="509"/>
      <c r="T170" s="509"/>
      <c r="U170" s="509"/>
      <c r="V170" s="509"/>
      <c r="W170" s="15"/>
    </row>
    <row r="171" spans="8:23">
      <c r="H171" s="15"/>
      <c r="I171" s="15"/>
      <c r="J171" s="15"/>
      <c r="K171" s="15"/>
      <c r="L171" s="15"/>
      <c r="M171" s="15"/>
      <c r="N171" s="15"/>
      <c r="O171" s="508"/>
      <c r="P171" s="15"/>
      <c r="Q171" s="15"/>
      <c r="R171" s="15"/>
      <c r="S171" s="509"/>
      <c r="T171" s="509"/>
      <c r="U171" s="509"/>
      <c r="V171" s="509"/>
      <c r="W171" s="15"/>
    </row>
    <row r="172" spans="8:23">
      <c r="H172" s="15"/>
      <c r="I172" s="15"/>
      <c r="J172" s="15"/>
      <c r="K172" s="15"/>
      <c r="L172" s="15"/>
      <c r="M172" s="15"/>
      <c r="N172" s="15"/>
      <c r="O172" s="508"/>
      <c r="P172" s="15"/>
      <c r="Q172" s="15"/>
      <c r="R172" s="15"/>
      <c r="S172" s="509"/>
      <c r="T172" s="509"/>
      <c r="U172" s="509"/>
      <c r="V172" s="509"/>
      <c r="W172" s="15"/>
    </row>
    <row r="173" spans="8:23">
      <c r="H173" s="15"/>
      <c r="I173" s="15"/>
      <c r="J173" s="15"/>
      <c r="K173" s="15"/>
      <c r="L173" s="15"/>
      <c r="M173" s="15"/>
      <c r="N173" s="15"/>
      <c r="O173" s="508"/>
      <c r="P173" s="15"/>
      <c r="Q173" s="15"/>
      <c r="R173" s="15"/>
      <c r="S173" s="509"/>
      <c r="T173" s="509"/>
      <c r="U173" s="509"/>
      <c r="V173" s="509"/>
      <c r="W173" s="15"/>
    </row>
    <row r="174" spans="8:23">
      <c r="H174" s="15"/>
      <c r="I174" s="15"/>
      <c r="J174" s="15"/>
      <c r="K174" s="15"/>
      <c r="L174" s="15"/>
      <c r="M174" s="15"/>
      <c r="N174" s="15"/>
      <c r="O174" s="508"/>
      <c r="P174" s="15"/>
      <c r="Q174" s="15"/>
      <c r="R174" s="15"/>
      <c r="S174" s="509"/>
      <c r="T174" s="509"/>
      <c r="U174" s="509"/>
      <c r="V174" s="509"/>
      <c r="W174" s="15"/>
    </row>
    <row r="175" spans="8:23">
      <c r="H175" s="15"/>
      <c r="I175" s="15"/>
      <c r="J175" s="15"/>
      <c r="K175" s="15"/>
      <c r="L175" s="15"/>
      <c r="M175" s="15"/>
      <c r="N175" s="15"/>
      <c r="O175" s="508"/>
      <c r="P175" s="15"/>
      <c r="Q175" s="15"/>
      <c r="R175" s="15"/>
      <c r="S175" s="509"/>
      <c r="T175" s="509"/>
      <c r="U175" s="509"/>
      <c r="V175" s="509"/>
      <c r="W175" s="15"/>
    </row>
    <row r="176" spans="8:23">
      <c r="H176" s="15"/>
      <c r="I176" s="15"/>
      <c r="J176" s="15"/>
      <c r="K176" s="15"/>
      <c r="L176" s="15"/>
      <c r="M176" s="15"/>
      <c r="N176" s="15"/>
      <c r="O176" s="508"/>
      <c r="P176" s="15"/>
      <c r="Q176" s="15"/>
      <c r="R176" s="15"/>
      <c r="S176" s="509"/>
      <c r="T176" s="509"/>
      <c r="U176" s="509"/>
      <c r="V176" s="509"/>
      <c r="W176" s="15"/>
    </row>
    <row r="177" spans="8:23">
      <c r="H177" s="15"/>
      <c r="I177" s="15"/>
      <c r="J177" s="15"/>
      <c r="K177" s="15"/>
      <c r="L177" s="15"/>
      <c r="M177" s="15"/>
      <c r="N177" s="15"/>
      <c r="O177" s="508"/>
      <c r="P177" s="15"/>
      <c r="Q177" s="15"/>
      <c r="R177" s="15"/>
      <c r="S177" s="509"/>
      <c r="T177" s="509"/>
      <c r="U177" s="509"/>
      <c r="V177" s="509"/>
      <c r="W177" s="15"/>
    </row>
    <row r="178" spans="8:23">
      <c r="H178" s="15"/>
      <c r="I178" s="15"/>
      <c r="J178" s="15"/>
      <c r="K178" s="15"/>
      <c r="L178" s="15"/>
      <c r="M178" s="15"/>
      <c r="N178" s="15"/>
      <c r="O178" s="508"/>
      <c r="P178" s="15"/>
      <c r="Q178" s="15"/>
      <c r="R178" s="15"/>
      <c r="S178" s="509"/>
      <c r="T178" s="509"/>
      <c r="U178" s="509"/>
      <c r="V178" s="509"/>
      <c r="W178" s="15"/>
    </row>
    <row r="179" spans="8:23">
      <c r="H179" s="15"/>
      <c r="I179" s="15"/>
      <c r="J179" s="15"/>
      <c r="K179" s="15"/>
      <c r="L179" s="15"/>
      <c r="M179" s="15"/>
      <c r="N179" s="15"/>
      <c r="O179" s="508"/>
      <c r="P179" s="15"/>
      <c r="Q179" s="15"/>
      <c r="R179" s="15"/>
      <c r="S179" s="509"/>
      <c r="T179" s="509"/>
      <c r="U179" s="509"/>
      <c r="V179" s="509"/>
      <c r="W179" s="15"/>
    </row>
    <row r="180" spans="8:23">
      <c r="H180" s="15"/>
      <c r="I180" s="15"/>
      <c r="J180" s="15"/>
      <c r="K180" s="15"/>
      <c r="L180" s="15"/>
      <c r="M180" s="15"/>
      <c r="N180" s="15"/>
      <c r="O180" s="508"/>
      <c r="P180" s="15"/>
      <c r="Q180" s="15"/>
      <c r="R180" s="15"/>
      <c r="S180" s="509"/>
      <c r="T180" s="509"/>
      <c r="U180" s="509"/>
      <c r="V180" s="509"/>
      <c r="W180" s="15"/>
    </row>
    <row r="181" spans="8:23">
      <c r="H181" s="15"/>
      <c r="I181" s="15"/>
      <c r="J181" s="15"/>
      <c r="K181" s="15"/>
      <c r="L181" s="15"/>
      <c r="M181" s="15"/>
      <c r="N181" s="15"/>
      <c r="O181" s="508"/>
      <c r="P181" s="15"/>
      <c r="Q181" s="15"/>
      <c r="R181" s="15"/>
      <c r="S181" s="509"/>
      <c r="T181" s="509"/>
      <c r="U181" s="509"/>
      <c r="V181" s="509"/>
      <c r="W181" s="15"/>
    </row>
    <row r="182" spans="8:23">
      <c r="H182" s="15"/>
      <c r="I182" s="15"/>
      <c r="J182" s="15"/>
      <c r="K182" s="15"/>
      <c r="L182" s="15"/>
      <c r="M182" s="15"/>
      <c r="N182" s="15"/>
      <c r="O182" s="508"/>
      <c r="P182" s="15"/>
      <c r="Q182" s="15"/>
      <c r="R182" s="15"/>
      <c r="S182" s="509"/>
      <c r="T182" s="509"/>
      <c r="U182" s="509"/>
      <c r="V182" s="509"/>
      <c r="W182" s="15"/>
    </row>
    <row r="183" spans="8:23">
      <c r="H183" s="15"/>
      <c r="I183" s="15"/>
      <c r="J183" s="15"/>
      <c r="K183" s="15"/>
      <c r="L183" s="15"/>
      <c r="M183" s="15"/>
      <c r="N183" s="15"/>
      <c r="O183" s="508"/>
      <c r="P183" s="15"/>
      <c r="Q183" s="15"/>
      <c r="R183" s="15"/>
      <c r="S183" s="509"/>
      <c r="T183" s="509"/>
      <c r="U183" s="509"/>
      <c r="V183" s="509"/>
      <c r="W183" s="15"/>
    </row>
    <row r="184" spans="8:23">
      <c r="H184" s="15"/>
      <c r="I184" s="15"/>
      <c r="J184" s="15"/>
      <c r="K184" s="15"/>
      <c r="L184" s="15"/>
      <c r="M184" s="15"/>
      <c r="N184" s="15"/>
      <c r="O184" s="508"/>
      <c r="P184" s="15"/>
      <c r="Q184" s="15"/>
      <c r="R184" s="15"/>
      <c r="S184" s="509"/>
      <c r="T184" s="509"/>
      <c r="U184" s="509"/>
      <c r="V184" s="509"/>
      <c r="W184" s="15"/>
    </row>
    <row r="185" spans="8:23">
      <c r="H185" s="15"/>
      <c r="I185" s="15"/>
      <c r="J185" s="15"/>
      <c r="K185" s="15"/>
      <c r="L185" s="15"/>
      <c r="M185" s="15"/>
      <c r="N185" s="15"/>
      <c r="O185" s="508"/>
      <c r="P185" s="15"/>
      <c r="Q185" s="15"/>
      <c r="R185" s="15"/>
      <c r="S185" s="509"/>
      <c r="T185" s="509"/>
      <c r="U185" s="509"/>
      <c r="V185" s="509"/>
      <c r="W185" s="15"/>
    </row>
    <row r="186" spans="8:23">
      <c r="H186" s="15"/>
      <c r="I186" s="15"/>
      <c r="J186" s="15"/>
      <c r="K186" s="15"/>
      <c r="L186" s="15"/>
      <c r="M186" s="15"/>
      <c r="N186" s="15"/>
      <c r="O186" s="508"/>
      <c r="P186" s="15"/>
      <c r="Q186" s="15"/>
      <c r="R186" s="15"/>
      <c r="S186" s="509"/>
      <c r="T186" s="509"/>
      <c r="U186" s="509"/>
      <c r="V186" s="509"/>
      <c r="W186" s="15"/>
    </row>
    <row r="187" spans="8:23">
      <c r="H187" s="15"/>
      <c r="I187" s="15"/>
      <c r="J187" s="15"/>
      <c r="K187" s="15"/>
      <c r="L187" s="15"/>
      <c r="M187" s="15"/>
      <c r="N187" s="15"/>
      <c r="O187" s="508"/>
      <c r="P187" s="15"/>
      <c r="Q187" s="15"/>
      <c r="R187" s="15"/>
      <c r="S187" s="509"/>
      <c r="T187" s="509"/>
      <c r="U187" s="509"/>
      <c r="V187" s="509"/>
      <c r="W187" s="15"/>
    </row>
    <row r="188" spans="8:23">
      <c r="H188" s="15"/>
      <c r="I188" s="15"/>
      <c r="J188" s="15"/>
      <c r="K188" s="15"/>
      <c r="L188" s="15"/>
      <c r="M188" s="15"/>
      <c r="N188" s="15"/>
      <c r="O188" s="508"/>
      <c r="P188" s="15"/>
      <c r="Q188" s="15"/>
      <c r="R188" s="15"/>
      <c r="S188" s="509"/>
      <c r="T188" s="509"/>
      <c r="U188" s="509"/>
      <c r="V188" s="509"/>
      <c r="W188" s="15"/>
    </row>
    <row r="189" spans="8:23">
      <c r="H189" s="15"/>
      <c r="I189" s="15"/>
      <c r="J189" s="15"/>
      <c r="K189" s="15"/>
      <c r="L189" s="15"/>
      <c r="M189" s="15"/>
      <c r="N189" s="15"/>
      <c r="O189" s="508"/>
      <c r="P189" s="15"/>
      <c r="Q189" s="15"/>
      <c r="R189" s="15"/>
      <c r="S189" s="509"/>
      <c r="T189" s="509"/>
      <c r="U189" s="509"/>
      <c r="V189" s="509"/>
      <c r="W189" s="15"/>
    </row>
    <row r="190" spans="8:23">
      <c r="H190" s="15"/>
      <c r="I190" s="15"/>
      <c r="J190" s="15"/>
      <c r="K190" s="15"/>
      <c r="L190" s="15"/>
      <c r="M190" s="15"/>
      <c r="N190" s="15"/>
      <c r="O190" s="508"/>
      <c r="P190" s="15"/>
      <c r="Q190" s="15"/>
      <c r="R190" s="15"/>
      <c r="S190" s="509"/>
      <c r="T190" s="509"/>
      <c r="U190" s="509"/>
      <c r="V190" s="509"/>
      <c r="W190" s="15"/>
    </row>
    <row r="191" spans="8:23">
      <c r="H191" s="15"/>
      <c r="I191" s="15"/>
      <c r="J191" s="15"/>
      <c r="K191" s="15"/>
      <c r="L191" s="15"/>
      <c r="M191" s="15"/>
      <c r="N191" s="15"/>
      <c r="O191" s="508"/>
      <c r="P191" s="15"/>
      <c r="Q191" s="15"/>
      <c r="R191" s="15"/>
      <c r="S191" s="509"/>
      <c r="T191" s="509"/>
      <c r="U191" s="509"/>
      <c r="V191" s="509"/>
      <c r="W191" s="15"/>
    </row>
    <row r="192" spans="8:23">
      <c r="H192" s="15"/>
      <c r="I192" s="15"/>
      <c r="J192" s="15"/>
      <c r="K192" s="15"/>
      <c r="L192" s="15"/>
      <c r="M192" s="15"/>
      <c r="N192" s="15"/>
      <c r="O192" s="508"/>
      <c r="P192" s="15"/>
      <c r="Q192" s="15"/>
      <c r="R192" s="15"/>
      <c r="S192" s="509"/>
      <c r="T192" s="509"/>
      <c r="U192" s="509"/>
      <c r="V192" s="509"/>
      <c r="W192" s="15"/>
    </row>
    <row r="193" spans="8:23">
      <c r="H193" s="15"/>
      <c r="I193" s="15"/>
      <c r="J193" s="15"/>
      <c r="K193" s="15"/>
      <c r="L193" s="15"/>
      <c r="M193" s="15"/>
      <c r="N193" s="15"/>
      <c r="O193" s="508"/>
      <c r="P193" s="15"/>
      <c r="Q193" s="15"/>
      <c r="R193" s="15"/>
      <c r="S193" s="509"/>
      <c r="T193" s="509"/>
      <c r="U193" s="509"/>
      <c r="V193" s="509"/>
      <c r="W193" s="15"/>
    </row>
    <row r="194" spans="8:23">
      <c r="H194" s="15"/>
      <c r="I194" s="15"/>
      <c r="J194" s="15"/>
      <c r="K194" s="15"/>
      <c r="L194" s="15"/>
      <c r="M194" s="15"/>
      <c r="N194" s="15"/>
      <c r="O194" s="508"/>
      <c r="P194" s="15"/>
      <c r="Q194" s="15"/>
      <c r="R194" s="15"/>
      <c r="S194" s="509"/>
      <c r="T194" s="509"/>
      <c r="U194" s="509"/>
      <c r="V194" s="509"/>
      <c r="W194" s="15"/>
    </row>
    <row r="195" spans="8:23">
      <c r="H195" s="15"/>
      <c r="I195" s="15"/>
      <c r="J195" s="15"/>
      <c r="K195" s="15"/>
      <c r="L195" s="15"/>
      <c r="M195" s="15"/>
      <c r="N195" s="15"/>
      <c r="O195" s="508"/>
      <c r="P195" s="15"/>
      <c r="Q195" s="15"/>
      <c r="R195" s="15"/>
      <c r="S195" s="509"/>
      <c r="T195" s="509"/>
      <c r="U195" s="509"/>
      <c r="V195" s="509"/>
      <c r="W195" s="15"/>
    </row>
    <row r="196" spans="8:23">
      <c r="H196" s="15"/>
      <c r="I196" s="15"/>
      <c r="J196" s="15"/>
      <c r="K196" s="15"/>
      <c r="L196" s="15"/>
      <c r="M196" s="15"/>
      <c r="N196" s="15"/>
      <c r="O196" s="508"/>
      <c r="P196" s="15"/>
      <c r="Q196" s="15"/>
      <c r="R196" s="15"/>
      <c r="S196" s="509"/>
      <c r="T196" s="509"/>
      <c r="U196" s="509"/>
      <c r="V196" s="509"/>
      <c r="W196" s="15"/>
    </row>
    <row r="197" spans="8:23">
      <c r="H197" s="15"/>
      <c r="I197" s="15"/>
      <c r="J197" s="15"/>
      <c r="K197" s="15"/>
      <c r="L197" s="15"/>
      <c r="M197" s="15"/>
      <c r="N197" s="15"/>
      <c r="O197" s="508"/>
      <c r="P197" s="15"/>
      <c r="Q197" s="15"/>
      <c r="R197" s="15"/>
      <c r="S197" s="509"/>
      <c r="T197" s="509"/>
      <c r="U197" s="509"/>
      <c r="V197" s="509"/>
      <c r="W197" s="15"/>
    </row>
    <row r="198" spans="8:23">
      <c r="H198" s="15"/>
      <c r="I198" s="15"/>
      <c r="J198" s="15"/>
      <c r="K198" s="15"/>
      <c r="L198" s="15"/>
      <c r="M198" s="15"/>
      <c r="N198" s="15"/>
      <c r="O198" s="508"/>
      <c r="P198" s="15"/>
      <c r="Q198" s="15"/>
      <c r="R198" s="15"/>
      <c r="S198" s="509"/>
      <c r="T198" s="509"/>
      <c r="U198" s="509"/>
      <c r="V198" s="509"/>
      <c r="W198" s="15"/>
    </row>
    <row r="199" spans="8:23">
      <c r="H199" s="15"/>
      <c r="I199" s="15"/>
      <c r="J199" s="15"/>
      <c r="K199" s="15"/>
      <c r="L199" s="15"/>
      <c r="M199" s="15"/>
      <c r="N199" s="15"/>
      <c r="O199" s="508"/>
      <c r="P199" s="15"/>
      <c r="Q199" s="15"/>
      <c r="R199" s="15"/>
      <c r="S199" s="509"/>
      <c r="T199" s="509"/>
      <c r="U199" s="509"/>
      <c r="V199" s="509"/>
      <c r="W199" s="15"/>
    </row>
    <row r="200" spans="8:23">
      <c r="H200" s="15"/>
      <c r="I200" s="15"/>
      <c r="J200" s="15"/>
      <c r="K200" s="15"/>
      <c r="L200" s="15"/>
      <c r="M200" s="15"/>
      <c r="N200" s="15"/>
      <c r="O200" s="508"/>
      <c r="P200" s="15"/>
      <c r="Q200" s="15"/>
      <c r="R200" s="15"/>
      <c r="S200" s="509"/>
      <c r="T200" s="509"/>
      <c r="U200" s="509"/>
      <c r="V200" s="509"/>
      <c r="W200" s="15"/>
    </row>
    <row r="201" spans="8:23">
      <c r="H201" s="15"/>
      <c r="I201" s="15"/>
      <c r="J201" s="15"/>
      <c r="K201" s="15"/>
      <c r="L201" s="15"/>
      <c r="M201" s="15"/>
      <c r="N201" s="15"/>
      <c r="O201" s="508"/>
      <c r="P201" s="15"/>
      <c r="Q201" s="15"/>
      <c r="R201" s="15"/>
      <c r="S201" s="509"/>
      <c r="T201" s="509"/>
      <c r="U201" s="509"/>
      <c r="V201" s="509"/>
      <c r="W201" s="15"/>
    </row>
    <row r="202" spans="8:23">
      <c r="H202" s="15"/>
      <c r="I202" s="15"/>
      <c r="J202" s="15"/>
      <c r="K202" s="15"/>
      <c r="L202" s="15"/>
      <c r="M202" s="15"/>
      <c r="N202" s="15"/>
      <c r="O202" s="508"/>
      <c r="P202" s="15"/>
      <c r="Q202" s="15"/>
      <c r="R202" s="15"/>
      <c r="S202" s="509"/>
      <c r="T202" s="509"/>
      <c r="U202" s="509"/>
      <c r="V202" s="509"/>
      <c r="W202" s="15"/>
    </row>
    <row r="203" spans="8:23">
      <c r="H203" s="15"/>
      <c r="I203" s="15"/>
      <c r="J203" s="15"/>
      <c r="K203" s="15"/>
      <c r="L203" s="15"/>
      <c r="M203" s="15"/>
      <c r="N203" s="15"/>
      <c r="O203" s="508"/>
      <c r="P203" s="15"/>
      <c r="Q203" s="15"/>
      <c r="R203" s="15"/>
      <c r="S203" s="509"/>
      <c r="T203" s="509"/>
      <c r="U203" s="509"/>
      <c r="V203" s="509"/>
      <c r="W203" s="15"/>
    </row>
    <row r="204" spans="8:23">
      <c r="H204" s="15"/>
      <c r="I204" s="15"/>
      <c r="J204" s="15"/>
      <c r="K204" s="15"/>
      <c r="L204" s="15"/>
      <c r="M204" s="15"/>
      <c r="N204" s="15"/>
      <c r="O204" s="508"/>
      <c r="P204" s="15"/>
      <c r="Q204" s="15"/>
      <c r="R204" s="15"/>
      <c r="S204" s="509"/>
      <c r="T204" s="509"/>
      <c r="U204" s="509"/>
      <c r="V204" s="509"/>
      <c r="W204" s="15"/>
    </row>
    <row r="205" spans="8:23">
      <c r="H205" s="15"/>
      <c r="I205" s="15"/>
      <c r="J205" s="15"/>
      <c r="K205" s="15"/>
      <c r="L205" s="15"/>
      <c r="M205" s="15"/>
      <c r="N205" s="15"/>
      <c r="O205" s="508"/>
      <c r="P205" s="15"/>
      <c r="Q205" s="15"/>
      <c r="R205" s="15"/>
      <c r="S205" s="509"/>
      <c r="T205" s="509"/>
      <c r="U205" s="509"/>
      <c r="V205" s="509"/>
      <c r="W205" s="15"/>
    </row>
    <row r="206" spans="8:23">
      <c r="H206" s="15"/>
      <c r="I206" s="15"/>
      <c r="J206" s="15"/>
      <c r="K206" s="15"/>
      <c r="L206" s="15"/>
      <c r="M206" s="15"/>
      <c r="N206" s="15"/>
      <c r="O206" s="508"/>
      <c r="P206" s="15"/>
      <c r="Q206" s="15"/>
      <c r="R206" s="15"/>
      <c r="S206" s="509"/>
      <c r="T206" s="509"/>
      <c r="U206" s="509"/>
      <c r="V206" s="509"/>
      <c r="W206" s="15"/>
    </row>
    <row r="207" spans="8:23">
      <c r="H207" s="15"/>
      <c r="I207" s="15"/>
      <c r="J207" s="15"/>
      <c r="K207" s="15"/>
      <c r="L207" s="15"/>
      <c r="M207" s="15"/>
      <c r="N207" s="15"/>
      <c r="O207" s="508"/>
      <c r="P207" s="15"/>
      <c r="Q207" s="15"/>
      <c r="R207" s="15"/>
      <c r="S207" s="509"/>
      <c r="T207" s="509"/>
      <c r="U207" s="509"/>
      <c r="V207" s="509"/>
      <c r="W207" s="15"/>
    </row>
    <row r="208" spans="8:23">
      <c r="H208" s="15"/>
      <c r="I208" s="15"/>
      <c r="J208" s="15"/>
      <c r="K208" s="15"/>
      <c r="L208" s="15"/>
      <c r="M208" s="15"/>
      <c r="N208" s="15"/>
      <c r="O208" s="508"/>
      <c r="P208" s="15"/>
      <c r="Q208" s="15"/>
      <c r="R208" s="15"/>
      <c r="S208" s="509"/>
      <c r="T208" s="509"/>
      <c r="U208" s="509"/>
      <c r="V208" s="509"/>
      <c r="W208" s="15"/>
    </row>
    <row r="209" spans="8:23">
      <c r="H209" s="15"/>
      <c r="I209" s="15"/>
      <c r="J209" s="15"/>
      <c r="K209" s="15"/>
      <c r="L209" s="15"/>
      <c r="M209" s="15"/>
      <c r="N209" s="15"/>
      <c r="O209" s="508"/>
      <c r="P209" s="15"/>
      <c r="Q209" s="15"/>
      <c r="R209" s="15"/>
      <c r="S209" s="509"/>
      <c r="T209" s="509"/>
      <c r="U209" s="509"/>
      <c r="V209" s="509"/>
      <c r="W209" s="15"/>
    </row>
    <row r="210" spans="8:23">
      <c r="H210" s="15"/>
      <c r="I210" s="15"/>
      <c r="J210" s="15"/>
      <c r="K210" s="15"/>
      <c r="L210" s="15"/>
      <c r="M210" s="15"/>
      <c r="N210" s="15"/>
      <c r="O210" s="508"/>
      <c r="P210" s="15"/>
      <c r="Q210" s="15"/>
      <c r="R210" s="15"/>
      <c r="S210" s="509"/>
      <c r="T210" s="509"/>
      <c r="U210" s="509"/>
      <c r="V210" s="509"/>
      <c r="W210" s="15"/>
    </row>
    <row r="211" spans="8:23">
      <c r="H211" s="15"/>
      <c r="I211" s="15"/>
      <c r="J211" s="15"/>
      <c r="K211" s="15"/>
      <c r="L211" s="15"/>
      <c r="M211" s="15"/>
      <c r="N211" s="15"/>
      <c r="O211" s="508"/>
      <c r="P211" s="15"/>
      <c r="Q211" s="15"/>
      <c r="R211" s="15"/>
      <c r="S211" s="509"/>
      <c r="T211" s="509"/>
      <c r="U211" s="509"/>
      <c r="V211" s="509"/>
      <c r="W211" s="15"/>
    </row>
    <row r="212" spans="8:23">
      <c r="H212" s="15"/>
      <c r="I212" s="15"/>
      <c r="J212" s="15"/>
      <c r="K212" s="15"/>
      <c r="L212" s="15"/>
      <c r="M212" s="15"/>
      <c r="N212" s="15"/>
      <c r="O212" s="508"/>
      <c r="P212" s="15"/>
      <c r="Q212" s="15"/>
      <c r="R212" s="15"/>
      <c r="S212" s="509"/>
      <c r="T212" s="509"/>
      <c r="U212" s="509"/>
      <c r="V212" s="509"/>
      <c r="W212" s="15"/>
    </row>
    <row r="213" spans="8:23">
      <c r="H213" s="15"/>
      <c r="I213" s="15"/>
      <c r="J213" s="15"/>
      <c r="K213" s="15"/>
      <c r="L213" s="15"/>
      <c r="M213" s="15"/>
      <c r="N213" s="15"/>
      <c r="O213" s="508"/>
      <c r="P213" s="15"/>
      <c r="Q213" s="15"/>
      <c r="R213" s="15"/>
      <c r="S213" s="509"/>
      <c r="T213" s="509"/>
      <c r="U213" s="509"/>
      <c r="V213" s="509"/>
      <c r="W213" s="15"/>
    </row>
    <row r="214" spans="8:23">
      <c r="H214" s="15"/>
      <c r="I214" s="15"/>
      <c r="J214" s="15"/>
      <c r="K214" s="15"/>
      <c r="L214" s="15"/>
      <c r="M214" s="15"/>
      <c r="N214" s="15"/>
      <c r="O214" s="508"/>
      <c r="P214" s="15"/>
      <c r="Q214" s="15"/>
      <c r="R214" s="15"/>
      <c r="S214" s="509"/>
      <c r="T214" s="509"/>
      <c r="U214" s="509"/>
      <c r="V214" s="509"/>
      <c r="W214" s="15"/>
    </row>
    <row r="215" spans="8:23">
      <c r="H215" s="15"/>
      <c r="I215" s="15"/>
      <c r="J215" s="15"/>
      <c r="K215" s="15"/>
      <c r="L215" s="15"/>
      <c r="M215" s="15"/>
      <c r="N215" s="15"/>
      <c r="O215" s="508"/>
      <c r="P215" s="15"/>
      <c r="Q215" s="15"/>
      <c r="R215" s="15"/>
      <c r="S215" s="509"/>
      <c r="T215" s="509"/>
      <c r="U215" s="509"/>
      <c r="V215" s="509"/>
      <c r="W215" s="15"/>
    </row>
    <row r="216" spans="8:23">
      <c r="H216" s="15"/>
      <c r="I216" s="15"/>
      <c r="J216" s="15"/>
      <c r="K216" s="15"/>
      <c r="L216" s="15"/>
      <c r="M216" s="15"/>
      <c r="N216" s="15"/>
      <c r="O216" s="508"/>
      <c r="P216" s="15"/>
      <c r="Q216" s="15"/>
      <c r="R216" s="15"/>
      <c r="W216" s="15"/>
    </row>
    <row r="217" spans="8:23">
      <c r="H217" s="15"/>
      <c r="I217" s="15"/>
      <c r="J217" s="15"/>
      <c r="K217" s="15"/>
      <c r="L217" s="15"/>
      <c r="M217" s="15"/>
      <c r="N217" s="15"/>
      <c r="O217" s="508"/>
      <c r="P217" s="15"/>
      <c r="Q217" s="15"/>
      <c r="R217" s="15"/>
      <c r="W217" s="15"/>
    </row>
    <row r="218" spans="8:23">
      <c r="H218" s="15"/>
      <c r="I218" s="15"/>
      <c r="J218" s="15"/>
      <c r="K218" s="15"/>
      <c r="L218" s="15"/>
      <c r="M218" s="15"/>
      <c r="N218" s="15"/>
      <c r="O218" s="508"/>
      <c r="P218" s="15"/>
      <c r="Q218" s="15"/>
      <c r="R218" s="15"/>
      <c r="W218" s="15"/>
    </row>
    <row r="219" spans="8:23">
      <c r="H219" s="15"/>
      <c r="I219" s="15"/>
      <c r="J219" s="15"/>
      <c r="K219" s="15"/>
      <c r="L219" s="15"/>
      <c r="M219" s="15"/>
      <c r="N219" s="15"/>
      <c r="O219" s="508"/>
      <c r="P219" s="15"/>
      <c r="Q219" s="15"/>
      <c r="R219" s="15"/>
      <c r="W219" s="15"/>
    </row>
    <row r="220" spans="8:23">
      <c r="H220" s="15"/>
      <c r="I220" s="15"/>
      <c r="J220" s="15"/>
      <c r="K220" s="15"/>
      <c r="L220" s="15"/>
      <c r="M220" s="15"/>
      <c r="N220" s="15"/>
      <c r="O220" s="508"/>
      <c r="P220" s="15"/>
      <c r="Q220" s="15"/>
      <c r="R220" s="15"/>
      <c r="W220" s="15"/>
    </row>
    <row r="221" spans="8:23">
      <c r="H221" s="15"/>
      <c r="I221" s="15"/>
      <c r="J221" s="15"/>
      <c r="K221" s="15"/>
      <c r="L221" s="15"/>
      <c r="M221" s="15"/>
      <c r="N221" s="15"/>
      <c r="O221" s="508"/>
      <c r="P221" s="15"/>
      <c r="Q221" s="15"/>
      <c r="R221" s="15"/>
      <c r="W221" s="15"/>
    </row>
    <row r="222" spans="8:23">
      <c r="H222" s="15"/>
      <c r="I222" s="15"/>
      <c r="J222" s="15"/>
      <c r="K222" s="15"/>
      <c r="L222" s="15"/>
      <c r="M222" s="15"/>
      <c r="N222" s="15"/>
      <c r="O222" s="508"/>
      <c r="P222" s="15"/>
      <c r="Q222" s="15"/>
      <c r="R222" s="15"/>
      <c r="W222" s="15"/>
    </row>
    <row r="223" spans="8:23">
      <c r="H223" s="15"/>
      <c r="I223" s="15"/>
      <c r="J223" s="15"/>
      <c r="K223" s="15"/>
      <c r="L223" s="15"/>
      <c r="M223" s="15"/>
      <c r="N223" s="15"/>
      <c r="O223" s="508"/>
      <c r="P223" s="15"/>
      <c r="Q223" s="15"/>
      <c r="R223" s="15"/>
      <c r="W223" s="15"/>
    </row>
    <row r="224" spans="8:23">
      <c r="H224" s="15"/>
      <c r="I224" s="15"/>
      <c r="J224" s="15"/>
      <c r="K224" s="15"/>
      <c r="L224" s="15"/>
      <c r="M224" s="15"/>
      <c r="N224" s="15"/>
      <c r="O224" s="508"/>
      <c r="P224" s="15"/>
      <c r="Q224" s="15"/>
      <c r="R224" s="15"/>
      <c r="W224" s="15"/>
    </row>
    <row r="225" spans="8:23">
      <c r="H225" s="15"/>
      <c r="I225" s="15"/>
      <c r="J225" s="15"/>
      <c r="K225" s="15"/>
      <c r="L225" s="15"/>
      <c r="M225" s="15"/>
      <c r="N225" s="15"/>
      <c r="O225" s="508"/>
      <c r="P225" s="15"/>
      <c r="Q225" s="15"/>
      <c r="R225" s="15"/>
      <c r="W225" s="15"/>
    </row>
    <row r="226" spans="8:23">
      <c r="H226" s="15"/>
      <c r="I226" s="15"/>
      <c r="J226" s="15"/>
      <c r="K226" s="15"/>
      <c r="L226" s="15"/>
      <c r="M226" s="15"/>
      <c r="N226" s="15"/>
      <c r="O226" s="508"/>
      <c r="P226" s="15"/>
      <c r="Q226" s="15"/>
      <c r="R226" s="15"/>
      <c r="W226" s="15"/>
    </row>
    <row r="227" spans="8:23">
      <c r="H227" s="15"/>
      <c r="I227" s="15"/>
      <c r="J227" s="15"/>
      <c r="K227" s="15"/>
      <c r="L227" s="15"/>
      <c r="M227" s="15"/>
      <c r="N227" s="15"/>
      <c r="O227" s="508"/>
      <c r="P227" s="15"/>
      <c r="Q227" s="15"/>
      <c r="R227" s="15"/>
      <c r="W227" s="15"/>
    </row>
    <row r="228" spans="8:23">
      <c r="H228" s="15"/>
      <c r="I228" s="15"/>
      <c r="J228" s="15"/>
      <c r="K228" s="15"/>
      <c r="L228" s="15"/>
      <c r="M228" s="15"/>
      <c r="N228" s="15"/>
      <c r="O228" s="508"/>
      <c r="P228" s="15"/>
      <c r="Q228" s="15"/>
      <c r="R228" s="15"/>
      <c r="W228" s="15"/>
    </row>
    <row r="229" spans="8:23">
      <c r="H229" s="15"/>
      <c r="I229" s="15"/>
      <c r="J229" s="15"/>
      <c r="K229" s="15"/>
      <c r="L229" s="15"/>
      <c r="M229" s="15"/>
      <c r="N229" s="15"/>
      <c r="O229" s="508"/>
      <c r="P229" s="15"/>
      <c r="Q229" s="15"/>
      <c r="R229" s="15"/>
      <c r="W229" s="15"/>
    </row>
    <row r="230" spans="8:23">
      <c r="H230" s="15"/>
      <c r="I230" s="15"/>
      <c r="J230" s="15"/>
      <c r="K230" s="15"/>
      <c r="L230" s="15"/>
      <c r="M230" s="15"/>
      <c r="N230" s="15"/>
      <c r="O230" s="508"/>
      <c r="P230" s="15"/>
      <c r="Q230" s="15"/>
      <c r="R230" s="15"/>
      <c r="W230" s="15"/>
    </row>
    <row r="231" spans="8:23">
      <c r="H231" s="15"/>
      <c r="I231" s="15"/>
      <c r="J231" s="15"/>
      <c r="K231" s="15"/>
      <c r="L231" s="15"/>
      <c r="M231" s="15"/>
      <c r="N231" s="15"/>
      <c r="O231" s="508"/>
      <c r="P231" s="15"/>
      <c r="Q231" s="15"/>
      <c r="R231" s="15"/>
      <c r="W231" s="15"/>
    </row>
    <row r="232" spans="8:23">
      <c r="H232" s="15"/>
      <c r="I232" s="15"/>
      <c r="J232" s="15"/>
      <c r="K232" s="15"/>
      <c r="L232" s="15"/>
      <c r="M232" s="15"/>
      <c r="N232" s="15"/>
      <c r="O232" s="508"/>
      <c r="P232" s="15"/>
      <c r="Q232" s="15"/>
      <c r="R232" s="15"/>
      <c r="W232" s="15"/>
    </row>
    <row r="233" spans="8:23">
      <c r="H233" s="15"/>
      <c r="I233" s="15"/>
      <c r="J233" s="15"/>
      <c r="K233" s="15"/>
      <c r="L233" s="15"/>
      <c r="M233" s="15"/>
      <c r="N233" s="15"/>
      <c r="O233" s="508"/>
      <c r="P233" s="15"/>
      <c r="Q233" s="15"/>
      <c r="R233" s="15"/>
      <c r="W233" s="15"/>
    </row>
    <row r="234" spans="8:23">
      <c r="H234" s="15"/>
      <c r="I234" s="15"/>
      <c r="J234" s="15"/>
      <c r="K234" s="15"/>
      <c r="L234" s="15"/>
      <c r="M234" s="15"/>
      <c r="N234" s="15"/>
      <c r="O234" s="508"/>
      <c r="P234" s="15"/>
      <c r="Q234" s="15"/>
      <c r="R234" s="15"/>
      <c r="W234" s="15"/>
    </row>
    <row r="235" spans="8:23">
      <c r="H235" s="15"/>
      <c r="I235" s="15"/>
      <c r="J235" s="15"/>
      <c r="K235" s="15"/>
      <c r="L235" s="15"/>
      <c r="M235" s="15"/>
      <c r="N235" s="15"/>
      <c r="O235" s="508"/>
      <c r="P235" s="15"/>
      <c r="Q235" s="15"/>
      <c r="R235" s="15"/>
      <c r="W235" s="15"/>
    </row>
    <row r="236" spans="8:23">
      <c r="H236" s="15"/>
      <c r="I236" s="15"/>
      <c r="J236" s="15"/>
      <c r="K236" s="15"/>
      <c r="L236" s="15"/>
      <c r="M236" s="15"/>
      <c r="N236" s="15"/>
      <c r="O236" s="508"/>
      <c r="P236" s="15"/>
      <c r="Q236" s="15"/>
      <c r="R236" s="15"/>
      <c r="W236" s="15"/>
    </row>
    <row r="237" spans="8:23">
      <c r="H237" s="15"/>
      <c r="I237" s="15"/>
      <c r="J237" s="15"/>
      <c r="K237" s="15"/>
      <c r="L237" s="15"/>
      <c r="M237" s="15"/>
      <c r="N237" s="15"/>
      <c r="O237" s="508"/>
      <c r="P237" s="15"/>
      <c r="Q237" s="15"/>
      <c r="R237" s="15"/>
      <c r="W237" s="15"/>
    </row>
    <row r="238" spans="8:23">
      <c r="H238" s="15"/>
      <c r="I238" s="15"/>
      <c r="J238" s="15"/>
      <c r="K238" s="15"/>
      <c r="L238" s="15"/>
      <c r="M238" s="15"/>
      <c r="N238" s="15"/>
      <c r="O238" s="508"/>
      <c r="P238" s="15"/>
      <c r="Q238" s="15"/>
      <c r="R238" s="15"/>
      <c r="W238" s="15"/>
    </row>
    <row r="239" spans="8:23">
      <c r="H239" s="15"/>
      <c r="I239" s="15"/>
      <c r="J239" s="15"/>
      <c r="K239" s="15"/>
      <c r="L239" s="15"/>
      <c r="M239" s="15"/>
      <c r="N239" s="15"/>
      <c r="O239" s="508"/>
      <c r="P239" s="15"/>
      <c r="Q239" s="15"/>
      <c r="R239" s="15"/>
      <c r="W239" s="15"/>
    </row>
    <row r="240" spans="8:23">
      <c r="H240" s="15"/>
      <c r="I240" s="15"/>
      <c r="J240" s="15"/>
      <c r="K240" s="15"/>
      <c r="L240" s="15"/>
      <c r="M240" s="15"/>
      <c r="N240" s="15"/>
      <c r="O240" s="508"/>
      <c r="P240" s="15"/>
      <c r="Q240" s="15"/>
      <c r="R240" s="15"/>
      <c r="W240" s="15"/>
    </row>
    <row r="241" spans="8:23">
      <c r="H241" s="15"/>
      <c r="I241" s="15"/>
      <c r="J241" s="15"/>
      <c r="K241" s="15"/>
      <c r="L241" s="15"/>
      <c r="M241" s="15"/>
      <c r="N241" s="15"/>
      <c r="O241" s="508"/>
      <c r="P241" s="15"/>
      <c r="Q241" s="15"/>
      <c r="R241" s="15"/>
      <c r="W241" s="15"/>
    </row>
    <row r="242" spans="8:23">
      <c r="H242" s="15"/>
      <c r="I242" s="15"/>
      <c r="J242" s="15"/>
      <c r="K242" s="15"/>
      <c r="L242" s="15"/>
      <c r="M242" s="15"/>
      <c r="N242" s="15"/>
      <c r="O242" s="508"/>
      <c r="P242" s="15"/>
      <c r="Q242" s="15"/>
      <c r="R242" s="15"/>
      <c r="W242" s="15"/>
    </row>
    <row r="243" spans="8:23">
      <c r="H243" s="15"/>
      <c r="I243" s="15"/>
      <c r="J243" s="15"/>
      <c r="K243" s="15"/>
      <c r="L243" s="15"/>
      <c r="M243" s="15"/>
      <c r="N243" s="15"/>
      <c r="O243" s="508"/>
      <c r="P243" s="15"/>
      <c r="Q243" s="15"/>
      <c r="R243" s="15"/>
      <c r="W243" s="15"/>
    </row>
    <row r="244" spans="8:23">
      <c r="H244" s="15"/>
      <c r="I244" s="15"/>
      <c r="J244" s="15"/>
      <c r="K244" s="15"/>
      <c r="L244" s="15"/>
      <c r="M244" s="15"/>
      <c r="N244" s="15"/>
      <c r="O244" s="508"/>
      <c r="P244" s="15"/>
      <c r="Q244" s="15"/>
      <c r="R244" s="15"/>
      <c r="W244" s="15"/>
    </row>
    <row r="245" spans="8:23">
      <c r="H245" s="15"/>
      <c r="I245" s="15"/>
      <c r="J245" s="15"/>
      <c r="K245" s="15"/>
      <c r="L245" s="15"/>
      <c r="M245" s="15"/>
      <c r="N245" s="15"/>
      <c r="O245" s="508"/>
      <c r="P245" s="15"/>
      <c r="Q245" s="15"/>
      <c r="R245" s="15"/>
      <c r="W245" s="15"/>
    </row>
    <row r="246" spans="8:23">
      <c r="H246" s="15"/>
      <c r="I246" s="15"/>
      <c r="J246" s="15"/>
      <c r="K246" s="15"/>
      <c r="L246" s="15"/>
      <c r="M246" s="15"/>
      <c r="N246" s="15"/>
      <c r="O246" s="508"/>
      <c r="P246" s="15"/>
      <c r="Q246" s="15"/>
      <c r="R246" s="15"/>
      <c r="W246" s="15"/>
    </row>
    <row r="247" spans="8:23">
      <c r="H247" s="15"/>
      <c r="I247" s="15"/>
      <c r="J247" s="15"/>
      <c r="K247" s="15"/>
      <c r="L247" s="15"/>
      <c r="M247" s="15"/>
      <c r="N247" s="15"/>
      <c r="O247" s="508"/>
      <c r="P247" s="15"/>
      <c r="Q247" s="15"/>
      <c r="R247" s="15"/>
      <c r="W247" s="15"/>
    </row>
    <row r="248" spans="8:23">
      <c r="H248" s="15"/>
      <c r="I248" s="15"/>
      <c r="J248" s="15"/>
      <c r="K248" s="15"/>
      <c r="L248" s="15"/>
      <c r="M248" s="15"/>
      <c r="N248" s="15"/>
      <c r="O248" s="508"/>
      <c r="P248" s="15"/>
      <c r="Q248" s="15"/>
      <c r="R248" s="15"/>
      <c r="W248" s="15"/>
    </row>
  </sheetData>
  <sheetProtection password="D37A" sheet="1" scenarios="1" formatCells="0" formatColumns="0" formatRows="0" insertColumns="0" insertRows="0" sort="0" autoFilter="0"/>
  <mergeCells count="73">
    <mergeCell ref="N2:O2"/>
    <mergeCell ref="H54:H56"/>
    <mergeCell ref="Z46:AA46"/>
    <mergeCell ref="Y18:Z18"/>
    <mergeCell ref="Y20:AA20"/>
    <mergeCell ref="Y4:Z4"/>
    <mergeCell ref="AA21:AA22"/>
    <mergeCell ref="Y49:AA49"/>
    <mergeCell ref="S48:T48"/>
    <mergeCell ref="S49:T49"/>
    <mergeCell ref="Y3:AA3"/>
    <mergeCell ref="B20:D20"/>
    <mergeCell ref="S58:T58"/>
    <mergeCell ref="AB4:AC4"/>
    <mergeCell ref="S4:S5"/>
    <mergeCell ref="B25:B26"/>
    <mergeCell ref="D25:D26"/>
    <mergeCell ref="O5:O6"/>
    <mergeCell ref="P5:Q6"/>
    <mergeCell ref="Y21:Y22"/>
    <mergeCell ref="Z21:Z22"/>
    <mergeCell ref="R5:R6"/>
    <mergeCell ref="E5:E6"/>
    <mergeCell ref="K5:K6"/>
    <mergeCell ref="V5:V6"/>
    <mergeCell ref="W5:W6"/>
    <mergeCell ref="U5:U6"/>
    <mergeCell ref="B3:C3"/>
    <mergeCell ref="B5:B6"/>
    <mergeCell ref="C4:D4"/>
    <mergeCell ref="D5:D6"/>
    <mergeCell ref="C5:C6"/>
    <mergeCell ref="F5:F6"/>
    <mergeCell ref="I5:J6"/>
    <mergeCell ref="M5:M6"/>
    <mergeCell ref="T4:T5"/>
    <mergeCell ref="H5:H6"/>
    <mergeCell ref="E4:F4"/>
    <mergeCell ref="L5:L6"/>
    <mergeCell ref="S59:T59"/>
    <mergeCell ref="AE5:AE7"/>
    <mergeCell ref="AE10:AE12"/>
    <mergeCell ref="AR21:AR22"/>
    <mergeCell ref="AE15:AE20"/>
    <mergeCell ref="AQ20:AT20"/>
    <mergeCell ref="AP12:AX12"/>
    <mergeCell ref="AE21:AE22"/>
    <mergeCell ref="AG21:AG22"/>
    <mergeCell ref="S56:T56"/>
    <mergeCell ref="S55:T55"/>
    <mergeCell ref="S50:T50"/>
    <mergeCell ref="S51:T51"/>
    <mergeCell ref="AD21:AD22"/>
    <mergeCell ref="C58:D58"/>
    <mergeCell ref="I56:J56"/>
    <mergeCell ref="B43:C43"/>
    <mergeCell ref="C25:C26"/>
    <mergeCell ref="B63:B64"/>
    <mergeCell ref="C63:C64"/>
    <mergeCell ref="D63:D64"/>
    <mergeCell ref="E63:E64"/>
    <mergeCell ref="F63:F64"/>
    <mergeCell ref="E23:F24"/>
    <mergeCell ref="C41:D41"/>
    <mergeCell ref="B42:D42"/>
    <mergeCell ref="S54:T54"/>
    <mergeCell ref="S52:T52"/>
    <mergeCell ref="S53:T53"/>
    <mergeCell ref="B23:B24"/>
    <mergeCell ref="C23:D24"/>
    <mergeCell ref="F25:F26"/>
    <mergeCell ref="E25:E26"/>
    <mergeCell ref="N53:O54"/>
  </mergeCells>
  <conditionalFormatting sqref="AE23:AE44 Q56:S56 S50:S55">
    <cfRule type="cellIs" dxfId="4836" priority="3" stopIfTrue="1" operator="lessThan">
      <formula>0</formula>
    </cfRule>
  </conditionalFormatting>
  <conditionalFormatting sqref="AE13:AE20">
    <cfRule type="containsText" dxfId="4835" priority="227" stopIfTrue="1" operator="containsText" text="Over">
      <formula>NOT(ISERROR(SEARCH("Over",AE13)))</formula>
    </cfRule>
  </conditionalFormatting>
  <conditionalFormatting sqref="AI23:AI44">
    <cfRule type="cellIs" dxfId="4834" priority="226" stopIfTrue="1" operator="equal">
      <formula>1</formula>
    </cfRule>
  </conditionalFormatting>
  <conditionalFormatting sqref="B20:F20 B42:F42">
    <cfRule type="containsText" dxfId="4833" priority="225" stopIfTrue="1" operator="containsText" text="Check">
      <formula>NOT(ISERROR(SEARCH("Check",B20)))</formula>
    </cfRule>
  </conditionalFormatting>
  <conditionalFormatting sqref="W46 K54:M54 K58:M58 D19 C41">
    <cfRule type="cellIs" dxfId="4832" priority="223" stopIfTrue="1" operator="lessThan">
      <formula>0</formula>
    </cfRule>
  </conditionalFormatting>
  <conditionalFormatting sqref="D45">
    <cfRule type="cellIs" dxfId="4831" priority="248" stopIfTrue="1" operator="greaterThan">
      <formula>$C$45</formula>
    </cfRule>
  </conditionalFormatting>
  <conditionalFormatting sqref="D46">
    <cfRule type="cellIs" dxfId="4830" priority="249" stopIfTrue="1" operator="greaterThan">
      <formula>$C$46</formula>
    </cfRule>
  </conditionalFormatting>
  <conditionalFormatting sqref="D47">
    <cfRule type="cellIs" dxfId="4829" priority="250" stopIfTrue="1" operator="greaterThan">
      <formula>$C$47</formula>
    </cfRule>
  </conditionalFormatting>
  <conditionalFormatting sqref="D48">
    <cfRule type="cellIs" dxfId="4828" priority="251" stopIfTrue="1" operator="greaterThan">
      <formula>$C$48</formula>
    </cfRule>
  </conditionalFormatting>
  <conditionalFormatting sqref="D49">
    <cfRule type="cellIs" dxfId="4827" priority="252" stopIfTrue="1" operator="greaterThan">
      <formula>$C$49</formula>
    </cfRule>
  </conditionalFormatting>
  <conditionalFormatting sqref="D50">
    <cfRule type="cellIs" dxfId="4826" priority="253" stopIfTrue="1" operator="greaterThan">
      <formula>$C$50</formula>
    </cfRule>
  </conditionalFormatting>
  <conditionalFormatting sqref="D51">
    <cfRule type="cellIs" dxfId="4825" priority="254" stopIfTrue="1" operator="greaterThan">
      <formula>$C$51</formula>
    </cfRule>
  </conditionalFormatting>
  <conditionalFormatting sqref="D52">
    <cfRule type="cellIs" dxfId="4824" priority="255" stopIfTrue="1" operator="greaterThan">
      <formula>$C$52</formula>
    </cfRule>
  </conditionalFormatting>
  <conditionalFormatting sqref="D53">
    <cfRule type="cellIs" dxfId="4823" priority="256" stopIfTrue="1" operator="greaterThan">
      <formula>$C$53</formula>
    </cfRule>
  </conditionalFormatting>
  <conditionalFormatting sqref="D54">
    <cfRule type="cellIs" dxfId="4822" priority="257" stopIfTrue="1" operator="greaterThan">
      <formula>$C$54</formula>
    </cfRule>
  </conditionalFormatting>
  <conditionalFormatting sqref="D55">
    <cfRule type="cellIs" dxfId="4821" priority="258" stopIfTrue="1" operator="greaterThan">
      <formula>$C$55</formula>
    </cfRule>
  </conditionalFormatting>
  <conditionalFormatting sqref="D56">
    <cfRule type="cellIs" dxfId="4820" priority="259" stopIfTrue="1" operator="greaterThan">
      <formula>$C$56</formula>
    </cfRule>
  </conditionalFormatting>
  <conditionalFormatting sqref="C7">
    <cfRule type="expression" dxfId="4819" priority="220" stopIfTrue="1">
      <formula>AND(C7&lt;&gt;0, NOT(ISTEXT(B7)))</formula>
    </cfRule>
    <cfRule type="cellIs" dxfId="4818" priority="222" stopIfTrue="1" operator="lessThan">
      <formula>0</formula>
    </cfRule>
  </conditionalFormatting>
  <conditionalFormatting sqref="C8">
    <cfRule type="expression" dxfId="4817" priority="218" stopIfTrue="1">
      <formula>AND(C8&lt;&gt;0, NOT(ISTEXT(B8)))</formula>
    </cfRule>
    <cfRule type="cellIs" dxfId="4816" priority="219" stopIfTrue="1" operator="lessThan">
      <formula>0</formula>
    </cfRule>
  </conditionalFormatting>
  <conditionalFormatting sqref="C9">
    <cfRule type="expression" dxfId="4815" priority="216" stopIfTrue="1">
      <formula>AND(C9&lt;&gt;0, NOT(ISTEXT(B9)))</formula>
    </cfRule>
    <cfRule type="cellIs" dxfId="4814" priority="217" stopIfTrue="1" operator="lessThan">
      <formula>0</formula>
    </cfRule>
  </conditionalFormatting>
  <conditionalFormatting sqref="C10">
    <cfRule type="expression" dxfId="4813" priority="214" stopIfTrue="1">
      <formula>AND(C10&lt;&gt;0, NOT(ISTEXT(B10)))</formula>
    </cfRule>
    <cfRule type="cellIs" dxfId="4812" priority="215" stopIfTrue="1" operator="lessThan">
      <formula>0</formula>
    </cfRule>
  </conditionalFormatting>
  <conditionalFormatting sqref="C11">
    <cfRule type="expression" dxfId="4811" priority="212" stopIfTrue="1">
      <formula>AND(C11&lt;&gt;0, NOT(ISTEXT(B11)))</formula>
    </cfRule>
    <cfRule type="cellIs" dxfId="4810" priority="213" stopIfTrue="1" operator="lessThan">
      <formula>0</formula>
    </cfRule>
  </conditionalFormatting>
  <conditionalFormatting sqref="C12">
    <cfRule type="expression" dxfId="4809" priority="210" stopIfTrue="1">
      <formula>AND(C12&lt;&gt;0, NOT(ISTEXT(B12)))</formula>
    </cfRule>
    <cfRule type="cellIs" dxfId="4808" priority="211" stopIfTrue="1" operator="lessThan">
      <formula>0</formula>
    </cfRule>
  </conditionalFormatting>
  <conditionalFormatting sqref="C13">
    <cfRule type="expression" dxfId="4807" priority="208" stopIfTrue="1">
      <formula>AND(C13&lt;&gt;0, NOT(ISTEXT(B13)))</formula>
    </cfRule>
    <cfRule type="cellIs" dxfId="4806" priority="209" stopIfTrue="1" operator="lessThan">
      <formula>0</formula>
    </cfRule>
  </conditionalFormatting>
  <conditionalFormatting sqref="C14">
    <cfRule type="expression" dxfId="4805" priority="206" stopIfTrue="1">
      <formula>AND(C14&lt;&gt;0, NOT(ISTEXT(B14)))</formula>
    </cfRule>
    <cfRule type="cellIs" dxfId="4804" priority="207" stopIfTrue="1" operator="lessThan">
      <formula>0</formula>
    </cfRule>
  </conditionalFormatting>
  <conditionalFormatting sqref="C15">
    <cfRule type="expression" dxfId="4803" priority="204" stopIfTrue="1">
      <formula>AND(C15&lt;&gt;0, NOT(ISTEXT(B15)))</formula>
    </cfRule>
    <cfRule type="cellIs" dxfId="4802" priority="205" stopIfTrue="1" operator="lessThan">
      <formula>0</formula>
    </cfRule>
  </conditionalFormatting>
  <conditionalFormatting sqref="C16">
    <cfRule type="expression" dxfId="4801" priority="202" stopIfTrue="1">
      <formula>AND(C16&lt;&gt;0, NOT(ISTEXT(B16)))</formula>
    </cfRule>
    <cfRule type="cellIs" dxfId="4800" priority="203" stopIfTrue="1" operator="lessThan">
      <formula>0</formula>
    </cfRule>
  </conditionalFormatting>
  <conditionalFormatting sqref="C17">
    <cfRule type="expression" dxfId="4799" priority="200" stopIfTrue="1">
      <formula>AND(C17&lt;&gt;0, NOT(ISTEXT(B17)))</formula>
    </cfRule>
    <cfRule type="cellIs" dxfId="4798" priority="201" stopIfTrue="1" operator="lessThan">
      <formula>0</formula>
    </cfRule>
  </conditionalFormatting>
  <conditionalFormatting sqref="C27">
    <cfRule type="expression" dxfId="4797" priority="198" stopIfTrue="1">
      <formula>AND(C27&lt;&gt;0, NOT(ISTEXT(B27)))</formula>
    </cfRule>
    <cfRule type="cellIs" dxfId="4796" priority="199" stopIfTrue="1" operator="lessThan">
      <formula>0</formula>
    </cfRule>
  </conditionalFormatting>
  <conditionalFormatting sqref="C39">
    <cfRule type="expression" dxfId="4795" priority="196" stopIfTrue="1">
      <formula>AND(C39&lt;&gt;0, NOT(ISTEXT(B39)))</formula>
    </cfRule>
    <cfRule type="cellIs" dxfId="4794" priority="197" stopIfTrue="1" operator="lessThan">
      <formula>0</formula>
    </cfRule>
  </conditionalFormatting>
  <conditionalFormatting sqref="C28">
    <cfRule type="expression" dxfId="4793" priority="194" stopIfTrue="1">
      <formula>AND(C28&lt;&gt;0, NOT(ISTEXT(B28)))</formula>
    </cfRule>
    <cfRule type="cellIs" dxfId="4792" priority="195" stopIfTrue="1" operator="lessThan">
      <formula>0</formula>
    </cfRule>
  </conditionalFormatting>
  <conditionalFormatting sqref="C29">
    <cfRule type="expression" dxfId="4791" priority="192" stopIfTrue="1">
      <formula>AND(C29&lt;&gt;0, NOT(ISTEXT(B29)))</formula>
    </cfRule>
    <cfRule type="cellIs" dxfId="4790" priority="193" stopIfTrue="1" operator="lessThan">
      <formula>0</formula>
    </cfRule>
  </conditionalFormatting>
  <conditionalFormatting sqref="C30">
    <cfRule type="expression" dxfId="4789" priority="190" stopIfTrue="1">
      <formula>AND(C30&lt;&gt;0, NOT(ISTEXT(B30)))</formula>
    </cfRule>
    <cfRule type="cellIs" dxfId="4788" priority="191" stopIfTrue="1" operator="lessThan">
      <formula>0</formula>
    </cfRule>
  </conditionalFormatting>
  <conditionalFormatting sqref="C31">
    <cfRule type="expression" dxfId="4787" priority="188" stopIfTrue="1">
      <formula>AND(C31&lt;&gt;0, NOT(ISTEXT(B31)))</formula>
    </cfRule>
    <cfRule type="cellIs" dxfId="4786" priority="189" stopIfTrue="1" operator="lessThan">
      <formula>0</formula>
    </cfRule>
  </conditionalFormatting>
  <conditionalFormatting sqref="C32">
    <cfRule type="expression" dxfId="4785" priority="186" stopIfTrue="1">
      <formula>AND(C32&lt;&gt;0, NOT(ISTEXT(B32)))</formula>
    </cfRule>
    <cfRule type="cellIs" dxfId="4784" priority="187" stopIfTrue="1" operator="lessThan">
      <formula>0</formula>
    </cfRule>
  </conditionalFormatting>
  <conditionalFormatting sqref="C33">
    <cfRule type="expression" dxfId="4783" priority="184" stopIfTrue="1">
      <formula>AND(C33&lt;&gt;0, NOT(ISTEXT(B33)))</formula>
    </cfRule>
    <cfRule type="cellIs" dxfId="4782" priority="185" stopIfTrue="1" operator="lessThan">
      <formula>0</formula>
    </cfRule>
  </conditionalFormatting>
  <conditionalFormatting sqref="C34">
    <cfRule type="expression" dxfId="4781" priority="182" stopIfTrue="1">
      <formula>AND(C34&lt;&gt;0, NOT(ISTEXT(B34)))</formula>
    </cfRule>
    <cfRule type="cellIs" dxfId="4780" priority="183" stopIfTrue="1" operator="lessThan">
      <formula>0</formula>
    </cfRule>
  </conditionalFormatting>
  <conditionalFormatting sqref="C35">
    <cfRule type="expression" dxfId="4779" priority="180" stopIfTrue="1">
      <formula>AND(C35&lt;&gt;0, NOT(ISTEXT(B35)))</formula>
    </cfRule>
    <cfRule type="cellIs" dxfId="4778" priority="181" stopIfTrue="1" operator="lessThan">
      <formula>0</formula>
    </cfRule>
  </conditionalFormatting>
  <conditionalFormatting sqref="C36">
    <cfRule type="expression" dxfId="4777" priority="178" stopIfTrue="1">
      <formula>AND(C36&lt;&gt;0, NOT(ISTEXT(B36)))</formula>
    </cfRule>
    <cfRule type="cellIs" dxfId="4776" priority="179" stopIfTrue="1" operator="lessThan">
      <formula>0</formula>
    </cfRule>
  </conditionalFormatting>
  <conditionalFormatting sqref="C37">
    <cfRule type="expression" dxfId="4775" priority="176" stopIfTrue="1">
      <formula>AND(C37&lt;&gt;0, NOT(ISTEXT(B37)))</formula>
    </cfRule>
    <cfRule type="cellIs" dxfId="4774" priority="177" stopIfTrue="1" operator="lessThan">
      <formula>0</formula>
    </cfRule>
  </conditionalFormatting>
  <conditionalFormatting sqref="C38">
    <cfRule type="expression" dxfId="4773" priority="174" stopIfTrue="1">
      <formula>AND(C38&lt;&gt;0, NOT(ISTEXT(B38)))</formula>
    </cfRule>
    <cfRule type="cellIs" dxfId="4772" priority="175" stopIfTrue="1" operator="lessThan">
      <formula>0</formula>
    </cfRule>
  </conditionalFormatting>
  <conditionalFormatting sqref="C45">
    <cfRule type="expression" dxfId="4771" priority="172" stopIfTrue="1">
      <formula>AND(C45&lt;&gt;0, NOT(ISTEXT(B45)))</formula>
    </cfRule>
    <cfRule type="cellIs" dxfId="4770" priority="173" stopIfTrue="1" operator="lessThan">
      <formula>0</formula>
    </cfRule>
  </conditionalFormatting>
  <conditionalFormatting sqref="C56">
    <cfRule type="expression" dxfId="4769" priority="170" stopIfTrue="1">
      <formula>AND(C56&lt;&gt;0, NOT(ISTEXT(B56)))</formula>
    </cfRule>
    <cfRule type="cellIs" dxfId="4768" priority="171" stopIfTrue="1" operator="lessThan">
      <formula>0</formula>
    </cfRule>
  </conditionalFormatting>
  <conditionalFormatting sqref="C46">
    <cfRule type="expression" dxfId="4767" priority="168" stopIfTrue="1">
      <formula>AND(C46&lt;&gt;0, NOT(ISTEXT(B46)))</formula>
    </cfRule>
    <cfRule type="cellIs" dxfId="4766" priority="169" stopIfTrue="1" operator="lessThan">
      <formula>0</formula>
    </cfRule>
  </conditionalFormatting>
  <conditionalFormatting sqref="C47">
    <cfRule type="expression" dxfId="4765" priority="166" stopIfTrue="1">
      <formula>AND(C47&lt;&gt;0, NOT(ISTEXT(B47)))</formula>
    </cfRule>
    <cfRule type="cellIs" dxfId="4764" priority="167" stopIfTrue="1" operator="lessThan">
      <formula>0</formula>
    </cfRule>
  </conditionalFormatting>
  <conditionalFormatting sqref="C48">
    <cfRule type="expression" dxfId="4763" priority="164" stopIfTrue="1">
      <formula>AND(C48&lt;&gt;0, NOT(ISTEXT(B48)))</formula>
    </cfRule>
    <cfRule type="cellIs" dxfId="4762" priority="165" stopIfTrue="1" operator="lessThan">
      <formula>0</formula>
    </cfRule>
  </conditionalFormatting>
  <conditionalFormatting sqref="C49">
    <cfRule type="expression" dxfId="4761" priority="162" stopIfTrue="1">
      <formula>AND(C49&lt;&gt;0, NOT(ISTEXT(B49)))</formula>
    </cfRule>
    <cfRule type="cellIs" dxfId="4760" priority="163" stopIfTrue="1" operator="lessThan">
      <formula>0</formula>
    </cfRule>
  </conditionalFormatting>
  <conditionalFormatting sqref="C50">
    <cfRule type="expression" dxfId="4759" priority="160" stopIfTrue="1">
      <formula>AND(C50&lt;&gt;0, NOT(ISTEXT(B50)))</formula>
    </cfRule>
    <cfRule type="cellIs" dxfId="4758" priority="161" stopIfTrue="1" operator="lessThan">
      <formula>0</formula>
    </cfRule>
  </conditionalFormatting>
  <conditionalFormatting sqref="C51">
    <cfRule type="expression" dxfId="4757" priority="158" stopIfTrue="1">
      <formula>AND(C51&lt;&gt;0, NOT(ISTEXT(B51)))</formula>
    </cfRule>
    <cfRule type="cellIs" dxfId="4756" priority="159" stopIfTrue="1" operator="lessThan">
      <formula>0</formula>
    </cfRule>
  </conditionalFormatting>
  <conditionalFormatting sqref="C52">
    <cfRule type="expression" dxfId="4755" priority="156" stopIfTrue="1">
      <formula>AND(C52&lt;&gt;0, NOT(ISTEXT(B52)))</formula>
    </cfRule>
    <cfRule type="cellIs" dxfId="4754" priority="157" stopIfTrue="1" operator="lessThan">
      <formula>0</formula>
    </cfRule>
  </conditionalFormatting>
  <conditionalFormatting sqref="C53">
    <cfRule type="expression" dxfId="4753" priority="154" stopIfTrue="1">
      <formula>AND(C53&lt;&gt;0, NOT(ISTEXT(B53)))</formula>
    </cfRule>
    <cfRule type="cellIs" dxfId="4752" priority="155" stopIfTrue="1" operator="lessThan">
      <formula>0</formula>
    </cfRule>
  </conditionalFormatting>
  <conditionalFormatting sqref="C54">
    <cfRule type="expression" dxfId="4751" priority="152" stopIfTrue="1">
      <formula>AND(C54&lt;&gt;0, NOT(ISTEXT(B54)))</formula>
    </cfRule>
    <cfRule type="cellIs" dxfId="4750" priority="153" stopIfTrue="1" operator="lessThan">
      <formula>0</formula>
    </cfRule>
  </conditionalFormatting>
  <conditionalFormatting sqref="C55">
    <cfRule type="expression" dxfId="4749" priority="150" stopIfTrue="1">
      <formula>AND(C55&lt;&gt;0, NOT(ISTEXT(B55)))</formula>
    </cfRule>
    <cfRule type="cellIs" dxfId="4748" priority="151" stopIfTrue="1" operator="lessThan">
      <formula>0</formula>
    </cfRule>
  </conditionalFormatting>
  <conditionalFormatting sqref="Z6">
    <cfRule type="expression" dxfId="4747" priority="148" stopIfTrue="1">
      <formula>AND(Z6&lt;&gt;0, NOT(ISTEXT(Y6)))</formula>
    </cfRule>
    <cfRule type="cellIs" dxfId="4746" priority="149" stopIfTrue="1" operator="lessThan">
      <formula>0</formula>
    </cfRule>
  </conditionalFormatting>
  <conditionalFormatting sqref="Z16">
    <cfRule type="expression" dxfId="4745" priority="146" stopIfTrue="1">
      <formula>AND(Z16&lt;&gt;0, NOT(ISTEXT(Y16)))</formula>
    </cfRule>
    <cfRule type="cellIs" dxfId="4744" priority="147" stopIfTrue="1" operator="lessThan">
      <formula>0</formula>
    </cfRule>
  </conditionalFormatting>
  <conditionalFormatting sqref="Z7">
    <cfRule type="expression" dxfId="4743" priority="144" stopIfTrue="1">
      <formula>AND(Z7&lt;&gt;0, NOT(ISTEXT(Y7)))</formula>
    </cfRule>
    <cfRule type="cellIs" dxfId="4742" priority="145" stopIfTrue="1" operator="lessThan">
      <formula>0</formula>
    </cfRule>
  </conditionalFormatting>
  <conditionalFormatting sqref="Z8">
    <cfRule type="expression" dxfId="4741" priority="142" stopIfTrue="1">
      <formula>AND(Z8&lt;&gt;0, NOT(ISTEXT(Y8)))</formula>
    </cfRule>
    <cfRule type="cellIs" dxfId="4740" priority="143" stopIfTrue="1" operator="lessThan">
      <formula>0</formula>
    </cfRule>
  </conditionalFormatting>
  <conditionalFormatting sqref="Z9">
    <cfRule type="expression" dxfId="4739" priority="140" stopIfTrue="1">
      <formula>AND(Z9&lt;&gt;0, NOT(ISTEXT(Y9)))</formula>
    </cfRule>
    <cfRule type="cellIs" dxfId="4738" priority="141" stopIfTrue="1" operator="lessThan">
      <formula>0</formula>
    </cfRule>
  </conditionalFormatting>
  <conditionalFormatting sqref="Z10">
    <cfRule type="expression" dxfId="4737" priority="138" stopIfTrue="1">
      <formula>AND(Z10&lt;&gt;0, NOT(ISTEXT(Y10)))</formula>
    </cfRule>
    <cfRule type="cellIs" dxfId="4736" priority="139" stopIfTrue="1" operator="lessThan">
      <formula>0</formula>
    </cfRule>
  </conditionalFormatting>
  <conditionalFormatting sqref="Z11">
    <cfRule type="expression" dxfId="4735" priority="136" stopIfTrue="1">
      <formula>AND(Z11&lt;&gt;0, NOT(ISTEXT(Y11)))</formula>
    </cfRule>
    <cfRule type="cellIs" dxfId="4734" priority="137" stopIfTrue="1" operator="lessThan">
      <formula>0</formula>
    </cfRule>
  </conditionalFormatting>
  <conditionalFormatting sqref="Z12">
    <cfRule type="expression" dxfId="4733" priority="134" stopIfTrue="1">
      <formula>AND(Z12&lt;&gt;0, NOT(ISTEXT(Y12)))</formula>
    </cfRule>
    <cfRule type="cellIs" dxfId="4732" priority="135" stopIfTrue="1" operator="lessThan">
      <formula>0</formula>
    </cfRule>
  </conditionalFormatting>
  <conditionalFormatting sqref="Z13">
    <cfRule type="expression" dxfId="4731" priority="132" stopIfTrue="1">
      <formula>AND(Z13&lt;&gt;0, NOT(ISTEXT(Y13)))</formula>
    </cfRule>
    <cfRule type="cellIs" dxfId="4730" priority="133" stopIfTrue="1" operator="lessThan">
      <formula>0</formula>
    </cfRule>
  </conditionalFormatting>
  <conditionalFormatting sqref="Z14">
    <cfRule type="expression" dxfId="4729" priority="130" stopIfTrue="1">
      <formula>AND(Z14&lt;&gt;0, NOT(ISTEXT(Y14)))</formula>
    </cfRule>
    <cfRule type="cellIs" dxfId="4728" priority="131" stopIfTrue="1" operator="lessThan">
      <formula>0</formula>
    </cfRule>
  </conditionalFormatting>
  <conditionalFormatting sqref="Z15">
    <cfRule type="expression" dxfId="4727" priority="128" stopIfTrue="1">
      <formula>AND(Z15&lt;&gt;0, NOT(ISTEXT(Y15)))</formula>
    </cfRule>
    <cfRule type="cellIs" dxfId="4726" priority="129" stopIfTrue="1" operator="lessThan">
      <formula>0</formula>
    </cfRule>
  </conditionalFormatting>
  <conditionalFormatting sqref="Z23">
    <cfRule type="expression" dxfId="4725" priority="126" stopIfTrue="1">
      <formula>AND(Z23&lt;&gt;0, NOT(ISTEXT(Y23)))</formula>
    </cfRule>
    <cfRule type="cellIs" dxfId="4724" priority="127" stopIfTrue="1" operator="lessThan">
      <formula>0</formula>
    </cfRule>
  </conditionalFormatting>
  <conditionalFormatting sqref="Z44">
    <cfRule type="expression" dxfId="4723" priority="124" stopIfTrue="1">
      <formula>AND(Z44&lt;&gt;0, NOT(ISTEXT(Y44)))</formula>
    </cfRule>
    <cfRule type="cellIs" dxfId="4722" priority="125" stopIfTrue="1" operator="lessThan">
      <formula>0</formula>
    </cfRule>
  </conditionalFormatting>
  <conditionalFormatting sqref="Z24">
    <cfRule type="expression" dxfId="4721" priority="122" stopIfTrue="1">
      <formula>AND(Z24&lt;&gt;0, NOT(ISTEXT(Y24)))</formula>
    </cfRule>
    <cfRule type="cellIs" dxfId="4720" priority="123" stopIfTrue="1" operator="lessThan">
      <formula>0</formula>
    </cfRule>
  </conditionalFormatting>
  <conditionalFormatting sqref="Z25">
    <cfRule type="expression" dxfId="4719" priority="120" stopIfTrue="1">
      <formula>AND(Z25&lt;&gt;0, NOT(ISTEXT(Y25)))</formula>
    </cfRule>
    <cfRule type="cellIs" dxfId="4718" priority="121" stopIfTrue="1" operator="lessThan">
      <formula>0</formula>
    </cfRule>
  </conditionalFormatting>
  <conditionalFormatting sqref="Z26">
    <cfRule type="expression" dxfId="4717" priority="118" stopIfTrue="1">
      <formula>AND(Z26&lt;&gt;0, NOT(ISTEXT(Y26)))</formula>
    </cfRule>
    <cfRule type="cellIs" dxfId="4716" priority="119" stopIfTrue="1" operator="lessThan">
      <formula>0</formula>
    </cfRule>
  </conditionalFormatting>
  <conditionalFormatting sqref="Z27">
    <cfRule type="expression" dxfId="4715" priority="116" stopIfTrue="1">
      <formula>AND(Z27&lt;&gt;0, NOT(ISTEXT(Y27)))</formula>
    </cfRule>
    <cfRule type="cellIs" dxfId="4714" priority="117" stopIfTrue="1" operator="lessThan">
      <formula>0</formula>
    </cfRule>
  </conditionalFormatting>
  <conditionalFormatting sqref="Z28">
    <cfRule type="expression" dxfId="4713" priority="114" stopIfTrue="1">
      <formula>AND(Z28&lt;&gt;0, NOT(ISTEXT(Y28)))</formula>
    </cfRule>
    <cfRule type="cellIs" dxfId="4712" priority="115" stopIfTrue="1" operator="lessThan">
      <formula>0</formula>
    </cfRule>
  </conditionalFormatting>
  <conditionalFormatting sqref="Z29">
    <cfRule type="expression" dxfId="4711" priority="112" stopIfTrue="1">
      <formula>AND(Z29&lt;&gt;0, NOT(ISTEXT(Y29)))</formula>
    </cfRule>
    <cfRule type="cellIs" dxfId="4710" priority="113" stopIfTrue="1" operator="lessThan">
      <formula>0</formula>
    </cfRule>
  </conditionalFormatting>
  <conditionalFormatting sqref="Z30">
    <cfRule type="expression" dxfId="4709" priority="110" stopIfTrue="1">
      <formula>AND(Z30&lt;&gt;0, NOT(ISTEXT(Y30)))</formula>
    </cfRule>
    <cfRule type="cellIs" dxfId="4708" priority="111" stopIfTrue="1" operator="lessThan">
      <formula>0</formula>
    </cfRule>
  </conditionalFormatting>
  <conditionalFormatting sqref="Z31">
    <cfRule type="expression" dxfId="4707" priority="108" stopIfTrue="1">
      <formula>AND(Z31&lt;&gt;0, NOT(ISTEXT(Y31)))</formula>
    </cfRule>
    <cfRule type="cellIs" dxfId="4706" priority="109" stopIfTrue="1" operator="lessThan">
      <formula>0</formula>
    </cfRule>
  </conditionalFormatting>
  <conditionalFormatting sqref="Z32">
    <cfRule type="expression" dxfId="4705" priority="106" stopIfTrue="1">
      <formula>AND(Z32&lt;&gt;0, NOT(ISTEXT(Y32)))</formula>
    </cfRule>
    <cfRule type="cellIs" dxfId="4704" priority="107" stopIfTrue="1" operator="lessThan">
      <formula>0</formula>
    </cfRule>
  </conditionalFormatting>
  <conditionalFormatting sqref="Z33">
    <cfRule type="expression" dxfId="4703" priority="104" stopIfTrue="1">
      <formula>AND(Z33&lt;&gt;0, NOT(ISTEXT(Y33)))</formula>
    </cfRule>
    <cfRule type="cellIs" dxfId="4702" priority="105" stopIfTrue="1" operator="lessThan">
      <formula>0</formula>
    </cfRule>
  </conditionalFormatting>
  <conditionalFormatting sqref="Z34">
    <cfRule type="expression" dxfId="4701" priority="102" stopIfTrue="1">
      <formula>AND(Z34&lt;&gt;0, NOT(ISTEXT(Y34)))</formula>
    </cfRule>
    <cfRule type="cellIs" dxfId="4700" priority="103" stopIfTrue="1" operator="lessThan">
      <formula>0</formula>
    </cfRule>
  </conditionalFormatting>
  <conditionalFormatting sqref="Z35">
    <cfRule type="expression" dxfId="4699" priority="100" stopIfTrue="1">
      <formula>AND(Z35&lt;&gt;0, NOT(ISTEXT(Y35)))</formula>
    </cfRule>
    <cfRule type="cellIs" dxfId="4698" priority="101" stopIfTrue="1" operator="lessThan">
      <formula>0</formula>
    </cfRule>
  </conditionalFormatting>
  <conditionalFormatting sqref="Z36">
    <cfRule type="expression" dxfId="4697" priority="98" stopIfTrue="1">
      <formula>AND(Z36&lt;&gt;0, NOT(ISTEXT(Y36)))</formula>
    </cfRule>
    <cfRule type="cellIs" dxfId="4696" priority="99" stopIfTrue="1" operator="lessThan">
      <formula>0</formula>
    </cfRule>
  </conditionalFormatting>
  <conditionalFormatting sqref="Z37">
    <cfRule type="expression" dxfId="4695" priority="96" stopIfTrue="1">
      <formula>AND(Z37&lt;&gt;0, NOT(ISTEXT(Y37)))</formula>
    </cfRule>
    <cfRule type="cellIs" dxfId="4694" priority="97" stopIfTrue="1" operator="lessThan">
      <formula>0</formula>
    </cfRule>
  </conditionalFormatting>
  <conditionalFormatting sqref="Z38">
    <cfRule type="expression" dxfId="4693" priority="94" stopIfTrue="1">
      <formula>AND(Z38&lt;&gt;0, NOT(ISTEXT(Y38)))</formula>
    </cfRule>
    <cfRule type="cellIs" dxfId="4692" priority="95" stopIfTrue="1" operator="lessThan">
      <formula>0</formula>
    </cfRule>
  </conditionalFormatting>
  <conditionalFormatting sqref="Z39">
    <cfRule type="expression" dxfId="4691" priority="92" stopIfTrue="1">
      <formula>AND(Z39&lt;&gt;0, NOT(ISTEXT(Y39)))</formula>
    </cfRule>
    <cfRule type="cellIs" dxfId="4690" priority="93" stopIfTrue="1" operator="lessThan">
      <formula>0</formula>
    </cfRule>
  </conditionalFormatting>
  <conditionalFormatting sqref="Z40">
    <cfRule type="expression" dxfId="4689" priority="90" stopIfTrue="1">
      <formula>AND(Z40&lt;&gt;0, NOT(ISTEXT(Y40)))</formula>
    </cfRule>
    <cfRule type="cellIs" dxfId="4688" priority="91" stopIfTrue="1" operator="lessThan">
      <formula>0</formula>
    </cfRule>
  </conditionalFormatting>
  <conditionalFormatting sqref="Z41">
    <cfRule type="expression" dxfId="4687" priority="88" stopIfTrue="1">
      <formula>AND(Z41&lt;&gt;0, NOT(ISTEXT(Y41)))</formula>
    </cfRule>
    <cfRule type="cellIs" dxfId="4686" priority="89" stopIfTrue="1" operator="lessThan">
      <formula>0</formula>
    </cfRule>
  </conditionalFormatting>
  <conditionalFormatting sqref="Z42">
    <cfRule type="expression" dxfId="4685" priority="86" stopIfTrue="1">
      <formula>AND(Z42&lt;&gt;0, NOT(ISTEXT(Y42)))</formula>
    </cfRule>
    <cfRule type="cellIs" dxfId="4684" priority="87" stopIfTrue="1" operator="lessThan">
      <formula>0</formula>
    </cfRule>
  </conditionalFormatting>
  <conditionalFormatting sqref="Z43">
    <cfRule type="expression" dxfId="4683" priority="84" stopIfTrue="1">
      <formula>AND(Z43&lt;&gt;0, NOT(ISTEXT(Y43)))</formula>
    </cfRule>
    <cfRule type="cellIs" dxfId="4682" priority="85" stopIfTrue="1" operator="lessThan">
      <formula>0</formula>
    </cfRule>
  </conditionalFormatting>
  <conditionalFormatting sqref="N53">
    <cfRule type="containsText" dxfId="4681" priority="83" stopIfTrue="1" operator="containsText" text="הפרש">
      <formula>NOT(ISERROR(SEARCH("הפרש",N53)))</formula>
    </cfRule>
  </conditionalFormatting>
  <conditionalFormatting sqref="N55:N56">
    <cfRule type="containsText" dxfId="4680" priority="82" stopIfTrue="1" operator="containsText" text="No">
      <formula>NOT(ISERROR(SEARCH("No",N55)))</formula>
    </cfRule>
  </conditionalFormatting>
  <conditionalFormatting sqref="Z23:Z44 Q7:Q45 Q64:Q110 J7:J53 C27:D39 J64:J110 C65:D86 C7:D17 Z6:AA16">
    <cfRule type="expression" dxfId="4679" priority="80" stopIfTrue="1">
      <formula>ISTEXT(C6)</formula>
    </cfRule>
  </conditionalFormatting>
  <conditionalFormatting sqref="C45:C56">
    <cfRule type="expression" dxfId="4678" priority="78" stopIfTrue="1">
      <formula>"ISTEXT(C44)"</formula>
    </cfRule>
  </conditionalFormatting>
  <conditionalFormatting sqref="D7:D17 D27:D39 AA6:AA16">
    <cfRule type="expression" dxfId="4677" priority="69" stopIfTrue="1">
      <formula>AND(D6&lt;&gt;0,NOT(ISTEXT(B6)))</formula>
    </cfRule>
  </conditionalFormatting>
  <conditionalFormatting sqref="C65">
    <cfRule type="expression" dxfId="4676" priority="64" stopIfTrue="1">
      <formula>AND(C65&lt;&gt;0, NOT(ISTEXT(B65)))</formula>
    </cfRule>
    <cfRule type="cellIs" dxfId="4675" priority="65" stopIfTrue="1" operator="lessThan">
      <formula>0</formula>
    </cfRule>
  </conditionalFormatting>
  <conditionalFormatting sqref="C77">
    <cfRule type="expression" dxfId="4674" priority="62" stopIfTrue="1">
      <formula>AND(C77&lt;&gt;0, NOT(ISTEXT(B77)))</formula>
    </cfRule>
    <cfRule type="cellIs" dxfId="4673" priority="63" stopIfTrue="1" operator="lessThan">
      <formula>0</formula>
    </cfRule>
  </conditionalFormatting>
  <conditionalFormatting sqref="C66">
    <cfRule type="expression" dxfId="4672" priority="60" stopIfTrue="1">
      <formula>AND(C66&lt;&gt;0, NOT(ISTEXT(B66)))</formula>
    </cfRule>
    <cfRule type="cellIs" dxfId="4671" priority="61" stopIfTrue="1" operator="lessThan">
      <formula>0</formula>
    </cfRule>
  </conditionalFormatting>
  <conditionalFormatting sqref="C67">
    <cfRule type="expression" dxfId="4670" priority="58" stopIfTrue="1">
      <formula>AND(C67&lt;&gt;0, NOT(ISTEXT(B67)))</formula>
    </cfRule>
    <cfRule type="cellIs" dxfId="4669" priority="59" stopIfTrue="1" operator="lessThan">
      <formula>0</formula>
    </cfRule>
  </conditionalFormatting>
  <conditionalFormatting sqref="C68">
    <cfRule type="expression" dxfId="4668" priority="56" stopIfTrue="1">
      <formula>AND(C68&lt;&gt;0, NOT(ISTEXT(B68)))</formula>
    </cfRule>
    <cfRule type="cellIs" dxfId="4667" priority="57" stopIfTrue="1" operator="lessThan">
      <formula>0</formula>
    </cfRule>
  </conditionalFormatting>
  <conditionalFormatting sqref="C69">
    <cfRule type="expression" dxfId="4666" priority="54" stopIfTrue="1">
      <formula>AND(C69&lt;&gt;0, NOT(ISTEXT(B69)))</formula>
    </cfRule>
    <cfRule type="cellIs" dxfId="4665" priority="55" stopIfTrue="1" operator="lessThan">
      <formula>0</formula>
    </cfRule>
  </conditionalFormatting>
  <conditionalFormatting sqref="C70">
    <cfRule type="expression" dxfId="4664" priority="52" stopIfTrue="1">
      <formula>AND(C70&lt;&gt;0, NOT(ISTEXT(B70)))</formula>
    </cfRule>
    <cfRule type="cellIs" dxfId="4663" priority="53" stopIfTrue="1" operator="lessThan">
      <formula>0</formula>
    </cfRule>
  </conditionalFormatting>
  <conditionalFormatting sqref="C71">
    <cfRule type="expression" dxfId="4662" priority="50" stopIfTrue="1">
      <formula>AND(C71&lt;&gt;0, NOT(ISTEXT(B71)))</formula>
    </cfRule>
    <cfRule type="cellIs" dxfId="4661" priority="51" stopIfTrue="1" operator="lessThan">
      <formula>0</formula>
    </cfRule>
  </conditionalFormatting>
  <conditionalFormatting sqref="C72">
    <cfRule type="expression" dxfId="4660" priority="48" stopIfTrue="1">
      <formula>AND(C72&lt;&gt;0, NOT(ISTEXT(B72)))</formula>
    </cfRule>
    <cfRule type="cellIs" dxfId="4659" priority="49" stopIfTrue="1" operator="lessThan">
      <formula>0</formula>
    </cfRule>
  </conditionalFormatting>
  <conditionalFormatting sqref="C73">
    <cfRule type="expression" dxfId="4658" priority="46" stopIfTrue="1">
      <formula>AND(C73&lt;&gt;0, NOT(ISTEXT(B73)))</formula>
    </cfRule>
    <cfRule type="cellIs" dxfId="4657" priority="47" stopIfTrue="1" operator="lessThan">
      <formula>0</formula>
    </cfRule>
  </conditionalFormatting>
  <conditionalFormatting sqref="C74">
    <cfRule type="expression" dxfId="4656" priority="44" stopIfTrue="1">
      <formula>AND(C74&lt;&gt;0, NOT(ISTEXT(B74)))</formula>
    </cfRule>
    <cfRule type="cellIs" dxfId="4655" priority="45" stopIfTrue="1" operator="lessThan">
      <formula>0</formula>
    </cfRule>
  </conditionalFormatting>
  <conditionalFormatting sqref="C75">
    <cfRule type="expression" dxfId="4654" priority="42" stopIfTrue="1">
      <formula>AND(C75&lt;&gt;0, NOT(ISTEXT(B75)))</formula>
    </cfRule>
    <cfRule type="cellIs" dxfId="4653" priority="43" stopIfTrue="1" operator="lessThan">
      <formula>0</formula>
    </cfRule>
  </conditionalFormatting>
  <conditionalFormatting sqref="C76">
    <cfRule type="expression" dxfId="4652" priority="40" stopIfTrue="1">
      <formula>AND(C76&lt;&gt;0, NOT(ISTEXT(B76)))</formula>
    </cfRule>
    <cfRule type="cellIs" dxfId="4651" priority="41" stopIfTrue="1" operator="lessThan">
      <formula>0</formula>
    </cfRule>
  </conditionalFormatting>
  <conditionalFormatting sqref="D65:D77">
    <cfRule type="expression" dxfId="4650" priority="38" stopIfTrue="1">
      <formula>AND(D65&lt;&gt;0,NOT(ISTEXT(B65)))</formula>
    </cfRule>
  </conditionalFormatting>
  <conditionalFormatting sqref="C86">
    <cfRule type="expression" dxfId="4649" priority="34" stopIfTrue="1">
      <formula>AND(C86&lt;&gt;0, NOT(ISTEXT(B86)))</formula>
    </cfRule>
    <cfRule type="cellIs" dxfId="4648" priority="35" stopIfTrue="1" operator="lessThan">
      <formula>0</formula>
    </cfRule>
  </conditionalFormatting>
  <conditionalFormatting sqref="C78">
    <cfRule type="expression" dxfId="4647" priority="32" stopIfTrue="1">
      <formula>AND(C78&lt;&gt;0, NOT(ISTEXT(B78)))</formula>
    </cfRule>
    <cfRule type="cellIs" dxfId="4646" priority="33" stopIfTrue="1" operator="lessThan">
      <formula>0</formula>
    </cfRule>
  </conditionalFormatting>
  <conditionalFormatting sqref="C79">
    <cfRule type="expression" dxfId="4645" priority="30" stopIfTrue="1">
      <formula>AND(C79&lt;&gt;0, NOT(ISTEXT(B79)))</formula>
    </cfRule>
    <cfRule type="cellIs" dxfId="4644" priority="31" stopIfTrue="1" operator="lessThan">
      <formula>0</formula>
    </cfRule>
  </conditionalFormatting>
  <conditionalFormatting sqref="C80">
    <cfRule type="expression" dxfId="4643" priority="28" stopIfTrue="1">
      <formula>AND(C80&lt;&gt;0, NOT(ISTEXT(B80)))</formula>
    </cfRule>
    <cfRule type="cellIs" dxfId="4642" priority="29" stopIfTrue="1" operator="lessThan">
      <formula>0</formula>
    </cfRule>
  </conditionalFormatting>
  <conditionalFormatting sqref="C81">
    <cfRule type="expression" dxfId="4641" priority="26" stopIfTrue="1">
      <formula>AND(C81&lt;&gt;0, NOT(ISTEXT(B81)))</formula>
    </cfRule>
    <cfRule type="cellIs" dxfId="4640" priority="27" stopIfTrue="1" operator="lessThan">
      <formula>0</formula>
    </cfRule>
  </conditionalFormatting>
  <conditionalFormatting sqref="C82">
    <cfRule type="expression" dxfId="4639" priority="24" stopIfTrue="1">
      <formula>AND(C82&lt;&gt;0, NOT(ISTEXT(B82)))</formula>
    </cfRule>
    <cfRule type="cellIs" dxfId="4638" priority="25" stopIfTrue="1" operator="lessThan">
      <formula>0</formula>
    </cfRule>
  </conditionalFormatting>
  <conditionalFormatting sqref="C83">
    <cfRule type="expression" dxfId="4637" priority="22" stopIfTrue="1">
      <formula>AND(C83&lt;&gt;0, NOT(ISTEXT(B83)))</formula>
    </cfRule>
    <cfRule type="cellIs" dxfId="4636" priority="23" stopIfTrue="1" operator="lessThan">
      <formula>0</formula>
    </cfRule>
  </conditionalFormatting>
  <conditionalFormatting sqref="C84">
    <cfRule type="expression" dxfId="4635" priority="20" stopIfTrue="1">
      <formula>AND(C84&lt;&gt;0, NOT(ISTEXT(B84)))</formula>
    </cfRule>
    <cfRule type="cellIs" dxfId="4634" priority="21" stopIfTrue="1" operator="lessThan">
      <formula>0</formula>
    </cfRule>
  </conditionalFormatting>
  <conditionalFormatting sqref="C85">
    <cfRule type="expression" dxfId="4633" priority="18" stopIfTrue="1">
      <formula>AND(C85&lt;&gt;0, NOT(ISTEXT(B85)))</formula>
    </cfRule>
    <cfRule type="cellIs" dxfId="4632" priority="19" stopIfTrue="1" operator="lessThan">
      <formula>0</formula>
    </cfRule>
  </conditionalFormatting>
  <conditionalFormatting sqref="D78:D86">
    <cfRule type="expression" dxfId="4631" priority="16" stopIfTrue="1">
      <formula>AND(D78&lt;&gt;0,NOT(ISTEXT(B78)))</formula>
    </cfRule>
  </conditionalFormatting>
  <conditionalFormatting sqref="D7:D17 D27:D39 D65:D86">
    <cfRule type="cellIs" dxfId="4630" priority="13" stopIfTrue="1" operator="greaterThan">
      <formula>C7</formula>
    </cfRule>
  </conditionalFormatting>
  <conditionalFormatting sqref="AE23:AE44">
    <cfRule type="expression" dxfId="4629" priority="4" stopIfTrue="1">
      <formula>((Z23*(12-$AR$19))-AE23)/(Z23*(12-$AR$19)+0.00001)&gt;0.9</formula>
    </cfRule>
    <cfRule type="expression" dxfId="4628" priority="5" stopIfTrue="1">
      <formula>((Z23*(12-$AR$19))-AE23)/(Z23*(12-$AR$19)+0.00001)&gt;0.8</formula>
    </cfRule>
    <cfRule type="expression" dxfId="4627" priority="6" stopIfTrue="1">
      <formula>((Z23*(12-$AR$19))-AE23)/(Z23*(12-$AR$19)+0.00001)&gt;0.7</formula>
    </cfRule>
    <cfRule type="expression" dxfId="4626" priority="7" stopIfTrue="1">
      <formula>((Z23*(12-$AR$19))-AE23)/(Z23*(12-$AR$19)+0.00001)&gt;0.6</formula>
    </cfRule>
    <cfRule type="expression" dxfId="4625" priority="8" stopIfTrue="1">
      <formula>((Z23*(12-$AR$19))-AE23)/(Z23*(12-$AR$19)+0.00001)&gt;0.5</formula>
    </cfRule>
    <cfRule type="expression" dxfId="4624" priority="9" stopIfTrue="1">
      <formula>((Z23*(12-$AR$19))-AE23)/(Z23*(12-$AR$19)+0.00001)&gt;0.4</formula>
    </cfRule>
    <cfRule type="expression" dxfId="4623" priority="10" stopIfTrue="1">
      <formula>((Z23*(12-$AR$19))-AE23)/(Z23*(12-$AR$19)+0.00001)&gt;0.3</formula>
    </cfRule>
    <cfRule type="expression" dxfId="4622" priority="242" stopIfTrue="1">
      <formula>((Z23*(12-$AR$19))-AE23)/(Z23*(12-$AR$19)+0.00001)&gt;0.2</formula>
    </cfRule>
  </conditionalFormatting>
  <dataValidations count="17">
    <dataValidation type="custom" showInputMessage="1" showErrorMessage="1" errorTitle="שגיאה" error="חובה למלא את שם ההוצאה לפני מילוי הסכום." sqref="J64:J110 Q7:Q45 J7:J53 Q64:Q110">
      <formula1>ISTEXT(I7)</formula1>
    </dataValidation>
    <dataValidation type="custom" showInputMessage="1" showErrorMessage="1" errorTitle="שגיאה" error="חובה לתת שם לכל סעיף שנרשם בו תקציב" sqref="C7:C17 C27:C39 C45:C56 Z6:Z16 Z23:Z44 C65:C86">
      <formula1>ISTEXT(B6)</formula1>
    </dataValidation>
    <dataValidation type="custom" showInputMessage="1" showErrorMessage="1" errorTitle="שגיאה" error="חובה לתת שם לכל סעיף שנרשם בו ביצוע" sqref="D65:D86 D7:D17 D27:D39 AA6:AA16">
      <formula1>ISTEXT(B6)</formula1>
    </dataValidation>
    <dataValidation type="whole" allowBlank="1" showInputMessage="1" showErrorMessage="1" errorTitle="ערך לא חוקי" error="התא יכול לקבל 0 או 1. ערכים אחרים אינם חוקיים." prompt="שים לב!_x000a_שינוי תא זה עלול להשפיע על התקציב המתוכנן לשוטפות בחודש הבא." sqref="AI23:AI44">
      <formula1>0</formula1>
      <formula2>1</formula2>
    </dataValidation>
    <dataValidation type="list" errorStyle="information" allowBlank="1" showInputMessage="1" sqref="K7:K53 U64:U110 U7:U45 E27:E39 E7:E17 E65:E86 K64:K110 AB6:AB16">
      <formula1>$AT$5:$AT$9</formula1>
    </dataValidation>
    <dataValidation allowBlank="1" showInputMessage="1" showErrorMessage="1" prompt="מלאו תא זה רק אם סיימתם שנת רישום, ואתם פותחים עכשיו שנת רישום נוספת." sqref="Z54:Z56"/>
    <dataValidation type="whole" allowBlank="1" showInputMessage="1" showErrorMessage="1" error="מס' יום לא חוקי" sqref="O7:O45 H7:H53 H64:H110 O64:O110">
      <formula1>1</formula1>
      <formula2>31</formula2>
    </dataValidation>
    <dataValidation type="list" allowBlank="1" showInputMessage="1" showErrorMessage="1" error="חובה לבחור בהתפריט הנפתח" sqref="P7:P45 P64:P110">
      <formula1>$Y$23:$Y$44</formula1>
    </dataValidation>
    <dataValidation type="whole" allowBlank="1" showInputMessage="1" showErrorMessage="1" errorTitle="מספר שנה לא חוקי" error="כתוב את השנה האמיתית במבנה של 4 ספרות._x000a_לדוגמא: 2011" sqref="N2:O2">
      <formula1>2011</formula1>
      <formula2>2030</formula2>
    </dataValidation>
    <dataValidation type="list" allowBlank="1" showInputMessage="1" showErrorMessage="1" error="חובה לבחור כן/לא." sqref="N55:N56">
      <formula1>$AP$55:$AP$56</formula1>
    </dataValidation>
    <dataValidation type="list" allowBlank="1" showInputMessage="1" showErrorMessage="1" error="חובה לבחור מהתפריט הנפתח" sqref="I64:I110 I7:I53">
      <formula1>$B$45:$B$56</formula1>
    </dataValidation>
    <dataValidation allowBlank="1" showInputMessage="1" showErrorMessage="1" prompt="שים לב! שינוי תא זה יבטל את החישוב האוטומטי לסה&quot;כ ביצוע החזרי החובות לחודש הנוכחי. " sqref="D40"/>
    <dataValidation allowBlank="1" showInputMessage="1" showErrorMessage="1" prompt="שים לב! שינוי תא זה יבטל את החישוב האוטומטי לסה&quot;כ ביצוע הוצאות קבועות לחודש הנוכחי. " sqref="D18"/>
    <dataValidation type="list" allowBlank="1" showInputMessage="1" showErrorMessage="1" error="יש לבחור מהרשימה בתפריט" sqref="L2:M2">
      <formula1>$CM$3:$CM$14</formula1>
    </dataValidation>
    <dataValidation type="custom" errorStyle="warning" allowBlank="1" showInputMessage="1" showErrorMessage="1" errorTitle="סעיף כבר בשימוש" error="שם סעיף זה כבר בשימוש בקטגוריה זו או בקטגוריה אחרת. יתכן גם שנרשמה עליו שם כבר הוצאה בחודש זה." sqref="Y23:Y44 B45:B56 B27:B39 B65:B86 B7:B17">
      <formula1>(COUNTIF($B$7:$B$17,B7)+COUNTIF($B$27:$B$39,B7)+COUNTIF($B$45:$B$56,B7)+COUNTIF($I$7:$I$53,B7)+COUNTIF($Y$23:$Y$44,B7)+COUNTIF($P$7:$P$45,B7))&lt;=1</formula1>
    </dataValidation>
    <dataValidation type="list" allowBlank="1" showInputMessage="1" showErrorMessage="1" error="חובה לבחור מהתפריט הנפתח" sqref="N58">
      <formula1>$AQ$55:$AQ$56</formula1>
    </dataValidation>
    <dataValidation type="custom" errorStyle="information" allowBlank="1" showInputMessage="1" showErrorMessage="1" error="אתם מזינים עיסקת תשלומים. _x000a_חובה למלא את עמודות &quot;מספר התשלום&quot; ו- &quot;מתוך&quot; כדי שהתשלומים הבאים יוכנסו אוטומטית." prompt="שנה תא זה רק בהזנת עיסקת תשלומים._x000a_בחודש הראשון - הזן את סכום העיסקה הכולל._x000a_בחודשי התשלום הבאים - יוכנס אוטומטית 0 (יוצג כ &quot;-&quot;)." sqref="R7:R45 R64:R110">
      <formula1>R7=Q7</formula1>
    </dataValidation>
  </dataValidations>
  <hyperlinks>
    <hyperlink ref="Q3" location="'Month A'!Y21:Z46" tooltip="To Summary Table" display="List Periodic Expenses"/>
    <hyperlink ref="I3" location="'Month A'!B44:C58" tooltip="To Summary Table" display="List Everyday Expenses"/>
    <hyperlink ref="Y2" r:id="rId1"/>
  </hyperlinks>
  <pageMargins left="0.7" right="0.7" top="0.75" bottom="0.75" header="0.3" footer="0.3"/>
  <pageSetup orientation="portrait" horizontalDpi="300" verticalDpi="300" r:id="rId2"/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FF00"/>
    <outlinePr summaryBelow="0" summaryRight="0"/>
  </sheetPr>
  <dimension ref="A1:CN152"/>
  <sheetViews>
    <sheetView showZeros="0" zoomScale="75" zoomScaleNormal="75" workbookViewId="0"/>
  </sheetViews>
  <sheetFormatPr defaultColWidth="9.125" defaultRowHeight="14.25" outlineLevelRow="1" outlineLevelCol="1"/>
  <cols>
    <col min="1" max="1" width="0.625" style="2" customWidth="1"/>
    <col min="2" max="2" width="22.125" style="2" customWidth="1"/>
    <col min="3" max="3" width="8.125" style="2" customWidth="1"/>
    <col min="4" max="4" width="9.75" style="2" customWidth="1" collapsed="1"/>
    <col min="5" max="5" width="12.25" style="2" hidden="1" customWidth="1" outlineLevel="1"/>
    <col min="6" max="6" width="20.75" style="2" hidden="1" customWidth="1" outlineLevel="1"/>
    <col min="7" max="7" width="1.125" style="2" customWidth="1"/>
    <col min="8" max="8" width="5.375" style="2" customWidth="1"/>
    <col min="9" max="9" width="22.125" style="2" customWidth="1"/>
    <col min="10" max="10" width="8.125" style="2" customWidth="1" collapsed="1"/>
    <col min="11" max="11" width="12.25" style="2" hidden="1" customWidth="1" outlineLevel="1"/>
    <col min="12" max="12" width="20.75" style="2" hidden="1" customWidth="1" outlineLevel="1"/>
    <col min="13" max="13" width="10.75" style="2" customWidth="1" collapsed="1"/>
    <col min="14" max="14" width="4.875" style="2" customWidth="1"/>
    <col min="15" max="15" width="5" style="3" customWidth="1"/>
    <col min="16" max="16" width="22.125" style="2" customWidth="1"/>
    <col min="17" max="17" width="10.875" style="2" customWidth="1"/>
    <col min="18" max="18" width="9.875" style="2" bestFit="1" customWidth="1"/>
    <col min="19" max="19" width="4.625" style="26" customWidth="1" collapsed="1"/>
    <col min="20" max="20" width="3.75" style="26" customWidth="1" collapsed="1"/>
    <col min="21" max="21" width="12.25" style="26" hidden="1" customWidth="1" outlineLevel="1"/>
    <col min="22" max="22" width="20.75" style="26" hidden="1" customWidth="1" outlineLevel="1"/>
    <col min="23" max="23" width="10.75" style="2" customWidth="1"/>
    <col min="24" max="24" width="1.125" style="2" customWidth="1"/>
    <col min="25" max="25" width="24.125" style="2" customWidth="1"/>
    <col min="26" max="26" width="9.875" style="2" bestFit="1" customWidth="1"/>
    <col min="27" max="27" width="10.875" style="2" bestFit="1" customWidth="1" collapsed="1"/>
    <col min="28" max="28" width="13.375" style="2" hidden="1" customWidth="1" outlineLevel="1"/>
    <col min="29" max="29" width="15" style="2" hidden="1" customWidth="1" outlineLevel="1"/>
    <col min="30" max="30" width="10.875" style="2" hidden="1" customWidth="1"/>
    <col min="31" max="31" width="13.875" style="2" customWidth="1"/>
    <col min="32" max="32" width="2.75" style="2" customWidth="1"/>
    <col min="33" max="33" width="10" style="2" customWidth="1"/>
    <col min="34" max="34" width="5.625" style="2" customWidth="1"/>
    <col min="35" max="35" width="4.25" style="2" customWidth="1"/>
    <col min="36" max="36" width="9.125" style="2"/>
    <col min="37" max="37" width="11.875" style="2" customWidth="1"/>
    <col min="38" max="38" width="13.875" style="2" customWidth="1"/>
    <col min="39" max="40" width="9.125" style="2"/>
    <col min="41" max="41" width="9.125" style="52" customWidth="1"/>
    <col min="42" max="42" width="13.875" style="52" hidden="1" customWidth="1"/>
    <col min="43" max="43" width="16" style="52" hidden="1" customWidth="1"/>
    <col min="44" max="44" width="18.125" style="52" hidden="1" customWidth="1"/>
    <col min="45" max="45" width="16.125" style="52" hidden="1" customWidth="1"/>
    <col min="46" max="46" width="11.75" style="52" hidden="1" customWidth="1"/>
    <col min="47" max="47" width="9.125" style="52" hidden="1" customWidth="1"/>
    <col min="48" max="48" width="14" style="52" hidden="1" customWidth="1"/>
    <col min="49" max="49" width="16.75" style="52" hidden="1" customWidth="1"/>
    <col min="50" max="50" width="17.375" style="52" hidden="1" customWidth="1"/>
    <col min="51" max="51" width="9.125" style="52" hidden="1" customWidth="1"/>
    <col min="52" max="53" width="9.125" style="2" hidden="1" customWidth="1"/>
    <col min="54" max="54" width="9.125" style="2" customWidth="1"/>
    <col min="55" max="90" width="9.125" style="2"/>
    <col min="91" max="92" width="0" style="52" hidden="1" customWidth="1"/>
    <col min="93" max="16384" width="9.125" style="2"/>
  </cols>
  <sheetData>
    <row r="1" spans="1:92" s="367" customFormat="1" ht="15">
      <c r="B1" s="880" t="s">
        <v>381</v>
      </c>
      <c r="O1" s="512"/>
      <c r="S1" s="371"/>
      <c r="T1" s="371"/>
      <c r="U1" s="371"/>
      <c r="V1" s="371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CM1" s="86"/>
      <c r="CN1" s="86"/>
    </row>
    <row r="2" spans="1:92" ht="20.25">
      <c r="A2" s="367"/>
      <c r="B2" s="809" t="s">
        <v>468</v>
      </c>
      <c r="C2" s="890" t="s">
        <v>475</v>
      </c>
      <c r="E2" s="367"/>
      <c r="F2" s="367"/>
      <c r="G2" s="367"/>
      <c r="H2" s="367"/>
      <c r="I2" s="367"/>
      <c r="J2" s="368"/>
      <c r="K2" s="596"/>
      <c r="L2" s="585"/>
      <c r="M2" s="67" t="str">
        <f>IF('Month A'!M2="Month","",VLOOKUP('Month A'!M2,'Month A'!CM3:CN14,2,FALSE))</f>
        <v/>
      </c>
      <c r="N2" s="1232" t="str">
        <f>IF('Month A'!N2:O2="Year","",IF(M2="Jan",'Month A'!N2:O2+1,'Month A'!N2:O2))</f>
        <v/>
      </c>
      <c r="O2" s="1232"/>
      <c r="Q2" s="367"/>
      <c r="R2" s="367"/>
      <c r="S2" s="371"/>
      <c r="T2" s="899" t="s">
        <v>490</v>
      </c>
      <c r="U2" s="371"/>
      <c r="V2" s="371"/>
      <c r="W2" s="367"/>
      <c r="X2" s="367"/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86"/>
    </row>
    <row r="3" spans="1:92" ht="19.5" customHeight="1" thickBot="1">
      <c r="A3" s="367"/>
      <c r="B3" s="1162" t="s">
        <v>348</v>
      </c>
      <c r="C3" s="1163"/>
      <c r="D3" s="378"/>
      <c r="E3" s="378"/>
      <c r="F3" s="378"/>
      <c r="G3" s="367"/>
      <c r="I3" s="830" t="s">
        <v>345</v>
      </c>
      <c r="J3" s="380"/>
      <c r="K3" s="367"/>
      <c r="L3" s="581"/>
      <c r="M3" s="367"/>
      <c r="N3" s="367"/>
      <c r="O3" s="379"/>
      <c r="P3" s="381"/>
      <c r="Q3" s="830" t="s">
        <v>346</v>
      </c>
      <c r="R3" s="641"/>
      <c r="S3" s="513"/>
      <c r="T3" s="381"/>
      <c r="U3" s="513"/>
      <c r="V3" s="513"/>
      <c r="W3" s="555"/>
      <c r="X3" s="382"/>
      <c r="Y3" s="1218" t="s">
        <v>296</v>
      </c>
      <c r="Z3" s="1218"/>
      <c r="AA3" s="1218"/>
      <c r="AB3" s="554"/>
      <c r="AC3" s="554"/>
      <c r="AD3" s="383"/>
      <c r="AE3" s="367"/>
      <c r="AF3" s="367"/>
      <c r="AG3" s="367"/>
      <c r="AH3" s="367"/>
      <c r="AI3" s="367"/>
      <c r="AJ3" s="367"/>
      <c r="AK3" s="367"/>
      <c r="AL3" s="367"/>
      <c r="AM3" s="367"/>
      <c r="AN3" s="367"/>
      <c r="AO3" s="86"/>
    </row>
    <row r="4" spans="1:92" s="614" customFormat="1" ht="34.5" customHeight="1" thickBot="1">
      <c r="A4" s="602"/>
      <c r="B4" s="879" t="s">
        <v>352</v>
      </c>
      <c r="C4" s="1230">
        <f>C18</f>
        <v>0</v>
      </c>
      <c r="D4" s="1167"/>
      <c r="E4" s="1158"/>
      <c r="F4" s="1159"/>
      <c r="G4" s="602"/>
      <c r="H4" s="603" t="s">
        <v>356</v>
      </c>
      <c r="I4" s="604" t="s">
        <v>357</v>
      </c>
      <c r="J4" s="605" t="s">
        <v>494</v>
      </c>
      <c r="K4" s="606" t="s">
        <v>380</v>
      </c>
      <c r="L4" s="607" t="s">
        <v>335</v>
      </c>
      <c r="M4" s="608" t="s">
        <v>389</v>
      </c>
      <c r="N4" s="602"/>
      <c r="O4" s="609" t="s">
        <v>356</v>
      </c>
      <c r="P4" s="610" t="s">
        <v>357</v>
      </c>
      <c r="Q4" s="806" t="s">
        <v>494</v>
      </c>
      <c r="R4" s="610" t="s">
        <v>359</v>
      </c>
      <c r="S4" s="1176" t="s">
        <v>360</v>
      </c>
      <c r="T4" s="1155" t="s">
        <v>361</v>
      </c>
      <c r="U4" s="787" t="s">
        <v>380</v>
      </c>
      <c r="V4" s="639" t="s">
        <v>335</v>
      </c>
      <c r="W4" s="640" t="s">
        <v>389</v>
      </c>
      <c r="X4" s="623"/>
      <c r="Y4" s="1208" t="s">
        <v>363</v>
      </c>
      <c r="Z4" s="1231"/>
      <c r="AA4" s="611">
        <f>Z17</f>
        <v>0</v>
      </c>
      <c r="AB4" s="1174"/>
      <c r="AC4" s="1175"/>
      <c r="AD4" s="612"/>
      <c r="AF4" s="602"/>
      <c r="AG4" s="602"/>
      <c r="AH4" s="602"/>
      <c r="AI4" s="602"/>
      <c r="AJ4" s="602"/>
      <c r="AK4" s="602"/>
      <c r="AL4" s="602"/>
      <c r="AM4" s="602"/>
      <c r="AN4" s="602"/>
      <c r="AO4" s="703"/>
      <c r="AP4" s="704"/>
      <c r="AQ4" s="704"/>
      <c r="AR4" s="704"/>
      <c r="AS4" s="704"/>
      <c r="AT4" s="705" t="s">
        <v>30</v>
      </c>
      <c r="AU4" s="704"/>
      <c r="AV4" s="704"/>
      <c r="AW4" s="704"/>
      <c r="AX4" s="704"/>
      <c r="AY4" s="704"/>
      <c r="CM4" s="704"/>
      <c r="CN4" s="704"/>
    </row>
    <row r="5" spans="1:92" ht="15" customHeight="1">
      <c r="A5" s="367"/>
      <c r="B5" s="1219" t="s">
        <v>353</v>
      </c>
      <c r="C5" s="1108" t="s">
        <v>354</v>
      </c>
      <c r="D5" s="1168" t="s">
        <v>494</v>
      </c>
      <c r="E5" s="1109" t="s">
        <v>380</v>
      </c>
      <c r="F5" s="1108" t="s">
        <v>335</v>
      </c>
      <c r="G5" s="367"/>
      <c r="H5" s="1157"/>
      <c r="I5" s="1221" t="s">
        <v>427</v>
      </c>
      <c r="J5" s="1150"/>
      <c r="K5" s="1193"/>
      <c r="L5" s="1160"/>
      <c r="M5" s="1153">
        <f ca="1">C57+IF('Month A'!N58=AQ55,'Month A'!M58,0)+'Month A'!AP45</f>
        <v>0</v>
      </c>
      <c r="N5" s="14"/>
      <c r="O5" s="1182"/>
      <c r="P5" s="1183" t="s">
        <v>467</v>
      </c>
      <c r="Q5" s="1184"/>
      <c r="R5" s="1191"/>
      <c r="S5" s="1177"/>
      <c r="T5" s="1156"/>
      <c r="U5" s="1192"/>
      <c r="V5" s="1191"/>
      <c r="W5" s="1195">
        <f>'Month A'!W46+B!Z45-'Month A'!AP45</f>
        <v>0</v>
      </c>
      <c r="X5" s="621"/>
      <c r="Y5" s="5" t="s">
        <v>364</v>
      </c>
      <c r="Z5" s="104" t="s">
        <v>354</v>
      </c>
      <c r="AA5" s="914" t="s">
        <v>494</v>
      </c>
      <c r="AB5" s="803" t="s">
        <v>386</v>
      </c>
      <c r="AC5" s="718" t="s">
        <v>335</v>
      </c>
      <c r="AD5" s="31"/>
      <c r="AE5" s="1223" t="s">
        <v>365</v>
      </c>
      <c r="AF5" s="367"/>
      <c r="AG5" s="367"/>
      <c r="AH5" s="367"/>
      <c r="AI5" s="367"/>
      <c r="AJ5" s="367"/>
      <c r="AK5" s="367"/>
      <c r="AL5" s="367"/>
      <c r="AM5" s="367"/>
      <c r="AN5" s="367"/>
      <c r="AO5" s="86"/>
      <c r="AT5" s="52" t="s">
        <v>476</v>
      </c>
    </row>
    <row r="6" spans="1:92" ht="15" customHeight="1">
      <c r="A6" s="367"/>
      <c r="B6" s="1220"/>
      <c r="C6" s="1234"/>
      <c r="D6" s="1169"/>
      <c r="E6" s="1109"/>
      <c r="F6" s="1108"/>
      <c r="G6" s="367"/>
      <c r="H6" s="1157"/>
      <c r="I6" s="1222"/>
      <c r="J6" s="1152"/>
      <c r="K6" s="1194"/>
      <c r="L6" s="1161"/>
      <c r="M6" s="1154"/>
      <c r="N6" s="367"/>
      <c r="O6" s="1182"/>
      <c r="P6" s="1185"/>
      <c r="Q6" s="1186"/>
      <c r="R6" s="1192"/>
      <c r="S6" s="638"/>
      <c r="T6" s="786"/>
      <c r="U6" s="1197"/>
      <c r="V6" s="1191"/>
      <c r="W6" s="1196"/>
      <c r="X6" s="395"/>
      <c r="Y6" s="145" t="str">
        <f>IF('Month A'!Y6&lt;&gt;"",'Month A'!Y6,)</f>
        <v>Husband job 1</v>
      </c>
      <c r="Z6" s="456">
        <f>'Month A'!Z6</f>
        <v>0</v>
      </c>
      <c r="AA6" s="69"/>
      <c r="AB6" s="715"/>
      <c r="AC6" s="877"/>
      <c r="AD6" s="32"/>
      <c r="AE6" s="1224"/>
      <c r="AF6" s="367"/>
      <c r="AG6" s="367"/>
      <c r="AH6" s="367"/>
      <c r="AI6" s="367"/>
      <c r="AJ6" s="367"/>
      <c r="AK6" s="367"/>
      <c r="AL6" s="367"/>
      <c r="AM6" s="367"/>
      <c r="AN6" s="367"/>
      <c r="AO6" s="86"/>
      <c r="AT6" s="52" t="s">
        <v>477</v>
      </c>
    </row>
    <row r="7" spans="1:92" ht="15" customHeight="1" thickBot="1">
      <c r="A7" s="367"/>
      <c r="B7" s="901" t="str">
        <f>IF('Month A'!B7&lt;&gt;"",'Month A'!B7,)</f>
        <v>Mortgage Payments</v>
      </c>
      <c r="C7" s="450">
        <f>'Month A'!C7</f>
        <v>0</v>
      </c>
      <c r="D7" s="78"/>
      <c r="E7" s="521"/>
      <c r="F7" s="858"/>
      <c r="G7" s="367"/>
      <c r="H7" s="542"/>
      <c r="I7" s="853"/>
      <c r="J7" s="6"/>
      <c r="K7" s="541"/>
      <c r="L7" s="860"/>
      <c r="M7" s="20" t="str">
        <f>IF(J7="","",$M$5-SUM($J$7:J7))</f>
        <v/>
      </c>
      <c r="N7" s="367"/>
      <c r="O7" s="106"/>
      <c r="P7" s="871">
        <f>IF('Month A'!Q7&lt;&gt;'Month A'!R7,IF('Month A'!Q7&lt;&gt;0,IF('Month A'!S7&lt;&gt;'Month A'!T7,'Month A'!P7,),),)</f>
        <v>0</v>
      </c>
      <c r="Q7" s="795">
        <f>IF('Month A'!Q7&lt;&gt;'Month A'!R7,IF('Month A'!Q7&lt;&gt;0,IF('Month A'!S7&lt;&gt;'Month A'!T7,'Month A'!Q7,),),)</f>
        <v>0</v>
      </c>
      <c r="R7" s="628">
        <f>IF('Month A'!Q7&lt;&gt;'Month A'!R7,IF('Month A'!Q7&lt;&gt;0,IF('Month A'!S7&lt;&gt;'Month A'!T7,0,Q7),Q7),Q7)</f>
        <v>0</v>
      </c>
      <c r="S7" s="796">
        <f>IF('Month A'!Q7&lt;&gt;'Month A'!R7,IF('Month A'!Q7&lt;&gt;0,IF('Month A'!S7&lt;&gt;'Month A'!T7,'Month A'!S7+1,),),)</f>
        <v>0</v>
      </c>
      <c r="T7" s="796">
        <f>IF('Month A'!Q7&lt;&gt;'Month A'!R7,IF('Month A'!Q7&lt;&gt;0,IF('Month A'!S7&lt;&gt;'Month A'!T7,'Month A'!T7,),),)</f>
        <v>0</v>
      </c>
      <c r="U7" s="797">
        <f>IF('Month A'!Q7&lt;&gt;'Month A'!R7,IF('Month A'!Q7&lt;&gt;0,IF('Month A'!S7&lt;&gt;'Month A'!T7,'Month A'!U7,),),)</f>
        <v>0</v>
      </c>
      <c r="V7" s="875">
        <f>IF('Month A'!Q7&lt;&gt;'Month A'!R7,IF('Month A'!Q7&lt;&gt;0,IF('Month A'!S7&lt;&gt;'Month A'!T7,'Month A'!V7,),),)</f>
        <v>0</v>
      </c>
      <c r="W7" s="622">
        <f>IF(Q7="","",$W$5-SUM($Q$7:Q7))</f>
        <v>0</v>
      </c>
      <c r="X7" s="395"/>
      <c r="Y7" s="145" t="str">
        <f>IF('Month A'!Y7&lt;&gt;"",'Month A'!Y7,)</f>
        <v>Husband job 2</v>
      </c>
      <c r="Z7" s="456">
        <f>'Month A'!Z7</f>
        <v>0</v>
      </c>
      <c r="AA7" s="69"/>
      <c r="AB7" s="521"/>
      <c r="AC7" s="858"/>
      <c r="AD7" s="32"/>
      <c r="AE7" s="1225"/>
      <c r="AF7" s="367"/>
      <c r="AG7" s="367"/>
      <c r="AH7" s="367"/>
      <c r="AI7" s="367"/>
      <c r="AJ7" s="367"/>
      <c r="AK7" s="367"/>
      <c r="AL7" s="367"/>
      <c r="AM7" s="367"/>
      <c r="AN7" s="367"/>
      <c r="AO7" s="86"/>
      <c r="AT7" s="52" t="s">
        <v>478</v>
      </c>
    </row>
    <row r="8" spans="1:92" ht="15" customHeight="1" thickBot="1">
      <c r="A8" s="367"/>
      <c r="B8" s="901" t="str">
        <f>IF('Month A'!B8&lt;&gt;"",'Month A'!B8,)</f>
        <v>Mortgage Insurance</v>
      </c>
      <c r="C8" s="451">
        <f>'Month A'!C8</f>
        <v>0</v>
      </c>
      <c r="D8" s="78"/>
      <c r="E8" s="521"/>
      <c r="F8" s="858"/>
      <c r="G8" s="367"/>
      <c r="H8" s="543"/>
      <c r="I8" s="853"/>
      <c r="J8" s="6"/>
      <c r="K8" s="541"/>
      <c r="L8" s="860"/>
      <c r="M8" s="20" t="str">
        <f>IF(J8="","",$M$5-SUM($J$7:J8))</f>
        <v/>
      </c>
      <c r="N8" s="367"/>
      <c r="O8" s="7"/>
      <c r="P8" s="872">
        <f>IF('Month A'!Q8&lt;&gt;'Month A'!R8,IF('Month A'!Q8&lt;&gt;0,IF('Month A'!S8&lt;&gt;'Month A'!T8,'Month A'!P8,),),)</f>
        <v>0</v>
      </c>
      <c r="Q8" s="795">
        <f>IF('Month A'!Q8&lt;&gt;'Month A'!R8,IF('Month A'!Q8&lt;&gt;0,IF('Month A'!S8&lt;&gt;'Month A'!T8,'Month A'!Q8,),),)</f>
        <v>0</v>
      </c>
      <c r="R8" s="628">
        <f>IF('Month A'!Q8&lt;&gt;'Month A'!R8,IF('Month A'!Q8&lt;&gt;0,IF('Month A'!S8&lt;&gt;'Month A'!T8,0,Q8),Q8),Q8)</f>
        <v>0</v>
      </c>
      <c r="S8" s="796">
        <f>IF('Month A'!Q8&lt;&gt;'Month A'!R8,IF('Month A'!Q8&lt;&gt;0,IF('Month A'!S8&lt;&gt;'Month A'!T8,'Month A'!S8+1,),),)</f>
        <v>0</v>
      </c>
      <c r="T8" s="796">
        <f>IF('Month A'!Q8&lt;&gt;'Month A'!R8,IF('Month A'!Q8&lt;&gt;0,IF('Month A'!S8&lt;&gt;'Month A'!T8,'Month A'!T8,),),)</f>
        <v>0</v>
      </c>
      <c r="U8" s="797">
        <f>IF('Month A'!Q8&lt;&gt;'Month A'!R8,IF('Month A'!Q8&lt;&gt;0,IF('Month A'!S8&lt;&gt;'Month A'!T8,'Month A'!U8,),),)</f>
        <v>0</v>
      </c>
      <c r="V8" s="875">
        <f>IF('Month A'!Q8&lt;&gt;'Month A'!R8,IF('Month A'!Q8&lt;&gt;0,IF('Month A'!S8&lt;&gt;'Month A'!T8,'Month A'!V8,),),)</f>
        <v>0</v>
      </c>
      <c r="W8" s="622">
        <f>IF(Q8="","",$W$5-SUM($Q$7:Q8))</f>
        <v>0</v>
      </c>
      <c r="X8" s="395"/>
      <c r="Y8" s="145" t="str">
        <f>IF('Month A'!Y8&lt;&gt;"",'Month A'!Y8,)</f>
        <v>Wife job 1</v>
      </c>
      <c r="Z8" s="456">
        <f>'Month A'!Z8</f>
        <v>0</v>
      </c>
      <c r="AA8" s="69"/>
      <c r="AB8" s="521"/>
      <c r="AC8" s="858"/>
      <c r="AD8" s="32"/>
      <c r="AE8" s="363">
        <f>(AA17+'Month A'!AA17)/AR19</f>
        <v>0</v>
      </c>
      <c r="AF8" s="367"/>
      <c r="AG8" s="367"/>
      <c r="AH8" s="367"/>
      <c r="AI8" s="367"/>
      <c r="AJ8" s="367"/>
      <c r="AK8" s="367"/>
      <c r="AL8" s="367"/>
      <c r="AM8" s="367"/>
      <c r="AN8" s="367"/>
      <c r="AO8" s="86"/>
      <c r="AT8" s="52" t="s">
        <v>480</v>
      </c>
    </row>
    <row r="9" spans="1:92" ht="15" customHeight="1" thickBot="1">
      <c r="A9" s="367"/>
      <c r="B9" s="901" t="str">
        <f>IF('Month A'!B9&lt;&gt;"",'Month A'!B9,)</f>
        <v>Rent</v>
      </c>
      <c r="C9" s="451">
        <f>'Month A'!C9</f>
        <v>0</v>
      </c>
      <c r="D9" s="78"/>
      <c r="E9" s="521"/>
      <c r="F9" s="858"/>
      <c r="G9" s="367"/>
      <c r="H9" s="543"/>
      <c r="I9" s="853"/>
      <c r="J9" s="6"/>
      <c r="K9" s="541"/>
      <c r="L9" s="860"/>
      <c r="M9" s="20" t="str">
        <f>IF(J9="","",$M$5-SUM($J$7:J9))</f>
        <v/>
      </c>
      <c r="N9" s="367"/>
      <c r="O9" s="7"/>
      <c r="P9" s="871">
        <f>IF('Month A'!Q9&lt;&gt;'Month A'!R9,IF('Month A'!Q9&lt;&gt;0,IF('Month A'!S9&lt;&gt;'Month A'!T9,'Month A'!P9,),),)</f>
        <v>0</v>
      </c>
      <c r="Q9" s="795">
        <f>IF('Month A'!Q9&lt;&gt;'Month A'!R9,IF('Month A'!Q9&lt;&gt;0,IF('Month A'!S9&lt;&gt;'Month A'!T9,'Month A'!Q9,),),)</f>
        <v>0</v>
      </c>
      <c r="R9" s="628">
        <f>IF('Month A'!Q9&lt;&gt;'Month A'!R9,IF('Month A'!Q9&lt;&gt;0,IF('Month A'!S9&lt;&gt;'Month A'!T9,0,Q9),Q9),Q9)</f>
        <v>0</v>
      </c>
      <c r="S9" s="796">
        <f>IF('Month A'!Q9&lt;&gt;'Month A'!R9,IF('Month A'!Q9&lt;&gt;0,IF('Month A'!S9&lt;&gt;'Month A'!T9,'Month A'!S9+1,),),)</f>
        <v>0</v>
      </c>
      <c r="T9" s="796">
        <f>IF('Month A'!Q9&lt;&gt;'Month A'!R9,IF('Month A'!Q9&lt;&gt;0,IF('Month A'!S9&lt;&gt;'Month A'!T9,'Month A'!T9,),),)</f>
        <v>0</v>
      </c>
      <c r="U9" s="797">
        <f>IF('Month A'!Q9&lt;&gt;'Month A'!R9,IF('Month A'!Q9&lt;&gt;0,IF('Month A'!S9&lt;&gt;'Month A'!T9,'Month A'!U9,),),)</f>
        <v>0</v>
      </c>
      <c r="V9" s="875">
        <f>IF('Month A'!Q9&lt;&gt;'Month A'!R9,IF('Month A'!Q9&lt;&gt;0,IF('Month A'!S9&lt;&gt;'Month A'!T9,'Month A'!V9,),),)</f>
        <v>0</v>
      </c>
      <c r="W9" s="622">
        <f>IF(Q9="","",$W$5-SUM($Q$7:Q9))</f>
        <v>0</v>
      </c>
      <c r="X9" s="395"/>
      <c r="Y9" s="145" t="str">
        <f>IF('Month A'!Y9&lt;&gt;"",'Month A'!Y9,)</f>
        <v>Wife job 2</v>
      </c>
      <c r="Z9" s="456">
        <f>'Month A'!Z9</f>
        <v>0</v>
      </c>
      <c r="AA9" s="69"/>
      <c r="AB9" s="521"/>
      <c r="AC9" s="858"/>
      <c r="AD9" s="32"/>
      <c r="AE9" s="367"/>
      <c r="AF9" s="367"/>
      <c r="AG9" s="367"/>
      <c r="AH9" s="367"/>
      <c r="AI9" s="367"/>
      <c r="AJ9" s="367"/>
      <c r="AK9" s="367"/>
      <c r="AL9" s="367"/>
      <c r="AM9" s="367"/>
      <c r="AN9" s="367"/>
      <c r="AO9" s="86"/>
      <c r="AT9" s="52" t="s">
        <v>479</v>
      </c>
    </row>
    <row r="10" spans="1:92" ht="15" customHeight="1">
      <c r="A10" s="367"/>
      <c r="B10" s="902" t="str">
        <f>IF('Month A'!B10&lt;&gt;"",'Month A'!B10,)</f>
        <v>Town Taxes / Maintenance Fees</v>
      </c>
      <c r="C10" s="452">
        <f>'Month A'!C10</f>
        <v>0</v>
      </c>
      <c r="D10" s="79"/>
      <c r="E10" s="522"/>
      <c r="F10" s="859"/>
      <c r="G10" s="367"/>
      <c r="H10" s="543"/>
      <c r="I10" s="853"/>
      <c r="J10" s="6"/>
      <c r="K10" s="541"/>
      <c r="L10" s="860"/>
      <c r="M10" s="20" t="str">
        <f>IF(J10="","",$M$5-SUM($J$7:J10))</f>
        <v/>
      </c>
      <c r="N10" s="367"/>
      <c r="O10" s="7"/>
      <c r="P10" s="871">
        <f>IF('Month A'!Q10&lt;&gt;'Month A'!R10,IF('Month A'!Q10&lt;&gt;0,IF('Month A'!S10&lt;&gt;'Month A'!T10,'Month A'!P10,),),)</f>
        <v>0</v>
      </c>
      <c r="Q10" s="798">
        <f>IF('Month A'!Q10&lt;&gt;'Month A'!R10,IF('Month A'!Q10&lt;&gt;0,IF('Month A'!S10&lt;&gt;'Month A'!T10,'Month A'!Q10,),),)</f>
        <v>0</v>
      </c>
      <c r="R10" s="628">
        <f>IF('Month A'!Q10&lt;&gt;'Month A'!R10,IF('Month A'!Q10&lt;&gt;0,IF('Month A'!S10&lt;&gt;'Month A'!T10,0,Q10),Q10),Q10)</f>
        <v>0</v>
      </c>
      <c r="S10" s="796">
        <f>IF('Month A'!Q10&lt;&gt;'Month A'!R10,IF('Month A'!Q10&lt;&gt;0,IF('Month A'!S10&lt;&gt;'Month A'!T10,'Month A'!S10+1,),),)</f>
        <v>0</v>
      </c>
      <c r="T10" s="796">
        <f>IF('Month A'!Q10&lt;&gt;'Month A'!R10,IF('Month A'!Q10&lt;&gt;0,IF('Month A'!S10&lt;&gt;'Month A'!T10,'Month A'!T10,),),)</f>
        <v>0</v>
      </c>
      <c r="U10" s="797">
        <f>IF('Month A'!Q10&lt;&gt;'Month A'!R10,IF('Month A'!Q10&lt;&gt;0,IF('Month A'!S10&lt;&gt;'Month A'!T10,'Month A'!U10,),),)</f>
        <v>0</v>
      </c>
      <c r="V10" s="875">
        <f>IF('Month A'!Q10&lt;&gt;'Month A'!R10,IF('Month A'!Q10&lt;&gt;0,IF('Month A'!S10&lt;&gt;'Month A'!T10,'Month A'!V10,),),)</f>
        <v>0</v>
      </c>
      <c r="W10" s="624">
        <f>IF(Q10="","",$W$5-SUM($Q$7:Q10))</f>
        <v>0</v>
      </c>
      <c r="X10" s="621"/>
      <c r="Y10" s="145" t="str">
        <f>IF('Month A'!Y10&lt;&gt;"",'Month A'!Y10,)</f>
        <v>National Social Security for Children</v>
      </c>
      <c r="Z10" s="456">
        <f>'Month A'!Z10</f>
        <v>0</v>
      </c>
      <c r="AA10" s="69"/>
      <c r="AB10" s="522"/>
      <c r="AC10" s="859"/>
      <c r="AD10" s="32"/>
      <c r="AE10" s="1226" t="s">
        <v>366</v>
      </c>
      <c r="AF10" s="367"/>
      <c r="AG10" s="367"/>
      <c r="AH10" s="367"/>
      <c r="AI10" s="367"/>
      <c r="AJ10" s="367"/>
      <c r="AK10" s="367"/>
      <c r="AL10" s="367"/>
      <c r="AM10" s="367"/>
      <c r="AN10" s="367"/>
      <c r="AO10" s="86"/>
    </row>
    <row r="11" spans="1:92" ht="15" customHeight="1" thickBot="1">
      <c r="A11" s="367"/>
      <c r="B11" s="901" t="str">
        <f>IF('Month A'!B11&lt;&gt;"",'Month A'!B11,)</f>
        <v xml:space="preserve">Insurance (excl. car) </v>
      </c>
      <c r="C11" s="451">
        <f>'Month A'!C11</f>
        <v>0</v>
      </c>
      <c r="D11" s="78"/>
      <c r="E11" s="521"/>
      <c r="F11" s="858"/>
      <c r="G11" s="367"/>
      <c r="H11" s="543"/>
      <c r="I11" s="853"/>
      <c r="J11" s="6"/>
      <c r="K11" s="541"/>
      <c r="L11" s="860"/>
      <c r="M11" s="20" t="str">
        <f>IF(J11="","",$M$5-SUM($J$7:J11))</f>
        <v/>
      </c>
      <c r="N11" s="367"/>
      <c r="O11" s="7"/>
      <c r="P11" s="871">
        <f>IF('Month A'!Q11&lt;&gt;'Month A'!R11,IF('Month A'!Q11&lt;&gt;0,IF('Month A'!S11&lt;&gt;'Month A'!T11,'Month A'!P11,),),)</f>
        <v>0</v>
      </c>
      <c r="Q11" s="795">
        <f>IF('Month A'!Q11&lt;&gt;'Month A'!R11,IF('Month A'!Q11&lt;&gt;0,IF('Month A'!S11&lt;&gt;'Month A'!T11,'Month A'!Q11,),),)</f>
        <v>0</v>
      </c>
      <c r="R11" s="628">
        <f>IF('Month A'!Q11&lt;&gt;'Month A'!R11,IF('Month A'!Q11&lt;&gt;0,IF('Month A'!S11&lt;&gt;'Month A'!T11,0,Q11),Q11),Q11)</f>
        <v>0</v>
      </c>
      <c r="S11" s="796">
        <f>IF('Month A'!Q11&lt;&gt;'Month A'!R11,IF('Month A'!Q11&lt;&gt;0,IF('Month A'!S11&lt;&gt;'Month A'!T11,'Month A'!S11+1,),),)</f>
        <v>0</v>
      </c>
      <c r="T11" s="796">
        <f>IF('Month A'!Q11&lt;&gt;'Month A'!R11,IF('Month A'!Q11&lt;&gt;0,IF('Month A'!S11&lt;&gt;'Month A'!T11,'Month A'!T11,),),)</f>
        <v>0</v>
      </c>
      <c r="U11" s="797">
        <f>IF('Month A'!Q11&lt;&gt;'Month A'!R11,IF('Month A'!Q11&lt;&gt;0,IF('Month A'!S11&lt;&gt;'Month A'!T11,'Month A'!U11,),),)</f>
        <v>0</v>
      </c>
      <c r="V11" s="875">
        <f>IF('Month A'!Q11&lt;&gt;'Month A'!R11,IF('Month A'!Q11&lt;&gt;0,IF('Month A'!S11&lt;&gt;'Month A'!T11,'Month A'!V11,),),)</f>
        <v>0</v>
      </c>
      <c r="W11" s="622">
        <f>IF(Q11="","",$W$5-SUM($Q$7:Q11))</f>
        <v>0</v>
      </c>
      <c r="X11" s="395"/>
      <c r="Y11" s="145" t="str">
        <f>IF('Month A'!Y11&lt;&gt;"",'Month A'!Y11,)</f>
        <v>other Allowances</v>
      </c>
      <c r="Z11" s="456">
        <f>'Month A'!Z11</f>
        <v>0</v>
      </c>
      <c r="AA11" s="69"/>
      <c r="AB11" s="521"/>
      <c r="AC11" s="858"/>
      <c r="AD11" s="32"/>
      <c r="AE11" s="1227"/>
      <c r="AF11" s="367"/>
      <c r="AG11" s="367"/>
      <c r="AH11" s="367"/>
      <c r="AI11" s="367"/>
      <c r="AJ11" s="367"/>
      <c r="AK11" s="367"/>
      <c r="AL11" s="367"/>
      <c r="AM11" s="367"/>
      <c r="AN11" s="367"/>
      <c r="AO11" s="86"/>
    </row>
    <row r="12" spans="1:92" ht="15" customHeight="1" thickBot="1">
      <c r="A12" s="367"/>
      <c r="B12" s="901" t="str">
        <f>IF('Month A'!B12&lt;&gt;"",'Month A'!B12,)</f>
        <v>Bank Savings Program</v>
      </c>
      <c r="C12" s="452">
        <f>'Month A'!C12</f>
        <v>0</v>
      </c>
      <c r="D12" s="78"/>
      <c r="E12" s="521"/>
      <c r="F12" s="858"/>
      <c r="G12" s="367"/>
      <c r="H12" s="543"/>
      <c r="I12" s="853"/>
      <c r="J12" s="6"/>
      <c r="K12" s="541"/>
      <c r="L12" s="860"/>
      <c r="M12" s="20" t="str">
        <f>IF(J12="","",$M$5-SUM($J$7:J12))</f>
        <v/>
      </c>
      <c r="N12" s="367"/>
      <c r="O12" s="7"/>
      <c r="P12" s="871">
        <f>IF('Month A'!Q12&lt;&gt;'Month A'!R12,IF('Month A'!Q12&lt;&gt;0,IF('Month A'!S12&lt;&gt;'Month A'!T12,'Month A'!P12,),),)</f>
        <v>0</v>
      </c>
      <c r="Q12" s="795">
        <f>IF('Month A'!Q12&lt;&gt;'Month A'!R12,IF('Month A'!Q12&lt;&gt;0,IF('Month A'!S12&lt;&gt;'Month A'!T12,'Month A'!Q12,),),)</f>
        <v>0</v>
      </c>
      <c r="R12" s="628">
        <f>IF('Month A'!Q12&lt;&gt;'Month A'!R12,IF('Month A'!Q12&lt;&gt;0,IF('Month A'!S12&lt;&gt;'Month A'!T12,0,Q12),Q12),Q12)</f>
        <v>0</v>
      </c>
      <c r="S12" s="796">
        <f>IF('Month A'!Q12&lt;&gt;'Month A'!R12,IF('Month A'!Q12&lt;&gt;0,IF('Month A'!S12&lt;&gt;'Month A'!T12,'Month A'!S12+1,),),)</f>
        <v>0</v>
      </c>
      <c r="T12" s="796">
        <f>IF('Month A'!Q12&lt;&gt;'Month A'!R12,IF('Month A'!Q12&lt;&gt;0,IF('Month A'!S12&lt;&gt;'Month A'!T12,'Month A'!T12,),),)</f>
        <v>0</v>
      </c>
      <c r="U12" s="797">
        <f>IF('Month A'!Q12&lt;&gt;'Month A'!R12,IF('Month A'!Q12&lt;&gt;0,IF('Month A'!S12&lt;&gt;'Month A'!T12,'Month A'!U12,),),)</f>
        <v>0</v>
      </c>
      <c r="V12" s="875">
        <f>IF('Month A'!Q12&lt;&gt;'Month A'!R12,IF('Month A'!Q12&lt;&gt;0,IF('Month A'!S12&lt;&gt;'Month A'!T12,'Month A'!V12,),),)</f>
        <v>0</v>
      </c>
      <c r="W12" s="622">
        <f>IF(Q12="","",$W$5-SUM($Q$7:Q12))</f>
        <v>0</v>
      </c>
      <c r="X12" s="395"/>
      <c r="Y12" s="145" t="str">
        <f>IF('Month A'!Y12&lt;&gt;"",'Month A'!Y12,)</f>
        <v>Rent Assistance</v>
      </c>
      <c r="Z12" s="456">
        <f>'Month A'!Z12</f>
        <v>0</v>
      </c>
      <c r="AA12" s="69"/>
      <c r="AB12" s="521"/>
      <c r="AC12" s="858"/>
      <c r="AD12" s="32"/>
      <c r="AE12" s="1228"/>
      <c r="AF12" s="367"/>
      <c r="AG12" s="367"/>
      <c r="AH12" s="367"/>
      <c r="AI12" s="367"/>
      <c r="AJ12" s="367"/>
      <c r="AK12" s="367"/>
      <c r="AL12" s="367"/>
      <c r="AM12" s="367"/>
      <c r="AN12" s="367"/>
      <c r="AO12" s="86"/>
      <c r="AP12" s="1138" t="s">
        <v>20</v>
      </c>
      <c r="AQ12" s="1139"/>
      <c r="AR12" s="1139"/>
      <c r="AS12" s="1139"/>
      <c r="AT12" s="1139"/>
      <c r="AU12" s="1139"/>
      <c r="AV12" s="1139"/>
      <c r="AW12" s="1139"/>
      <c r="AX12" s="1140"/>
    </row>
    <row r="13" spans="1:92" ht="15" customHeight="1" thickBot="1">
      <c r="A13" s="367"/>
      <c r="B13" s="901" t="str">
        <f>IF('Month A'!B13&lt;&gt;"",'Month A'!B13,)</f>
        <v>Subscriptions</v>
      </c>
      <c r="C13" s="450">
        <f>'Month A'!C13</f>
        <v>0</v>
      </c>
      <c r="D13" s="78"/>
      <c r="E13" s="521"/>
      <c r="F13" s="858"/>
      <c r="G13" s="367"/>
      <c r="H13" s="543"/>
      <c r="I13" s="853"/>
      <c r="J13" s="6"/>
      <c r="K13" s="541"/>
      <c r="L13" s="860"/>
      <c r="M13" s="20" t="str">
        <f>IF(J13="","",$M$5-SUM($J$7:J13))</f>
        <v/>
      </c>
      <c r="N13" s="367"/>
      <c r="O13" s="7"/>
      <c r="P13" s="871">
        <f>IF('Month A'!Q13&lt;&gt;'Month A'!R13,IF('Month A'!Q13&lt;&gt;0,IF('Month A'!S13&lt;&gt;'Month A'!T13,'Month A'!P13,),),)</f>
        <v>0</v>
      </c>
      <c r="Q13" s="795">
        <f>IF('Month A'!Q13&lt;&gt;'Month A'!R13,IF('Month A'!Q13&lt;&gt;0,IF('Month A'!S13&lt;&gt;'Month A'!T13,'Month A'!Q13,),),)</f>
        <v>0</v>
      </c>
      <c r="R13" s="628">
        <f>IF('Month A'!Q13&lt;&gt;'Month A'!R13,IF('Month A'!Q13&lt;&gt;0,IF('Month A'!S13&lt;&gt;'Month A'!T13,0,Q13),Q13),Q13)</f>
        <v>0</v>
      </c>
      <c r="S13" s="796">
        <f>IF('Month A'!Q13&lt;&gt;'Month A'!R13,IF('Month A'!Q13&lt;&gt;0,IF('Month A'!S13&lt;&gt;'Month A'!T13,'Month A'!S13+1,),),)</f>
        <v>0</v>
      </c>
      <c r="T13" s="796">
        <f>IF('Month A'!Q13&lt;&gt;'Month A'!R13,IF('Month A'!Q13&lt;&gt;0,IF('Month A'!S13&lt;&gt;'Month A'!T13,'Month A'!T13,),),)</f>
        <v>0</v>
      </c>
      <c r="U13" s="797">
        <f>IF('Month A'!Q13&lt;&gt;'Month A'!R13,IF('Month A'!Q13&lt;&gt;0,IF('Month A'!S13&lt;&gt;'Month A'!T13,'Month A'!U13,),),)</f>
        <v>0</v>
      </c>
      <c r="V13" s="875">
        <f>IF('Month A'!Q13&lt;&gt;'Month A'!R13,IF('Month A'!Q13&lt;&gt;0,IF('Month A'!S13&lt;&gt;'Month A'!T13,'Month A'!V13,),),)</f>
        <v>0</v>
      </c>
      <c r="W13" s="622">
        <f>IF(Q13="","",$W$5-SUM($Q$7:Q13))</f>
        <v>0</v>
      </c>
      <c r="X13" s="395"/>
      <c r="Y13" s="145" t="str">
        <f>IF('Month A'!Y13&lt;&gt;"",'Month A'!Y13,)</f>
        <v>Food Packages</v>
      </c>
      <c r="Z13" s="456">
        <f>'Month A'!Z13</f>
        <v>0</v>
      </c>
      <c r="AA13" s="69"/>
      <c r="AB13" s="521"/>
      <c r="AC13" s="858"/>
      <c r="AD13" s="32"/>
      <c r="AE13" s="363">
        <f>AA18+'Month A'!AA18</f>
        <v>0</v>
      </c>
      <c r="AF13" s="367"/>
      <c r="AG13" s="367"/>
      <c r="AH13" s="367"/>
      <c r="AI13" s="367"/>
      <c r="AJ13" s="367"/>
      <c r="AK13" s="367"/>
      <c r="AL13" s="367"/>
      <c r="AM13" s="367"/>
      <c r="AN13" s="367"/>
      <c r="AO13" s="86"/>
    </row>
    <row r="14" spans="1:92" ht="15" customHeight="1">
      <c r="A14" s="367"/>
      <c r="B14" s="901" t="str">
        <f>IF('Month A'!B14&lt;&gt;"",'Month A'!B14,)</f>
        <v>Donations</v>
      </c>
      <c r="C14" s="451">
        <f>'Month A'!C14</f>
        <v>0</v>
      </c>
      <c r="D14" s="78"/>
      <c r="E14" s="521"/>
      <c r="F14" s="858"/>
      <c r="G14" s="367"/>
      <c r="H14" s="543"/>
      <c r="I14" s="853"/>
      <c r="J14" s="6"/>
      <c r="K14" s="541"/>
      <c r="L14" s="860"/>
      <c r="M14" s="20" t="str">
        <f>IF(J14="","",$M$5-SUM($J$7:J14))</f>
        <v/>
      </c>
      <c r="N14" s="367"/>
      <c r="O14" s="7"/>
      <c r="P14" s="871">
        <f>IF('Month A'!Q14&lt;&gt;'Month A'!R14,IF('Month A'!Q14&lt;&gt;0,IF('Month A'!S14&lt;&gt;'Month A'!T14,'Month A'!P14,),),)</f>
        <v>0</v>
      </c>
      <c r="Q14" s="795">
        <f>IF('Month A'!Q14&lt;&gt;'Month A'!R14,IF('Month A'!Q14&lt;&gt;0,IF('Month A'!S14&lt;&gt;'Month A'!T14,'Month A'!Q14,),),)</f>
        <v>0</v>
      </c>
      <c r="R14" s="628">
        <f>IF('Month A'!Q14&lt;&gt;'Month A'!R14,IF('Month A'!Q14&lt;&gt;0,IF('Month A'!S14&lt;&gt;'Month A'!T14,0,Q14),Q14),Q14)</f>
        <v>0</v>
      </c>
      <c r="S14" s="796">
        <f>IF('Month A'!Q14&lt;&gt;'Month A'!R14,IF('Month A'!Q14&lt;&gt;0,IF('Month A'!S14&lt;&gt;'Month A'!T14,'Month A'!S14+1,),),)</f>
        <v>0</v>
      </c>
      <c r="T14" s="796">
        <f>IF('Month A'!Q14&lt;&gt;'Month A'!R14,IF('Month A'!Q14&lt;&gt;0,IF('Month A'!S14&lt;&gt;'Month A'!T14,'Month A'!T14,),),)</f>
        <v>0</v>
      </c>
      <c r="U14" s="797">
        <f>IF('Month A'!Q14&lt;&gt;'Month A'!R14,IF('Month A'!Q14&lt;&gt;0,IF('Month A'!S14&lt;&gt;'Month A'!T14,'Month A'!U14,),),)</f>
        <v>0</v>
      </c>
      <c r="V14" s="875">
        <f>IF('Month A'!Q14&lt;&gt;'Month A'!R14,IF('Month A'!Q14&lt;&gt;0,IF('Month A'!S14&lt;&gt;'Month A'!T14,'Month A'!V14,),),)</f>
        <v>0</v>
      </c>
      <c r="W14" s="622">
        <f>IF(Q14="","",$W$5-SUM($Q$7:Q14))</f>
        <v>0</v>
      </c>
      <c r="X14" s="395"/>
      <c r="Y14" s="145" t="str">
        <f>IF('Month A'!Y14&lt;&gt;"",'Month A'!Y14,)</f>
        <v>Income from Property</v>
      </c>
      <c r="Z14" s="456">
        <f>'Month A'!Z14</f>
        <v>0</v>
      </c>
      <c r="AA14" s="69"/>
      <c r="AB14" s="521"/>
      <c r="AC14" s="858"/>
      <c r="AD14" s="32"/>
      <c r="AE14" s="403"/>
      <c r="AF14" s="367"/>
      <c r="AG14" s="367"/>
      <c r="AH14" s="367"/>
      <c r="AI14" s="367"/>
      <c r="AJ14" s="367"/>
      <c r="AK14" s="367"/>
      <c r="AL14" s="367"/>
      <c r="AM14" s="367"/>
      <c r="AN14" s="367"/>
      <c r="AO14" s="86"/>
      <c r="AW14" s="52" t="s">
        <v>12</v>
      </c>
    </row>
    <row r="15" spans="1:92" ht="15" customHeight="1">
      <c r="A15" s="367"/>
      <c r="B15" s="901">
        <f>IF('Month A'!B15&lt;&gt;"",'Month A'!B15,)</f>
        <v>0</v>
      </c>
      <c r="C15" s="452">
        <f>'Month A'!C15</f>
        <v>0</v>
      </c>
      <c r="D15" s="78"/>
      <c r="E15" s="521"/>
      <c r="F15" s="858"/>
      <c r="G15" s="367"/>
      <c r="H15" s="543"/>
      <c r="I15" s="853"/>
      <c r="J15" s="6"/>
      <c r="K15" s="541"/>
      <c r="L15" s="860"/>
      <c r="M15" s="20" t="str">
        <f>IF(J15="","",$M$5-SUM($J$7:J15))</f>
        <v/>
      </c>
      <c r="N15" s="367"/>
      <c r="O15" s="7"/>
      <c r="P15" s="871">
        <f>IF('Month A'!Q15&lt;&gt;'Month A'!R15,IF('Month A'!Q15&lt;&gt;0,IF('Month A'!S15&lt;&gt;'Month A'!T15,'Month A'!P15,),),)</f>
        <v>0</v>
      </c>
      <c r="Q15" s="795">
        <f>IF('Month A'!Q15&lt;&gt;'Month A'!R15,IF('Month A'!Q15&lt;&gt;0,IF('Month A'!S15&lt;&gt;'Month A'!T15,'Month A'!Q15,),),)</f>
        <v>0</v>
      </c>
      <c r="R15" s="628">
        <f>IF('Month A'!Q15&lt;&gt;'Month A'!R15,IF('Month A'!Q15&lt;&gt;0,IF('Month A'!S15&lt;&gt;'Month A'!T15,0,Q15),Q15),Q15)</f>
        <v>0</v>
      </c>
      <c r="S15" s="796">
        <f>IF('Month A'!Q15&lt;&gt;'Month A'!R15,IF('Month A'!Q15&lt;&gt;0,IF('Month A'!S15&lt;&gt;'Month A'!T15,'Month A'!S15+1,),),)</f>
        <v>0</v>
      </c>
      <c r="T15" s="796">
        <f>IF('Month A'!Q15&lt;&gt;'Month A'!R15,IF('Month A'!Q15&lt;&gt;0,IF('Month A'!S15&lt;&gt;'Month A'!T15,'Month A'!T15,),),)</f>
        <v>0</v>
      </c>
      <c r="U15" s="797">
        <f>IF('Month A'!Q15&lt;&gt;'Month A'!R15,IF('Month A'!Q15&lt;&gt;0,IF('Month A'!S15&lt;&gt;'Month A'!T15,'Month A'!U15,),),)</f>
        <v>0</v>
      </c>
      <c r="V15" s="875">
        <f>IF('Month A'!Q15&lt;&gt;'Month A'!R15,IF('Month A'!Q15&lt;&gt;0,IF('Month A'!S15&lt;&gt;'Month A'!T15,'Month A'!V15,),),)</f>
        <v>0</v>
      </c>
      <c r="W15" s="625">
        <f>IF(Q15="","",$W$5-SUM($Q$7:Q15))</f>
        <v>0</v>
      </c>
      <c r="X15" s="621"/>
      <c r="Y15" s="145" t="str">
        <f>IF('Month A'!Y15&lt;&gt;"",'Month A'!Y15,)</f>
        <v>Help from parents</v>
      </c>
      <c r="Z15" s="456">
        <f>'Month A'!Z15</f>
        <v>0</v>
      </c>
      <c r="AA15" s="69"/>
      <c r="AB15" s="521"/>
      <c r="AC15" s="858"/>
      <c r="AD15" s="32"/>
      <c r="AE15" s="1137" t="str">
        <f>IF(COUNTIF(AE23:AE44,"&lt;0")&gt;0,"Over yearly budget!
Take an action from the options to your right.","")</f>
        <v/>
      </c>
      <c r="AF15" s="367"/>
      <c r="AG15" s="367"/>
      <c r="AH15" s="367"/>
      <c r="AI15" s="367"/>
      <c r="AJ15" s="367"/>
      <c r="AK15" s="367"/>
      <c r="AL15" s="367"/>
      <c r="AM15" s="367"/>
      <c r="AN15" s="367"/>
      <c r="AO15" s="86"/>
      <c r="AW15" s="52" t="s">
        <v>13</v>
      </c>
    </row>
    <row r="16" spans="1:92" ht="15" customHeight="1">
      <c r="A16" s="367"/>
      <c r="B16" s="849">
        <f>IF('Month A'!B16&lt;&gt;"",'Month A'!B16,)</f>
        <v>0</v>
      </c>
      <c r="C16" s="451">
        <f>'Month A'!C16</f>
        <v>0</v>
      </c>
      <c r="D16" s="78"/>
      <c r="E16" s="521"/>
      <c r="F16" s="858"/>
      <c r="G16" s="367"/>
      <c r="H16" s="543"/>
      <c r="I16" s="853"/>
      <c r="J16" s="6"/>
      <c r="K16" s="541"/>
      <c r="L16" s="860"/>
      <c r="M16" s="20" t="str">
        <f>IF(J16="","",$M$5-SUM($J$7:J16))</f>
        <v/>
      </c>
      <c r="N16" s="367"/>
      <c r="O16" s="7"/>
      <c r="P16" s="873">
        <f>IF('Month A'!Q16&lt;&gt;'Month A'!R16,IF('Month A'!Q16&lt;&gt;0,IF('Month A'!S16&lt;&gt;'Month A'!T16,'Month A'!P16,),),)</f>
        <v>0</v>
      </c>
      <c r="Q16" s="795">
        <f>IF('Month A'!Q16&lt;&gt;'Month A'!R16,IF('Month A'!Q16&lt;&gt;0,IF('Month A'!S16&lt;&gt;'Month A'!T16,'Month A'!Q16,),),)</f>
        <v>0</v>
      </c>
      <c r="R16" s="628">
        <f>IF('Month A'!Q16&lt;&gt;'Month A'!R16,IF('Month A'!Q16&lt;&gt;0,IF('Month A'!S16&lt;&gt;'Month A'!T16,0,Q16),Q16),Q16)</f>
        <v>0</v>
      </c>
      <c r="S16" s="796">
        <f>IF('Month A'!Q16&lt;&gt;'Month A'!R16,IF('Month A'!Q16&lt;&gt;0,IF('Month A'!S16&lt;&gt;'Month A'!T16,'Month A'!S16+1,),),)</f>
        <v>0</v>
      </c>
      <c r="T16" s="796">
        <f>IF('Month A'!Q16&lt;&gt;'Month A'!R16,IF('Month A'!Q16&lt;&gt;0,IF('Month A'!S16&lt;&gt;'Month A'!T16,'Month A'!T16,),),)</f>
        <v>0</v>
      </c>
      <c r="U16" s="797">
        <f>IF('Month A'!Q16&lt;&gt;'Month A'!R16,IF('Month A'!Q16&lt;&gt;0,IF('Month A'!S16&lt;&gt;'Month A'!T16,'Month A'!U16,),),)</f>
        <v>0</v>
      </c>
      <c r="V16" s="875">
        <f>IF('Month A'!Q16&lt;&gt;'Month A'!R16,IF('Month A'!Q16&lt;&gt;0,IF('Month A'!S16&lt;&gt;'Month A'!T16,'Month A'!V16,),),)</f>
        <v>0</v>
      </c>
      <c r="W16" s="622">
        <f>IF(Q16="","",$W$5-SUM($Q$7:Q16))</f>
        <v>0</v>
      </c>
      <c r="X16" s="395"/>
      <c r="Y16" s="145" t="str">
        <f>IF('Month A'!Y16&lt;&gt;"",'Month A'!Y16,)</f>
        <v>Other Income</v>
      </c>
      <c r="Z16" s="456">
        <f>'Month A'!Z16</f>
        <v>0</v>
      </c>
      <c r="AA16" s="69"/>
      <c r="AB16" s="645"/>
      <c r="AC16" s="870"/>
      <c r="AD16" s="32"/>
      <c r="AE16" s="1137"/>
      <c r="AF16" s="367"/>
      <c r="AG16" s="367"/>
      <c r="AH16" s="367"/>
      <c r="AI16" s="367"/>
      <c r="AJ16" s="367"/>
      <c r="AK16" s="367"/>
      <c r="AL16" s="367"/>
      <c r="AM16" s="367"/>
      <c r="AN16" s="367"/>
      <c r="AO16" s="86"/>
      <c r="AW16" s="90">
        <f>13-AR19</f>
        <v>11</v>
      </c>
    </row>
    <row r="17" spans="1:52" ht="15" customHeight="1">
      <c r="A17" s="367"/>
      <c r="B17" s="849">
        <f>IF('Month A'!B17&lt;&gt;"",'Month A'!B17,)</f>
        <v>0</v>
      </c>
      <c r="C17" s="453">
        <f>'Month A'!C17</f>
        <v>0</v>
      </c>
      <c r="D17" s="78"/>
      <c r="E17" s="521"/>
      <c r="F17" s="858"/>
      <c r="G17" s="367"/>
      <c r="H17" s="543"/>
      <c r="I17" s="853"/>
      <c r="J17" s="6"/>
      <c r="K17" s="541"/>
      <c r="L17" s="860"/>
      <c r="M17" s="20" t="str">
        <f>IF(J17="","",$M$5-SUM($J$7:J17))</f>
        <v/>
      </c>
      <c r="N17" s="367"/>
      <c r="O17" s="7"/>
      <c r="P17" s="871">
        <f>IF('Month A'!Q17&lt;&gt;'Month A'!R17,IF('Month A'!Q17&lt;&gt;0,IF('Month A'!S17&lt;&gt;'Month A'!T17,'Month A'!P17,),),)</f>
        <v>0</v>
      </c>
      <c r="Q17" s="795">
        <f>IF('Month A'!Q17&lt;&gt;'Month A'!R17,IF('Month A'!Q17&lt;&gt;0,IF('Month A'!S17&lt;&gt;'Month A'!T17,'Month A'!Q17,),),)</f>
        <v>0</v>
      </c>
      <c r="R17" s="628">
        <f>IF('Month A'!Q17&lt;&gt;'Month A'!R17,IF('Month A'!Q17&lt;&gt;0,IF('Month A'!S17&lt;&gt;'Month A'!T17,0,Q17),Q17),Q17)</f>
        <v>0</v>
      </c>
      <c r="S17" s="796">
        <f>IF('Month A'!Q17&lt;&gt;'Month A'!R17,IF('Month A'!Q17&lt;&gt;0,IF('Month A'!S17&lt;&gt;'Month A'!T17,'Month A'!S17+1,),),)</f>
        <v>0</v>
      </c>
      <c r="T17" s="796">
        <f>IF('Month A'!Q17&lt;&gt;'Month A'!R17,IF('Month A'!Q17&lt;&gt;0,IF('Month A'!S17&lt;&gt;'Month A'!T17,'Month A'!T17,),),)</f>
        <v>0</v>
      </c>
      <c r="U17" s="797">
        <f>IF('Month A'!Q17&lt;&gt;'Month A'!R17,IF('Month A'!Q17&lt;&gt;0,IF('Month A'!S17&lt;&gt;'Month A'!T17,'Month A'!U17,),),)</f>
        <v>0</v>
      </c>
      <c r="V17" s="875">
        <f>IF('Month A'!Q17&lt;&gt;'Month A'!R17,IF('Month A'!Q17&lt;&gt;0,IF('Month A'!S17&lt;&gt;'Month A'!T17,'Month A'!V17,),),)</f>
        <v>0</v>
      </c>
      <c r="W17" s="624">
        <f>IF(Q17="","",$W$5-SUM($Q$7:Q17))</f>
        <v>0</v>
      </c>
      <c r="X17" s="621"/>
      <c r="Y17" s="18" t="s">
        <v>179</v>
      </c>
      <c r="Z17" s="30">
        <f>SUM(Z6:Z16)</f>
        <v>0</v>
      </c>
      <c r="AA17" s="19">
        <f>SUM(AA6:AA16)</f>
        <v>0</v>
      </c>
      <c r="AB17" s="642"/>
      <c r="AC17" s="642"/>
      <c r="AD17" s="33"/>
      <c r="AE17" s="1137"/>
      <c r="AF17" s="367"/>
      <c r="AG17" s="367"/>
      <c r="AH17" s="367"/>
      <c r="AI17" s="367"/>
      <c r="AJ17" s="367"/>
      <c r="AK17" s="367"/>
      <c r="AL17" s="367"/>
      <c r="AM17" s="367"/>
      <c r="AN17" s="367"/>
      <c r="AO17" s="86"/>
    </row>
    <row r="18" spans="1:52" ht="15" customHeight="1" thickBot="1">
      <c r="A18" s="367"/>
      <c r="B18" s="16" t="s">
        <v>179</v>
      </c>
      <c r="C18" s="77">
        <f>SUM(C7:C17)</f>
        <v>0</v>
      </c>
      <c r="D18" s="75">
        <f>SUM(D7:D17)</f>
        <v>0</v>
      </c>
      <c r="E18" s="515"/>
      <c r="F18" s="515"/>
      <c r="G18" s="367"/>
      <c r="H18" s="543"/>
      <c r="I18" s="853"/>
      <c r="J18" s="6"/>
      <c r="K18" s="541"/>
      <c r="L18" s="860"/>
      <c r="M18" s="20" t="str">
        <f>IF(J18="","",$M$5-SUM($J$7:J18))</f>
        <v/>
      </c>
      <c r="N18" s="367"/>
      <c r="O18" s="7"/>
      <c r="P18" s="873">
        <f>IF('Month A'!Q18&lt;&gt;'Month A'!R18,IF('Month A'!Q18&lt;&gt;0,IF('Month A'!S18&lt;&gt;'Month A'!T18,'Month A'!P18,),),)</f>
        <v>0</v>
      </c>
      <c r="Q18" s="795">
        <f>IF('Month A'!Q18&lt;&gt;'Month A'!R18,IF('Month A'!Q18&lt;&gt;0,IF('Month A'!S18&lt;&gt;'Month A'!T18,'Month A'!Q18,),),)</f>
        <v>0</v>
      </c>
      <c r="R18" s="628">
        <f>IF('Month A'!Q18&lt;&gt;'Month A'!R18,IF('Month A'!Q18&lt;&gt;0,IF('Month A'!S18&lt;&gt;'Month A'!T18,0,Q18),Q18),Q18)</f>
        <v>0</v>
      </c>
      <c r="S18" s="796">
        <f>IF('Month A'!Q18&lt;&gt;'Month A'!R18,IF('Month A'!Q18&lt;&gt;0,IF('Month A'!S18&lt;&gt;'Month A'!T18,'Month A'!S18+1,),),)</f>
        <v>0</v>
      </c>
      <c r="T18" s="796">
        <f>IF('Month A'!Q18&lt;&gt;'Month A'!R18,IF('Month A'!Q18&lt;&gt;0,IF('Month A'!S18&lt;&gt;'Month A'!T18,'Month A'!T18,),),)</f>
        <v>0</v>
      </c>
      <c r="U18" s="797">
        <f>IF('Month A'!Q18&lt;&gt;'Month A'!R18,IF('Month A'!Q18&lt;&gt;0,IF('Month A'!S18&lt;&gt;'Month A'!T18,'Month A'!U18,),),)</f>
        <v>0</v>
      </c>
      <c r="V18" s="875">
        <f>IF('Month A'!Q18&lt;&gt;'Month A'!R18,IF('Month A'!Q18&lt;&gt;0,IF('Month A'!S18&lt;&gt;'Month A'!T18,'Month A'!V18,),),)</f>
        <v>0</v>
      </c>
      <c r="W18" s="622">
        <f>IF(Q18="","",$W$5-SUM($Q$7:Q18))</f>
        <v>0</v>
      </c>
      <c r="X18" s="395"/>
      <c r="Y18" s="1204" t="s">
        <v>367</v>
      </c>
      <c r="Z18" s="1205"/>
      <c r="AA18" s="121">
        <f>AA17-AA4</f>
        <v>0</v>
      </c>
      <c r="AB18" s="643"/>
      <c r="AC18" s="643"/>
      <c r="AD18" s="34"/>
      <c r="AE18" s="1137"/>
      <c r="AF18" s="367"/>
      <c r="AG18" s="376"/>
      <c r="AH18" s="885" t="s">
        <v>401</v>
      </c>
      <c r="AI18" s="367"/>
      <c r="AJ18" s="367"/>
      <c r="AK18" s="367"/>
      <c r="AL18" s="367"/>
      <c r="AM18" s="367"/>
      <c r="AN18" s="367"/>
      <c r="AO18" s="86"/>
      <c r="AR18" s="52" t="s">
        <v>5</v>
      </c>
    </row>
    <row r="19" spans="1:52" ht="15" customHeight="1" thickBot="1">
      <c r="A19" s="367"/>
      <c r="B19" s="95" t="s">
        <v>367</v>
      </c>
      <c r="C19" s="98"/>
      <c r="D19" s="97">
        <f>C18-D18</f>
        <v>0</v>
      </c>
      <c r="E19" s="516"/>
      <c r="F19" s="516"/>
      <c r="G19" s="367"/>
      <c r="H19" s="543"/>
      <c r="I19" s="853"/>
      <c r="J19" s="6"/>
      <c r="K19" s="541"/>
      <c r="L19" s="860"/>
      <c r="M19" s="20" t="str">
        <f>IF(J19="","",$M$5-SUM($J$7:J19))</f>
        <v/>
      </c>
      <c r="N19" s="367"/>
      <c r="O19" s="7"/>
      <c r="P19" s="871">
        <f>IF('Month A'!Q19&lt;&gt;'Month A'!R19,IF('Month A'!Q19&lt;&gt;0,IF('Month A'!S19&lt;&gt;'Month A'!T19,'Month A'!P19,),),)</f>
        <v>0</v>
      </c>
      <c r="Q19" s="795">
        <f>IF('Month A'!Q19&lt;&gt;'Month A'!R19,IF('Month A'!Q19&lt;&gt;0,IF('Month A'!S19&lt;&gt;'Month A'!T19,'Month A'!Q19,),),)</f>
        <v>0</v>
      </c>
      <c r="R19" s="628">
        <f>IF('Month A'!Q19&lt;&gt;'Month A'!R19,IF('Month A'!Q19&lt;&gt;0,IF('Month A'!S19&lt;&gt;'Month A'!T19,0,Q19),Q19),Q19)</f>
        <v>0</v>
      </c>
      <c r="S19" s="796">
        <f>IF('Month A'!Q19&lt;&gt;'Month A'!R19,IF('Month A'!Q19&lt;&gt;0,IF('Month A'!S19&lt;&gt;'Month A'!T19,'Month A'!S19+1,),),)</f>
        <v>0</v>
      </c>
      <c r="T19" s="796">
        <f>IF('Month A'!Q19&lt;&gt;'Month A'!R19,IF('Month A'!Q19&lt;&gt;0,IF('Month A'!S19&lt;&gt;'Month A'!T19,'Month A'!T19,),),)</f>
        <v>0</v>
      </c>
      <c r="U19" s="797">
        <f>IF('Month A'!Q19&lt;&gt;'Month A'!R19,IF('Month A'!Q19&lt;&gt;0,IF('Month A'!S19&lt;&gt;'Month A'!T19,'Month A'!U19,),),)</f>
        <v>0</v>
      </c>
      <c r="V19" s="875">
        <f>IF('Month A'!Q19&lt;&gt;'Month A'!R19,IF('Month A'!Q19&lt;&gt;0,IF('Month A'!S19&lt;&gt;'Month A'!T19,'Month A'!V19,),),)</f>
        <v>0</v>
      </c>
      <c r="W19" s="622">
        <f>IF(Q19="","",$W$5-SUM($Q$7:Q19))</f>
        <v>0</v>
      </c>
      <c r="X19" s="395"/>
      <c r="Y19" s="378"/>
      <c r="Z19" s="378"/>
      <c r="AA19" s="378"/>
      <c r="AB19" s="378"/>
      <c r="AC19" s="378"/>
      <c r="AD19" s="9"/>
      <c r="AE19" s="1137"/>
      <c r="AF19" s="367"/>
      <c r="AG19" s="373"/>
      <c r="AH19" s="886" t="s">
        <v>402</v>
      </c>
      <c r="AI19" s="367"/>
      <c r="AJ19" s="367"/>
      <c r="AK19" s="367"/>
      <c r="AL19" s="367"/>
      <c r="AM19" s="367"/>
      <c r="AN19" s="367"/>
      <c r="AO19" s="86"/>
      <c r="AR19" s="88">
        <v>2</v>
      </c>
      <c r="AV19" s="476" t="s">
        <v>14</v>
      </c>
    </row>
    <row r="20" spans="1:52" ht="15" customHeight="1" thickBot="1">
      <c r="A20" s="367"/>
      <c r="B20" s="1095" t="str">
        <f>IF(D19&gt;0,"Unexpected positive difference - Check why!","")</f>
        <v/>
      </c>
      <c r="C20" s="1095"/>
      <c r="D20" s="1095"/>
      <c r="E20" s="514"/>
      <c r="F20" s="514"/>
      <c r="G20" s="367"/>
      <c r="H20" s="543"/>
      <c r="I20" s="853"/>
      <c r="J20" s="6"/>
      <c r="K20" s="541"/>
      <c r="L20" s="860"/>
      <c r="M20" s="20" t="str">
        <f>IF(J20="","",$M$5-SUM($J$7:J20))</f>
        <v/>
      </c>
      <c r="N20" s="367"/>
      <c r="O20" s="7"/>
      <c r="P20" s="871">
        <f>IF('Month A'!Q20&lt;&gt;'Month A'!R20,IF('Month A'!Q20&lt;&gt;0,IF('Month A'!S20&lt;&gt;'Month A'!T20,'Month A'!P20,),),)</f>
        <v>0</v>
      </c>
      <c r="Q20" s="795">
        <f>IF('Month A'!Q20&lt;&gt;'Month A'!R20,IF('Month A'!Q20&lt;&gt;0,IF('Month A'!S20&lt;&gt;'Month A'!T20,'Month A'!Q20,),),)</f>
        <v>0</v>
      </c>
      <c r="R20" s="628">
        <f>IF('Month A'!Q20&lt;&gt;'Month A'!R20,IF('Month A'!Q20&lt;&gt;0,IF('Month A'!S20&lt;&gt;'Month A'!T20,0,Q20),Q20),Q20)</f>
        <v>0</v>
      </c>
      <c r="S20" s="796">
        <f>IF('Month A'!Q20&lt;&gt;'Month A'!R20,IF('Month A'!Q20&lt;&gt;0,IF('Month A'!S20&lt;&gt;'Month A'!T20,'Month A'!S20+1,),),)</f>
        <v>0</v>
      </c>
      <c r="T20" s="796">
        <f>IF('Month A'!Q20&lt;&gt;'Month A'!R20,IF('Month A'!Q20&lt;&gt;0,IF('Month A'!S20&lt;&gt;'Month A'!T20,'Month A'!T20,),),)</f>
        <v>0</v>
      </c>
      <c r="U20" s="797">
        <f>IF('Month A'!Q20&lt;&gt;'Month A'!R20,IF('Month A'!Q20&lt;&gt;0,IF('Month A'!S20&lt;&gt;'Month A'!T20,'Month A'!U20,),),)</f>
        <v>0</v>
      </c>
      <c r="V20" s="875">
        <f>IF('Month A'!Q20&lt;&gt;'Month A'!R20,IF('Month A'!Q20&lt;&gt;0,IF('Month A'!S20&lt;&gt;'Month A'!T20,'Month A'!V20,),),)</f>
        <v>0</v>
      </c>
      <c r="W20" s="622">
        <f>IF(Q20="","",$W$5-SUM($Q$7:Q20))</f>
        <v>0</v>
      </c>
      <c r="X20" s="395"/>
      <c r="Y20" s="1206" t="s">
        <v>350</v>
      </c>
      <c r="Z20" s="1207"/>
      <c r="AA20" s="1207"/>
      <c r="AB20" s="552"/>
      <c r="AC20" s="552"/>
      <c r="AD20" s="27"/>
      <c r="AE20" s="1137"/>
      <c r="AF20" s="367"/>
      <c r="AG20" s="374"/>
      <c r="AH20" s="887" t="s">
        <v>466</v>
      </c>
      <c r="AI20" s="367"/>
      <c r="AJ20" s="367"/>
      <c r="AK20" s="367"/>
      <c r="AL20" s="367"/>
      <c r="AM20" s="367"/>
      <c r="AN20" s="367"/>
      <c r="AO20" s="86"/>
      <c r="AQ20" s="1138" t="s">
        <v>28</v>
      </c>
      <c r="AR20" s="1139"/>
      <c r="AS20" s="1139"/>
      <c r="AT20" s="1140"/>
      <c r="AV20" s="476" t="s">
        <v>15</v>
      </c>
    </row>
    <row r="21" spans="1:52" ht="15" customHeight="1">
      <c r="A21" s="367"/>
      <c r="B21" s="399"/>
      <c r="C21" s="400"/>
      <c r="D21" s="400"/>
      <c r="E21" s="400"/>
      <c r="F21" s="400"/>
      <c r="G21" s="367"/>
      <c r="H21" s="543"/>
      <c r="I21" s="853"/>
      <c r="J21" s="6"/>
      <c r="K21" s="541"/>
      <c r="L21" s="860"/>
      <c r="M21" s="20" t="str">
        <f>IF(J21="","",$M$5-SUM($J$7:J21))</f>
        <v/>
      </c>
      <c r="N21" s="367"/>
      <c r="O21" s="7"/>
      <c r="P21" s="873">
        <f>IF('Month A'!Q21&lt;&gt;'Month A'!R21,IF('Month A'!Q21&lt;&gt;0,IF('Month A'!S21&lt;&gt;'Month A'!T21,'Month A'!P21,),),)</f>
        <v>0</v>
      </c>
      <c r="Q21" s="795">
        <f>IF('Month A'!Q21&lt;&gt;'Month A'!R21,IF('Month A'!Q21&lt;&gt;0,IF('Month A'!S21&lt;&gt;'Month A'!T21,'Month A'!Q21,),),)</f>
        <v>0</v>
      </c>
      <c r="R21" s="628">
        <f>IF('Month A'!Q21&lt;&gt;'Month A'!R21,IF('Month A'!Q21&lt;&gt;0,IF('Month A'!S21&lt;&gt;'Month A'!T21,0,Q21),Q21),Q21)</f>
        <v>0</v>
      </c>
      <c r="S21" s="796">
        <f>IF('Month A'!Q21&lt;&gt;'Month A'!R21,IF('Month A'!Q21&lt;&gt;0,IF('Month A'!S21&lt;&gt;'Month A'!T21,'Month A'!S21+1,),),)</f>
        <v>0</v>
      </c>
      <c r="T21" s="796">
        <f>IF('Month A'!Q21&lt;&gt;'Month A'!R21,IF('Month A'!Q21&lt;&gt;0,IF('Month A'!S21&lt;&gt;'Month A'!T21,'Month A'!T21,),),)</f>
        <v>0</v>
      </c>
      <c r="U21" s="797">
        <f>IF('Month A'!Q21&lt;&gt;'Month A'!R21,IF('Month A'!Q21&lt;&gt;0,IF('Month A'!S21&lt;&gt;'Month A'!T21,'Month A'!U21,),),)</f>
        <v>0</v>
      </c>
      <c r="V21" s="875">
        <f>IF('Month A'!Q21&lt;&gt;'Month A'!R21,IF('Month A'!Q21&lt;&gt;0,IF('Month A'!S21&lt;&gt;'Month A'!T21,'Month A'!V21,),),)</f>
        <v>0</v>
      </c>
      <c r="W21" s="622">
        <f>IF(Q21="","",$W$5-SUM($Q$7:Q21))</f>
        <v>0</v>
      </c>
      <c r="X21" s="395"/>
      <c r="Y21" s="1187" t="s">
        <v>353</v>
      </c>
      <c r="Z21" s="1189" t="s">
        <v>354</v>
      </c>
      <c r="AA21" s="1210" t="s">
        <v>494</v>
      </c>
      <c r="AB21" s="719"/>
      <c r="AC21" s="720"/>
      <c r="AD21" s="1148" t="s">
        <v>2</v>
      </c>
      <c r="AE21" s="1141" t="s">
        <v>406</v>
      </c>
      <c r="AF21" s="367"/>
      <c r="AG21" s="1142" t="s">
        <v>405</v>
      </c>
      <c r="AH21" s="887" t="s">
        <v>403</v>
      </c>
      <c r="AI21" s="367"/>
      <c r="AJ21" s="367"/>
      <c r="AK21" s="367"/>
      <c r="AL21" s="367"/>
      <c r="AM21" s="367"/>
      <c r="AN21" s="367"/>
      <c r="AO21" s="86"/>
      <c r="AP21" s="89" t="s">
        <v>3</v>
      </c>
      <c r="AQ21" s="475" t="s">
        <v>7</v>
      </c>
      <c r="AR21" s="1229" t="s">
        <v>11</v>
      </c>
      <c r="AS21" s="476"/>
      <c r="AT21" s="476"/>
      <c r="AU21" s="476"/>
      <c r="AV21" s="476" t="s">
        <v>16</v>
      </c>
      <c r="AW21" s="476"/>
      <c r="AX21" s="90" t="s">
        <v>0</v>
      </c>
    </row>
    <row r="22" spans="1:52" ht="15.75" customHeight="1" thickBot="1">
      <c r="A22" s="367"/>
      <c r="B22" s="401" t="s">
        <v>349</v>
      </c>
      <c r="C22" s="402"/>
      <c r="D22" s="378"/>
      <c r="E22" s="378"/>
      <c r="F22" s="378"/>
      <c r="G22" s="367"/>
      <c r="H22" s="543"/>
      <c r="I22" s="853"/>
      <c r="J22" s="6"/>
      <c r="K22" s="541"/>
      <c r="L22" s="860"/>
      <c r="M22" s="20" t="str">
        <f>IF(J22="","",$M$5-SUM($J$7:J22))</f>
        <v/>
      </c>
      <c r="N22" s="367"/>
      <c r="O22" s="7"/>
      <c r="P22" s="871">
        <f>IF('Month A'!Q22&lt;&gt;'Month A'!R22,IF('Month A'!Q22&lt;&gt;0,IF('Month A'!S22&lt;&gt;'Month A'!T22,'Month A'!P22,),),)</f>
        <v>0</v>
      </c>
      <c r="Q22" s="795">
        <f>IF('Month A'!Q22&lt;&gt;'Month A'!R22,IF('Month A'!Q22&lt;&gt;0,IF('Month A'!S22&lt;&gt;'Month A'!T22,'Month A'!Q22,),),)</f>
        <v>0</v>
      </c>
      <c r="R22" s="628">
        <f>IF('Month A'!Q22&lt;&gt;'Month A'!R22,IF('Month A'!Q22&lt;&gt;0,IF('Month A'!S22&lt;&gt;'Month A'!T22,0,Q22),Q22),Q22)</f>
        <v>0</v>
      </c>
      <c r="S22" s="796">
        <f>IF('Month A'!Q22&lt;&gt;'Month A'!R22,IF('Month A'!Q22&lt;&gt;0,IF('Month A'!S22&lt;&gt;'Month A'!T22,'Month A'!S22+1,),),)</f>
        <v>0</v>
      </c>
      <c r="T22" s="796">
        <f>IF('Month A'!Q22&lt;&gt;'Month A'!R22,IF('Month A'!Q22&lt;&gt;0,IF('Month A'!S22&lt;&gt;'Month A'!T22,'Month A'!T22,),),)</f>
        <v>0</v>
      </c>
      <c r="U22" s="797">
        <f>IF('Month A'!Q22&lt;&gt;'Month A'!R22,IF('Month A'!Q22&lt;&gt;0,IF('Month A'!S22&lt;&gt;'Month A'!T22,'Month A'!U22,),),)</f>
        <v>0</v>
      </c>
      <c r="V22" s="875">
        <f>IF('Month A'!Q22&lt;&gt;'Month A'!R22,IF('Month A'!Q22&lt;&gt;0,IF('Month A'!S22&lt;&gt;'Month A'!T22,'Month A'!V22,),),)</f>
        <v>0</v>
      </c>
      <c r="W22" s="622">
        <f>IF(Q22="","",$W$5-SUM($Q$7:Q22))</f>
        <v>0</v>
      </c>
      <c r="X22" s="395"/>
      <c r="Y22" s="1188"/>
      <c r="Z22" s="1190"/>
      <c r="AA22" s="1211"/>
      <c r="AB22" s="719"/>
      <c r="AC22" s="721"/>
      <c r="AD22" s="1148"/>
      <c r="AE22" s="1141"/>
      <c r="AF22" s="367"/>
      <c r="AG22" s="1143"/>
      <c r="AH22" s="367"/>
      <c r="AI22" s="367"/>
      <c r="AJ22" s="367"/>
      <c r="AK22" s="367"/>
      <c r="AL22" s="367"/>
      <c r="AM22" s="367"/>
      <c r="AN22" s="367"/>
      <c r="AO22" s="86"/>
      <c r="AP22" s="90" t="s">
        <v>9</v>
      </c>
      <c r="AQ22" s="475" t="s">
        <v>10</v>
      </c>
      <c r="AR22" s="1229"/>
      <c r="AS22" s="475" t="s">
        <v>8</v>
      </c>
      <c r="AT22" s="475" t="s">
        <v>6</v>
      </c>
      <c r="AU22" s="476"/>
      <c r="AV22" s="475" t="s">
        <v>17</v>
      </c>
      <c r="AW22" s="475" t="s">
        <v>18</v>
      </c>
      <c r="AX22" s="706" t="s">
        <v>19</v>
      </c>
      <c r="AZ22" s="725" t="s">
        <v>31</v>
      </c>
    </row>
    <row r="23" spans="1:52" ht="15.75">
      <c r="A23" s="367"/>
      <c r="B23" s="1102" t="s">
        <v>428</v>
      </c>
      <c r="C23" s="1104">
        <f ca="1">C40</f>
        <v>0</v>
      </c>
      <c r="D23" s="1105"/>
      <c r="E23" s="1091"/>
      <c r="F23" s="1092"/>
      <c r="G23" s="367"/>
      <c r="H23" s="543"/>
      <c r="I23" s="853"/>
      <c r="J23" s="6"/>
      <c r="K23" s="541"/>
      <c r="L23" s="860"/>
      <c r="M23" s="20" t="str">
        <f>IF(J23="","",$M$5-SUM($J$7:J23))</f>
        <v/>
      </c>
      <c r="N23" s="367"/>
      <c r="O23" s="7"/>
      <c r="P23" s="873">
        <f>IF('Month A'!Q23&lt;&gt;'Month A'!R23,IF('Month A'!Q23&lt;&gt;0,IF('Month A'!S23&lt;&gt;'Month A'!T23,'Month A'!P23,),),)</f>
        <v>0</v>
      </c>
      <c r="Q23" s="795">
        <f>IF('Month A'!Q23&lt;&gt;'Month A'!R23,IF('Month A'!Q23&lt;&gt;0,IF('Month A'!S23&lt;&gt;'Month A'!T23,'Month A'!Q23,),),)</f>
        <v>0</v>
      </c>
      <c r="R23" s="628">
        <f>IF('Month A'!Q23&lt;&gt;'Month A'!R23,IF('Month A'!Q23&lt;&gt;0,IF('Month A'!S23&lt;&gt;'Month A'!T23,0,Q23),Q23),Q23)</f>
        <v>0</v>
      </c>
      <c r="S23" s="796">
        <f>IF('Month A'!Q23&lt;&gt;'Month A'!R23,IF('Month A'!Q23&lt;&gt;0,IF('Month A'!S23&lt;&gt;'Month A'!T23,'Month A'!S23+1,),),)</f>
        <v>0</v>
      </c>
      <c r="T23" s="796">
        <f>IF('Month A'!Q23&lt;&gt;'Month A'!R23,IF('Month A'!Q23&lt;&gt;0,IF('Month A'!S23&lt;&gt;'Month A'!T23,'Month A'!T23,),),)</f>
        <v>0</v>
      </c>
      <c r="U23" s="797">
        <f>IF('Month A'!Q23&lt;&gt;'Month A'!R23,IF('Month A'!Q23&lt;&gt;0,IF('Month A'!S23&lt;&gt;'Month A'!T23,'Month A'!U23,),),)</f>
        <v>0</v>
      </c>
      <c r="V23" s="875">
        <f>IF('Month A'!Q23&lt;&gt;'Month A'!R23,IF('Month A'!Q23&lt;&gt;0,IF('Month A'!S23&lt;&gt;'Month A'!T23,'Month A'!V23,),),)</f>
        <v>0</v>
      </c>
      <c r="W23" s="622">
        <f>IF(Q23="","",$W$5-SUM($Q$7:Q23))</f>
        <v>0</v>
      </c>
      <c r="X23" s="395"/>
      <c r="Y23" s="903" t="str">
        <f>IF('Month A'!Y23&lt;&gt;"",'Month A'!Y23,)</f>
        <v>Municipal Taxes</v>
      </c>
      <c r="Z23" s="457">
        <f>'Month A'!Z23</f>
        <v>0</v>
      </c>
      <c r="AA23" s="28">
        <f t="shared" ref="AA23:AA44" si="0">SUMIF($P$7:$P$110,Y23,$Q$7:$Q$110)</f>
        <v>0</v>
      </c>
      <c r="AB23" s="722"/>
      <c r="AC23" s="722"/>
      <c r="AD23" s="35">
        <f t="shared" ref="AD23:AD44" si="1">SUMIF($P$7:$P$110,Y23,$R$7:$R$110)</f>
        <v>0</v>
      </c>
      <c r="AE23" s="23">
        <f>IF(AI23=0,AX23,0)</f>
        <v>0</v>
      </c>
      <c r="AF23" s="367"/>
      <c r="AG23" s="728">
        <f t="shared" ref="AG23:AG44" si="2">IF(AZ23&gt;1,"overrun",IF(AZ23&lt;0,"OK",AZ23))</f>
        <v>0</v>
      </c>
      <c r="AH23" s="367"/>
      <c r="AI23" s="375">
        <v>0</v>
      </c>
      <c r="AJ23" s="367"/>
      <c r="AK23" s="367"/>
      <c r="AL23" s="367"/>
      <c r="AM23" s="367"/>
      <c r="AN23" s="367"/>
      <c r="AO23" s="86"/>
      <c r="AP23" s="51">
        <f t="shared" ref="AP23:AP44" si="3">IF(AI23=1,AX23,0)</f>
        <v>0</v>
      </c>
      <c r="AQ23" s="477">
        <f>'Month A'!AQ23+'Month A'!AP23</f>
        <v>0</v>
      </c>
      <c r="AR23" s="477">
        <f t="shared" ref="AR23:AR44" si="4">Z23*12-AS23-AQ23</f>
        <v>0</v>
      </c>
      <c r="AS23" s="477">
        <f>AD23+'Month A'!AS23</f>
        <v>0</v>
      </c>
      <c r="AT23" s="477">
        <f>AA23+'Month A'!AT23</f>
        <v>0</v>
      </c>
      <c r="AU23" s="476"/>
      <c r="AV23" s="477">
        <f>'Month A'!AV23-'Month A'!AD23+B!Z23-'Month A'!AP23</f>
        <v>0</v>
      </c>
      <c r="AW23" s="476">
        <f>IF(AE23&lt;0,AE23,0)</f>
        <v>0</v>
      </c>
      <c r="AX23" s="52">
        <f>IF(Z23='Month A'!Z23,'Month A'!AE23-AD23,'Month A'!AE23+(Z23-'Month A'!Z23)*$AW$16-AD23)</f>
        <v>0</v>
      </c>
      <c r="AZ23" s="726">
        <f t="shared" ref="AZ23:AZ44" si="5">(($Z23*(12-$AR$19))-$AE23)/($Z23*(12-$AR$19)+0.00001)</f>
        <v>0</v>
      </c>
    </row>
    <row r="24" spans="1:52" ht="15.75">
      <c r="A24" s="367"/>
      <c r="B24" s="1103"/>
      <c r="C24" s="1106"/>
      <c r="D24" s="1107"/>
      <c r="E24" s="1091"/>
      <c r="F24" s="1092"/>
      <c r="G24" s="367"/>
      <c r="H24" s="543"/>
      <c r="I24" s="853"/>
      <c r="J24" s="6"/>
      <c r="K24" s="541"/>
      <c r="L24" s="860"/>
      <c r="M24" s="20" t="str">
        <f>IF(J24="","",$M$5-SUM($J$7:J24))</f>
        <v/>
      </c>
      <c r="N24" s="367"/>
      <c r="O24" s="7"/>
      <c r="P24" s="873">
        <f>IF('Month A'!Q24&lt;&gt;'Month A'!R24,IF('Month A'!Q24&lt;&gt;0,IF('Month A'!S24&lt;&gt;'Month A'!T24,'Month A'!P24,),),)</f>
        <v>0</v>
      </c>
      <c r="Q24" s="795">
        <f>IF('Month A'!Q24&lt;&gt;'Month A'!R24,IF('Month A'!Q24&lt;&gt;0,IF('Month A'!S24&lt;&gt;'Month A'!T24,'Month A'!Q24,),),)</f>
        <v>0</v>
      </c>
      <c r="R24" s="628">
        <f>IF('Month A'!Q24&lt;&gt;'Month A'!R24,IF('Month A'!Q24&lt;&gt;0,IF('Month A'!S24&lt;&gt;'Month A'!T24,0,Q24),Q24),Q24)</f>
        <v>0</v>
      </c>
      <c r="S24" s="796">
        <f>IF('Month A'!Q24&lt;&gt;'Month A'!R24,IF('Month A'!Q24&lt;&gt;0,IF('Month A'!S24&lt;&gt;'Month A'!T24,'Month A'!S24+1,),),)</f>
        <v>0</v>
      </c>
      <c r="T24" s="796">
        <f>IF('Month A'!Q24&lt;&gt;'Month A'!R24,IF('Month A'!Q24&lt;&gt;0,IF('Month A'!S24&lt;&gt;'Month A'!T24,'Month A'!T24,),),)</f>
        <v>0</v>
      </c>
      <c r="U24" s="797">
        <f>IF('Month A'!Q24&lt;&gt;'Month A'!R24,IF('Month A'!Q24&lt;&gt;0,IF('Month A'!S24&lt;&gt;'Month A'!T24,'Month A'!U24,),),)</f>
        <v>0</v>
      </c>
      <c r="V24" s="875">
        <f>IF('Month A'!Q24&lt;&gt;'Month A'!R24,IF('Month A'!Q24&lt;&gt;0,IF('Month A'!S24&lt;&gt;'Month A'!T24,'Month A'!V24,),),)</f>
        <v>0</v>
      </c>
      <c r="W24" s="622">
        <f>IF(Q24="","",$W$5-SUM($Q$7:Q24))</f>
        <v>0</v>
      </c>
      <c r="X24" s="395"/>
      <c r="Y24" s="903" t="str">
        <f>IF('Month A'!Y24&lt;&gt;"",'Month A'!Y24,)</f>
        <v>Water and Sewage</v>
      </c>
      <c r="Z24" s="457">
        <f>'Month A'!Z24</f>
        <v>0</v>
      </c>
      <c r="AA24" s="29">
        <f t="shared" si="0"/>
        <v>0</v>
      </c>
      <c r="AB24" s="723"/>
      <c r="AC24" s="723"/>
      <c r="AD24" s="36">
        <f t="shared" si="1"/>
        <v>0</v>
      </c>
      <c r="AE24" s="23">
        <f t="shared" ref="AE24:AE44" si="6">IF(AI24=0,AX24,0)</f>
        <v>0</v>
      </c>
      <c r="AF24" s="367"/>
      <c r="AG24" s="728">
        <f t="shared" si="2"/>
        <v>0</v>
      </c>
      <c r="AH24" s="367"/>
      <c r="AI24" s="375">
        <v>0</v>
      </c>
      <c r="AJ24" s="367"/>
      <c r="AK24" s="367"/>
      <c r="AL24" s="367"/>
      <c r="AM24" s="367"/>
      <c r="AN24" s="367"/>
      <c r="AO24" s="86"/>
      <c r="AP24" s="51">
        <f t="shared" si="3"/>
        <v>0</v>
      </c>
      <c r="AQ24" s="477">
        <f>'Month A'!AQ24+'Month A'!AP24</f>
        <v>0</v>
      </c>
      <c r="AR24" s="477">
        <f t="shared" si="4"/>
        <v>0</v>
      </c>
      <c r="AS24" s="477">
        <f>AD24+'Month A'!AS24</f>
        <v>0</v>
      </c>
      <c r="AT24" s="477">
        <f>AA24+'Month A'!AT24</f>
        <v>0</v>
      </c>
      <c r="AU24" s="476"/>
      <c r="AV24" s="477">
        <f>'Month A'!AV24-'Month A'!AD24+B!Z24-'Month A'!AP24</f>
        <v>0</v>
      </c>
      <c r="AW24" s="476">
        <f t="shared" ref="AW24:AW44" si="7">IF(AE24&lt;0,AE24,0)</f>
        <v>0</v>
      </c>
      <c r="AX24" s="52">
        <f>IF(Z24='Month A'!Z24,'Month A'!AE24-AD24,'Month A'!AE24+(Z24-'Month A'!Z24)*$AW$16-AD24)</f>
        <v>0</v>
      </c>
      <c r="AZ24" s="726">
        <f t="shared" si="5"/>
        <v>0</v>
      </c>
    </row>
    <row r="25" spans="1:52" ht="16.5" thickBot="1">
      <c r="A25" s="367"/>
      <c r="B25" s="1178" t="s">
        <v>388</v>
      </c>
      <c r="C25" s="1118" t="s">
        <v>354</v>
      </c>
      <c r="D25" s="1180" t="s">
        <v>494</v>
      </c>
      <c r="E25" s="1109" t="s">
        <v>380</v>
      </c>
      <c r="F25" s="1108" t="s">
        <v>335</v>
      </c>
      <c r="G25" s="367"/>
      <c r="H25" s="543"/>
      <c r="I25" s="853"/>
      <c r="J25" s="6"/>
      <c r="K25" s="541"/>
      <c r="L25" s="860"/>
      <c r="M25" s="20" t="str">
        <f>IF(J25="","",$M$5-SUM($J$7:J25))</f>
        <v/>
      </c>
      <c r="N25" s="367"/>
      <c r="O25" s="7"/>
      <c r="P25" s="873">
        <f>IF('Month A'!Q25&lt;&gt;'Month A'!R25,IF('Month A'!Q25&lt;&gt;0,IF('Month A'!S25&lt;&gt;'Month A'!T25,'Month A'!P25,),),)</f>
        <v>0</v>
      </c>
      <c r="Q25" s="795">
        <f>IF('Month A'!Q25&lt;&gt;'Month A'!R25,IF('Month A'!Q25&lt;&gt;0,IF('Month A'!S25&lt;&gt;'Month A'!T25,'Month A'!Q25,),),)</f>
        <v>0</v>
      </c>
      <c r="R25" s="628">
        <f>IF('Month A'!Q25&lt;&gt;'Month A'!R25,IF('Month A'!Q25&lt;&gt;0,IF('Month A'!S25&lt;&gt;'Month A'!T25,0,Q25),Q25),Q25)</f>
        <v>0</v>
      </c>
      <c r="S25" s="796">
        <f>IF('Month A'!Q25&lt;&gt;'Month A'!R25,IF('Month A'!Q25&lt;&gt;0,IF('Month A'!S25&lt;&gt;'Month A'!T25,'Month A'!S25+1,),),)</f>
        <v>0</v>
      </c>
      <c r="T25" s="796">
        <f>IF('Month A'!Q25&lt;&gt;'Month A'!R25,IF('Month A'!Q25&lt;&gt;0,IF('Month A'!S25&lt;&gt;'Month A'!T25,'Month A'!T25,),),)</f>
        <v>0</v>
      </c>
      <c r="U25" s="797">
        <f>IF('Month A'!Q25&lt;&gt;'Month A'!R25,IF('Month A'!Q25&lt;&gt;0,IF('Month A'!S25&lt;&gt;'Month A'!T25,'Month A'!U25,),),)</f>
        <v>0</v>
      </c>
      <c r="V25" s="875">
        <f>IF('Month A'!Q25&lt;&gt;'Month A'!R25,IF('Month A'!Q25&lt;&gt;0,IF('Month A'!S25&lt;&gt;'Month A'!T25,'Month A'!V25,),),)</f>
        <v>0</v>
      </c>
      <c r="W25" s="622">
        <f>IF(Q25="","",$W$5-SUM($Q$7:Q25))</f>
        <v>0</v>
      </c>
      <c r="X25" s="395"/>
      <c r="Y25" s="903" t="str">
        <f>IF('Month A'!Y25&lt;&gt;"",'Month A'!Y25,)</f>
        <v>Electricity</v>
      </c>
      <c r="Z25" s="457">
        <f>'Month A'!Z25</f>
        <v>0</v>
      </c>
      <c r="AA25" s="29">
        <f t="shared" si="0"/>
        <v>0</v>
      </c>
      <c r="AB25" s="723"/>
      <c r="AC25" s="723"/>
      <c r="AD25" s="36">
        <f t="shared" si="1"/>
        <v>0</v>
      </c>
      <c r="AE25" s="23">
        <f t="shared" si="6"/>
        <v>0</v>
      </c>
      <c r="AF25" s="367"/>
      <c r="AG25" s="728">
        <f t="shared" si="2"/>
        <v>0</v>
      </c>
      <c r="AH25" s="367"/>
      <c r="AI25" s="375">
        <v>0</v>
      </c>
      <c r="AJ25" s="367"/>
      <c r="AK25" s="367"/>
      <c r="AL25" s="367"/>
      <c r="AM25" s="367"/>
      <c r="AN25" s="367"/>
      <c r="AO25" s="86"/>
      <c r="AP25" s="51">
        <f t="shared" si="3"/>
        <v>0</v>
      </c>
      <c r="AQ25" s="477">
        <f>'Month A'!AQ25+'Month A'!AP25</f>
        <v>0</v>
      </c>
      <c r="AR25" s="477">
        <f t="shared" si="4"/>
        <v>0</v>
      </c>
      <c r="AS25" s="477">
        <f>AD25+'Month A'!AS25</f>
        <v>0</v>
      </c>
      <c r="AT25" s="477">
        <f>AA25+'Month A'!AT25</f>
        <v>0</v>
      </c>
      <c r="AU25" s="476"/>
      <c r="AV25" s="477">
        <f>'Month A'!AV25-'Month A'!AD25+B!Z25-'Month A'!AP25</f>
        <v>0</v>
      </c>
      <c r="AW25" s="476">
        <f t="shared" si="7"/>
        <v>0</v>
      </c>
      <c r="AX25" s="52">
        <f>IF(Z25='Month A'!Z25,'Month A'!AE25-AD25,'Month A'!AE25+(Z25-'Month A'!Z25)*$AW$16-AD25)</f>
        <v>0</v>
      </c>
      <c r="AZ25" s="726">
        <f t="shared" si="5"/>
        <v>0</v>
      </c>
    </row>
    <row r="26" spans="1:52" ht="15.75">
      <c r="A26" s="367"/>
      <c r="B26" s="1179"/>
      <c r="C26" s="1119"/>
      <c r="D26" s="1181"/>
      <c r="E26" s="1109"/>
      <c r="F26" s="1108"/>
      <c r="G26" s="367"/>
      <c r="H26" s="543"/>
      <c r="I26" s="853"/>
      <c r="J26" s="6"/>
      <c r="K26" s="541"/>
      <c r="L26" s="860"/>
      <c r="M26" s="20" t="str">
        <f>IF(J26="","",$M$5-SUM($J$7:J26))</f>
        <v/>
      </c>
      <c r="N26" s="367"/>
      <c r="O26" s="7"/>
      <c r="P26" s="873">
        <f>IF('Month A'!Q26&lt;&gt;'Month A'!R26,IF('Month A'!Q26&lt;&gt;0,IF('Month A'!S26&lt;&gt;'Month A'!T26,'Month A'!P26,),),)</f>
        <v>0</v>
      </c>
      <c r="Q26" s="795">
        <f>IF('Month A'!Q26&lt;&gt;'Month A'!R26,IF('Month A'!Q26&lt;&gt;0,IF('Month A'!S26&lt;&gt;'Month A'!T26,'Month A'!Q26,),),)</f>
        <v>0</v>
      </c>
      <c r="R26" s="628">
        <f>IF('Month A'!Q26&lt;&gt;'Month A'!R26,IF('Month A'!Q26&lt;&gt;0,IF('Month A'!S26&lt;&gt;'Month A'!T26,0,Q26),Q26),Q26)</f>
        <v>0</v>
      </c>
      <c r="S26" s="796">
        <f>IF('Month A'!Q26&lt;&gt;'Month A'!R26,IF('Month A'!Q26&lt;&gt;0,IF('Month A'!S26&lt;&gt;'Month A'!T26,'Month A'!S26+1,),),)</f>
        <v>0</v>
      </c>
      <c r="T26" s="796">
        <f>IF('Month A'!Q26&lt;&gt;'Month A'!R26,IF('Month A'!Q26&lt;&gt;0,IF('Month A'!S26&lt;&gt;'Month A'!T26,'Month A'!T26,),),)</f>
        <v>0</v>
      </c>
      <c r="U26" s="797">
        <f>IF('Month A'!Q26&lt;&gt;'Month A'!R26,IF('Month A'!Q26&lt;&gt;0,IF('Month A'!S26&lt;&gt;'Month A'!T26,'Month A'!U26,),),)</f>
        <v>0</v>
      </c>
      <c r="V26" s="875">
        <f>IF('Month A'!Q26&lt;&gt;'Month A'!R26,IF('Month A'!Q26&lt;&gt;0,IF('Month A'!S26&lt;&gt;'Month A'!T26,'Month A'!V26,),),)</f>
        <v>0</v>
      </c>
      <c r="W26" s="622">
        <f>IF(Q26="","",$W$5-SUM($Q$7:Q26))</f>
        <v>0</v>
      </c>
      <c r="X26" s="395"/>
      <c r="Y26" s="903" t="str">
        <f>IF('Month A'!Y26&lt;&gt;"",'Month A'!Y26,)</f>
        <v>Gas</v>
      </c>
      <c r="Z26" s="457">
        <f>'Month A'!Z26</f>
        <v>0</v>
      </c>
      <c r="AA26" s="29">
        <f t="shared" si="0"/>
        <v>0</v>
      </c>
      <c r="AB26" s="723"/>
      <c r="AC26" s="723"/>
      <c r="AD26" s="36">
        <f t="shared" si="1"/>
        <v>0</v>
      </c>
      <c r="AE26" s="23">
        <f t="shared" si="6"/>
        <v>0</v>
      </c>
      <c r="AF26" s="367"/>
      <c r="AG26" s="728">
        <f t="shared" si="2"/>
        <v>0</v>
      </c>
      <c r="AH26" s="367"/>
      <c r="AI26" s="375">
        <v>0</v>
      </c>
      <c r="AJ26" s="367"/>
      <c r="AK26" s="525" t="s">
        <v>404</v>
      </c>
      <c r="AL26" s="526"/>
      <c r="AM26" s="367"/>
      <c r="AN26" s="367"/>
      <c r="AO26" s="86"/>
      <c r="AP26" s="51">
        <f t="shared" si="3"/>
        <v>0</v>
      </c>
      <c r="AQ26" s="477">
        <f>'Month A'!AQ26+'Month A'!AP26</f>
        <v>0</v>
      </c>
      <c r="AR26" s="477">
        <f t="shared" si="4"/>
        <v>0</v>
      </c>
      <c r="AS26" s="477">
        <f>AD26+'Month A'!AS26</f>
        <v>0</v>
      </c>
      <c r="AT26" s="477">
        <f>AA26+'Month A'!AT26</f>
        <v>0</v>
      </c>
      <c r="AU26" s="476"/>
      <c r="AV26" s="477">
        <f>'Month A'!AV26-'Month A'!AD26+B!Z26-'Month A'!AP26</f>
        <v>0</v>
      </c>
      <c r="AW26" s="476">
        <f t="shared" si="7"/>
        <v>0</v>
      </c>
      <c r="AX26" s="52">
        <f>IF(Z26='Month A'!Z26,'Month A'!AE26-AD26,'Month A'!AE26+(Z26-'Month A'!Z26)*$AW$16-AD26)</f>
        <v>0</v>
      </c>
      <c r="AZ26" s="726">
        <f t="shared" si="5"/>
        <v>0</v>
      </c>
    </row>
    <row r="27" spans="1:52" ht="15.75">
      <c r="A27" s="367"/>
      <c r="B27" s="850">
        <f>IF('Month A'!B27&lt;&gt;"",'Month A'!B27,)</f>
        <v>0</v>
      </c>
      <c r="C27" s="454">
        <f>'Month A'!C27</f>
        <v>0</v>
      </c>
      <c r="D27" s="74"/>
      <c r="E27" s="521"/>
      <c r="F27" s="858"/>
      <c r="G27" s="367"/>
      <c r="H27" s="543"/>
      <c r="I27" s="853"/>
      <c r="J27" s="6"/>
      <c r="K27" s="541"/>
      <c r="L27" s="860"/>
      <c r="M27" s="20" t="str">
        <f>IF(J27="","",$M$5-SUM($J$7:J27))</f>
        <v/>
      </c>
      <c r="N27" s="367"/>
      <c r="O27" s="7"/>
      <c r="P27" s="873">
        <f>IF('Month A'!Q27&lt;&gt;'Month A'!R27,IF('Month A'!Q27&lt;&gt;0,IF('Month A'!S27&lt;&gt;'Month A'!T27,'Month A'!P27,),),)</f>
        <v>0</v>
      </c>
      <c r="Q27" s="795">
        <f>IF('Month A'!Q27&lt;&gt;'Month A'!R27,IF('Month A'!Q27&lt;&gt;0,IF('Month A'!S27&lt;&gt;'Month A'!T27,'Month A'!Q27,),),)</f>
        <v>0</v>
      </c>
      <c r="R27" s="628">
        <f>IF('Month A'!Q27&lt;&gt;'Month A'!R27,IF('Month A'!Q27&lt;&gt;0,IF('Month A'!S27&lt;&gt;'Month A'!T27,0,Q27),Q27),Q27)</f>
        <v>0</v>
      </c>
      <c r="S27" s="796">
        <f>IF('Month A'!Q27&lt;&gt;'Month A'!R27,IF('Month A'!Q27&lt;&gt;0,IF('Month A'!S27&lt;&gt;'Month A'!T27,'Month A'!S27+1,),),)</f>
        <v>0</v>
      </c>
      <c r="T27" s="796">
        <f>IF('Month A'!Q27&lt;&gt;'Month A'!R27,IF('Month A'!Q27&lt;&gt;0,IF('Month A'!S27&lt;&gt;'Month A'!T27,'Month A'!T27,),),)</f>
        <v>0</v>
      </c>
      <c r="U27" s="797">
        <f>IF('Month A'!Q27&lt;&gt;'Month A'!R27,IF('Month A'!Q27&lt;&gt;0,IF('Month A'!S27&lt;&gt;'Month A'!T27,'Month A'!U27,),),)</f>
        <v>0</v>
      </c>
      <c r="V27" s="875">
        <f>IF('Month A'!Q27&lt;&gt;'Month A'!R27,IF('Month A'!Q27&lt;&gt;0,IF('Month A'!S27&lt;&gt;'Month A'!T27,'Month A'!V27,),),)</f>
        <v>0</v>
      </c>
      <c r="W27" s="622">
        <f>IF(Q27="","",$W$5-SUM($Q$7:Q27))</f>
        <v>0</v>
      </c>
      <c r="X27" s="395"/>
      <c r="Y27" s="903" t="str">
        <f>IF('Month A'!Y27&lt;&gt;"",'Month A'!Y27,)</f>
        <v>Heating</v>
      </c>
      <c r="Z27" s="457">
        <f>'Month A'!Z27</f>
        <v>0</v>
      </c>
      <c r="AA27" s="29">
        <f t="shared" si="0"/>
        <v>0</v>
      </c>
      <c r="AB27" s="723"/>
      <c r="AC27" s="723"/>
      <c r="AD27" s="36">
        <f t="shared" si="1"/>
        <v>0</v>
      </c>
      <c r="AE27" s="23">
        <f t="shared" si="6"/>
        <v>0</v>
      </c>
      <c r="AF27" s="367"/>
      <c r="AG27" s="728">
        <f t="shared" si="2"/>
        <v>0</v>
      </c>
      <c r="AH27" s="367"/>
      <c r="AI27" s="375">
        <v>0</v>
      </c>
      <c r="AJ27" s="367"/>
      <c r="AK27" s="527"/>
      <c r="AL27" s="394"/>
      <c r="AM27" s="367"/>
      <c r="AN27" s="367"/>
      <c r="AO27" s="86"/>
      <c r="AP27" s="51">
        <f t="shared" si="3"/>
        <v>0</v>
      </c>
      <c r="AQ27" s="477">
        <f>'Month A'!AQ27+'Month A'!AP27</f>
        <v>0</v>
      </c>
      <c r="AR27" s="477">
        <f t="shared" si="4"/>
        <v>0</v>
      </c>
      <c r="AS27" s="477">
        <f>AD27+'Month A'!AS27</f>
        <v>0</v>
      </c>
      <c r="AT27" s="477">
        <f>AA27+'Month A'!AT27</f>
        <v>0</v>
      </c>
      <c r="AU27" s="476"/>
      <c r="AV27" s="477">
        <f>'Month A'!AV27-'Month A'!AD27+B!Z27-'Month A'!AP27</f>
        <v>0</v>
      </c>
      <c r="AW27" s="476">
        <f t="shared" si="7"/>
        <v>0</v>
      </c>
      <c r="AX27" s="52">
        <f>IF(Z27='Month A'!Z27,'Month A'!AE27-AD27,'Month A'!AE27+(Z27-'Month A'!Z27)*$AW$16-AD27)</f>
        <v>0</v>
      </c>
      <c r="AZ27" s="726">
        <f t="shared" si="5"/>
        <v>0</v>
      </c>
    </row>
    <row r="28" spans="1:52" ht="15" customHeight="1">
      <c r="A28" s="367"/>
      <c r="B28" s="850">
        <f ca="1">IF('Month A'!B28&lt;&gt;"",'Month A'!B28,)</f>
        <v>0</v>
      </c>
      <c r="C28" s="454">
        <f ca="1">'Month A'!C28</f>
        <v>0</v>
      </c>
      <c r="D28" s="74"/>
      <c r="E28" s="521"/>
      <c r="F28" s="858"/>
      <c r="G28" s="367"/>
      <c r="H28" s="543"/>
      <c r="I28" s="853"/>
      <c r="J28" s="6"/>
      <c r="K28" s="541"/>
      <c r="L28" s="860"/>
      <c r="M28" s="20" t="str">
        <f>IF(J28="","",$M$5-SUM($J$7:J28))</f>
        <v/>
      </c>
      <c r="N28" s="367"/>
      <c r="O28" s="7"/>
      <c r="P28" s="873">
        <f>IF('Month A'!Q28&lt;&gt;'Month A'!R28,IF('Month A'!Q28&lt;&gt;0,IF('Month A'!S28&lt;&gt;'Month A'!T28,'Month A'!P28,),),)</f>
        <v>0</v>
      </c>
      <c r="Q28" s="795">
        <f>IF('Month A'!Q28&lt;&gt;'Month A'!R28,IF('Month A'!Q28&lt;&gt;0,IF('Month A'!S28&lt;&gt;'Month A'!T28,'Month A'!Q28,),),)</f>
        <v>0</v>
      </c>
      <c r="R28" s="628">
        <f>IF('Month A'!Q28&lt;&gt;'Month A'!R28,IF('Month A'!Q28&lt;&gt;0,IF('Month A'!S28&lt;&gt;'Month A'!T28,0,Q28),Q28),Q28)</f>
        <v>0</v>
      </c>
      <c r="S28" s="796">
        <f>IF('Month A'!Q28&lt;&gt;'Month A'!R28,IF('Month A'!Q28&lt;&gt;0,IF('Month A'!S28&lt;&gt;'Month A'!T28,'Month A'!S28+1,),),)</f>
        <v>0</v>
      </c>
      <c r="T28" s="796">
        <f>IF('Month A'!Q28&lt;&gt;'Month A'!R28,IF('Month A'!Q28&lt;&gt;0,IF('Month A'!S28&lt;&gt;'Month A'!T28,'Month A'!T28,),),)</f>
        <v>0</v>
      </c>
      <c r="U28" s="797">
        <f>IF('Month A'!Q28&lt;&gt;'Month A'!R28,IF('Month A'!Q28&lt;&gt;0,IF('Month A'!S28&lt;&gt;'Month A'!T28,'Month A'!U28,),),)</f>
        <v>0</v>
      </c>
      <c r="V28" s="875">
        <f>IF('Month A'!Q28&lt;&gt;'Month A'!R28,IF('Month A'!Q28&lt;&gt;0,IF('Month A'!S28&lt;&gt;'Month A'!T28,'Month A'!V28,),),)</f>
        <v>0</v>
      </c>
      <c r="W28" s="622">
        <f>IF(Q28="","",$W$5-SUM($Q$7:Q28))</f>
        <v>0</v>
      </c>
      <c r="X28" s="395"/>
      <c r="Y28" s="904" t="str">
        <f>IF('Month A'!Y28&lt;&gt;"",'Month A'!Y28,)</f>
        <v>Education/Schoolbooks</v>
      </c>
      <c r="Z28" s="457">
        <f>'Month A'!Z28</f>
        <v>0</v>
      </c>
      <c r="AA28" s="29">
        <f t="shared" si="0"/>
        <v>0</v>
      </c>
      <c r="AB28" s="723"/>
      <c r="AC28" s="723"/>
      <c r="AD28" s="36">
        <f t="shared" si="1"/>
        <v>0</v>
      </c>
      <c r="AE28" s="23">
        <f>IF(AI28=0,AX28,0)</f>
        <v>0</v>
      </c>
      <c r="AF28" s="367"/>
      <c r="AG28" s="728">
        <f t="shared" si="2"/>
        <v>0</v>
      </c>
      <c r="AH28" s="367"/>
      <c r="AI28" s="375">
        <v>0</v>
      </c>
      <c r="AJ28" s="367"/>
      <c r="AK28" s="528" t="s">
        <v>405</v>
      </c>
      <c r="AL28" s="529" t="s">
        <v>407</v>
      </c>
      <c r="AM28" s="367"/>
      <c r="AN28" s="367"/>
      <c r="AO28" s="86"/>
      <c r="AP28" s="51">
        <f t="shared" si="3"/>
        <v>0</v>
      </c>
      <c r="AQ28" s="477">
        <f>'Month A'!AQ28+'Month A'!AP28</f>
        <v>0</v>
      </c>
      <c r="AR28" s="477">
        <f t="shared" si="4"/>
        <v>0</v>
      </c>
      <c r="AS28" s="477">
        <f>AD28+'Month A'!AS28</f>
        <v>0</v>
      </c>
      <c r="AT28" s="477">
        <f>AA28+'Month A'!AT28</f>
        <v>0</v>
      </c>
      <c r="AU28" s="476"/>
      <c r="AV28" s="477">
        <f>'Month A'!AV28-'Month A'!AD28+B!Z28-'Month A'!AP28</f>
        <v>0</v>
      </c>
      <c r="AW28" s="476">
        <f t="shared" si="7"/>
        <v>0</v>
      </c>
      <c r="AX28" s="52">
        <f>IF(Z28='Month A'!Z28,'Month A'!AE28-AD28,'Month A'!AE28+(Z28-'Month A'!Z28)*$AW$16-AD28)</f>
        <v>0</v>
      </c>
      <c r="AZ28" s="726">
        <f t="shared" si="5"/>
        <v>0</v>
      </c>
    </row>
    <row r="29" spans="1:52" ht="15" customHeight="1">
      <c r="A29" s="367"/>
      <c r="B29" s="850">
        <f ca="1">IF('Month A'!B29&lt;&gt;"",'Month A'!B29,)</f>
        <v>0</v>
      </c>
      <c r="C29" s="454">
        <f ca="1">'Month A'!C29</f>
        <v>0</v>
      </c>
      <c r="D29" s="74"/>
      <c r="E29" s="521"/>
      <c r="F29" s="858"/>
      <c r="G29" s="367"/>
      <c r="H29" s="543"/>
      <c r="I29" s="854"/>
      <c r="J29" s="6"/>
      <c r="K29" s="541"/>
      <c r="L29" s="860"/>
      <c r="M29" s="20" t="str">
        <f>IF(J29="","",$M$5-SUM($J$7:J29))</f>
        <v/>
      </c>
      <c r="N29" s="367"/>
      <c r="O29" s="7"/>
      <c r="P29" s="873">
        <f>IF('Month A'!Q29&lt;&gt;'Month A'!R29,IF('Month A'!Q29&lt;&gt;0,IF('Month A'!S29&lt;&gt;'Month A'!T29,'Month A'!P29,),),)</f>
        <v>0</v>
      </c>
      <c r="Q29" s="795">
        <f>IF('Month A'!Q29&lt;&gt;'Month A'!R29,IF('Month A'!Q29&lt;&gt;0,IF('Month A'!S29&lt;&gt;'Month A'!T29,'Month A'!Q29,),),)</f>
        <v>0</v>
      </c>
      <c r="R29" s="628">
        <f>IF('Month A'!Q29&lt;&gt;'Month A'!R29,IF('Month A'!Q29&lt;&gt;0,IF('Month A'!S29&lt;&gt;'Month A'!T29,0,Q29),Q29),Q29)</f>
        <v>0</v>
      </c>
      <c r="S29" s="796">
        <f>IF('Month A'!Q29&lt;&gt;'Month A'!R29,IF('Month A'!Q29&lt;&gt;0,IF('Month A'!S29&lt;&gt;'Month A'!T29,'Month A'!S29+1,),),)</f>
        <v>0</v>
      </c>
      <c r="T29" s="796">
        <f>IF('Month A'!Q29&lt;&gt;'Month A'!R29,IF('Month A'!Q29&lt;&gt;0,IF('Month A'!S29&lt;&gt;'Month A'!T29,'Month A'!T29,),),)</f>
        <v>0</v>
      </c>
      <c r="U29" s="797">
        <f>IF('Month A'!Q29&lt;&gt;'Month A'!R29,IF('Month A'!Q29&lt;&gt;0,IF('Month A'!S29&lt;&gt;'Month A'!T29,'Month A'!U29,),),)</f>
        <v>0</v>
      </c>
      <c r="V29" s="875">
        <f>IF('Month A'!Q29&lt;&gt;'Month A'!R29,IF('Month A'!Q29&lt;&gt;0,IF('Month A'!S29&lt;&gt;'Month A'!T29,'Month A'!V29,),),)</f>
        <v>0</v>
      </c>
      <c r="W29" s="622">
        <f>IF(Q29="","",$W$5-SUM($Q$7:Q29))</f>
        <v>0</v>
      </c>
      <c r="X29" s="395"/>
      <c r="Y29" s="904" t="str">
        <f>IF('Month A'!Y29&lt;&gt;"",'Month A'!Y29,)</f>
        <v>Extracurricular Activities/Camps/Pool</v>
      </c>
      <c r="Z29" s="457">
        <f>'Month A'!Z29</f>
        <v>0</v>
      </c>
      <c r="AA29" s="29">
        <f t="shared" si="0"/>
        <v>0</v>
      </c>
      <c r="AB29" s="723"/>
      <c r="AC29" s="723"/>
      <c r="AD29" s="36">
        <f t="shared" si="1"/>
        <v>0</v>
      </c>
      <c r="AE29" s="23">
        <f t="shared" si="6"/>
        <v>0</v>
      </c>
      <c r="AF29" s="367"/>
      <c r="AG29" s="728">
        <f t="shared" si="2"/>
        <v>0</v>
      </c>
      <c r="AH29" s="367"/>
      <c r="AI29" s="375">
        <v>0</v>
      </c>
      <c r="AJ29" s="367"/>
      <c r="AK29" s="530" t="s">
        <v>32</v>
      </c>
      <c r="AL29" s="531" t="s">
        <v>33</v>
      </c>
      <c r="AM29" s="367"/>
      <c r="AN29" s="367"/>
      <c r="AO29" s="86"/>
      <c r="AP29" s="51">
        <f t="shared" si="3"/>
        <v>0</v>
      </c>
      <c r="AQ29" s="477">
        <f>'Month A'!AQ29+'Month A'!AP29</f>
        <v>0</v>
      </c>
      <c r="AR29" s="477">
        <f t="shared" si="4"/>
        <v>0</v>
      </c>
      <c r="AS29" s="477">
        <f>AD29+'Month A'!AS29</f>
        <v>0</v>
      </c>
      <c r="AT29" s="477">
        <f>AA29+'Month A'!AT29</f>
        <v>0</v>
      </c>
      <c r="AU29" s="476"/>
      <c r="AV29" s="477">
        <f>'Month A'!AV29-'Month A'!AD29+B!Z29-'Month A'!AP29</f>
        <v>0</v>
      </c>
      <c r="AW29" s="476">
        <f t="shared" si="7"/>
        <v>0</v>
      </c>
      <c r="AX29" s="52">
        <f>IF(Z29='Month A'!Z29,'Month A'!AE29-AD29,'Month A'!AE29+(Z29-'Month A'!Z29)*$AW$16-AD29)</f>
        <v>0</v>
      </c>
      <c r="AZ29" s="726">
        <f t="shared" si="5"/>
        <v>0</v>
      </c>
    </row>
    <row r="30" spans="1:52" ht="15" customHeight="1">
      <c r="A30" s="367"/>
      <c r="B30" s="850">
        <f ca="1">IF('Month A'!B30&lt;&gt;"",'Month A'!B30,)</f>
        <v>0</v>
      </c>
      <c r="C30" s="454">
        <f ca="1">'Month A'!C30</f>
        <v>0</v>
      </c>
      <c r="D30" s="74"/>
      <c r="E30" s="521"/>
      <c r="F30" s="858"/>
      <c r="G30" s="367"/>
      <c r="H30" s="543"/>
      <c r="I30" s="853"/>
      <c r="J30" s="6"/>
      <c r="K30" s="541"/>
      <c r="L30" s="860"/>
      <c r="M30" s="20" t="str">
        <f>IF(J30="","",$M$5-SUM($J$7:J30))</f>
        <v/>
      </c>
      <c r="N30" s="367"/>
      <c r="O30" s="7"/>
      <c r="P30" s="873">
        <f>IF('Month A'!Q30&lt;&gt;'Month A'!R30,IF('Month A'!Q30&lt;&gt;0,IF('Month A'!S30&lt;&gt;'Month A'!T30,'Month A'!P30,),),)</f>
        <v>0</v>
      </c>
      <c r="Q30" s="795">
        <f>IF('Month A'!Q30&lt;&gt;'Month A'!R30,IF('Month A'!Q30&lt;&gt;0,IF('Month A'!S30&lt;&gt;'Month A'!T30,'Month A'!Q30,),),)</f>
        <v>0</v>
      </c>
      <c r="R30" s="628">
        <f>IF('Month A'!Q30&lt;&gt;'Month A'!R30,IF('Month A'!Q30&lt;&gt;0,IF('Month A'!S30&lt;&gt;'Month A'!T30,0,Q30),Q30),Q30)</f>
        <v>0</v>
      </c>
      <c r="S30" s="796">
        <f>IF('Month A'!Q30&lt;&gt;'Month A'!R30,IF('Month A'!Q30&lt;&gt;0,IF('Month A'!S30&lt;&gt;'Month A'!T30,'Month A'!S30+1,),),)</f>
        <v>0</v>
      </c>
      <c r="T30" s="796">
        <f>IF('Month A'!Q30&lt;&gt;'Month A'!R30,IF('Month A'!Q30&lt;&gt;0,IF('Month A'!S30&lt;&gt;'Month A'!T30,'Month A'!T30,),),)</f>
        <v>0</v>
      </c>
      <c r="U30" s="797">
        <f>IF('Month A'!Q30&lt;&gt;'Month A'!R30,IF('Month A'!Q30&lt;&gt;0,IF('Month A'!S30&lt;&gt;'Month A'!T30,'Month A'!U30,),),)</f>
        <v>0</v>
      </c>
      <c r="V30" s="875">
        <f>IF('Month A'!Q30&lt;&gt;'Month A'!R30,IF('Month A'!Q30&lt;&gt;0,IF('Month A'!S30&lt;&gt;'Month A'!T30,'Month A'!V30,),),)</f>
        <v>0</v>
      </c>
      <c r="W30" s="622">
        <f>IF(Q30="","",$W$5-SUM($Q$7:Q30))</f>
        <v>0</v>
      </c>
      <c r="X30" s="395"/>
      <c r="Y30" s="904" t="str">
        <f>IF('Month A'!Y30&lt;&gt;"",'Month A'!Y30,)</f>
        <v xml:space="preserve">  Car Insurance and Licensing</v>
      </c>
      <c r="Z30" s="457">
        <f>'Month A'!Z30</f>
        <v>0</v>
      </c>
      <c r="AA30" s="29">
        <f t="shared" si="0"/>
        <v>0</v>
      </c>
      <c r="AB30" s="723"/>
      <c r="AC30" s="723"/>
      <c r="AD30" s="36">
        <f t="shared" si="1"/>
        <v>0</v>
      </c>
      <c r="AE30" s="23">
        <f t="shared" si="6"/>
        <v>0</v>
      </c>
      <c r="AF30" s="367"/>
      <c r="AG30" s="728">
        <f t="shared" si="2"/>
        <v>0</v>
      </c>
      <c r="AH30" s="367"/>
      <c r="AI30" s="375">
        <v>0</v>
      </c>
      <c r="AJ30" s="367"/>
      <c r="AK30" s="530" t="s">
        <v>34</v>
      </c>
      <c r="AL30" s="532" t="s">
        <v>33</v>
      </c>
      <c r="AM30" s="367"/>
      <c r="AN30" s="367"/>
      <c r="AO30" s="86"/>
      <c r="AP30" s="51">
        <f t="shared" si="3"/>
        <v>0</v>
      </c>
      <c r="AQ30" s="477">
        <f>'Month A'!AQ30+'Month A'!AP30</f>
        <v>0</v>
      </c>
      <c r="AR30" s="477">
        <f t="shared" si="4"/>
        <v>0</v>
      </c>
      <c r="AS30" s="477">
        <f>AD30+'Month A'!AS30</f>
        <v>0</v>
      </c>
      <c r="AT30" s="477">
        <f>AA30+'Month A'!AT30</f>
        <v>0</v>
      </c>
      <c r="AU30" s="476"/>
      <c r="AV30" s="477">
        <f>'Month A'!AV30-'Month A'!AD30+B!Z30-'Month A'!AP30</f>
        <v>0</v>
      </c>
      <c r="AW30" s="476">
        <f t="shared" si="7"/>
        <v>0</v>
      </c>
      <c r="AX30" s="52">
        <f>IF(Z30='Month A'!Z30,'Month A'!AE30-AD30,'Month A'!AE30+(Z30-'Month A'!Z30)*$AW$16-AD30)</f>
        <v>0</v>
      </c>
      <c r="AZ30" s="726">
        <f t="shared" si="5"/>
        <v>0</v>
      </c>
    </row>
    <row r="31" spans="1:52" ht="15" customHeight="1">
      <c r="A31" s="367"/>
      <c r="B31" s="850">
        <f ca="1">IF('Month A'!B31&lt;&gt;"",'Month A'!B31,)</f>
        <v>0</v>
      </c>
      <c r="C31" s="454">
        <f ca="1">'Month A'!C31</f>
        <v>0</v>
      </c>
      <c r="D31" s="74"/>
      <c r="E31" s="521"/>
      <c r="F31" s="858"/>
      <c r="G31" s="367"/>
      <c r="H31" s="543"/>
      <c r="I31" s="853"/>
      <c r="J31" s="6"/>
      <c r="K31" s="541"/>
      <c r="L31" s="860"/>
      <c r="M31" s="20" t="str">
        <f>IF(J31="","",$M$5-SUM($J$7:J31))</f>
        <v/>
      </c>
      <c r="N31" s="367"/>
      <c r="O31" s="7"/>
      <c r="P31" s="871">
        <f>IF('Month A'!Q31&lt;&gt;'Month A'!R31,IF('Month A'!Q31&lt;&gt;0,IF('Month A'!S31&lt;&gt;'Month A'!T31,'Month A'!P31,),),)</f>
        <v>0</v>
      </c>
      <c r="Q31" s="795">
        <f>IF('Month A'!Q31&lt;&gt;'Month A'!R31,IF('Month A'!Q31&lt;&gt;0,IF('Month A'!S31&lt;&gt;'Month A'!T31,'Month A'!Q31,),),)</f>
        <v>0</v>
      </c>
      <c r="R31" s="628">
        <f>IF('Month A'!Q31&lt;&gt;'Month A'!R31,IF('Month A'!Q31&lt;&gt;0,IF('Month A'!S31&lt;&gt;'Month A'!T31,0,Q31),Q31),Q31)</f>
        <v>0</v>
      </c>
      <c r="S31" s="796">
        <f>IF('Month A'!Q31&lt;&gt;'Month A'!R31,IF('Month A'!Q31&lt;&gt;0,IF('Month A'!S31&lt;&gt;'Month A'!T31,'Month A'!S31+1,),),)</f>
        <v>0</v>
      </c>
      <c r="T31" s="796">
        <f>IF('Month A'!Q31&lt;&gt;'Month A'!R31,IF('Month A'!Q31&lt;&gt;0,IF('Month A'!S31&lt;&gt;'Month A'!T31,'Month A'!T31,),),)</f>
        <v>0</v>
      </c>
      <c r="U31" s="797">
        <f>IF('Month A'!Q31&lt;&gt;'Month A'!R31,IF('Month A'!Q31&lt;&gt;0,IF('Month A'!S31&lt;&gt;'Month A'!T31,'Month A'!U31,),),)</f>
        <v>0</v>
      </c>
      <c r="V31" s="875">
        <f>IF('Month A'!Q31&lt;&gt;'Month A'!R31,IF('Month A'!Q31&lt;&gt;0,IF('Month A'!S31&lt;&gt;'Month A'!T31,'Month A'!V31,),),)</f>
        <v>0</v>
      </c>
      <c r="W31" s="622">
        <f>IF(Q31="","",$W$5-SUM($Q$7:Q31))</f>
        <v>0</v>
      </c>
      <c r="X31" s="395"/>
      <c r="Y31" s="904" t="str">
        <f>IF('Month A'!Y31&lt;&gt;"",'Month A'!Y31,)</f>
        <v>Car Maintenance</v>
      </c>
      <c r="Z31" s="457">
        <f>'Month A'!Z31</f>
        <v>0</v>
      </c>
      <c r="AA31" s="29">
        <f t="shared" si="0"/>
        <v>0</v>
      </c>
      <c r="AB31" s="723"/>
      <c r="AC31" s="723"/>
      <c r="AD31" s="36">
        <f t="shared" si="1"/>
        <v>0</v>
      </c>
      <c r="AE31" s="23">
        <f t="shared" si="6"/>
        <v>0</v>
      </c>
      <c r="AF31" s="367"/>
      <c r="AG31" s="728">
        <f t="shared" si="2"/>
        <v>0</v>
      </c>
      <c r="AH31" s="367"/>
      <c r="AI31" s="375">
        <v>0</v>
      </c>
      <c r="AJ31" s="367"/>
      <c r="AK31" s="530" t="s">
        <v>35</v>
      </c>
      <c r="AL31" s="533" t="s">
        <v>33</v>
      </c>
      <c r="AM31" s="367"/>
      <c r="AN31" s="367"/>
      <c r="AO31" s="86"/>
      <c r="AP31" s="51">
        <f t="shared" si="3"/>
        <v>0</v>
      </c>
      <c r="AQ31" s="477">
        <f>'Month A'!AQ31+'Month A'!AP31</f>
        <v>0</v>
      </c>
      <c r="AR31" s="477">
        <f t="shared" si="4"/>
        <v>0</v>
      </c>
      <c r="AS31" s="477">
        <f>AD31+'Month A'!AS31</f>
        <v>0</v>
      </c>
      <c r="AT31" s="477">
        <f>AA31+'Month A'!AT31</f>
        <v>0</v>
      </c>
      <c r="AU31" s="476"/>
      <c r="AV31" s="477">
        <f>'Month A'!AV31-'Month A'!AD31+B!Z31-'Month A'!AP31</f>
        <v>0</v>
      </c>
      <c r="AW31" s="476">
        <f t="shared" si="7"/>
        <v>0</v>
      </c>
      <c r="AX31" s="52">
        <f>IF(Z31='Month A'!Z31,'Month A'!AE31-AD31,'Month A'!AE31+(Z31-'Month A'!Z31)*$AW$16-AD31)</f>
        <v>0</v>
      </c>
      <c r="AZ31" s="726">
        <f t="shared" si="5"/>
        <v>0</v>
      </c>
    </row>
    <row r="32" spans="1:52" ht="15" customHeight="1">
      <c r="A32" s="367"/>
      <c r="B32" s="850">
        <f ca="1">IF('Month A'!B32&lt;&gt;"",'Month A'!B32,)</f>
        <v>0</v>
      </c>
      <c r="C32" s="454">
        <f ca="1">'Month A'!C32</f>
        <v>0</v>
      </c>
      <c r="D32" s="74"/>
      <c r="E32" s="521"/>
      <c r="F32" s="858"/>
      <c r="G32" s="367"/>
      <c r="H32" s="543"/>
      <c r="I32" s="853"/>
      <c r="J32" s="6"/>
      <c r="K32" s="541"/>
      <c r="L32" s="860"/>
      <c r="M32" s="20" t="str">
        <f>IF(J32="","",$M$5-SUM($J$7:J32))</f>
        <v/>
      </c>
      <c r="N32" s="367"/>
      <c r="O32" s="7"/>
      <c r="P32" s="873">
        <f>IF('Month A'!Q32&lt;&gt;'Month A'!R32,IF('Month A'!Q32&lt;&gt;0,IF('Month A'!S32&lt;&gt;'Month A'!T32,'Month A'!P32,),),)</f>
        <v>0</v>
      </c>
      <c r="Q32" s="795">
        <f>IF('Month A'!Q32&lt;&gt;'Month A'!R32,IF('Month A'!Q32&lt;&gt;0,IF('Month A'!S32&lt;&gt;'Month A'!T32,'Month A'!Q32,),),)</f>
        <v>0</v>
      </c>
      <c r="R32" s="628">
        <f>IF('Month A'!Q32&lt;&gt;'Month A'!R32,IF('Month A'!Q32&lt;&gt;0,IF('Month A'!S32&lt;&gt;'Month A'!T32,0,Q32),Q32),Q32)</f>
        <v>0</v>
      </c>
      <c r="S32" s="796">
        <f>IF('Month A'!Q32&lt;&gt;'Month A'!R32,IF('Month A'!Q32&lt;&gt;0,IF('Month A'!S32&lt;&gt;'Month A'!T32,'Month A'!S32+1,),),)</f>
        <v>0</v>
      </c>
      <c r="T32" s="796">
        <f>IF('Month A'!Q32&lt;&gt;'Month A'!R32,IF('Month A'!Q32&lt;&gt;0,IF('Month A'!S32&lt;&gt;'Month A'!T32,'Month A'!T32,),),)</f>
        <v>0</v>
      </c>
      <c r="U32" s="797">
        <f>IF('Month A'!Q32&lt;&gt;'Month A'!R32,IF('Month A'!Q32&lt;&gt;0,IF('Month A'!S32&lt;&gt;'Month A'!T32,'Month A'!U32,),),)</f>
        <v>0</v>
      </c>
      <c r="V32" s="875">
        <f>IF('Month A'!Q32&lt;&gt;'Month A'!R32,IF('Month A'!Q32&lt;&gt;0,IF('Month A'!S32&lt;&gt;'Month A'!T32,'Month A'!V32,),),)</f>
        <v>0</v>
      </c>
      <c r="W32" s="622">
        <f>IF(Q32="","",$W$5-SUM($Q$7:Q32))</f>
        <v>0</v>
      </c>
      <c r="X32" s="389"/>
      <c r="Y32" s="904" t="str">
        <f>IF('Month A'!Y32&lt;&gt;"",'Month A'!Y32,)</f>
        <v>Clothing and Shoes</v>
      </c>
      <c r="Z32" s="457">
        <f>'Month A'!Z32</f>
        <v>0</v>
      </c>
      <c r="AA32" s="29">
        <f t="shared" si="0"/>
        <v>0</v>
      </c>
      <c r="AB32" s="723"/>
      <c r="AC32" s="723"/>
      <c r="AD32" s="36">
        <f t="shared" si="1"/>
        <v>0</v>
      </c>
      <c r="AE32" s="23">
        <f t="shared" si="6"/>
        <v>0</v>
      </c>
      <c r="AF32" s="367"/>
      <c r="AG32" s="728">
        <f t="shared" si="2"/>
        <v>0</v>
      </c>
      <c r="AH32" s="367"/>
      <c r="AI32" s="375">
        <v>0</v>
      </c>
      <c r="AJ32" s="367"/>
      <c r="AK32" s="530" t="s">
        <v>36</v>
      </c>
      <c r="AL32" s="534" t="s">
        <v>33</v>
      </c>
      <c r="AM32" s="367"/>
      <c r="AN32" s="367"/>
      <c r="AO32" s="86"/>
      <c r="AP32" s="51">
        <f t="shared" si="3"/>
        <v>0</v>
      </c>
      <c r="AQ32" s="477">
        <f>'Month A'!AQ32+'Month A'!AP32</f>
        <v>0</v>
      </c>
      <c r="AR32" s="477">
        <f t="shared" si="4"/>
        <v>0</v>
      </c>
      <c r="AS32" s="477">
        <f>AD32+'Month A'!AS32</f>
        <v>0</v>
      </c>
      <c r="AT32" s="477">
        <f>AA32+'Month A'!AT32</f>
        <v>0</v>
      </c>
      <c r="AU32" s="476"/>
      <c r="AV32" s="477">
        <f>'Month A'!AV32-'Month A'!AD32+B!Z32-'Month A'!AP32</f>
        <v>0</v>
      </c>
      <c r="AW32" s="476">
        <f t="shared" si="7"/>
        <v>0</v>
      </c>
      <c r="AX32" s="52">
        <f>IF(Z32='Month A'!Z32,'Month A'!AE32-AD32,'Month A'!AE32+(Z32-'Month A'!Z32)*$AW$16-AD32)</f>
        <v>0</v>
      </c>
      <c r="AZ32" s="726">
        <f t="shared" si="5"/>
        <v>0</v>
      </c>
    </row>
    <row r="33" spans="1:52" ht="15" customHeight="1">
      <c r="A33" s="367"/>
      <c r="B33" s="850">
        <f ca="1">IF('Month A'!B33&lt;&gt;"",'Month A'!B33,)</f>
        <v>0</v>
      </c>
      <c r="C33" s="454">
        <f ca="1">'Month A'!C33</f>
        <v>0</v>
      </c>
      <c r="D33" s="74"/>
      <c r="E33" s="521"/>
      <c r="F33" s="858"/>
      <c r="G33" s="367"/>
      <c r="H33" s="543"/>
      <c r="I33" s="853"/>
      <c r="J33" s="6"/>
      <c r="K33" s="541"/>
      <c r="L33" s="860"/>
      <c r="M33" s="20" t="str">
        <f>IF(J33="","",$M$5-SUM($J$7:J33))</f>
        <v/>
      </c>
      <c r="N33" s="367"/>
      <c r="O33" s="7"/>
      <c r="P33" s="871">
        <f>IF('Month A'!Q33&lt;&gt;'Month A'!R33,IF('Month A'!Q33&lt;&gt;0,IF('Month A'!S33&lt;&gt;'Month A'!T33,'Month A'!P33,),),)</f>
        <v>0</v>
      </c>
      <c r="Q33" s="795">
        <f>IF('Month A'!Q33&lt;&gt;'Month A'!R33,IF('Month A'!Q33&lt;&gt;0,IF('Month A'!S33&lt;&gt;'Month A'!T33,'Month A'!Q33,),),)</f>
        <v>0</v>
      </c>
      <c r="R33" s="628">
        <f>IF('Month A'!Q33&lt;&gt;'Month A'!R33,IF('Month A'!Q33&lt;&gt;0,IF('Month A'!S33&lt;&gt;'Month A'!T33,0,Q33),Q33),Q33)</f>
        <v>0</v>
      </c>
      <c r="S33" s="796">
        <f>IF('Month A'!Q33&lt;&gt;'Month A'!R33,IF('Month A'!Q33&lt;&gt;0,IF('Month A'!S33&lt;&gt;'Month A'!T33,'Month A'!S33+1,),),)</f>
        <v>0</v>
      </c>
      <c r="T33" s="796">
        <f>IF('Month A'!Q33&lt;&gt;'Month A'!R33,IF('Month A'!Q33&lt;&gt;0,IF('Month A'!S33&lt;&gt;'Month A'!T33,'Month A'!T33,),),)</f>
        <v>0</v>
      </c>
      <c r="U33" s="797">
        <f>IF('Month A'!Q33&lt;&gt;'Month A'!R33,IF('Month A'!Q33&lt;&gt;0,IF('Month A'!S33&lt;&gt;'Month A'!T33,'Month A'!U33,),),)</f>
        <v>0</v>
      </c>
      <c r="V33" s="875">
        <f>IF('Month A'!Q33&lt;&gt;'Month A'!R33,IF('Month A'!Q33&lt;&gt;0,IF('Month A'!S33&lt;&gt;'Month A'!T33,'Month A'!V33,),),)</f>
        <v>0</v>
      </c>
      <c r="W33" s="622">
        <f>IF(Q33="","",$W$5-SUM($Q$7:Q33))</f>
        <v>0</v>
      </c>
      <c r="X33" s="10"/>
      <c r="Y33" s="904" t="str">
        <f>IF('Month A'!Y33&lt;&gt;"",'Month A'!Y33,)</f>
        <v>Medicine/Treatment</v>
      </c>
      <c r="Z33" s="457">
        <f>'Month A'!Z33</f>
        <v>0</v>
      </c>
      <c r="AA33" s="29">
        <f t="shared" si="0"/>
        <v>0</v>
      </c>
      <c r="AB33" s="723"/>
      <c r="AC33" s="723"/>
      <c r="AD33" s="36">
        <f t="shared" si="1"/>
        <v>0</v>
      </c>
      <c r="AE33" s="23">
        <f t="shared" si="6"/>
        <v>0</v>
      </c>
      <c r="AF33" s="367"/>
      <c r="AG33" s="728">
        <f t="shared" si="2"/>
        <v>0</v>
      </c>
      <c r="AH33" s="367"/>
      <c r="AI33" s="375">
        <v>0</v>
      </c>
      <c r="AJ33" s="367"/>
      <c r="AK33" s="530" t="s">
        <v>37</v>
      </c>
      <c r="AL33" s="535" t="s">
        <v>33</v>
      </c>
      <c r="AM33" s="367"/>
      <c r="AN33" s="367"/>
      <c r="AO33" s="86"/>
      <c r="AP33" s="51">
        <f t="shared" si="3"/>
        <v>0</v>
      </c>
      <c r="AQ33" s="477">
        <f>'Month A'!AQ33+'Month A'!AP33</f>
        <v>0</v>
      </c>
      <c r="AR33" s="477">
        <f t="shared" si="4"/>
        <v>0</v>
      </c>
      <c r="AS33" s="477">
        <f>AD33+'Month A'!AS33</f>
        <v>0</v>
      </c>
      <c r="AT33" s="477">
        <f>AA33+'Month A'!AT33</f>
        <v>0</v>
      </c>
      <c r="AU33" s="476"/>
      <c r="AV33" s="477">
        <f>'Month A'!AV33-'Month A'!AD33+B!Z33-'Month A'!AP33</f>
        <v>0</v>
      </c>
      <c r="AW33" s="476">
        <f t="shared" si="7"/>
        <v>0</v>
      </c>
      <c r="AX33" s="52">
        <f>IF(Z33='Month A'!Z33,'Month A'!AE33-AD33,'Month A'!AE33+(Z33-'Month A'!Z33)*$AW$16-AD33)</f>
        <v>0</v>
      </c>
      <c r="AZ33" s="726">
        <f t="shared" si="5"/>
        <v>0</v>
      </c>
    </row>
    <row r="34" spans="1:52" ht="15" customHeight="1">
      <c r="A34" s="367"/>
      <c r="B34" s="850">
        <f ca="1">IF('Month A'!B34&lt;&gt;"",'Month A'!B34,)</f>
        <v>0</v>
      </c>
      <c r="C34" s="454">
        <f ca="1">'Month A'!C34</f>
        <v>0</v>
      </c>
      <c r="D34" s="74"/>
      <c r="E34" s="521"/>
      <c r="F34" s="858"/>
      <c r="G34" s="367"/>
      <c r="H34" s="543"/>
      <c r="I34" s="853"/>
      <c r="J34" s="6"/>
      <c r="K34" s="541"/>
      <c r="L34" s="860"/>
      <c r="M34" s="20" t="str">
        <f>IF(J34="","",$M$5-SUM($J$7:J34))</f>
        <v/>
      </c>
      <c r="N34" s="367"/>
      <c r="O34" s="7"/>
      <c r="P34" s="873">
        <f>IF('Month A'!Q34&lt;&gt;'Month A'!R34,IF('Month A'!Q34&lt;&gt;0,IF('Month A'!S34&lt;&gt;'Month A'!T34,'Month A'!P34,),),)</f>
        <v>0</v>
      </c>
      <c r="Q34" s="795">
        <f>IF('Month A'!Q34&lt;&gt;'Month A'!R34,IF('Month A'!Q34&lt;&gt;0,IF('Month A'!S34&lt;&gt;'Month A'!T34,'Month A'!Q34,),),)</f>
        <v>0</v>
      </c>
      <c r="R34" s="628">
        <f>IF('Month A'!Q34&lt;&gt;'Month A'!R34,IF('Month A'!Q34&lt;&gt;0,IF('Month A'!S34&lt;&gt;'Month A'!T34,0,Q34),Q34),Q34)</f>
        <v>0</v>
      </c>
      <c r="S34" s="796">
        <f>IF('Month A'!Q34&lt;&gt;'Month A'!R34,IF('Month A'!Q34&lt;&gt;0,IF('Month A'!S34&lt;&gt;'Month A'!T34,'Month A'!S34+1,),),)</f>
        <v>0</v>
      </c>
      <c r="T34" s="796">
        <f>IF('Month A'!Q34&lt;&gt;'Month A'!R34,IF('Month A'!Q34&lt;&gt;0,IF('Month A'!S34&lt;&gt;'Month A'!T34,'Month A'!T34,),),)</f>
        <v>0</v>
      </c>
      <c r="U34" s="797">
        <f>IF('Month A'!Q34&lt;&gt;'Month A'!R34,IF('Month A'!Q34&lt;&gt;0,IF('Month A'!S34&lt;&gt;'Month A'!T34,'Month A'!U34,),),)</f>
        <v>0</v>
      </c>
      <c r="V34" s="875">
        <f>IF('Month A'!Q34&lt;&gt;'Month A'!R34,IF('Month A'!Q34&lt;&gt;0,IF('Month A'!S34&lt;&gt;'Month A'!T34,'Month A'!V34,),),)</f>
        <v>0</v>
      </c>
      <c r="W34" s="622">
        <f>IF(Q34="","",$W$5-SUM($Q$7:Q34))</f>
        <v>0</v>
      </c>
      <c r="X34" s="10"/>
      <c r="Y34" s="903" t="str">
        <f>IF('Month A'!Y34&lt;&gt;"",'Month A'!Y34,)</f>
        <v>Bank Interest and Fees</v>
      </c>
      <c r="Z34" s="457">
        <f>'Month A'!Z34</f>
        <v>0</v>
      </c>
      <c r="AA34" s="29">
        <f t="shared" si="0"/>
        <v>0</v>
      </c>
      <c r="AB34" s="723"/>
      <c r="AC34" s="723"/>
      <c r="AD34" s="36">
        <f t="shared" si="1"/>
        <v>0</v>
      </c>
      <c r="AE34" s="23">
        <f t="shared" si="6"/>
        <v>0</v>
      </c>
      <c r="AF34" s="367"/>
      <c r="AG34" s="728">
        <f t="shared" si="2"/>
        <v>0</v>
      </c>
      <c r="AH34" s="367"/>
      <c r="AI34" s="375">
        <v>0</v>
      </c>
      <c r="AJ34" s="367"/>
      <c r="AK34" s="530" t="s">
        <v>38</v>
      </c>
      <c r="AL34" s="536" t="s">
        <v>33</v>
      </c>
      <c r="AM34" s="367"/>
      <c r="AN34" s="367"/>
      <c r="AO34" s="86"/>
      <c r="AP34" s="51">
        <f t="shared" si="3"/>
        <v>0</v>
      </c>
      <c r="AQ34" s="477">
        <f>'Month A'!AQ34+'Month A'!AP34</f>
        <v>0</v>
      </c>
      <c r="AR34" s="477">
        <f t="shared" si="4"/>
        <v>0</v>
      </c>
      <c r="AS34" s="477">
        <f>AD34+'Month A'!AS34</f>
        <v>0</v>
      </c>
      <c r="AT34" s="477">
        <f>AA34+'Month A'!AT34</f>
        <v>0</v>
      </c>
      <c r="AU34" s="476"/>
      <c r="AV34" s="477">
        <f>'Month A'!AV34-'Month A'!AD34+B!Z34-'Month A'!AP34</f>
        <v>0</v>
      </c>
      <c r="AW34" s="476">
        <f t="shared" si="7"/>
        <v>0</v>
      </c>
      <c r="AX34" s="52">
        <f>IF(Z34='Month A'!Z34,'Month A'!AE34-AD34,'Month A'!AE34+(Z34-'Month A'!Z34)*$AW$16-AD34)</f>
        <v>0</v>
      </c>
      <c r="AZ34" s="726">
        <f t="shared" si="5"/>
        <v>0</v>
      </c>
    </row>
    <row r="35" spans="1:52" ht="15" customHeight="1">
      <c r="A35" s="367"/>
      <c r="B35" s="850">
        <f ca="1">IF('Month A'!B35&lt;&gt;"",'Month A'!B35,)</f>
        <v>0</v>
      </c>
      <c r="C35" s="454">
        <f ca="1">'Month A'!C35</f>
        <v>0</v>
      </c>
      <c r="D35" s="74"/>
      <c r="E35" s="521"/>
      <c r="F35" s="858"/>
      <c r="G35" s="367"/>
      <c r="H35" s="543"/>
      <c r="I35" s="853"/>
      <c r="J35" s="6"/>
      <c r="K35" s="541"/>
      <c r="L35" s="860"/>
      <c r="M35" s="20" t="str">
        <f>IF(J35="","",$M$5-SUM($J$7:J35))</f>
        <v/>
      </c>
      <c r="N35" s="367"/>
      <c r="O35" s="7"/>
      <c r="P35" s="871">
        <f>IF('Month A'!Q35&lt;&gt;'Month A'!R35,IF('Month A'!Q35&lt;&gt;0,IF('Month A'!S35&lt;&gt;'Month A'!T35,'Month A'!P35,),),)</f>
        <v>0</v>
      </c>
      <c r="Q35" s="799">
        <f>IF('Month A'!Q35&lt;&gt;'Month A'!R35,IF('Month A'!Q35&lt;&gt;0,IF('Month A'!S35&lt;&gt;'Month A'!T35,'Month A'!Q35,),),)</f>
        <v>0</v>
      </c>
      <c r="R35" s="628">
        <f>IF('Month A'!Q35&lt;&gt;'Month A'!R35,IF('Month A'!Q35&lt;&gt;0,IF('Month A'!S35&lt;&gt;'Month A'!T35,0,Q35),Q35),Q35)</f>
        <v>0</v>
      </c>
      <c r="S35" s="796">
        <f>IF('Month A'!Q35&lt;&gt;'Month A'!R35,IF('Month A'!Q35&lt;&gt;0,IF('Month A'!S35&lt;&gt;'Month A'!T35,'Month A'!S35+1,),),)</f>
        <v>0</v>
      </c>
      <c r="T35" s="796">
        <f>IF('Month A'!Q35&lt;&gt;'Month A'!R35,IF('Month A'!Q35&lt;&gt;0,IF('Month A'!S35&lt;&gt;'Month A'!T35,'Month A'!T35,),),)</f>
        <v>0</v>
      </c>
      <c r="U35" s="797">
        <f>IF('Month A'!Q35&lt;&gt;'Month A'!R35,IF('Month A'!Q35&lt;&gt;0,IF('Month A'!S35&lt;&gt;'Month A'!T35,'Month A'!U35,),),)</f>
        <v>0</v>
      </c>
      <c r="V35" s="875">
        <f>IF('Month A'!Q35&lt;&gt;'Month A'!R35,IF('Month A'!Q35&lt;&gt;0,IF('Month A'!S35&lt;&gt;'Month A'!T35,'Month A'!V35,),),)</f>
        <v>0</v>
      </c>
      <c r="W35" s="626">
        <f>IF(Q35="","",$W$5-SUM($Q$7:Q35))</f>
        <v>0</v>
      </c>
      <c r="X35" s="395"/>
      <c r="Y35" s="903" t="str">
        <f>IF('Month A'!Y35&lt;&gt;"",'Month A'!Y35,)</f>
        <v>Dental treatments</v>
      </c>
      <c r="Z35" s="457">
        <f>'Month A'!Z35</f>
        <v>0</v>
      </c>
      <c r="AA35" s="29">
        <f t="shared" si="0"/>
        <v>0</v>
      </c>
      <c r="AB35" s="723"/>
      <c r="AC35" s="723"/>
      <c r="AD35" s="36">
        <f t="shared" si="1"/>
        <v>0</v>
      </c>
      <c r="AE35" s="23">
        <f t="shared" si="6"/>
        <v>0</v>
      </c>
      <c r="AF35" s="367"/>
      <c r="AG35" s="728">
        <f t="shared" si="2"/>
        <v>0</v>
      </c>
      <c r="AH35" s="367"/>
      <c r="AI35" s="375">
        <v>0</v>
      </c>
      <c r="AJ35" s="367"/>
      <c r="AK35" s="530" t="s">
        <v>39</v>
      </c>
      <c r="AL35" s="537" t="s">
        <v>33</v>
      </c>
      <c r="AM35" s="367"/>
      <c r="AN35" s="367"/>
      <c r="AO35" s="86"/>
      <c r="AP35" s="51">
        <f t="shared" si="3"/>
        <v>0</v>
      </c>
      <c r="AQ35" s="477">
        <f>'Month A'!AQ35+'Month A'!AP35</f>
        <v>0</v>
      </c>
      <c r="AR35" s="477">
        <f t="shared" si="4"/>
        <v>0</v>
      </c>
      <c r="AS35" s="477">
        <f>AD35+'Month A'!AS35</f>
        <v>0</v>
      </c>
      <c r="AT35" s="477">
        <f>AA35+'Month A'!AT35</f>
        <v>0</v>
      </c>
      <c r="AU35" s="476"/>
      <c r="AV35" s="477">
        <f>'Month A'!AV35-'Month A'!AD35+B!Z35-'Month A'!AP35</f>
        <v>0</v>
      </c>
      <c r="AW35" s="476">
        <f t="shared" si="7"/>
        <v>0</v>
      </c>
      <c r="AX35" s="52">
        <f>IF(Z35='Month A'!Z35,'Month A'!AE35-AD35,'Month A'!AE35+(Z35-'Month A'!Z35)*$AW$16-AD35)</f>
        <v>0</v>
      </c>
      <c r="AZ35" s="726">
        <f t="shared" si="5"/>
        <v>0</v>
      </c>
    </row>
    <row r="36" spans="1:52" ht="15" customHeight="1">
      <c r="A36" s="367"/>
      <c r="B36" s="850">
        <f ca="1">IF('Month A'!B36&lt;&gt;"",'Month A'!B36,)</f>
        <v>0</v>
      </c>
      <c r="C36" s="454">
        <f ca="1">'Month A'!C36</f>
        <v>0</v>
      </c>
      <c r="D36" s="74"/>
      <c r="E36" s="521"/>
      <c r="F36" s="858"/>
      <c r="G36" s="367"/>
      <c r="H36" s="543"/>
      <c r="I36" s="853"/>
      <c r="J36" s="6"/>
      <c r="K36" s="541"/>
      <c r="L36" s="860"/>
      <c r="M36" s="20" t="str">
        <f>IF(J36="","",$M$5-SUM($J$7:J36))</f>
        <v/>
      </c>
      <c r="N36" s="367"/>
      <c r="O36" s="7"/>
      <c r="P36" s="873">
        <f>IF('Month A'!Q36&lt;&gt;'Month A'!R36,IF('Month A'!Q36&lt;&gt;0,IF('Month A'!S36&lt;&gt;'Month A'!T36,'Month A'!P36,),),)</f>
        <v>0</v>
      </c>
      <c r="Q36" s="795">
        <f>IF('Month A'!Q36&lt;&gt;'Month A'!R36,IF('Month A'!Q36&lt;&gt;0,IF('Month A'!S36&lt;&gt;'Month A'!T36,'Month A'!Q36,),),)</f>
        <v>0</v>
      </c>
      <c r="R36" s="628">
        <f>IF('Month A'!Q36&lt;&gt;'Month A'!R36,IF('Month A'!Q36&lt;&gt;0,IF('Month A'!S36&lt;&gt;'Month A'!T36,0,Q36),Q36),Q36)</f>
        <v>0</v>
      </c>
      <c r="S36" s="796">
        <f>IF('Month A'!Q36&lt;&gt;'Month A'!R36,IF('Month A'!Q36&lt;&gt;0,IF('Month A'!S36&lt;&gt;'Month A'!T36,'Month A'!S36+1,),),)</f>
        <v>0</v>
      </c>
      <c r="T36" s="796">
        <f>IF('Month A'!Q36&lt;&gt;'Month A'!R36,IF('Month A'!Q36&lt;&gt;0,IF('Month A'!S36&lt;&gt;'Month A'!T36,'Month A'!T36,),),)</f>
        <v>0</v>
      </c>
      <c r="U36" s="797">
        <f>IF('Month A'!Q36&lt;&gt;'Month A'!R36,IF('Month A'!Q36&lt;&gt;0,IF('Month A'!S36&lt;&gt;'Month A'!T36,'Month A'!U36,),),)</f>
        <v>0</v>
      </c>
      <c r="V36" s="875">
        <f>IF('Month A'!Q36&lt;&gt;'Month A'!R36,IF('Month A'!Q36&lt;&gt;0,IF('Month A'!S36&lt;&gt;'Month A'!T36,'Month A'!V36,),),)</f>
        <v>0</v>
      </c>
      <c r="W36" s="622">
        <f>IF(Q36="","",$W$5-SUM($Q$7:Q36))</f>
        <v>0</v>
      </c>
      <c r="X36" s="395"/>
      <c r="Y36" s="903" t="str">
        <f>IF('Month A'!Y36&lt;&gt;"",'Month A'!Y36,)</f>
        <v>Eyeglasses/Contact Lens</v>
      </c>
      <c r="Z36" s="457">
        <f>'Month A'!Z36</f>
        <v>0</v>
      </c>
      <c r="AA36" s="29">
        <f t="shared" si="0"/>
        <v>0</v>
      </c>
      <c r="AB36" s="723"/>
      <c r="AC36" s="723"/>
      <c r="AD36" s="36">
        <f t="shared" si="1"/>
        <v>0</v>
      </c>
      <c r="AE36" s="23">
        <f t="shared" si="6"/>
        <v>0</v>
      </c>
      <c r="AF36" s="367"/>
      <c r="AG36" s="728">
        <f t="shared" si="2"/>
        <v>0</v>
      </c>
      <c r="AH36" s="367"/>
      <c r="AI36" s="375">
        <v>0</v>
      </c>
      <c r="AJ36" s="367"/>
      <c r="AK36" s="530" t="s">
        <v>40</v>
      </c>
      <c r="AL36" s="538" t="s">
        <v>33</v>
      </c>
      <c r="AM36" s="367"/>
      <c r="AN36" s="367"/>
      <c r="AO36" s="86"/>
      <c r="AP36" s="51">
        <f t="shared" si="3"/>
        <v>0</v>
      </c>
      <c r="AQ36" s="477">
        <f>'Month A'!AQ36+'Month A'!AP36</f>
        <v>0</v>
      </c>
      <c r="AR36" s="477">
        <f t="shared" si="4"/>
        <v>0</v>
      </c>
      <c r="AS36" s="477">
        <f>AD36+'Month A'!AS36</f>
        <v>0</v>
      </c>
      <c r="AT36" s="477">
        <f>AA36+'Month A'!AT36</f>
        <v>0</v>
      </c>
      <c r="AU36" s="476"/>
      <c r="AV36" s="477">
        <f>'Month A'!AV36-'Month A'!AD36+B!Z36-'Month A'!AP36</f>
        <v>0</v>
      </c>
      <c r="AW36" s="476">
        <f t="shared" si="7"/>
        <v>0</v>
      </c>
      <c r="AX36" s="52">
        <f>IF(Z36='Month A'!Z36,'Month A'!AE36-AD36,'Month A'!AE36+(Z36-'Month A'!Z36)*$AW$16-AD36)</f>
        <v>0</v>
      </c>
      <c r="AZ36" s="726">
        <f t="shared" si="5"/>
        <v>0</v>
      </c>
    </row>
    <row r="37" spans="1:52" ht="15" customHeight="1" thickBot="1">
      <c r="A37" s="367"/>
      <c r="B37" s="850">
        <f ca="1">IF('Month A'!B37&lt;&gt;"",'Month A'!B37,)</f>
        <v>0</v>
      </c>
      <c r="C37" s="454">
        <f ca="1">'Month A'!C37</f>
        <v>0</v>
      </c>
      <c r="D37" s="74"/>
      <c r="E37" s="521"/>
      <c r="F37" s="858"/>
      <c r="G37" s="367"/>
      <c r="H37" s="543"/>
      <c r="I37" s="853"/>
      <c r="J37" s="6"/>
      <c r="K37" s="541"/>
      <c r="L37" s="860"/>
      <c r="M37" s="20" t="str">
        <f>IF(J37="","",$M$5-SUM($J$7:J37))</f>
        <v/>
      </c>
      <c r="N37" s="367"/>
      <c r="O37" s="7"/>
      <c r="P37" s="871">
        <f>IF('Month A'!Q37&lt;&gt;'Month A'!R37,IF('Month A'!Q37&lt;&gt;0,IF('Month A'!S37&lt;&gt;'Month A'!T37,'Month A'!P37,),),)</f>
        <v>0</v>
      </c>
      <c r="Q37" s="795">
        <f>IF('Month A'!Q37&lt;&gt;'Month A'!R37,IF('Month A'!Q37&lt;&gt;0,IF('Month A'!S37&lt;&gt;'Month A'!T37,'Month A'!Q37,),),)</f>
        <v>0</v>
      </c>
      <c r="R37" s="628">
        <f>IF('Month A'!Q37&lt;&gt;'Month A'!R37,IF('Month A'!Q37&lt;&gt;0,IF('Month A'!S37&lt;&gt;'Month A'!T37,0,Q37),Q37),Q37)</f>
        <v>0</v>
      </c>
      <c r="S37" s="796">
        <f>IF('Month A'!Q37&lt;&gt;'Month A'!R37,IF('Month A'!Q37&lt;&gt;0,IF('Month A'!S37&lt;&gt;'Month A'!T37,'Month A'!S37+1,),),)</f>
        <v>0</v>
      </c>
      <c r="T37" s="796">
        <f>IF('Month A'!Q37&lt;&gt;'Month A'!R37,IF('Month A'!Q37&lt;&gt;0,IF('Month A'!S37&lt;&gt;'Month A'!T37,'Month A'!T37,),),)</f>
        <v>0</v>
      </c>
      <c r="U37" s="797">
        <f>IF('Month A'!Q37&lt;&gt;'Month A'!R37,IF('Month A'!Q37&lt;&gt;0,IF('Month A'!S37&lt;&gt;'Month A'!T37,'Month A'!U37,),),)</f>
        <v>0</v>
      </c>
      <c r="V37" s="875">
        <f>IF('Month A'!Q37&lt;&gt;'Month A'!R37,IF('Month A'!Q37&lt;&gt;0,IF('Month A'!S37&lt;&gt;'Month A'!T37,'Month A'!V37,),),)</f>
        <v>0</v>
      </c>
      <c r="W37" s="622">
        <f>IF(Q37="","",$W$5-SUM($Q$7:Q37))</f>
        <v>0</v>
      </c>
      <c r="X37" s="395"/>
      <c r="Y37" s="903" t="str">
        <f>IF('Month A'!Y37&lt;&gt;"",'Month A'!Y37,)</f>
        <v>Vacations</v>
      </c>
      <c r="Z37" s="457">
        <f>'Month A'!Z37</f>
        <v>0</v>
      </c>
      <c r="AA37" s="29">
        <f t="shared" si="0"/>
        <v>0</v>
      </c>
      <c r="AB37" s="723"/>
      <c r="AC37" s="723"/>
      <c r="AD37" s="36">
        <f t="shared" si="1"/>
        <v>0</v>
      </c>
      <c r="AE37" s="23">
        <f t="shared" si="6"/>
        <v>0</v>
      </c>
      <c r="AF37" s="367"/>
      <c r="AG37" s="728">
        <f t="shared" si="2"/>
        <v>0</v>
      </c>
      <c r="AH37" s="367"/>
      <c r="AI37" s="375">
        <v>0</v>
      </c>
      <c r="AJ37" s="367"/>
      <c r="AK37" s="539" t="s">
        <v>41</v>
      </c>
      <c r="AL37" s="540" t="s">
        <v>33</v>
      </c>
      <c r="AM37" s="367"/>
      <c r="AN37" s="367"/>
      <c r="AO37" s="86"/>
      <c r="AP37" s="51">
        <f t="shared" si="3"/>
        <v>0</v>
      </c>
      <c r="AQ37" s="477">
        <f>'Month A'!AQ37+'Month A'!AP37</f>
        <v>0</v>
      </c>
      <c r="AR37" s="477">
        <f t="shared" si="4"/>
        <v>0</v>
      </c>
      <c r="AS37" s="477">
        <f>AD37+'Month A'!AS37</f>
        <v>0</v>
      </c>
      <c r="AT37" s="477">
        <f>AA37+'Month A'!AT37</f>
        <v>0</v>
      </c>
      <c r="AU37" s="476"/>
      <c r="AV37" s="477">
        <f>'Month A'!AV37-'Month A'!AD37+B!Z37-'Month A'!AP37</f>
        <v>0</v>
      </c>
      <c r="AW37" s="476">
        <f t="shared" si="7"/>
        <v>0</v>
      </c>
      <c r="AX37" s="52">
        <f>IF(Z37='Month A'!Z37,'Month A'!AE37-AD37,'Month A'!AE37+(Z37-'Month A'!Z37)*$AW$16-AD37)</f>
        <v>0</v>
      </c>
      <c r="AZ37" s="726">
        <f t="shared" si="5"/>
        <v>0</v>
      </c>
    </row>
    <row r="38" spans="1:52" ht="15" customHeight="1">
      <c r="A38" s="367"/>
      <c r="B38" s="850">
        <f ca="1">IF('Month A'!B38&lt;&gt;"",'Month A'!B38,)</f>
        <v>0</v>
      </c>
      <c r="C38" s="454">
        <f ca="1">'Month A'!C38</f>
        <v>0</v>
      </c>
      <c r="D38" s="74"/>
      <c r="E38" s="521"/>
      <c r="F38" s="858"/>
      <c r="G38" s="367"/>
      <c r="H38" s="543"/>
      <c r="I38" s="853"/>
      <c r="J38" s="6"/>
      <c r="K38" s="541"/>
      <c r="L38" s="860"/>
      <c r="M38" s="20" t="str">
        <f>IF(J38="","",$M$5-SUM($J$7:J38))</f>
        <v/>
      </c>
      <c r="N38" s="367"/>
      <c r="O38" s="7"/>
      <c r="P38" s="873">
        <f>IF('Month A'!Q38&lt;&gt;'Month A'!R38,IF('Month A'!Q38&lt;&gt;0,IF('Month A'!S38&lt;&gt;'Month A'!T38,'Month A'!P38,),),)</f>
        <v>0</v>
      </c>
      <c r="Q38" s="795">
        <f>IF('Month A'!Q38&lt;&gt;'Month A'!R38,IF('Month A'!Q38&lt;&gt;0,IF('Month A'!S38&lt;&gt;'Month A'!T38,'Month A'!Q38,),),)</f>
        <v>0</v>
      </c>
      <c r="R38" s="628">
        <f>IF('Month A'!Q38&lt;&gt;'Month A'!R38,IF('Month A'!Q38&lt;&gt;0,IF('Month A'!S38&lt;&gt;'Month A'!T38,0,Q38),Q38),Q38)</f>
        <v>0</v>
      </c>
      <c r="S38" s="796">
        <f>IF('Month A'!Q38&lt;&gt;'Month A'!R38,IF('Month A'!Q38&lt;&gt;0,IF('Month A'!S38&lt;&gt;'Month A'!T38,'Month A'!S38+1,),),)</f>
        <v>0</v>
      </c>
      <c r="T38" s="796">
        <f>IF('Month A'!Q38&lt;&gt;'Month A'!R38,IF('Month A'!Q38&lt;&gt;0,IF('Month A'!S38&lt;&gt;'Month A'!T38,'Month A'!T38,),),)</f>
        <v>0</v>
      </c>
      <c r="U38" s="797">
        <f>IF('Month A'!Q38&lt;&gt;'Month A'!R38,IF('Month A'!Q38&lt;&gt;0,IF('Month A'!S38&lt;&gt;'Month A'!T38,'Month A'!U38,),),)</f>
        <v>0</v>
      </c>
      <c r="V38" s="875">
        <f>IF('Month A'!Q38&lt;&gt;'Month A'!R38,IF('Month A'!Q38&lt;&gt;0,IF('Month A'!S38&lt;&gt;'Month A'!T38,'Month A'!V38,),),)</f>
        <v>0</v>
      </c>
      <c r="W38" s="625">
        <f>IF(Q38="","",$W$5-SUM($Q$7:Q38))</f>
        <v>0</v>
      </c>
      <c r="X38" s="621"/>
      <c r="Y38" s="904" t="str">
        <f>IF('Month A'!Y38&lt;&gt;"",'Month A'!Y38,)</f>
        <v>Religious expenses</v>
      </c>
      <c r="Z38" s="457">
        <f>'Month A'!Z38</f>
        <v>0</v>
      </c>
      <c r="AA38" s="29">
        <f t="shared" si="0"/>
        <v>0</v>
      </c>
      <c r="AB38" s="723"/>
      <c r="AC38" s="723"/>
      <c r="AD38" s="36">
        <f t="shared" si="1"/>
        <v>0</v>
      </c>
      <c r="AE38" s="23">
        <f t="shared" si="6"/>
        <v>0</v>
      </c>
      <c r="AF38" s="367"/>
      <c r="AG38" s="728">
        <f t="shared" si="2"/>
        <v>0</v>
      </c>
      <c r="AH38" s="367"/>
      <c r="AI38" s="375">
        <v>0</v>
      </c>
      <c r="AJ38" s="367"/>
      <c r="AK38" s="367"/>
      <c r="AL38" s="367"/>
      <c r="AM38" s="367"/>
      <c r="AN38" s="367"/>
      <c r="AO38" s="86"/>
      <c r="AP38" s="51">
        <f t="shared" si="3"/>
        <v>0</v>
      </c>
      <c r="AQ38" s="477">
        <f>'Month A'!AQ38+'Month A'!AP38</f>
        <v>0</v>
      </c>
      <c r="AR38" s="477">
        <f t="shared" si="4"/>
        <v>0</v>
      </c>
      <c r="AS38" s="477">
        <f>AD38+'Month A'!AS38</f>
        <v>0</v>
      </c>
      <c r="AT38" s="477">
        <f>AA38+'Month A'!AT38</f>
        <v>0</v>
      </c>
      <c r="AU38" s="476"/>
      <c r="AV38" s="477">
        <f>'Month A'!AV38-'Month A'!AD38+B!Z38-'Month A'!AP38</f>
        <v>0</v>
      </c>
      <c r="AW38" s="476">
        <f t="shared" si="7"/>
        <v>0</v>
      </c>
      <c r="AX38" s="52">
        <f>IF(Z38='Month A'!Z38,'Month A'!AE38-AD38,'Month A'!AE38+(Z38-'Month A'!Z38)*$AW$16-AD38)</f>
        <v>0</v>
      </c>
      <c r="AZ38" s="726">
        <f t="shared" si="5"/>
        <v>0</v>
      </c>
    </row>
    <row r="39" spans="1:52" ht="15" customHeight="1">
      <c r="A39" s="367"/>
      <c r="B39" s="850">
        <f ca="1">IF('Month A'!B39&lt;&gt;"",'Month A'!B39,)</f>
        <v>0</v>
      </c>
      <c r="C39" s="454">
        <f ca="1">'Month A'!C39</f>
        <v>0</v>
      </c>
      <c r="D39" s="74"/>
      <c r="E39" s="521"/>
      <c r="F39" s="858"/>
      <c r="G39" s="367"/>
      <c r="H39" s="543"/>
      <c r="I39" s="853"/>
      <c r="J39" s="6"/>
      <c r="K39" s="541"/>
      <c r="L39" s="860"/>
      <c r="M39" s="20" t="str">
        <f>IF(J39="","",$M$5-SUM($J$7:J39))</f>
        <v/>
      </c>
      <c r="N39" s="367"/>
      <c r="O39" s="7"/>
      <c r="P39" s="872">
        <f>IF('Month A'!Q39&lt;&gt;'Month A'!R39,IF('Month A'!Q39&lt;&gt;0,IF('Month A'!S39&lt;&gt;'Month A'!T39,'Month A'!P39,),),)</f>
        <v>0</v>
      </c>
      <c r="Q39" s="795">
        <f>IF('Month A'!Q39&lt;&gt;'Month A'!R39,IF('Month A'!Q39&lt;&gt;0,IF('Month A'!S39&lt;&gt;'Month A'!T39,'Month A'!Q39,),),)</f>
        <v>0</v>
      </c>
      <c r="R39" s="628">
        <f>IF('Month A'!Q39&lt;&gt;'Month A'!R39,IF('Month A'!Q39&lt;&gt;0,IF('Month A'!S39&lt;&gt;'Month A'!T39,0,Q39),Q39),Q39)</f>
        <v>0</v>
      </c>
      <c r="S39" s="796">
        <f>IF('Month A'!Q39&lt;&gt;'Month A'!R39,IF('Month A'!Q39&lt;&gt;0,IF('Month A'!S39&lt;&gt;'Month A'!T39,'Month A'!S39+1,),),)</f>
        <v>0</v>
      </c>
      <c r="T39" s="796">
        <f>IF('Month A'!Q39&lt;&gt;'Month A'!R39,IF('Month A'!Q39&lt;&gt;0,IF('Month A'!S39&lt;&gt;'Month A'!T39,'Month A'!T39,),),)</f>
        <v>0</v>
      </c>
      <c r="U39" s="797">
        <f>IF('Month A'!Q39&lt;&gt;'Month A'!R39,IF('Month A'!Q39&lt;&gt;0,IF('Month A'!S39&lt;&gt;'Month A'!T39,'Month A'!U39,),),)</f>
        <v>0</v>
      </c>
      <c r="V39" s="875">
        <f>IF('Month A'!Q39&lt;&gt;'Month A'!R39,IF('Month A'!Q39&lt;&gt;0,IF('Month A'!S39&lt;&gt;'Month A'!T39,'Month A'!V39,),),)</f>
        <v>0</v>
      </c>
      <c r="W39" s="622">
        <f>IF(Q39="","",$W$5-SUM($Q$7:Q39))</f>
        <v>0</v>
      </c>
      <c r="X39" s="395"/>
      <c r="Y39" s="904" t="str">
        <f>IF('Month A'!Y39&lt;&gt;"",'Month A'!Y39,)</f>
        <v>Gifts</v>
      </c>
      <c r="Z39" s="457">
        <f>'Month A'!Z39</f>
        <v>0</v>
      </c>
      <c r="AA39" s="29">
        <f t="shared" si="0"/>
        <v>0</v>
      </c>
      <c r="AB39" s="723"/>
      <c r="AC39" s="723"/>
      <c r="AD39" s="36">
        <f t="shared" si="1"/>
        <v>0</v>
      </c>
      <c r="AE39" s="23">
        <f t="shared" si="6"/>
        <v>0</v>
      </c>
      <c r="AF39" s="367"/>
      <c r="AG39" s="728">
        <f t="shared" si="2"/>
        <v>0</v>
      </c>
      <c r="AH39" s="367"/>
      <c r="AI39" s="375">
        <v>0</v>
      </c>
      <c r="AJ39" s="367"/>
      <c r="AK39" s="367"/>
      <c r="AL39" s="367"/>
      <c r="AM39" s="367"/>
      <c r="AN39" s="367"/>
      <c r="AO39" s="86"/>
      <c r="AP39" s="51">
        <f t="shared" si="3"/>
        <v>0</v>
      </c>
      <c r="AQ39" s="477">
        <f>'Month A'!AQ39+'Month A'!AP39</f>
        <v>0</v>
      </c>
      <c r="AR39" s="477">
        <f t="shared" si="4"/>
        <v>0</v>
      </c>
      <c r="AS39" s="477">
        <f>AD39+'Month A'!AS39</f>
        <v>0</v>
      </c>
      <c r="AT39" s="477">
        <f>AA39+'Month A'!AT39</f>
        <v>0</v>
      </c>
      <c r="AU39" s="476"/>
      <c r="AV39" s="477">
        <f>'Month A'!AV39-'Month A'!AD39+B!Z39-'Month A'!AP39</f>
        <v>0</v>
      </c>
      <c r="AW39" s="476">
        <f t="shared" si="7"/>
        <v>0</v>
      </c>
      <c r="AX39" s="52">
        <f>IF(Z39='Month A'!Z39,'Month A'!AE39-AD39,'Month A'!AE39+(Z39-'Month A'!Z39)*$AW$16-AD39)</f>
        <v>0</v>
      </c>
      <c r="AZ39" s="726">
        <f t="shared" si="5"/>
        <v>0</v>
      </c>
    </row>
    <row r="40" spans="1:52" ht="15" customHeight="1">
      <c r="A40" s="367"/>
      <c r="B40" s="16" t="s">
        <v>179</v>
      </c>
      <c r="C40" s="77">
        <f ca="1">SUM(C27:C39)+SUM(C65:C86)</f>
        <v>0</v>
      </c>
      <c r="D40" s="75">
        <f>SUM(D27:D39)+SUM(D65:D86)</f>
        <v>0</v>
      </c>
      <c r="E40" s="515"/>
      <c r="F40" s="515"/>
      <c r="G40" s="367"/>
      <c r="H40" s="543"/>
      <c r="I40" s="853"/>
      <c r="J40" s="6"/>
      <c r="K40" s="541"/>
      <c r="L40" s="860"/>
      <c r="M40" s="20" t="str">
        <f>IF(J40="","",$M$5-SUM($J$7:J40))</f>
        <v/>
      </c>
      <c r="N40" s="367"/>
      <c r="O40" s="7"/>
      <c r="P40" s="871">
        <f>IF('Month A'!Q40&lt;&gt;'Month A'!R40,IF('Month A'!Q40&lt;&gt;0,IF('Month A'!S40&lt;&gt;'Month A'!T40,'Month A'!P40,),),)</f>
        <v>0</v>
      </c>
      <c r="Q40" s="795">
        <f>IF('Month A'!Q40&lt;&gt;'Month A'!R40,IF('Month A'!Q40&lt;&gt;0,IF('Month A'!S40&lt;&gt;'Month A'!T40,'Month A'!Q40,),),)</f>
        <v>0</v>
      </c>
      <c r="R40" s="628">
        <f>IF('Month A'!Q40&lt;&gt;'Month A'!R40,IF('Month A'!Q40&lt;&gt;0,IF('Month A'!S40&lt;&gt;'Month A'!T40,0,Q40),Q40),Q40)</f>
        <v>0</v>
      </c>
      <c r="S40" s="796">
        <f>IF('Month A'!Q40&lt;&gt;'Month A'!R40,IF('Month A'!Q40&lt;&gt;0,IF('Month A'!S40&lt;&gt;'Month A'!T40,'Month A'!S40+1,),),)</f>
        <v>0</v>
      </c>
      <c r="T40" s="796">
        <f>IF('Month A'!Q40&lt;&gt;'Month A'!R40,IF('Month A'!Q40&lt;&gt;0,IF('Month A'!S40&lt;&gt;'Month A'!T40,'Month A'!T40,),),)</f>
        <v>0</v>
      </c>
      <c r="U40" s="797">
        <f>IF('Month A'!Q40&lt;&gt;'Month A'!R40,IF('Month A'!Q40&lt;&gt;0,IF('Month A'!S40&lt;&gt;'Month A'!T40,'Month A'!U40,),),)</f>
        <v>0</v>
      </c>
      <c r="V40" s="875">
        <f>IF('Month A'!Q40&lt;&gt;'Month A'!R40,IF('Month A'!Q40&lt;&gt;0,IF('Month A'!S40&lt;&gt;'Month A'!T40,'Month A'!V40,),),)</f>
        <v>0</v>
      </c>
      <c r="W40" s="622">
        <f>IF(Q40="","",$W$5-SUM($Q$7:Q40))</f>
        <v>0</v>
      </c>
      <c r="X40" s="395"/>
      <c r="Y40" s="904" t="str">
        <f>IF('Month A'!Y40&lt;&gt;"",'Month A'!Y40,)</f>
        <v>Small Purchases</v>
      </c>
      <c r="Z40" s="457">
        <f>'Month A'!Z40</f>
        <v>0</v>
      </c>
      <c r="AA40" s="29">
        <f t="shared" si="0"/>
        <v>0</v>
      </c>
      <c r="AB40" s="723"/>
      <c r="AC40" s="723"/>
      <c r="AD40" s="36">
        <f t="shared" si="1"/>
        <v>0</v>
      </c>
      <c r="AE40" s="23">
        <f t="shared" si="6"/>
        <v>0</v>
      </c>
      <c r="AF40" s="367"/>
      <c r="AG40" s="728">
        <f t="shared" si="2"/>
        <v>0</v>
      </c>
      <c r="AH40" s="367"/>
      <c r="AI40" s="375">
        <v>0</v>
      </c>
      <c r="AJ40" s="367"/>
      <c r="AK40" s="367"/>
      <c r="AL40" s="367"/>
      <c r="AM40" s="367"/>
      <c r="AN40" s="367"/>
      <c r="AO40" s="86"/>
      <c r="AP40" s="51">
        <f t="shared" si="3"/>
        <v>0</v>
      </c>
      <c r="AQ40" s="477">
        <f>'Month A'!AQ40+'Month A'!AP40</f>
        <v>0</v>
      </c>
      <c r="AR40" s="477">
        <f t="shared" si="4"/>
        <v>0</v>
      </c>
      <c r="AS40" s="477">
        <f>AD40+'Month A'!AS40</f>
        <v>0</v>
      </c>
      <c r="AT40" s="477">
        <f>AA40+'Month A'!AT40</f>
        <v>0</v>
      </c>
      <c r="AU40" s="476"/>
      <c r="AV40" s="477">
        <f>'Month A'!AV40-'Month A'!AD40+B!Z40-'Month A'!AP40</f>
        <v>0</v>
      </c>
      <c r="AW40" s="476">
        <f t="shared" si="7"/>
        <v>0</v>
      </c>
      <c r="AX40" s="52">
        <f>IF(Z40='Month A'!Z40,'Month A'!AE40-AD40,'Month A'!AE40+(Z40-'Month A'!Z40)*$AW$16-AD40)</f>
        <v>0</v>
      </c>
      <c r="AZ40" s="726">
        <f t="shared" si="5"/>
        <v>0</v>
      </c>
    </row>
    <row r="41" spans="1:52" ht="15" customHeight="1" thickBot="1">
      <c r="A41" s="367"/>
      <c r="B41" s="11" t="s">
        <v>367</v>
      </c>
      <c r="C41" s="1093">
        <f ca="1">C40-D40</f>
        <v>0</v>
      </c>
      <c r="D41" s="1094"/>
      <c r="E41" s="517"/>
      <c r="F41" s="517"/>
      <c r="G41" s="367"/>
      <c r="H41" s="543"/>
      <c r="I41" s="853"/>
      <c r="J41" s="6"/>
      <c r="K41" s="541"/>
      <c r="L41" s="860"/>
      <c r="M41" s="20" t="str">
        <f>IF(J41="","",$M$5-SUM($J$7:J41))</f>
        <v/>
      </c>
      <c r="N41" s="367"/>
      <c r="O41" s="7"/>
      <c r="P41" s="871">
        <f>IF('Month A'!Q41&lt;&gt;'Month A'!R41,IF('Month A'!Q41&lt;&gt;0,IF('Month A'!S41&lt;&gt;'Month A'!T41,'Month A'!P41,),),)</f>
        <v>0</v>
      </c>
      <c r="Q41" s="795">
        <f>IF('Month A'!Q41&lt;&gt;'Month A'!R41,IF('Month A'!Q41&lt;&gt;0,IF('Month A'!S41&lt;&gt;'Month A'!T41,'Month A'!Q41,),),)</f>
        <v>0</v>
      </c>
      <c r="R41" s="628">
        <f>IF('Month A'!Q41&lt;&gt;'Month A'!R41,IF('Month A'!Q41&lt;&gt;0,IF('Month A'!S41&lt;&gt;'Month A'!T41,0,Q41),Q41),Q41)</f>
        <v>0</v>
      </c>
      <c r="S41" s="796">
        <f>IF('Month A'!Q41&lt;&gt;'Month A'!R41,IF('Month A'!Q41&lt;&gt;0,IF('Month A'!S41&lt;&gt;'Month A'!T41,'Month A'!S41+1,),),)</f>
        <v>0</v>
      </c>
      <c r="T41" s="796">
        <f>IF('Month A'!Q41&lt;&gt;'Month A'!R41,IF('Month A'!Q41&lt;&gt;0,IF('Month A'!S41&lt;&gt;'Month A'!T41,'Month A'!T41,),),)</f>
        <v>0</v>
      </c>
      <c r="U41" s="797">
        <f>IF('Month A'!Q41&lt;&gt;'Month A'!R41,IF('Month A'!Q41&lt;&gt;0,IF('Month A'!S41&lt;&gt;'Month A'!T41,'Month A'!U41,),),)</f>
        <v>0</v>
      </c>
      <c r="V41" s="875">
        <f>IF('Month A'!Q41&lt;&gt;'Month A'!R41,IF('Month A'!Q41&lt;&gt;0,IF('Month A'!S41&lt;&gt;'Month A'!T41,'Month A'!V41,),),)</f>
        <v>0</v>
      </c>
      <c r="W41" s="622">
        <f>IF(Q41="","",$W$5-SUM($Q$7:Q41))</f>
        <v>0</v>
      </c>
      <c r="X41" s="395"/>
      <c r="Y41" s="903" t="str">
        <f>IF('Month A'!Y41&lt;&gt;"",'Month A'!Y41,)</f>
        <v>Haircuts / Cosmetics Treatments</v>
      </c>
      <c r="Z41" s="457">
        <f>'Month A'!Z41</f>
        <v>0</v>
      </c>
      <c r="AA41" s="29">
        <f t="shared" si="0"/>
        <v>0</v>
      </c>
      <c r="AB41" s="723"/>
      <c r="AC41" s="723"/>
      <c r="AD41" s="36">
        <f t="shared" si="1"/>
        <v>0</v>
      </c>
      <c r="AE41" s="23">
        <f t="shared" si="6"/>
        <v>0</v>
      </c>
      <c r="AF41" s="367"/>
      <c r="AG41" s="728">
        <f t="shared" si="2"/>
        <v>0</v>
      </c>
      <c r="AH41" s="367"/>
      <c r="AI41" s="375">
        <v>0</v>
      </c>
      <c r="AJ41" s="367"/>
      <c r="AK41" s="367"/>
      <c r="AL41" s="367"/>
      <c r="AM41" s="367"/>
      <c r="AN41" s="367"/>
      <c r="AO41" s="86"/>
      <c r="AP41" s="51">
        <f t="shared" si="3"/>
        <v>0</v>
      </c>
      <c r="AQ41" s="477">
        <f>'Month A'!AQ41+'Month A'!AP41</f>
        <v>0</v>
      </c>
      <c r="AR41" s="477">
        <f t="shared" si="4"/>
        <v>0</v>
      </c>
      <c r="AS41" s="477">
        <f>AD41+'Month A'!AS41</f>
        <v>0</v>
      </c>
      <c r="AT41" s="477">
        <f>AA41+'Month A'!AT41</f>
        <v>0</v>
      </c>
      <c r="AU41" s="476"/>
      <c r="AV41" s="477">
        <f>'Month A'!AV41-'Month A'!AD41+B!Z41-'Month A'!AP41</f>
        <v>0</v>
      </c>
      <c r="AW41" s="476">
        <f t="shared" si="7"/>
        <v>0</v>
      </c>
      <c r="AX41" s="52">
        <f>IF(Z41='Month A'!Z41,'Month A'!AE41-AD41,'Month A'!AE41+(Z41-'Month A'!Z41)*$AW$16-AD41)</f>
        <v>0</v>
      </c>
      <c r="AZ41" s="726">
        <f t="shared" si="5"/>
        <v>0</v>
      </c>
    </row>
    <row r="42" spans="1:52" ht="15" customHeight="1">
      <c r="A42" s="367"/>
      <c r="B42" s="1095" t="str">
        <f ca="1">IF(C41&gt;0,"Unexpected positive difference - Check why!","")</f>
        <v/>
      </c>
      <c r="C42" s="1095"/>
      <c r="D42" s="1095"/>
      <c r="E42" s="514"/>
      <c r="F42" s="514"/>
      <c r="G42" s="367"/>
      <c r="H42" s="543"/>
      <c r="I42" s="853"/>
      <c r="J42" s="6"/>
      <c r="K42" s="541"/>
      <c r="L42" s="860"/>
      <c r="M42" s="20" t="str">
        <f>IF(J42="","",$M$5-SUM($J$7:J42))</f>
        <v/>
      </c>
      <c r="N42" s="367"/>
      <c r="O42" s="7"/>
      <c r="P42" s="873">
        <f>IF('Month A'!Q42&lt;&gt;'Month A'!R42,IF('Month A'!Q42&lt;&gt;0,IF('Month A'!S42&lt;&gt;'Month A'!T42,'Month A'!P42,),),)</f>
        <v>0</v>
      </c>
      <c r="Q42" s="795">
        <f>IF('Month A'!Q42&lt;&gt;'Month A'!R42,IF('Month A'!Q42&lt;&gt;0,IF('Month A'!S42&lt;&gt;'Month A'!T42,'Month A'!Q42,),),)</f>
        <v>0</v>
      </c>
      <c r="R42" s="628">
        <f>IF('Month A'!Q42&lt;&gt;'Month A'!R42,IF('Month A'!Q42&lt;&gt;0,IF('Month A'!S42&lt;&gt;'Month A'!T42,0,Q42),Q42),Q42)</f>
        <v>0</v>
      </c>
      <c r="S42" s="796">
        <f>IF('Month A'!Q42&lt;&gt;'Month A'!R42,IF('Month A'!Q42&lt;&gt;0,IF('Month A'!S42&lt;&gt;'Month A'!T42,'Month A'!S42+1,),),)</f>
        <v>0</v>
      </c>
      <c r="T42" s="796">
        <f>IF('Month A'!Q42&lt;&gt;'Month A'!R42,IF('Month A'!Q42&lt;&gt;0,IF('Month A'!S42&lt;&gt;'Month A'!T42,'Month A'!T42,),),)</f>
        <v>0</v>
      </c>
      <c r="U42" s="797">
        <f>IF('Month A'!Q42&lt;&gt;'Month A'!R42,IF('Month A'!Q42&lt;&gt;0,IF('Month A'!S42&lt;&gt;'Month A'!T42,'Month A'!U42,),),)</f>
        <v>0</v>
      </c>
      <c r="V42" s="875">
        <f>IF('Month A'!Q42&lt;&gt;'Month A'!R42,IF('Month A'!Q42&lt;&gt;0,IF('Month A'!S42&lt;&gt;'Month A'!T42,'Month A'!V42,),),)</f>
        <v>0</v>
      </c>
      <c r="W42" s="622">
        <f>IF(Q42="","",$W$5-SUM($Q$7:Q42))</f>
        <v>0</v>
      </c>
      <c r="X42" s="395"/>
      <c r="Y42" s="903" t="str">
        <f>IF('Month A'!Y42&lt;&gt;"",'Month A'!Y42,)</f>
        <v>National Insurance</v>
      </c>
      <c r="Z42" s="457">
        <f>'Month A'!Z42</f>
        <v>0</v>
      </c>
      <c r="AA42" s="29">
        <f t="shared" si="0"/>
        <v>0</v>
      </c>
      <c r="AB42" s="723"/>
      <c r="AC42" s="723"/>
      <c r="AD42" s="36">
        <f t="shared" si="1"/>
        <v>0</v>
      </c>
      <c r="AE42" s="23">
        <f t="shared" si="6"/>
        <v>0</v>
      </c>
      <c r="AF42" s="367"/>
      <c r="AG42" s="728">
        <f t="shared" si="2"/>
        <v>0</v>
      </c>
      <c r="AH42" s="367"/>
      <c r="AI42" s="375">
        <v>0</v>
      </c>
      <c r="AJ42" s="367"/>
      <c r="AK42" s="367"/>
      <c r="AL42" s="367"/>
      <c r="AM42" s="367"/>
      <c r="AN42" s="367"/>
      <c r="AO42" s="86"/>
      <c r="AP42" s="51">
        <f t="shared" si="3"/>
        <v>0</v>
      </c>
      <c r="AQ42" s="477">
        <f>'Month A'!AQ42+'Month A'!AP42</f>
        <v>0</v>
      </c>
      <c r="AR42" s="477">
        <f t="shared" si="4"/>
        <v>0</v>
      </c>
      <c r="AS42" s="477">
        <f>AD42+'Month A'!AS42</f>
        <v>0</v>
      </c>
      <c r="AT42" s="477">
        <f>AA42+'Month A'!AT42</f>
        <v>0</v>
      </c>
      <c r="AU42" s="476"/>
      <c r="AV42" s="477">
        <f>'Month A'!AV42-'Month A'!AD42+B!Z42-'Month A'!AP42</f>
        <v>0</v>
      </c>
      <c r="AW42" s="476">
        <f t="shared" si="7"/>
        <v>0</v>
      </c>
      <c r="AX42" s="52">
        <f>IF(Z42='Month A'!Z42,'Month A'!AE42-AD42,'Month A'!AE42+(Z42-'Month A'!Z42)*$AW$16-AD42)</f>
        <v>0</v>
      </c>
      <c r="AZ42" s="726">
        <f t="shared" si="5"/>
        <v>0</v>
      </c>
    </row>
    <row r="43" spans="1:52" ht="15" customHeight="1" thickBot="1">
      <c r="A43" s="367"/>
      <c r="B43" s="1117" t="s">
        <v>351</v>
      </c>
      <c r="C43" s="1117"/>
      <c r="D43" s="367"/>
      <c r="E43" s="367"/>
      <c r="F43" s="367"/>
      <c r="G43" s="367"/>
      <c r="H43" s="543"/>
      <c r="I43" s="854"/>
      <c r="J43" s="6"/>
      <c r="K43" s="541"/>
      <c r="L43" s="860"/>
      <c r="M43" s="20" t="str">
        <f>IF(J43="","",$M$5-SUM($J$7:J43))</f>
        <v/>
      </c>
      <c r="N43" s="367"/>
      <c r="O43" s="7"/>
      <c r="P43" s="871">
        <f>IF('Month A'!Q43&lt;&gt;'Month A'!R43,IF('Month A'!Q43&lt;&gt;0,IF('Month A'!S43&lt;&gt;'Month A'!T43,'Month A'!P43,),),)</f>
        <v>0</v>
      </c>
      <c r="Q43" s="795">
        <f>IF('Month A'!Q43&lt;&gt;'Month A'!R43,IF('Month A'!Q43&lt;&gt;0,IF('Month A'!S43&lt;&gt;'Month A'!T43,'Month A'!Q43,),),)</f>
        <v>0</v>
      </c>
      <c r="R43" s="628">
        <f>IF('Month A'!Q43&lt;&gt;'Month A'!R43,IF('Month A'!Q43&lt;&gt;0,IF('Month A'!S43&lt;&gt;'Month A'!T43,0,Q43),Q43),Q43)</f>
        <v>0</v>
      </c>
      <c r="S43" s="796">
        <f>IF('Month A'!Q43&lt;&gt;'Month A'!R43,IF('Month A'!Q43&lt;&gt;0,IF('Month A'!S43&lt;&gt;'Month A'!T43,'Month A'!S43+1,),),)</f>
        <v>0</v>
      </c>
      <c r="T43" s="796">
        <f>IF('Month A'!Q43&lt;&gt;'Month A'!R43,IF('Month A'!Q43&lt;&gt;0,IF('Month A'!S43&lt;&gt;'Month A'!T43,'Month A'!T43,),),)</f>
        <v>0</v>
      </c>
      <c r="U43" s="797">
        <f>IF('Month A'!Q43&lt;&gt;'Month A'!R43,IF('Month A'!Q43&lt;&gt;0,IF('Month A'!S43&lt;&gt;'Month A'!T43,'Month A'!U43,),),)</f>
        <v>0</v>
      </c>
      <c r="V43" s="875">
        <f>IF('Month A'!Q43&lt;&gt;'Month A'!R43,IF('Month A'!Q43&lt;&gt;0,IF('Month A'!S43&lt;&gt;'Month A'!T43,'Month A'!V43,),),)</f>
        <v>0</v>
      </c>
      <c r="W43" s="622">
        <f>IF(Q43="","",$W$5-SUM($Q$7:Q43))</f>
        <v>0</v>
      </c>
      <c r="X43" s="395"/>
      <c r="Y43" s="903">
        <f>IF('Month A'!Y43&lt;&gt;"",'Month A'!Y43,)</f>
        <v>0</v>
      </c>
      <c r="Z43" s="457">
        <f>'Month A'!Z43</f>
        <v>0</v>
      </c>
      <c r="AA43" s="29">
        <f t="shared" si="0"/>
        <v>0</v>
      </c>
      <c r="AB43" s="723"/>
      <c r="AC43" s="723"/>
      <c r="AD43" s="36">
        <f t="shared" si="1"/>
        <v>0</v>
      </c>
      <c r="AE43" s="23">
        <f t="shared" si="6"/>
        <v>0</v>
      </c>
      <c r="AF43" s="367"/>
      <c r="AG43" s="728">
        <f t="shared" si="2"/>
        <v>0</v>
      </c>
      <c r="AH43" s="367"/>
      <c r="AI43" s="375">
        <v>0</v>
      </c>
      <c r="AJ43" s="367"/>
      <c r="AK43" s="367"/>
      <c r="AL43" s="367"/>
      <c r="AM43" s="367"/>
      <c r="AN43" s="367"/>
      <c r="AO43" s="86"/>
      <c r="AP43" s="51">
        <f t="shared" si="3"/>
        <v>0</v>
      </c>
      <c r="AQ43" s="477">
        <f>'Month A'!AQ43+'Month A'!AP43</f>
        <v>0</v>
      </c>
      <c r="AR43" s="477">
        <f t="shared" si="4"/>
        <v>0</v>
      </c>
      <c r="AS43" s="477">
        <f>AD43+'Month A'!AS43</f>
        <v>0</v>
      </c>
      <c r="AT43" s="477">
        <f>AA43+'Month A'!AT43</f>
        <v>0</v>
      </c>
      <c r="AU43" s="476"/>
      <c r="AV43" s="477">
        <f>'Month A'!AV43-'Month A'!AD43+B!Z43-'Month A'!AP43</f>
        <v>0</v>
      </c>
      <c r="AW43" s="476">
        <f t="shared" si="7"/>
        <v>0</v>
      </c>
      <c r="AX43" s="52">
        <f>IF(Z43='Month A'!Z43,'Month A'!AE43-AD43,'Month A'!AE43+(Z43-'Month A'!Z43)*$AW$16-AD43)</f>
        <v>0</v>
      </c>
      <c r="AZ43" s="726">
        <f t="shared" si="5"/>
        <v>0</v>
      </c>
    </row>
    <row r="44" spans="1:52" ht="15" customHeight="1">
      <c r="A44" s="367"/>
      <c r="B44" s="811" t="s">
        <v>353</v>
      </c>
      <c r="C44" s="100" t="s">
        <v>354</v>
      </c>
      <c r="D44" s="915" t="s">
        <v>494</v>
      </c>
      <c r="E44" s="518"/>
      <c r="F44" s="518"/>
      <c r="G44" s="367"/>
      <c r="H44" s="543"/>
      <c r="I44" s="853"/>
      <c r="J44" s="6"/>
      <c r="K44" s="541"/>
      <c r="L44" s="860"/>
      <c r="M44" s="20" t="str">
        <f>IF(J44="","",$M$5-SUM($J$7:J44))</f>
        <v/>
      </c>
      <c r="N44" s="367"/>
      <c r="O44" s="7"/>
      <c r="P44" s="871">
        <f>IF('Month A'!Q44&lt;&gt;'Month A'!R44,IF('Month A'!Q44&lt;&gt;0,IF('Month A'!S44&lt;&gt;'Month A'!T44,'Month A'!P44,),),)</f>
        <v>0</v>
      </c>
      <c r="Q44" s="795">
        <f>IF('Month A'!Q44&lt;&gt;'Month A'!R44,IF('Month A'!Q44&lt;&gt;0,IF('Month A'!S44&lt;&gt;'Month A'!T44,'Month A'!Q44,),),)</f>
        <v>0</v>
      </c>
      <c r="R44" s="628">
        <f>IF('Month A'!Q44&lt;&gt;'Month A'!R44,IF('Month A'!Q44&lt;&gt;0,IF('Month A'!S44&lt;&gt;'Month A'!T44,0,Q44),Q44),Q44)</f>
        <v>0</v>
      </c>
      <c r="S44" s="796">
        <f>IF('Month A'!Q44&lt;&gt;'Month A'!R44,IF('Month A'!Q44&lt;&gt;0,IF('Month A'!S44&lt;&gt;'Month A'!T44,'Month A'!S44+1,),),)</f>
        <v>0</v>
      </c>
      <c r="T44" s="796">
        <f>IF('Month A'!Q44&lt;&gt;'Month A'!R44,IF('Month A'!Q44&lt;&gt;0,IF('Month A'!S44&lt;&gt;'Month A'!T44,'Month A'!T44,),),)</f>
        <v>0</v>
      </c>
      <c r="U44" s="797">
        <f>IF('Month A'!Q44&lt;&gt;'Month A'!R44,IF('Month A'!Q44&lt;&gt;0,IF('Month A'!S44&lt;&gt;'Month A'!T44,'Month A'!U44,),),)</f>
        <v>0</v>
      </c>
      <c r="V44" s="875">
        <f>IF('Month A'!Q44&lt;&gt;'Month A'!R44,IF('Month A'!Q44&lt;&gt;0,IF('Month A'!S44&lt;&gt;'Month A'!T44,'Month A'!V44,),),)</f>
        <v>0</v>
      </c>
      <c r="W44" s="622">
        <f>IF(Q44="","",$W$5-SUM($Q$7:Q44))</f>
        <v>0</v>
      </c>
      <c r="X44" s="396"/>
      <c r="Y44" s="903">
        <f>IF('Month A'!Y44&lt;&gt;"",'Month A'!Y44,)</f>
        <v>0</v>
      </c>
      <c r="Z44" s="457">
        <f>'Month A'!Z44</f>
        <v>0</v>
      </c>
      <c r="AA44" s="29">
        <f t="shared" si="0"/>
        <v>0</v>
      </c>
      <c r="AB44" s="723"/>
      <c r="AC44" s="723"/>
      <c r="AD44" s="36">
        <f t="shared" si="1"/>
        <v>0</v>
      </c>
      <c r="AE44" s="23">
        <f t="shared" si="6"/>
        <v>0</v>
      </c>
      <c r="AF44" s="367"/>
      <c r="AG44" s="728">
        <f t="shared" si="2"/>
        <v>0</v>
      </c>
      <c r="AH44" s="367"/>
      <c r="AI44" s="375">
        <v>0</v>
      </c>
      <c r="AJ44" s="367"/>
      <c r="AK44" s="367"/>
      <c r="AL44" s="367"/>
      <c r="AM44" s="367"/>
      <c r="AN44" s="367"/>
      <c r="AO44" s="86"/>
      <c r="AP44" s="51">
        <f t="shared" si="3"/>
        <v>0</v>
      </c>
      <c r="AQ44" s="477">
        <f>'Month A'!AQ44+'Month A'!AP44</f>
        <v>0</v>
      </c>
      <c r="AR44" s="477">
        <f t="shared" si="4"/>
        <v>0</v>
      </c>
      <c r="AS44" s="477">
        <f>AD44+'Month A'!AS44</f>
        <v>0</v>
      </c>
      <c r="AT44" s="477">
        <f>AA44+'Month A'!AT44</f>
        <v>0</v>
      </c>
      <c r="AU44" s="476"/>
      <c r="AV44" s="477">
        <f>'Month A'!AV44-'Month A'!AD44+B!Z44-'Month A'!AP44</f>
        <v>0</v>
      </c>
      <c r="AW44" s="476">
        <f t="shared" si="7"/>
        <v>0</v>
      </c>
      <c r="AX44" s="52">
        <f>IF(Z44='Month A'!Z44,'Month A'!AE44-AD44,'Month A'!AE44+(Z44-'Month A'!Z44)*$AW$16-AD44)</f>
        <v>0</v>
      </c>
      <c r="AZ44" s="727">
        <f t="shared" si="5"/>
        <v>0</v>
      </c>
    </row>
    <row r="45" spans="1:52" ht="15.75">
      <c r="A45" s="367"/>
      <c r="B45" s="850" t="str">
        <f>IF('Month A'!B45&lt;&gt;"",'Month A'!B45,)</f>
        <v>Food</v>
      </c>
      <c r="C45" s="455">
        <f>'Month A'!C45</f>
        <v>0</v>
      </c>
      <c r="D45" s="80">
        <f t="shared" ref="D45:D56" si="8">SUMIF($I$7:$I$110,B45,$J$7:$J$110)</f>
        <v>0</v>
      </c>
      <c r="E45" s="519"/>
      <c r="F45" s="519"/>
      <c r="G45" s="367"/>
      <c r="H45" s="543"/>
      <c r="I45" s="853"/>
      <c r="J45" s="6"/>
      <c r="K45" s="541"/>
      <c r="L45" s="860"/>
      <c r="M45" s="20" t="str">
        <f>IF(J45="","",$M$5-SUM($J$7:J45))</f>
        <v/>
      </c>
      <c r="N45" s="367"/>
      <c r="O45" s="107"/>
      <c r="P45" s="873">
        <f>IF('Month A'!Q45&lt;&gt;'Month A'!R45,IF('Month A'!Q45&lt;&gt;0,IF('Month A'!S45&lt;&gt;'Month A'!T45,'Month A'!P45,),),)</f>
        <v>0</v>
      </c>
      <c r="Q45" s="795">
        <f>IF('Month A'!Q45&lt;&gt;'Month A'!R45,IF('Month A'!Q45&lt;&gt;0,IF('Month A'!S45&lt;&gt;'Month A'!T45,'Month A'!Q45,),),)</f>
        <v>0</v>
      </c>
      <c r="R45" s="628">
        <f>IF('Month A'!Q45&lt;&gt;'Month A'!R45,IF('Month A'!Q45&lt;&gt;0,IF('Month A'!S45&lt;&gt;'Month A'!T45,0,Q45),Q45),Q45)</f>
        <v>0</v>
      </c>
      <c r="S45" s="796">
        <f>IF('Month A'!Q45&lt;&gt;'Month A'!R45,IF('Month A'!Q45&lt;&gt;0,IF('Month A'!S45&lt;&gt;'Month A'!T45,'Month A'!S45+1,),),)</f>
        <v>0</v>
      </c>
      <c r="T45" s="796">
        <f>IF('Month A'!Q45&lt;&gt;'Month A'!R45,IF('Month A'!Q45&lt;&gt;0,IF('Month A'!S45&lt;&gt;'Month A'!T45,'Month A'!T45,),),)</f>
        <v>0</v>
      </c>
      <c r="U45" s="797">
        <f>IF('Month A'!Q45&lt;&gt;'Month A'!R45,IF('Month A'!Q45&lt;&gt;0,IF('Month A'!S45&lt;&gt;'Month A'!T45,'Month A'!U45,),),)</f>
        <v>0</v>
      </c>
      <c r="V45" s="875">
        <f>IF('Month A'!Q45&lt;&gt;'Month A'!R45,IF('Month A'!Q45&lt;&gt;0,IF('Month A'!S45&lt;&gt;'Month A'!T45,'Month A'!V45,),),)</f>
        <v>0</v>
      </c>
      <c r="W45" s="622">
        <f>IF(Q45="","",$W$5-SUM($Q$7:Q45))</f>
        <v>0</v>
      </c>
      <c r="X45" s="397"/>
      <c r="Y45" s="18" t="s">
        <v>179</v>
      </c>
      <c r="Z45" s="30">
        <f>SUM(Z23:Z44)</f>
        <v>0</v>
      </c>
      <c r="AA45" s="20">
        <f>SUM(AA23:AA44)</f>
        <v>0</v>
      </c>
      <c r="AB45" s="723"/>
      <c r="AC45" s="723"/>
      <c r="AD45" s="36"/>
      <c r="AE45" s="24">
        <f>SUM(AE23:AE44)</f>
        <v>0</v>
      </c>
      <c r="AF45" s="367"/>
      <c r="AG45" s="367"/>
      <c r="AH45" s="367"/>
      <c r="AI45" s="367"/>
      <c r="AJ45" s="367"/>
      <c r="AK45" s="367"/>
      <c r="AL45" s="367"/>
      <c r="AM45" s="367"/>
      <c r="AN45" s="367"/>
      <c r="AO45" s="86"/>
      <c r="AP45" s="52">
        <f>SUM(AP23:AP44)</f>
        <v>0</v>
      </c>
      <c r="AQ45" s="476">
        <f>SUM(AQ23:AQ44)</f>
        <v>0</v>
      </c>
      <c r="AR45" s="476">
        <f>SUM(AR23:AR44)</f>
        <v>0</v>
      </c>
      <c r="AS45" s="476">
        <f>SUM(AS23:AS44)</f>
        <v>0</v>
      </c>
      <c r="AT45" s="476">
        <f>SUM(AT23:AT44)</f>
        <v>0</v>
      </c>
      <c r="AU45" s="476"/>
      <c r="AV45" s="477">
        <f>SUM(AV23:AV44)</f>
        <v>0</v>
      </c>
      <c r="AW45" s="476">
        <f>SUM(AW23:AW44)</f>
        <v>0</v>
      </c>
      <c r="AX45" s="52">
        <f>SUM(AX23:AX44)</f>
        <v>0</v>
      </c>
    </row>
    <row r="46" spans="1:52" ht="15.75" customHeight="1" thickBot="1">
      <c r="A46" s="367"/>
      <c r="B46" s="850" t="str">
        <f>IF('Month A'!B46&lt;&gt;"",'Month A'!B46,)</f>
        <v>Public Transportation</v>
      </c>
      <c r="C46" s="455">
        <f>'Month A'!C46</f>
        <v>0</v>
      </c>
      <c r="D46" s="80">
        <f t="shared" si="8"/>
        <v>0</v>
      </c>
      <c r="E46" s="519"/>
      <c r="F46" s="519"/>
      <c r="G46" s="367"/>
      <c r="H46" s="543"/>
      <c r="I46" s="853"/>
      <c r="J46" s="6"/>
      <c r="K46" s="541"/>
      <c r="L46" s="860"/>
      <c r="M46" s="20" t="str">
        <f>IF(J46="","",$M$5-SUM($J$7:J46))</f>
        <v/>
      </c>
      <c r="N46" s="367"/>
      <c r="O46" s="652"/>
      <c r="P46" s="865" t="s">
        <v>429</v>
      </c>
      <c r="Q46" s="620"/>
      <c r="R46" s="619"/>
      <c r="S46" s="629"/>
      <c r="T46" s="629"/>
      <c r="U46" s="646"/>
      <c r="V46" s="618"/>
      <c r="W46" s="627">
        <f>W5-AA45</f>
        <v>0</v>
      </c>
      <c r="X46" s="386"/>
      <c r="Y46" s="125" t="s">
        <v>367</v>
      </c>
      <c r="Z46" s="1202">
        <f>Z45-AA45</f>
        <v>0</v>
      </c>
      <c r="AA46" s="1203"/>
      <c r="AB46" s="644"/>
      <c r="AC46" s="644"/>
      <c r="AD46" s="37"/>
      <c r="AF46" s="367"/>
      <c r="AG46" s="367"/>
      <c r="AH46" s="367"/>
      <c r="AI46" s="367"/>
      <c r="AJ46" s="367"/>
      <c r="AK46" s="367"/>
      <c r="AL46" s="367"/>
      <c r="AM46" s="367"/>
      <c r="AN46" s="367"/>
      <c r="AO46" s="86"/>
    </row>
    <row r="47" spans="1:52" ht="15.75" customHeight="1">
      <c r="A47" s="367"/>
      <c r="B47" s="850" t="str">
        <f>IF('Month A'!B47&lt;&gt;"",'Month A'!B47,)</f>
        <v>Gas and Parking</v>
      </c>
      <c r="C47" s="455">
        <f>'Month A'!C47</f>
        <v>0</v>
      </c>
      <c r="D47" s="80">
        <f t="shared" si="8"/>
        <v>0</v>
      </c>
      <c r="E47" s="519"/>
      <c r="F47" s="519"/>
      <c r="G47" s="367"/>
      <c r="H47" s="543"/>
      <c r="I47" s="853"/>
      <c r="J47" s="6"/>
      <c r="K47" s="541"/>
      <c r="L47" s="860"/>
      <c r="M47" s="20" t="str">
        <f>IF(J47="","",$M$5-SUM($J$7:J47))</f>
        <v/>
      </c>
      <c r="N47" s="367"/>
      <c r="O47" s="385"/>
      <c r="P47" s="393"/>
      <c r="Q47" s="378"/>
      <c r="R47" s="392"/>
      <c r="S47" s="387"/>
      <c r="T47" s="387"/>
      <c r="U47" s="387"/>
      <c r="V47" s="617"/>
      <c r="W47" s="392"/>
      <c r="X47" s="386"/>
      <c r="Y47" s="388"/>
      <c r="Z47" s="389"/>
      <c r="AA47" s="389"/>
      <c r="AB47" s="389"/>
      <c r="AC47" s="389"/>
      <c r="AD47" s="389"/>
      <c r="AE47" s="367"/>
      <c r="AF47" s="367"/>
      <c r="AG47" s="367"/>
      <c r="AH47" s="367"/>
      <c r="AI47" s="367"/>
      <c r="AJ47" s="367"/>
      <c r="AK47" s="367"/>
      <c r="AL47" s="367"/>
      <c r="AM47" s="367"/>
      <c r="AN47" s="367"/>
      <c r="AO47" s="86"/>
    </row>
    <row r="48" spans="1:52" ht="19.5" thickBot="1">
      <c r="A48" s="367"/>
      <c r="B48" s="850" t="str">
        <f>IF('Month A'!B48&lt;&gt;"",'Month A'!B48,)</f>
        <v>Telephone-Landline/Long Distance</v>
      </c>
      <c r="C48" s="455">
        <f>'Month A'!C48</f>
        <v>0</v>
      </c>
      <c r="D48" s="80">
        <f t="shared" si="8"/>
        <v>0</v>
      </c>
      <c r="E48" s="519"/>
      <c r="F48" s="519"/>
      <c r="G48" s="367"/>
      <c r="H48" s="543"/>
      <c r="I48" s="853"/>
      <c r="J48" s="6"/>
      <c r="K48" s="541"/>
      <c r="L48" s="860"/>
      <c r="M48" s="20" t="str">
        <f>IF(J48="","",$M$5-SUM($J$7:J48))</f>
        <v/>
      </c>
      <c r="N48" s="367"/>
      <c r="P48" s="819" t="s">
        <v>395</v>
      </c>
      <c r="Q48" s="94" t="str">
        <f>M2</f>
        <v/>
      </c>
      <c r="R48" s="94" t="str">
        <f>N2</f>
        <v/>
      </c>
      <c r="S48" s="1215"/>
      <c r="T48" s="1215"/>
      <c r="U48" s="390"/>
      <c r="V48" s="390"/>
      <c r="W48" s="390"/>
      <c r="X48" s="386"/>
      <c r="Y48" s="386"/>
      <c r="Z48" s="386"/>
      <c r="AA48" s="386"/>
      <c r="AB48" s="391"/>
      <c r="AC48" s="391"/>
      <c r="AD48" s="391"/>
      <c r="AE48" s="367"/>
      <c r="AF48" s="367"/>
      <c r="AG48" s="367"/>
      <c r="AH48" s="367"/>
      <c r="AI48" s="367"/>
      <c r="AJ48" s="367"/>
      <c r="AK48" s="367"/>
      <c r="AL48" s="367"/>
      <c r="AM48" s="367"/>
      <c r="AN48" s="367"/>
      <c r="AO48" s="86"/>
    </row>
    <row r="49" spans="1:92" ht="16.5" thickBot="1">
      <c r="A49" s="367"/>
      <c r="B49" s="850" t="str">
        <f>IF('Month A'!B49&lt;&gt;"",'Month A'!B49,)</f>
        <v>Cell Phones</v>
      </c>
      <c r="C49" s="455">
        <f>'Month A'!C49</f>
        <v>0</v>
      </c>
      <c r="D49" s="80">
        <f t="shared" si="8"/>
        <v>0</v>
      </c>
      <c r="E49" s="519"/>
      <c r="F49" s="519"/>
      <c r="G49" s="367"/>
      <c r="H49" s="543"/>
      <c r="I49" s="853"/>
      <c r="J49" s="6"/>
      <c r="K49" s="541"/>
      <c r="L49" s="860"/>
      <c r="M49" s="20" t="str">
        <f>IF(J49="","",$M$5-SUM($J$7:J49))</f>
        <v/>
      </c>
      <c r="N49" s="367"/>
      <c r="O49" s="377"/>
      <c r="P49" s="653" t="s">
        <v>288</v>
      </c>
      <c r="Q49" s="654" t="s">
        <v>354</v>
      </c>
      <c r="R49" s="654" t="s">
        <v>398</v>
      </c>
      <c r="S49" s="1216" t="s">
        <v>298</v>
      </c>
      <c r="T49" s="1217"/>
      <c r="U49" s="648"/>
      <c r="V49" s="371"/>
      <c r="W49" s="371"/>
      <c r="X49" s="367"/>
      <c r="Y49" s="386"/>
      <c r="Z49" s="386"/>
      <c r="AA49" s="386"/>
      <c r="AB49" s="391"/>
      <c r="AC49" s="391"/>
      <c r="AD49" s="391"/>
      <c r="AE49" s="367"/>
      <c r="AF49" s="367"/>
      <c r="AG49" s="367"/>
      <c r="AH49" s="367"/>
      <c r="AI49" s="367"/>
      <c r="AJ49" s="367"/>
      <c r="AK49" s="367"/>
      <c r="AL49" s="367"/>
      <c r="AM49" s="367"/>
      <c r="AN49" s="367"/>
      <c r="AO49" s="86"/>
    </row>
    <row r="50" spans="1:92" ht="15.75">
      <c r="A50" s="367"/>
      <c r="B50" s="850" t="str">
        <f>IF('Month A'!B50&lt;&gt;"",'Month A'!B50,)</f>
        <v>Home</v>
      </c>
      <c r="C50" s="455">
        <f>'Month A'!C50</f>
        <v>0</v>
      </c>
      <c r="D50" s="80">
        <f t="shared" si="8"/>
        <v>0</v>
      </c>
      <c r="E50" s="519"/>
      <c r="F50" s="519"/>
      <c r="G50" s="367"/>
      <c r="H50" s="543"/>
      <c r="I50" s="853"/>
      <c r="J50" s="6"/>
      <c r="K50" s="541"/>
      <c r="L50" s="860"/>
      <c r="M50" s="20" t="str">
        <f>IF(J50="","",$M$5-SUM($J$7:J50))</f>
        <v/>
      </c>
      <c r="N50" s="367"/>
      <c r="O50" s="377"/>
      <c r="P50" s="655" t="s">
        <v>151</v>
      </c>
      <c r="Q50" s="22">
        <f>C18</f>
        <v>0</v>
      </c>
      <c r="R50" s="22">
        <f>D18</f>
        <v>0</v>
      </c>
      <c r="S50" s="1096">
        <f>Q50-R50</f>
        <v>0</v>
      </c>
      <c r="T50" s="1097"/>
      <c r="U50" s="647"/>
      <c r="V50" s="371"/>
      <c r="W50" s="371"/>
      <c r="X50" s="367"/>
      <c r="Y50" s="386"/>
      <c r="Z50" s="386"/>
      <c r="AA50" s="386"/>
      <c r="AB50" s="386"/>
      <c r="AC50" s="386"/>
      <c r="AD50" s="386"/>
      <c r="AE50" s="367"/>
      <c r="AF50" s="367"/>
      <c r="AG50" s="367"/>
      <c r="AH50" s="367"/>
      <c r="AI50" s="367"/>
      <c r="AJ50" s="367"/>
      <c r="AK50" s="367"/>
      <c r="AL50" s="367"/>
      <c r="AM50" s="367"/>
      <c r="AN50" s="367"/>
      <c r="AO50" s="86"/>
    </row>
    <row r="51" spans="1:92" ht="15.75">
      <c r="A51" s="367"/>
      <c r="B51" s="850" t="str">
        <f>IF('Month A'!B51&lt;&gt;"",'Month A'!B51,)</f>
        <v>Cleaning help / Babysitter</v>
      </c>
      <c r="C51" s="455">
        <f>'Month A'!C51</f>
        <v>0</v>
      </c>
      <c r="D51" s="80">
        <f t="shared" si="8"/>
        <v>0</v>
      </c>
      <c r="E51" s="519"/>
      <c r="F51" s="519"/>
      <c r="G51" s="367"/>
      <c r="H51" s="543"/>
      <c r="I51" s="853"/>
      <c r="J51" s="6"/>
      <c r="K51" s="541"/>
      <c r="L51" s="860"/>
      <c r="M51" s="20" t="str">
        <f>IF(J51="","",$M$5-SUM($J$7:J51))</f>
        <v/>
      </c>
      <c r="N51" s="367"/>
      <c r="O51" s="377"/>
      <c r="P51" s="656" t="s">
        <v>396</v>
      </c>
      <c r="Q51" s="22">
        <f>Z45</f>
        <v>0</v>
      </c>
      <c r="R51" s="22">
        <f>AA45</f>
        <v>0</v>
      </c>
      <c r="S51" s="1147">
        <f>Q51-R51</f>
        <v>0</v>
      </c>
      <c r="T51" s="1147"/>
      <c r="U51" s="647"/>
      <c r="V51" s="371"/>
      <c r="W51" s="371"/>
      <c r="X51" s="367"/>
      <c r="Y51" s="367"/>
      <c r="Z51" s="367"/>
      <c r="AA51" s="367"/>
      <c r="AB51" s="367"/>
      <c r="AC51" s="367"/>
      <c r="AD51" s="367"/>
      <c r="AE51" s="367"/>
      <c r="AF51" s="367"/>
      <c r="AG51" s="367"/>
      <c r="AH51" s="367"/>
      <c r="AI51" s="367"/>
      <c r="AJ51" s="367"/>
      <c r="AK51" s="367"/>
      <c r="AL51" s="367"/>
      <c r="AM51" s="367"/>
      <c r="AN51" s="367"/>
      <c r="AO51" s="86"/>
    </row>
    <row r="52" spans="1:92" ht="15.75">
      <c r="A52" s="367"/>
      <c r="B52" s="850" t="str">
        <f>IF('Month A'!B52&lt;&gt;"",'Month A'!B52,)</f>
        <v>Cigarettes</v>
      </c>
      <c r="C52" s="455">
        <f>'Month A'!C52</f>
        <v>0</v>
      </c>
      <c r="D52" s="80">
        <f t="shared" si="8"/>
        <v>0</v>
      </c>
      <c r="E52" s="519"/>
      <c r="F52" s="519"/>
      <c r="G52" s="367"/>
      <c r="H52" s="543"/>
      <c r="I52" s="853"/>
      <c r="J52" s="6"/>
      <c r="K52" s="541"/>
      <c r="L52" s="860"/>
      <c r="M52" s="20" t="str">
        <f>IF(J52="","",$M$5-SUM($J$7:J52))</f>
        <v/>
      </c>
      <c r="N52" s="367"/>
      <c r="O52" s="377"/>
      <c r="P52" s="657" t="s">
        <v>397</v>
      </c>
      <c r="Q52" s="22">
        <f>C57</f>
        <v>0</v>
      </c>
      <c r="R52" s="22">
        <f>D57</f>
        <v>0</v>
      </c>
      <c r="S52" s="1098">
        <f>Q52-R52</f>
        <v>0</v>
      </c>
      <c r="T52" s="1099"/>
      <c r="U52" s="649"/>
      <c r="V52" s="371"/>
      <c r="W52" s="370"/>
      <c r="X52" s="367"/>
      <c r="Y52" s="367"/>
      <c r="Z52" s="367"/>
      <c r="AA52" s="367"/>
      <c r="AB52" s="367"/>
      <c r="AC52" s="367"/>
      <c r="AD52" s="367"/>
      <c r="AE52" s="367"/>
      <c r="AF52" s="367"/>
      <c r="AG52" s="367"/>
      <c r="AH52" s="367"/>
      <c r="AI52" s="367"/>
      <c r="AJ52" s="367"/>
      <c r="AK52" s="367"/>
      <c r="AL52" s="367"/>
      <c r="AM52" s="367"/>
      <c r="AN52" s="367"/>
      <c r="AO52" s="86"/>
    </row>
    <row r="53" spans="1:92" ht="15.75">
      <c r="A53" s="367"/>
      <c r="B53" s="850" t="str">
        <f>IF('Month A'!B53&lt;&gt;"",'Month A'!B53,)</f>
        <v>Other</v>
      </c>
      <c r="C53" s="455">
        <f>'Month A'!C53</f>
        <v>0</v>
      </c>
      <c r="D53" s="80">
        <f t="shared" si="8"/>
        <v>0</v>
      </c>
      <c r="E53" s="519"/>
      <c r="F53" s="519"/>
      <c r="G53" s="367"/>
      <c r="H53" s="543"/>
      <c r="I53" s="853"/>
      <c r="J53" s="6"/>
      <c r="K53" s="541"/>
      <c r="L53" s="860"/>
      <c r="M53" s="20" t="str">
        <f>IF(J53="","",$M$5-SUM($J$7:J53))</f>
        <v/>
      </c>
      <c r="N53" s="1110" t="str">
        <f ca="1">IF(D19&lt;=0,IF(C41&lt;=0,"","Pass positive diff?"),"Pass positive diff?")</f>
        <v/>
      </c>
      <c r="O53" s="1233"/>
      <c r="P53" s="658" t="s">
        <v>308</v>
      </c>
      <c r="Q53" s="150">
        <f>SUM(Q50:Q52)</f>
        <v>0</v>
      </c>
      <c r="R53" s="150">
        <f>SUM(R50:R52)</f>
        <v>0</v>
      </c>
      <c r="S53" s="1100">
        <f>Q53-R53</f>
        <v>0</v>
      </c>
      <c r="T53" s="1101"/>
      <c r="U53" s="788"/>
      <c r="V53" s="371"/>
      <c r="W53" s="371"/>
      <c r="X53" s="367"/>
      <c r="Y53" s="367"/>
      <c r="Z53" s="367"/>
      <c r="AA53" s="367"/>
      <c r="AB53" s="367"/>
      <c r="AC53" s="367"/>
      <c r="AD53" s="367"/>
      <c r="AE53" s="367"/>
      <c r="AF53" s="367"/>
      <c r="AG53" s="367"/>
      <c r="AH53" s="367"/>
      <c r="AI53" s="367"/>
      <c r="AJ53" s="367"/>
      <c r="AK53" s="367"/>
      <c r="AL53" s="367"/>
      <c r="AM53" s="367"/>
      <c r="AN53" s="367"/>
      <c r="AO53" s="86"/>
    </row>
    <row r="54" spans="1:92" ht="15.75">
      <c r="A54" s="367"/>
      <c r="B54" s="850">
        <f>IF('Month A'!B54&lt;&gt;"",'Month A'!B54,)</f>
        <v>0</v>
      </c>
      <c r="C54" s="455">
        <f>'Month A'!C54</f>
        <v>0</v>
      </c>
      <c r="D54" s="80">
        <f t="shared" si="8"/>
        <v>0</v>
      </c>
      <c r="E54" s="519"/>
      <c r="F54" s="519"/>
      <c r="G54" s="367"/>
      <c r="H54" s="1199" t="s">
        <v>392</v>
      </c>
      <c r="I54" s="855" t="s">
        <v>430</v>
      </c>
      <c r="J54" s="816"/>
      <c r="K54" s="589"/>
      <c r="L54" s="590"/>
      <c r="M54" s="102">
        <f ca="1">M5-D57</f>
        <v>0</v>
      </c>
      <c r="N54" s="1110"/>
      <c r="O54" s="1233"/>
      <c r="P54" s="659" t="s">
        <v>296</v>
      </c>
      <c r="Q54" s="22">
        <f>AA4</f>
        <v>0</v>
      </c>
      <c r="R54" s="22">
        <f>AA17</f>
        <v>0</v>
      </c>
      <c r="S54" s="1096">
        <f>R54-Q54</f>
        <v>0</v>
      </c>
      <c r="T54" s="1097"/>
      <c r="U54" s="647"/>
      <c r="V54" s="371"/>
      <c r="W54" s="371"/>
      <c r="X54" s="367"/>
      <c r="Y54" s="367"/>
      <c r="Z54" s="367"/>
      <c r="AA54" s="367"/>
      <c r="AB54" s="367"/>
      <c r="AC54" s="367"/>
      <c r="AD54" s="367"/>
      <c r="AE54" s="367"/>
      <c r="AF54" s="367"/>
      <c r="AG54" s="367"/>
      <c r="AH54" s="367"/>
      <c r="AI54" s="367"/>
      <c r="AJ54" s="367"/>
      <c r="AK54" s="367"/>
      <c r="AL54" s="367"/>
      <c r="AM54" s="367"/>
      <c r="AN54" s="367"/>
      <c r="AO54" s="86"/>
    </row>
    <row r="55" spans="1:92" ht="16.5" thickBot="1">
      <c r="A55" s="367"/>
      <c r="B55" s="850">
        <f>IF('Month A'!B55&lt;&gt;"",'Month A'!B55,)</f>
        <v>0</v>
      </c>
      <c r="C55" s="455">
        <f>'Month A'!C55</f>
        <v>0</v>
      </c>
      <c r="D55" s="80">
        <f t="shared" si="8"/>
        <v>0</v>
      </c>
      <c r="E55" s="519"/>
      <c r="F55" s="519"/>
      <c r="G55" s="367"/>
      <c r="H55" s="1200"/>
      <c r="I55" s="856" t="s">
        <v>393</v>
      </c>
      <c r="J55" s="821"/>
      <c r="K55" s="592"/>
      <c r="L55" s="591"/>
      <c r="M55" s="99">
        <f>IF(D19&lt;=0,D19,IF(N55="Yes",D19,0))</f>
        <v>0</v>
      </c>
      <c r="N55" s="438" t="str">
        <f>IF(D19&gt;0,"No","")</f>
        <v/>
      </c>
      <c r="O55" s="377"/>
      <c r="P55" s="660" t="s">
        <v>349</v>
      </c>
      <c r="Q55" s="22">
        <f ca="1">C40</f>
        <v>0</v>
      </c>
      <c r="R55" s="22">
        <f>D40</f>
        <v>0</v>
      </c>
      <c r="S55" s="1144">
        <f ca="1">Q55-R55</f>
        <v>0</v>
      </c>
      <c r="T55" s="1146"/>
      <c r="U55" s="649"/>
      <c r="V55" s="370"/>
      <c r="W55" s="371"/>
      <c r="X55" s="367"/>
      <c r="Y55" s="367"/>
      <c r="Z55" s="367"/>
      <c r="AA55" s="367"/>
      <c r="AB55" s="367"/>
      <c r="AC55" s="367"/>
      <c r="AD55" s="367"/>
      <c r="AE55" s="367"/>
      <c r="AF55" s="367"/>
      <c r="AG55" s="367"/>
      <c r="AH55" s="367"/>
      <c r="AI55" s="367"/>
      <c r="AJ55" s="367"/>
      <c r="AK55" s="367"/>
      <c r="AL55" s="367"/>
      <c r="AM55" s="367"/>
      <c r="AN55" s="367"/>
      <c r="AO55" s="86"/>
      <c r="AP55" s="52" t="s">
        <v>408</v>
      </c>
      <c r="AQ55" s="52" t="s">
        <v>410</v>
      </c>
    </row>
    <row r="56" spans="1:92" ht="16.5" thickBot="1">
      <c r="A56" s="367"/>
      <c r="B56" s="850">
        <f>IF('Month A'!B56&lt;&gt;"",'Month A'!B56,)</f>
        <v>0</v>
      </c>
      <c r="C56" s="455">
        <f>'Month A'!C56</f>
        <v>0</v>
      </c>
      <c r="D56" s="80">
        <f t="shared" si="8"/>
        <v>0</v>
      </c>
      <c r="E56" s="519"/>
      <c r="F56" s="519"/>
      <c r="G56" s="367"/>
      <c r="H56" s="1201"/>
      <c r="I56" s="1115" t="s">
        <v>394</v>
      </c>
      <c r="J56" s="1116"/>
      <c r="K56" s="587"/>
      <c r="L56" s="594"/>
      <c r="M56" s="1">
        <f ca="1">IF(C41&lt;=0,C41,IF(N56="Yes",C41,0))</f>
        <v>0</v>
      </c>
      <c r="N56" s="438" t="str">
        <f ca="1">IF(C41&gt;0,"No","")</f>
        <v/>
      </c>
      <c r="O56" s="377"/>
      <c r="P56" s="661" t="s">
        <v>179</v>
      </c>
      <c r="Q56" s="662">
        <f ca="1">Q54-Q53-Q55</f>
        <v>0</v>
      </c>
      <c r="R56" s="662">
        <f>R54-R53-R55</f>
        <v>0</v>
      </c>
      <c r="S56" s="1144">
        <f ca="1">SUM(S53:S55)</f>
        <v>0</v>
      </c>
      <c r="T56" s="1145"/>
      <c r="U56" s="647"/>
      <c r="V56" s="371"/>
      <c r="W56" s="371"/>
      <c r="X56" s="367"/>
      <c r="Y56" s="367"/>
      <c r="Z56" s="367"/>
      <c r="AA56" s="367"/>
      <c r="AB56" s="367"/>
      <c r="AC56" s="367"/>
      <c r="AD56" s="367"/>
      <c r="AE56" s="367"/>
      <c r="AF56" s="367"/>
      <c r="AG56" s="367"/>
      <c r="AH56" s="367"/>
      <c r="AI56" s="367"/>
      <c r="AJ56" s="367"/>
      <c r="AK56" s="367"/>
      <c r="AL56" s="367"/>
      <c r="AM56" s="367"/>
      <c r="AN56" s="367"/>
      <c r="AO56" s="86"/>
      <c r="AP56" s="52" t="s">
        <v>409</v>
      </c>
      <c r="AQ56" s="52" t="s">
        <v>411</v>
      </c>
    </row>
    <row r="57" spans="1:92" ht="16.5" thickBot="1">
      <c r="A57" s="367"/>
      <c r="B57" s="16" t="s">
        <v>179</v>
      </c>
      <c r="C57" s="77">
        <f>SUM(C45:C56)</f>
        <v>0</v>
      </c>
      <c r="D57" s="76">
        <f>SUM(D45:D56)</f>
        <v>0</v>
      </c>
      <c r="E57" s="520"/>
      <c r="F57" s="520"/>
      <c r="G57" s="367"/>
      <c r="H57" s="12"/>
      <c r="I57" s="13"/>
      <c r="J57" s="14"/>
      <c r="K57" s="593"/>
      <c r="L57" s="14"/>
      <c r="M57" s="14"/>
      <c r="N57" s="367"/>
      <c r="O57" s="377"/>
      <c r="P57" s="438"/>
      <c r="Q57" s="790"/>
      <c r="R57" s="790"/>
      <c r="S57" s="789"/>
      <c r="T57" s="370"/>
      <c r="U57" s="370"/>
      <c r="V57" s="371"/>
      <c r="W57" s="371"/>
      <c r="X57" s="367"/>
      <c r="Y57" s="367"/>
      <c r="Z57" s="367"/>
      <c r="AA57" s="367"/>
      <c r="AB57" s="367"/>
      <c r="AC57" s="367"/>
      <c r="AD57" s="367"/>
      <c r="AE57" s="367"/>
      <c r="AF57" s="367"/>
      <c r="AG57" s="367"/>
      <c r="AH57" s="367"/>
      <c r="AI57" s="367"/>
      <c r="AJ57" s="367"/>
      <c r="AK57" s="367"/>
      <c r="AL57" s="367"/>
      <c r="AM57" s="367"/>
      <c r="AN57" s="367"/>
      <c r="AO57" s="86"/>
    </row>
    <row r="58" spans="1:92" ht="16.5" customHeight="1" thickBot="1">
      <c r="A58" s="367"/>
      <c r="B58" s="101" t="s">
        <v>367</v>
      </c>
      <c r="C58" s="1113">
        <f>C57-D57</f>
        <v>0</v>
      </c>
      <c r="D58" s="1114"/>
      <c r="E58" s="517"/>
      <c r="F58" s="517"/>
      <c r="G58" s="367"/>
      <c r="H58" s="818" t="s">
        <v>431</v>
      </c>
      <c r="I58" s="817"/>
      <c r="J58" s="817"/>
      <c r="K58" s="588"/>
      <c r="L58" s="588"/>
      <c r="M58" s="103">
        <f ca="1">SUM(M54:M56)</f>
        <v>0</v>
      </c>
      <c r="N58" s="729" t="s">
        <v>410</v>
      </c>
      <c r="O58" s="377"/>
      <c r="P58" s="663" t="s">
        <v>400</v>
      </c>
      <c r="Q58" s="664" t="str">
        <f>IF(Z56="","","Expected")</f>
        <v/>
      </c>
      <c r="R58" s="664" t="s">
        <v>398</v>
      </c>
      <c r="S58" s="1236" t="str">
        <f>IF(Z56="","","Diff")</f>
        <v/>
      </c>
      <c r="T58" s="1237"/>
      <c r="U58" s="651"/>
      <c r="V58" s="370"/>
      <c r="W58" s="371"/>
      <c r="X58" s="367"/>
      <c r="Y58" s="367"/>
      <c r="Z58" s="367"/>
      <c r="AA58" s="367"/>
      <c r="AB58" s="367"/>
      <c r="AC58" s="367"/>
      <c r="AD58" s="367"/>
      <c r="AE58" s="367"/>
      <c r="AF58" s="367"/>
      <c r="AG58" s="367"/>
      <c r="AH58" s="367"/>
      <c r="AI58" s="367"/>
      <c r="AJ58" s="367"/>
      <c r="AK58" s="367"/>
      <c r="AL58" s="367"/>
      <c r="AM58" s="367"/>
      <c r="AN58" s="367"/>
      <c r="AO58" s="86"/>
    </row>
    <row r="59" spans="1:92" ht="16.5" thickTop="1" thickBot="1">
      <c r="A59" s="367"/>
      <c r="B59" s="880" t="s">
        <v>382</v>
      </c>
      <c r="C59" s="367"/>
      <c r="D59" s="367"/>
      <c r="E59" s="367"/>
      <c r="F59" s="367"/>
      <c r="G59" s="367"/>
      <c r="H59" s="367"/>
      <c r="I59" s="367"/>
      <c r="J59" s="367"/>
      <c r="K59" s="367"/>
      <c r="L59" s="367"/>
      <c r="M59" s="367"/>
      <c r="N59" s="367"/>
      <c r="O59" s="377"/>
      <c r="P59" s="665" t="s">
        <v>399</v>
      </c>
      <c r="Q59" s="666">
        <f>'Month A'!R59+B!R56</f>
        <v>0</v>
      </c>
      <c r="R59" s="667"/>
      <c r="S59" s="1235">
        <f>Q59-R59</f>
        <v>0</v>
      </c>
      <c r="T59" s="1146"/>
      <c r="U59" s="649"/>
      <c r="V59" s="371"/>
      <c r="W59" s="371"/>
      <c r="X59" s="367"/>
      <c r="Y59" s="367"/>
      <c r="Z59" s="367"/>
      <c r="AA59" s="367"/>
      <c r="AB59" s="367"/>
      <c r="AC59" s="367"/>
      <c r="AD59" s="367"/>
      <c r="AE59" s="367"/>
      <c r="AF59" s="367"/>
      <c r="AG59" s="367"/>
      <c r="AH59" s="367"/>
      <c r="AI59" s="367"/>
      <c r="AJ59" s="367"/>
      <c r="AK59" s="367"/>
      <c r="AL59" s="367"/>
      <c r="AM59" s="367"/>
      <c r="AN59" s="367"/>
      <c r="AO59" s="86"/>
    </row>
    <row r="60" spans="1:92" ht="15">
      <c r="A60" s="367"/>
      <c r="B60" s="807" t="s">
        <v>383</v>
      </c>
      <c r="C60" s="367"/>
      <c r="D60" s="881" t="s">
        <v>384</v>
      </c>
      <c r="E60" s="367"/>
      <c r="F60" s="367"/>
      <c r="G60" s="367"/>
      <c r="I60" s="367"/>
      <c r="J60" s="367"/>
      <c r="K60" s="367"/>
      <c r="L60" s="367"/>
      <c r="M60" s="367"/>
      <c r="N60" s="367"/>
      <c r="O60" s="377"/>
      <c r="P60" s="367"/>
      <c r="Q60" s="367"/>
      <c r="R60" s="367"/>
      <c r="S60" s="371"/>
      <c r="T60" s="371"/>
      <c r="U60" s="371"/>
      <c r="V60" s="371"/>
      <c r="W60" s="367"/>
      <c r="X60" s="367"/>
      <c r="Y60" s="367"/>
      <c r="Z60" s="367"/>
      <c r="AA60" s="367"/>
      <c r="AB60" s="367"/>
      <c r="AC60" s="367"/>
      <c r="AD60" s="367"/>
      <c r="AE60" s="367"/>
      <c r="AF60" s="367"/>
      <c r="AG60" s="367"/>
      <c r="AH60" s="367"/>
      <c r="AI60" s="367"/>
      <c r="AJ60" s="367"/>
      <c r="AK60" s="367"/>
      <c r="AL60" s="367"/>
      <c r="AM60" s="367"/>
      <c r="AN60" s="367"/>
      <c r="AO60" s="86"/>
    </row>
    <row r="61" spans="1:92" ht="15.75" collapsed="1" thickBot="1">
      <c r="A61" s="367"/>
      <c r="B61" s="883" t="s">
        <v>385</v>
      </c>
      <c r="C61" s="367"/>
      <c r="D61" s="367"/>
      <c r="E61" s="367"/>
      <c r="F61" s="367"/>
      <c r="G61" s="367"/>
      <c r="I61" s="367"/>
      <c r="K61" s="510"/>
      <c r="L61" s="510"/>
      <c r="M61" s="510"/>
      <c r="N61" s="367"/>
      <c r="O61" s="511"/>
      <c r="Q61" s="367"/>
      <c r="R61" s="367"/>
      <c r="S61" s="371"/>
      <c r="T61" s="371"/>
      <c r="U61" s="371"/>
      <c r="V61" s="371"/>
      <c r="W61" s="367"/>
      <c r="X61" s="367"/>
      <c r="Y61" s="367"/>
      <c r="Z61" s="367"/>
      <c r="AA61" s="367"/>
      <c r="AB61" s="367"/>
      <c r="AC61" s="367"/>
      <c r="AD61" s="367"/>
      <c r="AE61" s="367"/>
      <c r="AF61" s="367"/>
      <c r="AG61" s="367"/>
      <c r="AH61" s="367"/>
      <c r="AI61" s="367"/>
      <c r="AJ61" s="367"/>
      <c r="AK61" s="367"/>
      <c r="AL61" s="367"/>
      <c r="AM61" s="367"/>
      <c r="AN61" s="367"/>
      <c r="AO61" s="86"/>
    </row>
    <row r="62" spans="1:92" ht="15.75" hidden="1" customHeight="1" outlineLevel="1" thickBot="1">
      <c r="A62" s="367"/>
      <c r="B62" s="367"/>
      <c r="C62" s="367"/>
      <c r="D62" s="367"/>
      <c r="E62" s="367"/>
      <c r="F62" s="367"/>
      <c r="G62" s="367"/>
      <c r="H62" s="505"/>
      <c r="I62" s="367"/>
      <c r="J62" s="367"/>
      <c r="K62" s="581"/>
      <c r="L62" s="367"/>
      <c r="M62" s="367"/>
      <c r="N62" s="367"/>
      <c r="O62" s="511"/>
      <c r="P62" s="505"/>
      <c r="Q62" s="367"/>
      <c r="R62" s="367"/>
      <c r="S62" s="371"/>
      <c r="T62" s="371"/>
      <c r="U62" s="371"/>
      <c r="V62" s="631"/>
      <c r="W62" s="367"/>
      <c r="X62" s="367"/>
      <c r="Y62" s="367"/>
      <c r="Z62" s="367"/>
      <c r="AA62" s="367"/>
      <c r="AB62" s="367"/>
      <c r="AC62" s="367"/>
      <c r="AD62" s="367"/>
      <c r="AE62" s="367"/>
      <c r="AF62" s="367"/>
      <c r="AG62" s="367"/>
      <c r="AH62" s="367"/>
      <c r="AI62" s="367"/>
      <c r="AJ62" s="367"/>
      <c r="AK62" s="367"/>
      <c r="AL62" s="367"/>
      <c r="AM62" s="367"/>
      <c r="AN62" s="367"/>
      <c r="AO62" s="86"/>
    </row>
    <row r="63" spans="1:92" s="367" customFormat="1" ht="33.75" hidden="1" customHeight="1" outlineLevel="1">
      <c r="B63" s="1120" t="s">
        <v>388</v>
      </c>
      <c r="C63" s="1122" t="s">
        <v>354</v>
      </c>
      <c r="D63" s="1124" t="s">
        <v>358</v>
      </c>
      <c r="E63" s="1126" t="s">
        <v>380</v>
      </c>
      <c r="F63" s="1127" t="s">
        <v>335</v>
      </c>
      <c r="H63" s="503" t="s">
        <v>356</v>
      </c>
      <c r="I63" s="682" t="s">
        <v>357</v>
      </c>
      <c r="J63" s="812" t="s">
        <v>358</v>
      </c>
      <c r="K63" s="598" t="s">
        <v>380</v>
      </c>
      <c r="L63" s="600" t="s">
        <v>335</v>
      </c>
      <c r="M63" s="504" t="s">
        <v>389</v>
      </c>
      <c r="O63" s="506" t="s">
        <v>356</v>
      </c>
      <c r="P63" s="507" t="s">
        <v>357</v>
      </c>
      <c r="Q63" s="813" t="s">
        <v>358</v>
      </c>
      <c r="R63" s="507" t="s">
        <v>359</v>
      </c>
      <c r="S63" s="814" t="s">
        <v>390</v>
      </c>
      <c r="T63" s="815" t="s">
        <v>391</v>
      </c>
      <c r="U63" s="637" t="s">
        <v>380</v>
      </c>
      <c r="V63" s="616" t="s">
        <v>335</v>
      </c>
      <c r="W63" s="632" t="s">
        <v>389</v>
      </c>
      <c r="AO63" s="86"/>
      <c r="AP63" s="86"/>
      <c r="AQ63" s="86"/>
      <c r="AR63" s="86"/>
      <c r="AS63" s="86"/>
      <c r="AT63" s="86"/>
      <c r="AU63" s="86"/>
      <c r="AV63" s="86"/>
      <c r="AW63" s="86"/>
      <c r="AX63" s="86"/>
      <c r="AY63" s="86"/>
      <c r="CM63" s="86"/>
      <c r="CN63" s="86"/>
    </row>
    <row r="64" spans="1:92" s="367" customFormat="1" ht="15" hidden="1" customHeight="1" outlineLevel="1">
      <c r="B64" s="1121"/>
      <c r="C64" s="1123"/>
      <c r="D64" s="1125"/>
      <c r="E64" s="1126"/>
      <c r="F64" s="1127"/>
      <c r="H64" s="543"/>
      <c r="I64" s="853"/>
      <c r="J64" s="6"/>
      <c r="K64" s="541"/>
      <c r="L64" s="860"/>
      <c r="M64" s="20" t="str">
        <f>IF(J64="","",$M$5-SUM($J$7:J64))</f>
        <v/>
      </c>
      <c r="O64" s="106"/>
      <c r="P64" s="871">
        <f>IF('Month A'!Q64&lt;&gt;'Month A'!R64,IF('Month A'!Q64&lt;&gt;0,IF('Month A'!S64&lt;&gt;'Month A'!T64,'Month A'!P64,),),)</f>
        <v>0</v>
      </c>
      <c r="Q64" s="795">
        <f>IF('Month A'!Q64&lt;&gt;'Month A'!R64,IF('Month A'!Q64&lt;&gt;0,IF('Month A'!S64&lt;&gt;'Month A'!T64,'Month A'!Q64,),),)</f>
        <v>0</v>
      </c>
      <c r="R64" s="628">
        <f>IF('Month A'!Q64&lt;&gt;'Month A'!R64,IF('Month A'!Q64&lt;&gt;0,IF('Month A'!S64&lt;&gt;'Month A'!T64,0,Q64),Q64),Q64)</f>
        <v>0</v>
      </c>
      <c r="S64" s="796">
        <f>IF('Month A'!Q64&lt;&gt;'Month A'!R64,IF('Month A'!Q64&lt;&gt;0,IF('Month A'!S64&lt;&gt;'Month A'!T64,'Month A'!S64+1,),),)</f>
        <v>0</v>
      </c>
      <c r="T64" s="796">
        <f>IF('Month A'!Q64&lt;&gt;'Month A'!R64,IF('Month A'!Q64&lt;&gt;0,IF('Month A'!S64&lt;&gt;'Month A'!T64,'Month A'!T64,),),)</f>
        <v>0</v>
      </c>
      <c r="U64" s="797">
        <f>IF('Month A'!Q64&lt;&gt;'Month A'!R64,IF('Month A'!Q64&lt;&gt;0,IF('Month A'!S64&lt;&gt;'Month A'!T64,'Month A'!U64,),),)</f>
        <v>0</v>
      </c>
      <c r="V64" s="875">
        <f>IF('Month A'!Q64&lt;&gt;'Month A'!R64,IF('Month A'!Q64&lt;&gt;0,IF('Month A'!S64&lt;&gt;'Month A'!T64,'Month A'!V64,),),)</f>
        <v>0</v>
      </c>
      <c r="W64" s="633">
        <f>IF(Q64="","",$W$5-SUM($Q$7:$Q$45)-SUM($Q$64:Q64))</f>
        <v>0</v>
      </c>
      <c r="AO64" s="86"/>
      <c r="AP64" s="86"/>
      <c r="AQ64" s="86"/>
      <c r="AR64" s="86"/>
      <c r="AS64" s="86"/>
      <c r="AT64" s="86"/>
      <c r="AU64" s="86"/>
      <c r="AV64" s="86"/>
      <c r="AW64" s="86"/>
      <c r="AX64" s="86"/>
      <c r="AY64" s="86"/>
      <c r="CM64" s="86"/>
      <c r="CN64" s="86"/>
    </row>
    <row r="65" spans="2:92" s="367" customFormat="1" ht="15" hidden="1" customHeight="1" outlineLevel="1">
      <c r="B65" s="852">
        <f ca="1">IF('Month A'!B65&lt;&gt;"",'Month A'!B65,)</f>
        <v>0</v>
      </c>
      <c r="C65" s="454">
        <f ca="1">'Month A'!C65</f>
        <v>0</v>
      </c>
      <c r="D65" s="74"/>
      <c r="E65" s="521"/>
      <c r="F65" s="858"/>
      <c r="H65" s="543"/>
      <c r="I65" s="853"/>
      <c r="J65" s="6"/>
      <c r="K65" s="541"/>
      <c r="L65" s="860"/>
      <c r="M65" s="20" t="str">
        <f>IF(J65="","",$M$5-SUM($J$7:J65))</f>
        <v/>
      </c>
      <c r="O65" s="7"/>
      <c r="P65" s="872">
        <f>IF('Month A'!Q65&lt;&gt;'Month A'!R65,IF('Month A'!Q65&lt;&gt;0,IF('Month A'!S65&lt;&gt;'Month A'!T65,'Month A'!P65,),),)</f>
        <v>0</v>
      </c>
      <c r="Q65" s="795">
        <f>IF('Month A'!Q65&lt;&gt;'Month A'!R65,IF('Month A'!Q65&lt;&gt;0,IF('Month A'!S65&lt;&gt;'Month A'!T65,'Month A'!Q65,),),)</f>
        <v>0</v>
      </c>
      <c r="R65" s="628">
        <f>IF('Month A'!Q65&lt;&gt;'Month A'!R65,IF('Month A'!Q65&lt;&gt;0,IF('Month A'!S65&lt;&gt;'Month A'!T65,0,Q65),Q65),Q65)</f>
        <v>0</v>
      </c>
      <c r="S65" s="796">
        <f>IF('Month A'!Q65&lt;&gt;'Month A'!R65,IF('Month A'!Q65&lt;&gt;0,IF('Month A'!S65&lt;&gt;'Month A'!T65,'Month A'!S65+1,),),)</f>
        <v>0</v>
      </c>
      <c r="T65" s="796">
        <f>IF('Month A'!Q65&lt;&gt;'Month A'!R65,IF('Month A'!Q65&lt;&gt;0,IF('Month A'!S65&lt;&gt;'Month A'!T65,'Month A'!T65,),),)</f>
        <v>0</v>
      </c>
      <c r="U65" s="797">
        <f>IF('Month A'!Q65&lt;&gt;'Month A'!R65,IF('Month A'!Q65&lt;&gt;0,IF('Month A'!S65&lt;&gt;'Month A'!T65,'Month A'!U65,),),)</f>
        <v>0</v>
      </c>
      <c r="V65" s="875">
        <f>IF('Month A'!Q65&lt;&gt;'Month A'!R65,IF('Month A'!Q65&lt;&gt;0,IF('Month A'!S65&lt;&gt;'Month A'!T65,'Month A'!V65,),),)</f>
        <v>0</v>
      </c>
      <c r="W65" s="633">
        <f>IF(Q65="","",$W$5-SUM($Q$7:$Q$45)-SUM($Q$64:Q65))</f>
        <v>0</v>
      </c>
      <c r="AO65" s="86"/>
      <c r="AP65" s="86"/>
      <c r="AQ65" s="86"/>
      <c r="AR65" s="86"/>
      <c r="AS65" s="86"/>
      <c r="AT65" s="86"/>
      <c r="AU65" s="86"/>
      <c r="AV65" s="86"/>
      <c r="AW65" s="86"/>
      <c r="AX65" s="86"/>
      <c r="AY65" s="86"/>
      <c r="CM65" s="86"/>
      <c r="CN65" s="86"/>
    </row>
    <row r="66" spans="2:92" s="367" customFormat="1" ht="15.75" hidden="1" customHeight="1" outlineLevel="1">
      <c r="B66" s="852">
        <f ca="1">IF('Month A'!B66&lt;&gt;"",'Month A'!B66,)</f>
        <v>0</v>
      </c>
      <c r="C66" s="454">
        <f ca="1">'Month A'!C66</f>
        <v>0</v>
      </c>
      <c r="D66" s="74"/>
      <c r="E66" s="521"/>
      <c r="F66" s="858"/>
      <c r="H66" s="543"/>
      <c r="I66" s="853"/>
      <c r="J66" s="6"/>
      <c r="K66" s="541"/>
      <c r="L66" s="860"/>
      <c r="M66" s="20" t="str">
        <f>IF(J66="","",$M$5-SUM($J$7:J66))</f>
        <v/>
      </c>
      <c r="O66" s="7"/>
      <c r="P66" s="871">
        <f>IF('Month A'!Q66&lt;&gt;'Month A'!R66,IF('Month A'!Q66&lt;&gt;0,IF('Month A'!S66&lt;&gt;'Month A'!T66,'Month A'!P66,),),)</f>
        <v>0</v>
      </c>
      <c r="Q66" s="795">
        <f>IF('Month A'!Q66&lt;&gt;'Month A'!R66,IF('Month A'!Q66&lt;&gt;0,IF('Month A'!S66&lt;&gt;'Month A'!T66,'Month A'!Q66,),),)</f>
        <v>0</v>
      </c>
      <c r="R66" s="628">
        <f>IF('Month A'!Q66&lt;&gt;'Month A'!R66,IF('Month A'!Q66&lt;&gt;0,IF('Month A'!S66&lt;&gt;'Month A'!T66,0,Q66),Q66),Q66)</f>
        <v>0</v>
      </c>
      <c r="S66" s="796">
        <f>IF('Month A'!Q66&lt;&gt;'Month A'!R66,IF('Month A'!Q66&lt;&gt;0,IF('Month A'!S66&lt;&gt;'Month A'!T66,'Month A'!S66+1,),),)</f>
        <v>0</v>
      </c>
      <c r="T66" s="796">
        <f>IF('Month A'!Q66&lt;&gt;'Month A'!R66,IF('Month A'!Q66&lt;&gt;0,IF('Month A'!S66&lt;&gt;'Month A'!T66,'Month A'!T66,),),)</f>
        <v>0</v>
      </c>
      <c r="U66" s="797">
        <f>IF('Month A'!Q66&lt;&gt;'Month A'!R66,IF('Month A'!Q66&lt;&gt;0,IF('Month A'!S66&lt;&gt;'Month A'!T66,'Month A'!U66,),),)</f>
        <v>0</v>
      </c>
      <c r="V66" s="875">
        <f>IF('Month A'!Q66&lt;&gt;'Month A'!R66,IF('Month A'!Q66&lt;&gt;0,IF('Month A'!S66&lt;&gt;'Month A'!T66,'Month A'!V66,),),)</f>
        <v>0</v>
      </c>
      <c r="W66" s="633">
        <f>IF(Q66="","",$W$5-SUM($Q$7:$Q$45)-SUM($Q$64:Q66))</f>
        <v>0</v>
      </c>
      <c r="AO66" s="86"/>
      <c r="AP66" s="86"/>
      <c r="AQ66" s="86"/>
      <c r="AR66" s="86"/>
      <c r="AS66" s="86"/>
      <c r="AT66" s="86"/>
      <c r="AU66" s="86"/>
      <c r="AV66" s="86"/>
      <c r="AW66" s="86"/>
      <c r="AX66" s="86"/>
      <c r="AY66" s="86"/>
      <c r="CM66" s="86"/>
      <c r="CN66" s="86"/>
    </row>
    <row r="67" spans="2:92" s="367" customFormat="1" ht="15.75" hidden="1" customHeight="1" outlineLevel="1">
      <c r="B67" s="852">
        <f ca="1">IF('Month A'!B67&lt;&gt;"",'Month A'!B67,)</f>
        <v>0</v>
      </c>
      <c r="C67" s="454">
        <f ca="1">'Month A'!C67</f>
        <v>0</v>
      </c>
      <c r="D67" s="74"/>
      <c r="E67" s="521"/>
      <c r="F67" s="858"/>
      <c r="H67" s="543"/>
      <c r="I67" s="853"/>
      <c r="J67" s="6"/>
      <c r="K67" s="541"/>
      <c r="L67" s="860"/>
      <c r="M67" s="20" t="str">
        <f>IF(J67="","",$M$5-SUM($J$7:J67))</f>
        <v/>
      </c>
      <c r="O67" s="7"/>
      <c r="P67" s="871">
        <f>IF('Month A'!Q67&lt;&gt;'Month A'!R67,IF('Month A'!Q67&lt;&gt;0,IF('Month A'!S67&lt;&gt;'Month A'!T67,'Month A'!P67,),),)</f>
        <v>0</v>
      </c>
      <c r="Q67" s="798">
        <f>IF('Month A'!Q67&lt;&gt;'Month A'!R67,IF('Month A'!Q67&lt;&gt;0,IF('Month A'!S67&lt;&gt;'Month A'!T67,'Month A'!Q67,),),)</f>
        <v>0</v>
      </c>
      <c r="R67" s="628">
        <f>IF('Month A'!Q67&lt;&gt;'Month A'!R67,IF('Month A'!Q67&lt;&gt;0,IF('Month A'!S67&lt;&gt;'Month A'!T67,0,Q67),Q67),Q67)</f>
        <v>0</v>
      </c>
      <c r="S67" s="796">
        <f>IF('Month A'!Q67&lt;&gt;'Month A'!R67,IF('Month A'!Q67&lt;&gt;0,IF('Month A'!S67&lt;&gt;'Month A'!T67,'Month A'!S67+1,),),)</f>
        <v>0</v>
      </c>
      <c r="T67" s="796">
        <f>IF('Month A'!Q67&lt;&gt;'Month A'!R67,IF('Month A'!Q67&lt;&gt;0,IF('Month A'!S67&lt;&gt;'Month A'!T67,'Month A'!T67,),),)</f>
        <v>0</v>
      </c>
      <c r="U67" s="797">
        <f>IF('Month A'!Q67&lt;&gt;'Month A'!R67,IF('Month A'!Q67&lt;&gt;0,IF('Month A'!S67&lt;&gt;'Month A'!T67,'Month A'!U67,),),)</f>
        <v>0</v>
      </c>
      <c r="V67" s="875">
        <f>IF('Month A'!Q67&lt;&gt;'Month A'!R67,IF('Month A'!Q67&lt;&gt;0,IF('Month A'!S67&lt;&gt;'Month A'!T67,'Month A'!V67,),),)</f>
        <v>0</v>
      </c>
      <c r="W67" s="633">
        <f>IF(Q67="","",$W$5-SUM($Q$7:$Q$45)-SUM($Q$64:Q67))</f>
        <v>0</v>
      </c>
      <c r="AO67" s="86"/>
      <c r="AP67" s="86"/>
      <c r="AQ67" s="86"/>
      <c r="AR67" s="86"/>
      <c r="AS67" s="86"/>
      <c r="AT67" s="86"/>
      <c r="AU67" s="86"/>
      <c r="AV67" s="86"/>
      <c r="AW67" s="86"/>
      <c r="AX67" s="86"/>
      <c r="AY67" s="86"/>
      <c r="CM67" s="86"/>
      <c r="CN67" s="86"/>
    </row>
    <row r="68" spans="2:92" s="367" customFormat="1" ht="15.75" hidden="1" customHeight="1" outlineLevel="1">
      <c r="B68" s="852">
        <f ca="1">IF('Month A'!B68&lt;&gt;"",'Month A'!B68,)</f>
        <v>0</v>
      </c>
      <c r="C68" s="454">
        <f ca="1">'Month A'!C68</f>
        <v>0</v>
      </c>
      <c r="D68" s="74"/>
      <c r="E68" s="521"/>
      <c r="F68" s="858"/>
      <c r="H68" s="543"/>
      <c r="I68" s="853"/>
      <c r="J68" s="6"/>
      <c r="K68" s="541"/>
      <c r="L68" s="860"/>
      <c r="M68" s="20" t="str">
        <f>IF(J68="","",$M$5-SUM($J$7:J68))</f>
        <v/>
      </c>
      <c r="O68" s="7"/>
      <c r="P68" s="871">
        <f>IF('Month A'!Q68&lt;&gt;'Month A'!R68,IF('Month A'!Q68&lt;&gt;0,IF('Month A'!S68&lt;&gt;'Month A'!T68,'Month A'!P68,),),)</f>
        <v>0</v>
      </c>
      <c r="Q68" s="795">
        <f>IF('Month A'!Q68&lt;&gt;'Month A'!R68,IF('Month A'!Q68&lt;&gt;0,IF('Month A'!S68&lt;&gt;'Month A'!T68,'Month A'!Q68,),),)</f>
        <v>0</v>
      </c>
      <c r="R68" s="628">
        <f>IF('Month A'!Q68&lt;&gt;'Month A'!R68,IF('Month A'!Q68&lt;&gt;0,IF('Month A'!S68&lt;&gt;'Month A'!T68,0,Q68),Q68),Q68)</f>
        <v>0</v>
      </c>
      <c r="S68" s="796">
        <f>IF('Month A'!Q68&lt;&gt;'Month A'!R68,IF('Month A'!Q68&lt;&gt;0,IF('Month A'!S68&lt;&gt;'Month A'!T68,'Month A'!S68+1,),),)</f>
        <v>0</v>
      </c>
      <c r="T68" s="796">
        <f>IF('Month A'!Q68&lt;&gt;'Month A'!R68,IF('Month A'!Q68&lt;&gt;0,IF('Month A'!S68&lt;&gt;'Month A'!T68,'Month A'!T68,),),)</f>
        <v>0</v>
      </c>
      <c r="U68" s="797">
        <f>IF('Month A'!Q68&lt;&gt;'Month A'!R68,IF('Month A'!Q68&lt;&gt;0,IF('Month A'!S68&lt;&gt;'Month A'!T68,'Month A'!U68,),),)</f>
        <v>0</v>
      </c>
      <c r="V68" s="875">
        <f>IF('Month A'!Q68&lt;&gt;'Month A'!R68,IF('Month A'!Q68&lt;&gt;0,IF('Month A'!S68&lt;&gt;'Month A'!T68,'Month A'!V68,),),)</f>
        <v>0</v>
      </c>
      <c r="W68" s="633">
        <f>IF(Q68="","",$W$5-SUM($Q$7:$Q$45)-SUM($Q$64:Q68))</f>
        <v>0</v>
      </c>
      <c r="AO68" s="86"/>
      <c r="AP68" s="86"/>
      <c r="AQ68" s="86"/>
      <c r="AR68" s="86"/>
      <c r="AS68" s="86"/>
      <c r="AT68" s="86"/>
      <c r="AU68" s="86"/>
      <c r="AV68" s="86"/>
      <c r="AW68" s="86"/>
      <c r="AX68" s="86"/>
      <c r="AY68" s="86"/>
      <c r="CM68" s="86"/>
      <c r="CN68" s="86"/>
    </row>
    <row r="69" spans="2:92" s="367" customFormat="1" ht="15.75" hidden="1" customHeight="1" outlineLevel="1">
      <c r="B69" s="852">
        <f ca="1">IF('Month A'!B69&lt;&gt;"",'Month A'!B69,)</f>
        <v>0</v>
      </c>
      <c r="C69" s="454">
        <f ca="1">'Month A'!C69</f>
        <v>0</v>
      </c>
      <c r="D69" s="74"/>
      <c r="E69" s="521"/>
      <c r="F69" s="858"/>
      <c r="H69" s="543"/>
      <c r="I69" s="853"/>
      <c r="J69" s="6"/>
      <c r="K69" s="541"/>
      <c r="L69" s="860"/>
      <c r="M69" s="20" t="str">
        <f>IF(J69="","",$M$5-SUM($J$7:J69))</f>
        <v/>
      </c>
      <c r="O69" s="7"/>
      <c r="P69" s="871">
        <f>IF('Month A'!Q69&lt;&gt;'Month A'!R69,IF('Month A'!Q69&lt;&gt;0,IF('Month A'!S69&lt;&gt;'Month A'!T69,'Month A'!P69,),),)</f>
        <v>0</v>
      </c>
      <c r="Q69" s="795">
        <f>IF('Month A'!Q69&lt;&gt;'Month A'!R69,IF('Month A'!Q69&lt;&gt;0,IF('Month A'!S69&lt;&gt;'Month A'!T69,'Month A'!Q69,),),)</f>
        <v>0</v>
      </c>
      <c r="R69" s="628">
        <f>IF('Month A'!Q69&lt;&gt;'Month A'!R69,IF('Month A'!Q69&lt;&gt;0,IF('Month A'!S69&lt;&gt;'Month A'!T69,0,Q69),Q69),Q69)</f>
        <v>0</v>
      </c>
      <c r="S69" s="796">
        <f>IF('Month A'!Q69&lt;&gt;'Month A'!R69,IF('Month A'!Q69&lt;&gt;0,IF('Month A'!S69&lt;&gt;'Month A'!T69,'Month A'!S69+1,),),)</f>
        <v>0</v>
      </c>
      <c r="T69" s="796">
        <f>IF('Month A'!Q69&lt;&gt;'Month A'!R69,IF('Month A'!Q69&lt;&gt;0,IF('Month A'!S69&lt;&gt;'Month A'!T69,'Month A'!T69,),),)</f>
        <v>0</v>
      </c>
      <c r="U69" s="797">
        <f>IF('Month A'!Q69&lt;&gt;'Month A'!R69,IF('Month A'!Q69&lt;&gt;0,IF('Month A'!S69&lt;&gt;'Month A'!T69,'Month A'!U69,),),)</f>
        <v>0</v>
      </c>
      <c r="V69" s="875">
        <f>IF('Month A'!Q69&lt;&gt;'Month A'!R69,IF('Month A'!Q69&lt;&gt;0,IF('Month A'!S69&lt;&gt;'Month A'!T69,'Month A'!V69,),),)</f>
        <v>0</v>
      </c>
      <c r="W69" s="633">
        <f>IF(Q69="","",$W$5-SUM($Q$7:$Q$45)-SUM($Q$64:Q69))</f>
        <v>0</v>
      </c>
      <c r="AO69" s="86"/>
      <c r="AP69" s="86"/>
      <c r="AQ69" s="86"/>
      <c r="AR69" s="86"/>
      <c r="AS69" s="86"/>
      <c r="AT69" s="86"/>
      <c r="AU69" s="86"/>
      <c r="AV69" s="86"/>
      <c r="AW69" s="86"/>
      <c r="AX69" s="86"/>
      <c r="AY69" s="86"/>
      <c r="CM69" s="86"/>
      <c r="CN69" s="86"/>
    </row>
    <row r="70" spans="2:92" s="367" customFormat="1" ht="15.75" hidden="1" customHeight="1" outlineLevel="1">
      <c r="B70" s="852">
        <f ca="1">IF('Month A'!B70&lt;&gt;"",'Month A'!B70,)</f>
        <v>0</v>
      </c>
      <c r="C70" s="454">
        <f ca="1">'Month A'!C70</f>
        <v>0</v>
      </c>
      <c r="D70" s="74"/>
      <c r="E70" s="521"/>
      <c r="F70" s="858"/>
      <c r="H70" s="543"/>
      <c r="I70" s="853"/>
      <c r="J70" s="6"/>
      <c r="K70" s="541"/>
      <c r="L70" s="860"/>
      <c r="M70" s="20" t="str">
        <f>IF(J70="","",$M$5-SUM($J$7:J70))</f>
        <v/>
      </c>
      <c r="O70" s="7"/>
      <c r="P70" s="871">
        <f>IF('Month A'!Q70&lt;&gt;'Month A'!R70,IF('Month A'!Q70&lt;&gt;0,IF('Month A'!S70&lt;&gt;'Month A'!T70,'Month A'!P70,),),)</f>
        <v>0</v>
      </c>
      <c r="Q70" s="795">
        <f>IF('Month A'!Q70&lt;&gt;'Month A'!R70,IF('Month A'!Q70&lt;&gt;0,IF('Month A'!S70&lt;&gt;'Month A'!T70,'Month A'!Q70,),),)</f>
        <v>0</v>
      </c>
      <c r="R70" s="628">
        <f>IF('Month A'!Q70&lt;&gt;'Month A'!R70,IF('Month A'!Q70&lt;&gt;0,IF('Month A'!S70&lt;&gt;'Month A'!T70,0,Q70),Q70),Q70)</f>
        <v>0</v>
      </c>
      <c r="S70" s="796">
        <f>IF('Month A'!Q70&lt;&gt;'Month A'!R70,IF('Month A'!Q70&lt;&gt;0,IF('Month A'!S70&lt;&gt;'Month A'!T70,'Month A'!S70+1,),),)</f>
        <v>0</v>
      </c>
      <c r="T70" s="796">
        <f>IF('Month A'!Q70&lt;&gt;'Month A'!R70,IF('Month A'!Q70&lt;&gt;0,IF('Month A'!S70&lt;&gt;'Month A'!T70,'Month A'!T70,),),)</f>
        <v>0</v>
      </c>
      <c r="U70" s="797">
        <f>IF('Month A'!Q70&lt;&gt;'Month A'!R70,IF('Month A'!Q70&lt;&gt;0,IF('Month A'!S70&lt;&gt;'Month A'!T70,'Month A'!U70,),),)</f>
        <v>0</v>
      </c>
      <c r="V70" s="875">
        <f>IF('Month A'!Q70&lt;&gt;'Month A'!R70,IF('Month A'!Q70&lt;&gt;0,IF('Month A'!S70&lt;&gt;'Month A'!T70,'Month A'!V70,),),)</f>
        <v>0</v>
      </c>
      <c r="W70" s="633">
        <f>IF(Q70="","",$W$5-SUM($Q$7:$Q$45)-SUM($Q$64:Q70))</f>
        <v>0</v>
      </c>
      <c r="AO70" s="86"/>
      <c r="AP70" s="86"/>
      <c r="AQ70" s="86"/>
      <c r="AR70" s="86"/>
      <c r="AS70" s="86"/>
      <c r="AT70" s="86"/>
      <c r="AU70" s="86"/>
      <c r="AV70" s="86"/>
      <c r="AW70" s="86"/>
      <c r="AX70" s="86"/>
      <c r="AY70" s="86"/>
      <c r="CM70" s="86"/>
      <c r="CN70" s="86"/>
    </row>
    <row r="71" spans="2:92" s="367" customFormat="1" ht="15.75" hidden="1" customHeight="1" outlineLevel="1">
      <c r="B71" s="852">
        <f ca="1">IF('Month A'!B71&lt;&gt;"",'Month A'!B71,)</f>
        <v>0</v>
      </c>
      <c r="C71" s="454">
        <f ca="1">'Month A'!C71</f>
        <v>0</v>
      </c>
      <c r="D71" s="74"/>
      <c r="E71" s="521"/>
      <c r="F71" s="858"/>
      <c r="H71" s="543"/>
      <c r="I71" s="853"/>
      <c r="J71" s="6"/>
      <c r="K71" s="541"/>
      <c r="L71" s="860"/>
      <c r="M71" s="20" t="str">
        <f>IF(J71="","",$M$5-SUM($J$7:J71))</f>
        <v/>
      </c>
      <c r="O71" s="7"/>
      <c r="P71" s="871">
        <f>IF('Month A'!Q71&lt;&gt;'Month A'!R71,IF('Month A'!Q71&lt;&gt;0,IF('Month A'!S71&lt;&gt;'Month A'!T71,'Month A'!P71,),),)</f>
        <v>0</v>
      </c>
      <c r="Q71" s="795">
        <f>IF('Month A'!Q71&lt;&gt;'Month A'!R71,IF('Month A'!Q71&lt;&gt;0,IF('Month A'!S71&lt;&gt;'Month A'!T71,'Month A'!Q71,),),)</f>
        <v>0</v>
      </c>
      <c r="R71" s="628">
        <f>IF('Month A'!Q71&lt;&gt;'Month A'!R71,IF('Month A'!Q71&lt;&gt;0,IF('Month A'!S71&lt;&gt;'Month A'!T71,0,Q71),Q71),Q71)</f>
        <v>0</v>
      </c>
      <c r="S71" s="796">
        <f>IF('Month A'!Q71&lt;&gt;'Month A'!R71,IF('Month A'!Q71&lt;&gt;0,IF('Month A'!S71&lt;&gt;'Month A'!T71,'Month A'!S71+1,),),)</f>
        <v>0</v>
      </c>
      <c r="T71" s="796">
        <f>IF('Month A'!Q71&lt;&gt;'Month A'!R71,IF('Month A'!Q71&lt;&gt;0,IF('Month A'!S71&lt;&gt;'Month A'!T71,'Month A'!T71,),),)</f>
        <v>0</v>
      </c>
      <c r="U71" s="797">
        <f>IF('Month A'!Q71&lt;&gt;'Month A'!R71,IF('Month A'!Q71&lt;&gt;0,IF('Month A'!S71&lt;&gt;'Month A'!T71,'Month A'!U71,),),)</f>
        <v>0</v>
      </c>
      <c r="V71" s="875">
        <f>IF('Month A'!Q71&lt;&gt;'Month A'!R71,IF('Month A'!Q71&lt;&gt;0,IF('Month A'!S71&lt;&gt;'Month A'!T71,'Month A'!V71,),),)</f>
        <v>0</v>
      </c>
      <c r="W71" s="633">
        <f>IF(Q71="","",$W$5-SUM($Q$7:$Q$45)-SUM($Q$64:Q71))</f>
        <v>0</v>
      </c>
      <c r="AO71" s="86"/>
      <c r="AP71" s="86"/>
      <c r="AQ71" s="86"/>
      <c r="AR71" s="86"/>
      <c r="AS71" s="86"/>
      <c r="AT71" s="86"/>
      <c r="AU71" s="86"/>
      <c r="AV71" s="86"/>
      <c r="AW71" s="86"/>
      <c r="AX71" s="86"/>
      <c r="AY71" s="86"/>
      <c r="CM71" s="86"/>
      <c r="CN71" s="86"/>
    </row>
    <row r="72" spans="2:92" s="367" customFormat="1" ht="15.75" hidden="1" customHeight="1" outlineLevel="1">
      <c r="B72" s="852">
        <f ca="1">IF('Month A'!B72&lt;&gt;"",'Month A'!B72,)</f>
        <v>0</v>
      </c>
      <c r="C72" s="454">
        <f ca="1">'Month A'!C72</f>
        <v>0</v>
      </c>
      <c r="D72" s="74"/>
      <c r="E72" s="521"/>
      <c r="F72" s="858"/>
      <c r="H72" s="543"/>
      <c r="I72" s="853"/>
      <c r="J72" s="6"/>
      <c r="K72" s="541"/>
      <c r="L72" s="860"/>
      <c r="M72" s="20" t="str">
        <f>IF(J72="","",$M$5-SUM($J$7:J72))</f>
        <v/>
      </c>
      <c r="O72" s="7"/>
      <c r="P72" s="871">
        <f>IF('Month A'!Q72&lt;&gt;'Month A'!R72,IF('Month A'!Q72&lt;&gt;0,IF('Month A'!S72&lt;&gt;'Month A'!T72,'Month A'!P72,),),)</f>
        <v>0</v>
      </c>
      <c r="Q72" s="795">
        <f>IF('Month A'!Q72&lt;&gt;'Month A'!R72,IF('Month A'!Q72&lt;&gt;0,IF('Month A'!S72&lt;&gt;'Month A'!T72,'Month A'!Q72,),),)</f>
        <v>0</v>
      </c>
      <c r="R72" s="628">
        <f>IF('Month A'!Q72&lt;&gt;'Month A'!R72,IF('Month A'!Q72&lt;&gt;0,IF('Month A'!S72&lt;&gt;'Month A'!T72,0,Q72),Q72),Q72)</f>
        <v>0</v>
      </c>
      <c r="S72" s="796">
        <f>IF('Month A'!Q72&lt;&gt;'Month A'!R72,IF('Month A'!Q72&lt;&gt;0,IF('Month A'!S72&lt;&gt;'Month A'!T72,'Month A'!S72+1,),),)</f>
        <v>0</v>
      </c>
      <c r="T72" s="796">
        <f>IF('Month A'!Q72&lt;&gt;'Month A'!R72,IF('Month A'!Q72&lt;&gt;0,IF('Month A'!S72&lt;&gt;'Month A'!T72,'Month A'!T72,),),)</f>
        <v>0</v>
      </c>
      <c r="U72" s="797">
        <f>IF('Month A'!Q72&lt;&gt;'Month A'!R72,IF('Month A'!Q72&lt;&gt;0,IF('Month A'!S72&lt;&gt;'Month A'!T72,'Month A'!U72,),),)</f>
        <v>0</v>
      </c>
      <c r="V72" s="875">
        <f>IF('Month A'!Q72&lt;&gt;'Month A'!R72,IF('Month A'!Q72&lt;&gt;0,IF('Month A'!S72&lt;&gt;'Month A'!T72,'Month A'!V72,),),)</f>
        <v>0</v>
      </c>
      <c r="W72" s="633">
        <f>IF(Q72="","",$W$5-SUM($Q$7:$Q$45)-SUM($Q$64:Q72))</f>
        <v>0</v>
      </c>
      <c r="AO72" s="86"/>
      <c r="AP72" s="86"/>
      <c r="AQ72" s="86"/>
      <c r="AR72" s="86"/>
      <c r="AS72" s="86"/>
      <c r="AT72" s="86"/>
      <c r="AU72" s="86"/>
      <c r="AV72" s="86"/>
      <c r="AW72" s="86"/>
      <c r="AX72" s="86"/>
      <c r="AY72" s="86"/>
      <c r="CM72" s="86"/>
      <c r="CN72" s="86"/>
    </row>
    <row r="73" spans="2:92" s="367" customFormat="1" ht="15.75" hidden="1" customHeight="1" outlineLevel="1">
      <c r="B73" s="852">
        <f ca="1">IF('Month A'!B73&lt;&gt;"",'Month A'!B73,)</f>
        <v>0</v>
      </c>
      <c r="C73" s="454">
        <f ca="1">'Month A'!C73</f>
        <v>0</v>
      </c>
      <c r="D73" s="74"/>
      <c r="E73" s="521"/>
      <c r="F73" s="858"/>
      <c r="H73" s="543"/>
      <c r="I73" s="853"/>
      <c r="J73" s="6"/>
      <c r="K73" s="541"/>
      <c r="L73" s="860"/>
      <c r="M73" s="20" t="str">
        <f>IF(J73="","",$M$5-SUM($J$7:J73))</f>
        <v/>
      </c>
      <c r="O73" s="7"/>
      <c r="P73" s="873">
        <f>IF('Month A'!Q73&lt;&gt;'Month A'!R73,IF('Month A'!Q73&lt;&gt;0,IF('Month A'!S73&lt;&gt;'Month A'!T73,'Month A'!P73,),),)</f>
        <v>0</v>
      </c>
      <c r="Q73" s="795">
        <f>IF('Month A'!Q73&lt;&gt;'Month A'!R73,IF('Month A'!Q73&lt;&gt;0,IF('Month A'!S73&lt;&gt;'Month A'!T73,'Month A'!Q73,),),)</f>
        <v>0</v>
      </c>
      <c r="R73" s="628">
        <f>IF('Month A'!Q73&lt;&gt;'Month A'!R73,IF('Month A'!Q73&lt;&gt;0,IF('Month A'!S73&lt;&gt;'Month A'!T73,0,Q73),Q73),Q73)</f>
        <v>0</v>
      </c>
      <c r="S73" s="796">
        <f>IF('Month A'!Q73&lt;&gt;'Month A'!R73,IF('Month A'!Q73&lt;&gt;0,IF('Month A'!S73&lt;&gt;'Month A'!T73,'Month A'!S73+1,),),)</f>
        <v>0</v>
      </c>
      <c r="T73" s="796">
        <f>IF('Month A'!Q73&lt;&gt;'Month A'!R73,IF('Month A'!Q73&lt;&gt;0,IF('Month A'!S73&lt;&gt;'Month A'!T73,'Month A'!T73,),),)</f>
        <v>0</v>
      </c>
      <c r="U73" s="797">
        <f>IF('Month A'!Q73&lt;&gt;'Month A'!R73,IF('Month A'!Q73&lt;&gt;0,IF('Month A'!S73&lt;&gt;'Month A'!T73,'Month A'!U73,),),)</f>
        <v>0</v>
      </c>
      <c r="V73" s="875">
        <f>IF('Month A'!Q73&lt;&gt;'Month A'!R73,IF('Month A'!Q73&lt;&gt;0,IF('Month A'!S73&lt;&gt;'Month A'!T73,'Month A'!V73,),),)</f>
        <v>0</v>
      </c>
      <c r="W73" s="633">
        <f>IF(Q73="","",$W$5-SUM($Q$7:$Q$45)-SUM($Q$64:Q73))</f>
        <v>0</v>
      </c>
      <c r="AO73" s="86"/>
      <c r="AP73" s="86"/>
      <c r="AQ73" s="86"/>
      <c r="AR73" s="86"/>
      <c r="AS73" s="86"/>
      <c r="AT73" s="86"/>
      <c r="AU73" s="86"/>
      <c r="AV73" s="86"/>
      <c r="AW73" s="86"/>
      <c r="AX73" s="86"/>
      <c r="AY73" s="86"/>
      <c r="CM73" s="86"/>
      <c r="CN73" s="86"/>
    </row>
    <row r="74" spans="2:92" s="367" customFormat="1" ht="15.75" hidden="1" customHeight="1" outlineLevel="1">
      <c r="B74" s="852">
        <f ca="1">IF('Month A'!B74&lt;&gt;"",'Month A'!B74,)</f>
        <v>0</v>
      </c>
      <c r="C74" s="454">
        <f ca="1">'Month A'!C74</f>
        <v>0</v>
      </c>
      <c r="D74" s="74"/>
      <c r="E74" s="521"/>
      <c r="F74" s="858"/>
      <c r="H74" s="543"/>
      <c r="I74" s="853"/>
      <c r="J74" s="6"/>
      <c r="K74" s="541"/>
      <c r="L74" s="860"/>
      <c r="M74" s="20" t="str">
        <f>IF(J74="","",$M$5-SUM($J$7:J74))</f>
        <v/>
      </c>
      <c r="O74" s="7"/>
      <c r="P74" s="871">
        <f>IF('Month A'!Q74&lt;&gt;'Month A'!R74,IF('Month A'!Q74&lt;&gt;0,IF('Month A'!S74&lt;&gt;'Month A'!T74,'Month A'!P74,),),)</f>
        <v>0</v>
      </c>
      <c r="Q74" s="795">
        <f>IF('Month A'!Q74&lt;&gt;'Month A'!R74,IF('Month A'!Q74&lt;&gt;0,IF('Month A'!S74&lt;&gt;'Month A'!T74,'Month A'!Q74,),),)</f>
        <v>0</v>
      </c>
      <c r="R74" s="628">
        <f>IF('Month A'!Q74&lt;&gt;'Month A'!R74,IF('Month A'!Q74&lt;&gt;0,IF('Month A'!S74&lt;&gt;'Month A'!T74,0,Q74),Q74),Q74)</f>
        <v>0</v>
      </c>
      <c r="S74" s="796">
        <f>IF('Month A'!Q74&lt;&gt;'Month A'!R74,IF('Month A'!Q74&lt;&gt;0,IF('Month A'!S74&lt;&gt;'Month A'!T74,'Month A'!S74+1,),),)</f>
        <v>0</v>
      </c>
      <c r="T74" s="796">
        <f>IF('Month A'!Q74&lt;&gt;'Month A'!R74,IF('Month A'!Q74&lt;&gt;0,IF('Month A'!S74&lt;&gt;'Month A'!T74,'Month A'!T74,),),)</f>
        <v>0</v>
      </c>
      <c r="U74" s="797">
        <f>IF('Month A'!Q74&lt;&gt;'Month A'!R74,IF('Month A'!Q74&lt;&gt;0,IF('Month A'!S74&lt;&gt;'Month A'!T74,'Month A'!U74,),),)</f>
        <v>0</v>
      </c>
      <c r="V74" s="875">
        <f>IF('Month A'!Q74&lt;&gt;'Month A'!R74,IF('Month A'!Q74&lt;&gt;0,IF('Month A'!S74&lt;&gt;'Month A'!T74,'Month A'!V74,),),)</f>
        <v>0</v>
      </c>
      <c r="W74" s="633">
        <f>IF(Q74="","",$W$5-SUM($Q$7:$Q$45)-SUM($Q$64:Q74))</f>
        <v>0</v>
      </c>
      <c r="AO74" s="86"/>
      <c r="AP74" s="86"/>
      <c r="AQ74" s="86"/>
      <c r="AR74" s="86"/>
      <c r="AS74" s="86"/>
      <c r="AT74" s="86"/>
      <c r="AU74" s="86"/>
      <c r="AV74" s="86"/>
      <c r="AW74" s="86"/>
      <c r="AX74" s="86"/>
      <c r="AY74" s="86"/>
      <c r="CM74" s="86"/>
      <c r="CN74" s="86"/>
    </row>
    <row r="75" spans="2:92" s="367" customFormat="1" ht="15.75" hidden="1" customHeight="1" outlineLevel="1">
      <c r="B75" s="852">
        <f ca="1">IF('Month A'!B75&lt;&gt;"",'Month A'!B75,)</f>
        <v>0</v>
      </c>
      <c r="C75" s="454">
        <f ca="1">'Month A'!C75</f>
        <v>0</v>
      </c>
      <c r="D75" s="74"/>
      <c r="E75" s="521"/>
      <c r="F75" s="858"/>
      <c r="H75" s="543"/>
      <c r="I75" s="853"/>
      <c r="J75" s="6"/>
      <c r="K75" s="541"/>
      <c r="L75" s="860"/>
      <c r="M75" s="20" t="str">
        <f>IF(J75="","",$M$5-SUM($J$7:J75))</f>
        <v/>
      </c>
      <c r="O75" s="7"/>
      <c r="P75" s="873">
        <f>IF('Month A'!Q75&lt;&gt;'Month A'!R75,IF('Month A'!Q75&lt;&gt;0,IF('Month A'!S75&lt;&gt;'Month A'!T75,'Month A'!P75,),),)</f>
        <v>0</v>
      </c>
      <c r="Q75" s="795">
        <f>IF('Month A'!Q75&lt;&gt;'Month A'!R75,IF('Month A'!Q75&lt;&gt;0,IF('Month A'!S75&lt;&gt;'Month A'!T75,'Month A'!Q75,),),)</f>
        <v>0</v>
      </c>
      <c r="R75" s="628">
        <f>IF('Month A'!Q75&lt;&gt;'Month A'!R75,IF('Month A'!Q75&lt;&gt;0,IF('Month A'!S75&lt;&gt;'Month A'!T75,0,Q75),Q75),Q75)</f>
        <v>0</v>
      </c>
      <c r="S75" s="796">
        <f>IF('Month A'!Q75&lt;&gt;'Month A'!R75,IF('Month A'!Q75&lt;&gt;0,IF('Month A'!S75&lt;&gt;'Month A'!T75,'Month A'!S75+1,),),)</f>
        <v>0</v>
      </c>
      <c r="T75" s="796">
        <f>IF('Month A'!Q75&lt;&gt;'Month A'!R75,IF('Month A'!Q75&lt;&gt;0,IF('Month A'!S75&lt;&gt;'Month A'!T75,'Month A'!T75,),),)</f>
        <v>0</v>
      </c>
      <c r="U75" s="797">
        <f>IF('Month A'!Q75&lt;&gt;'Month A'!R75,IF('Month A'!Q75&lt;&gt;0,IF('Month A'!S75&lt;&gt;'Month A'!T75,'Month A'!U75,),),)</f>
        <v>0</v>
      </c>
      <c r="V75" s="875">
        <f>IF('Month A'!Q75&lt;&gt;'Month A'!R75,IF('Month A'!Q75&lt;&gt;0,IF('Month A'!S75&lt;&gt;'Month A'!T75,'Month A'!V75,),),)</f>
        <v>0</v>
      </c>
      <c r="W75" s="633">
        <f>IF(Q75="","",$W$5-SUM($Q$7:$Q$45)-SUM($Q$64:Q75))</f>
        <v>0</v>
      </c>
      <c r="AO75" s="86"/>
      <c r="AP75" s="86"/>
      <c r="AQ75" s="86"/>
      <c r="AR75" s="86"/>
      <c r="AS75" s="86"/>
      <c r="AT75" s="86"/>
      <c r="AU75" s="86"/>
      <c r="AV75" s="86"/>
      <c r="AW75" s="86"/>
      <c r="AX75" s="86"/>
      <c r="AY75" s="86"/>
      <c r="CM75" s="86"/>
      <c r="CN75" s="86"/>
    </row>
    <row r="76" spans="2:92" s="367" customFormat="1" ht="15.75" hidden="1" customHeight="1" outlineLevel="1">
      <c r="B76" s="852">
        <f ca="1">IF('Month A'!B76&lt;&gt;"",'Month A'!B76,)</f>
        <v>0</v>
      </c>
      <c r="C76" s="454">
        <f ca="1">'Month A'!C76</f>
        <v>0</v>
      </c>
      <c r="D76" s="74"/>
      <c r="E76" s="521"/>
      <c r="F76" s="858"/>
      <c r="H76" s="543"/>
      <c r="I76" s="853"/>
      <c r="J76" s="6"/>
      <c r="K76" s="541"/>
      <c r="L76" s="860"/>
      <c r="M76" s="20" t="str">
        <f>IF(J76="","",$M$5-SUM($J$7:J76))</f>
        <v/>
      </c>
      <c r="O76" s="7"/>
      <c r="P76" s="871">
        <f>IF('Month A'!Q76&lt;&gt;'Month A'!R76,IF('Month A'!Q76&lt;&gt;0,IF('Month A'!S76&lt;&gt;'Month A'!T76,'Month A'!P76,),),)</f>
        <v>0</v>
      </c>
      <c r="Q76" s="795">
        <f>IF('Month A'!Q76&lt;&gt;'Month A'!R76,IF('Month A'!Q76&lt;&gt;0,IF('Month A'!S76&lt;&gt;'Month A'!T76,'Month A'!Q76,),),)</f>
        <v>0</v>
      </c>
      <c r="R76" s="628">
        <f>IF('Month A'!Q76&lt;&gt;'Month A'!R76,IF('Month A'!Q76&lt;&gt;0,IF('Month A'!S76&lt;&gt;'Month A'!T76,0,Q76),Q76),Q76)</f>
        <v>0</v>
      </c>
      <c r="S76" s="796">
        <f>IF('Month A'!Q76&lt;&gt;'Month A'!R76,IF('Month A'!Q76&lt;&gt;0,IF('Month A'!S76&lt;&gt;'Month A'!T76,'Month A'!S76+1,),),)</f>
        <v>0</v>
      </c>
      <c r="T76" s="796">
        <f>IF('Month A'!Q76&lt;&gt;'Month A'!R76,IF('Month A'!Q76&lt;&gt;0,IF('Month A'!S76&lt;&gt;'Month A'!T76,'Month A'!T76,),),)</f>
        <v>0</v>
      </c>
      <c r="U76" s="797">
        <f>IF('Month A'!Q76&lt;&gt;'Month A'!R76,IF('Month A'!Q76&lt;&gt;0,IF('Month A'!S76&lt;&gt;'Month A'!T76,'Month A'!U76,),),)</f>
        <v>0</v>
      </c>
      <c r="V76" s="875">
        <f>IF('Month A'!Q76&lt;&gt;'Month A'!R76,IF('Month A'!Q76&lt;&gt;0,IF('Month A'!S76&lt;&gt;'Month A'!T76,'Month A'!V76,),),)</f>
        <v>0</v>
      </c>
      <c r="W76" s="633">
        <f>IF(Q76="","",$W$5-SUM($Q$7:$Q$45)-SUM($Q$64:Q76))</f>
        <v>0</v>
      </c>
      <c r="AO76" s="86"/>
      <c r="AP76" s="86"/>
      <c r="AQ76" s="86"/>
      <c r="AR76" s="86"/>
      <c r="AS76" s="86"/>
      <c r="AT76" s="86"/>
      <c r="AU76" s="86"/>
      <c r="AV76" s="86"/>
      <c r="AW76" s="86"/>
      <c r="AX76" s="86"/>
      <c r="AY76" s="86"/>
      <c r="CM76" s="86"/>
      <c r="CN76" s="86"/>
    </row>
    <row r="77" spans="2:92" s="367" customFormat="1" ht="15.75" hidden="1" customHeight="1" outlineLevel="1">
      <c r="B77" s="852">
        <f ca="1">IF('Month A'!B77&lt;&gt;"",'Month A'!B77,)</f>
        <v>0</v>
      </c>
      <c r="C77" s="454">
        <f ca="1">'Month A'!C77</f>
        <v>0</v>
      </c>
      <c r="D77" s="74"/>
      <c r="E77" s="521"/>
      <c r="F77" s="858"/>
      <c r="H77" s="543"/>
      <c r="I77" s="853"/>
      <c r="J77" s="6"/>
      <c r="K77" s="541"/>
      <c r="L77" s="860"/>
      <c r="M77" s="20" t="str">
        <f>IF(J77="","",$M$5-SUM($J$7:J77))</f>
        <v/>
      </c>
      <c r="O77" s="7"/>
      <c r="P77" s="871">
        <f>IF('Month A'!Q77&lt;&gt;'Month A'!R77,IF('Month A'!Q77&lt;&gt;0,IF('Month A'!S77&lt;&gt;'Month A'!T77,'Month A'!P77,),),)</f>
        <v>0</v>
      </c>
      <c r="Q77" s="795">
        <f>IF('Month A'!Q77&lt;&gt;'Month A'!R77,IF('Month A'!Q77&lt;&gt;0,IF('Month A'!S77&lt;&gt;'Month A'!T77,'Month A'!Q77,),),)</f>
        <v>0</v>
      </c>
      <c r="R77" s="628">
        <f>IF('Month A'!Q77&lt;&gt;'Month A'!R77,IF('Month A'!Q77&lt;&gt;0,IF('Month A'!S77&lt;&gt;'Month A'!T77,0,Q77),Q77),Q77)</f>
        <v>0</v>
      </c>
      <c r="S77" s="796">
        <f>IF('Month A'!Q77&lt;&gt;'Month A'!R77,IF('Month A'!Q77&lt;&gt;0,IF('Month A'!S77&lt;&gt;'Month A'!T77,'Month A'!S77+1,),),)</f>
        <v>0</v>
      </c>
      <c r="T77" s="796">
        <f>IF('Month A'!Q77&lt;&gt;'Month A'!R77,IF('Month A'!Q77&lt;&gt;0,IF('Month A'!S77&lt;&gt;'Month A'!T77,'Month A'!T77,),),)</f>
        <v>0</v>
      </c>
      <c r="U77" s="797">
        <f>IF('Month A'!Q77&lt;&gt;'Month A'!R77,IF('Month A'!Q77&lt;&gt;0,IF('Month A'!S77&lt;&gt;'Month A'!T77,'Month A'!U77,),),)</f>
        <v>0</v>
      </c>
      <c r="V77" s="875">
        <f>IF('Month A'!Q77&lt;&gt;'Month A'!R77,IF('Month A'!Q77&lt;&gt;0,IF('Month A'!S77&lt;&gt;'Month A'!T77,'Month A'!V77,),),)</f>
        <v>0</v>
      </c>
      <c r="W77" s="633">
        <f>IF(Q77="","",$W$5-SUM($Q$7:$Q$45)-SUM($Q$64:Q77))</f>
        <v>0</v>
      </c>
      <c r="AO77" s="86"/>
      <c r="AP77" s="86"/>
      <c r="AQ77" s="86"/>
      <c r="AR77" s="86"/>
      <c r="AS77" s="86"/>
      <c r="AT77" s="86"/>
      <c r="AU77" s="86"/>
      <c r="AV77" s="86"/>
      <c r="AW77" s="86"/>
      <c r="AX77" s="86"/>
      <c r="AY77" s="86"/>
      <c r="CM77" s="86"/>
      <c r="CN77" s="86"/>
    </row>
    <row r="78" spans="2:92" s="367" customFormat="1" ht="15.75" hidden="1" customHeight="1" outlineLevel="1">
      <c r="B78" s="852">
        <f ca="1">IF('Month A'!B78&lt;&gt;"",'Month A'!B78,)</f>
        <v>0</v>
      </c>
      <c r="C78" s="454">
        <f ca="1">'Month A'!C78</f>
        <v>0</v>
      </c>
      <c r="D78" s="74"/>
      <c r="E78" s="521"/>
      <c r="F78" s="858"/>
      <c r="H78" s="543"/>
      <c r="I78" s="853"/>
      <c r="J78" s="6"/>
      <c r="K78" s="541"/>
      <c r="L78" s="860"/>
      <c r="M78" s="20" t="str">
        <f>IF(J78="","",$M$5-SUM($J$7:J78))</f>
        <v/>
      </c>
      <c r="O78" s="7"/>
      <c r="P78" s="873">
        <f>IF('Month A'!Q78&lt;&gt;'Month A'!R78,IF('Month A'!Q78&lt;&gt;0,IF('Month A'!S78&lt;&gt;'Month A'!T78,'Month A'!P78,),),)</f>
        <v>0</v>
      </c>
      <c r="Q78" s="795">
        <f>IF('Month A'!Q78&lt;&gt;'Month A'!R78,IF('Month A'!Q78&lt;&gt;0,IF('Month A'!S78&lt;&gt;'Month A'!T78,'Month A'!Q78,),),)</f>
        <v>0</v>
      </c>
      <c r="R78" s="628">
        <f>IF('Month A'!Q78&lt;&gt;'Month A'!R78,IF('Month A'!Q78&lt;&gt;0,IF('Month A'!S78&lt;&gt;'Month A'!T78,0,Q78),Q78),Q78)</f>
        <v>0</v>
      </c>
      <c r="S78" s="796">
        <f>IF('Month A'!Q78&lt;&gt;'Month A'!R78,IF('Month A'!Q78&lt;&gt;0,IF('Month A'!S78&lt;&gt;'Month A'!T78,'Month A'!S78+1,),),)</f>
        <v>0</v>
      </c>
      <c r="T78" s="796">
        <f>IF('Month A'!Q78&lt;&gt;'Month A'!R78,IF('Month A'!Q78&lt;&gt;0,IF('Month A'!S78&lt;&gt;'Month A'!T78,'Month A'!T78,),),)</f>
        <v>0</v>
      </c>
      <c r="U78" s="797">
        <f>IF('Month A'!Q78&lt;&gt;'Month A'!R78,IF('Month A'!Q78&lt;&gt;0,IF('Month A'!S78&lt;&gt;'Month A'!T78,'Month A'!U78,),),)</f>
        <v>0</v>
      </c>
      <c r="V78" s="875">
        <f>IF('Month A'!Q78&lt;&gt;'Month A'!R78,IF('Month A'!Q78&lt;&gt;0,IF('Month A'!S78&lt;&gt;'Month A'!T78,'Month A'!V78,),),)</f>
        <v>0</v>
      </c>
      <c r="W78" s="633">
        <f>IF(Q78="","",$W$5-SUM($Q$7:$Q$45)-SUM($Q$64:Q78))</f>
        <v>0</v>
      </c>
      <c r="AO78" s="86"/>
      <c r="AP78" s="86"/>
      <c r="AQ78" s="86"/>
      <c r="AR78" s="86"/>
      <c r="AS78" s="86"/>
      <c r="AT78" s="86"/>
      <c r="AU78" s="86"/>
      <c r="AV78" s="86"/>
      <c r="AW78" s="86"/>
      <c r="AX78" s="86"/>
      <c r="AY78" s="86"/>
      <c r="CM78" s="86"/>
      <c r="CN78" s="86"/>
    </row>
    <row r="79" spans="2:92" s="367" customFormat="1" ht="15.75" hidden="1" customHeight="1" outlineLevel="1">
      <c r="B79" s="852">
        <f ca="1">IF('Month A'!B79&lt;&gt;"",'Month A'!B79,)</f>
        <v>0</v>
      </c>
      <c r="C79" s="454">
        <f ca="1">'Month A'!C79</f>
        <v>0</v>
      </c>
      <c r="D79" s="74"/>
      <c r="E79" s="521"/>
      <c r="F79" s="858"/>
      <c r="H79" s="543"/>
      <c r="I79" s="853"/>
      <c r="J79" s="6"/>
      <c r="K79" s="541"/>
      <c r="L79" s="860"/>
      <c r="M79" s="20" t="str">
        <f>IF(J79="","",$M$5-SUM($J$7:J79))</f>
        <v/>
      </c>
      <c r="O79" s="7"/>
      <c r="P79" s="871">
        <f>IF('Month A'!Q79&lt;&gt;'Month A'!R79,IF('Month A'!Q79&lt;&gt;0,IF('Month A'!S79&lt;&gt;'Month A'!T79,'Month A'!P79,),),)</f>
        <v>0</v>
      </c>
      <c r="Q79" s="795">
        <f>IF('Month A'!Q79&lt;&gt;'Month A'!R79,IF('Month A'!Q79&lt;&gt;0,IF('Month A'!S79&lt;&gt;'Month A'!T79,'Month A'!Q79,),),)</f>
        <v>0</v>
      </c>
      <c r="R79" s="628">
        <f>IF('Month A'!Q79&lt;&gt;'Month A'!R79,IF('Month A'!Q79&lt;&gt;0,IF('Month A'!S79&lt;&gt;'Month A'!T79,0,Q79),Q79),Q79)</f>
        <v>0</v>
      </c>
      <c r="S79" s="796">
        <f>IF('Month A'!Q79&lt;&gt;'Month A'!R79,IF('Month A'!Q79&lt;&gt;0,IF('Month A'!S79&lt;&gt;'Month A'!T79,'Month A'!S79+1,),),)</f>
        <v>0</v>
      </c>
      <c r="T79" s="796">
        <f>IF('Month A'!Q79&lt;&gt;'Month A'!R79,IF('Month A'!Q79&lt;&gt;0,IF('Month A'!S79&lt;&gt;'Month A'!T79,'Month A'!T79,),),)</f>
        <v>0</v>
      </c>
      <c r="U79" s="797">
        <f>IF('Month A'!Q79&lt;&gt;'Month A'!R79,IF('Month A'!Q79&lt;&gt;0,IF('Month A'!S79&lt;&gt;'Month A'!T79,'Month A'!U79,),),)</f>
        <v>0</v>
      </c>
      <c r="V79" s="875">
        <f>IF('Month A'!Q79&lt;&gt;'Month A'!R79,IF('Month A'!Q79&lt;&gt;0,IF('Month A'!S79&lt;&gt;'Month A'!T79,'Month A'!V79,),),)</f>
        <v>0</v>
      </c>
      <c r="W79" s="633">
        <f>IF(Q79="","",$W$5-SUM($Q$7:$Q$45)-SUM($Q$64:Q79))</f>
        <v>0</v>
      </c>
      <c r="AO79" s="86"/>
      <c r="AP79" s="86"/>
      <c r="AQ79" s="86"/>
      <c r="AR79" s="86"/>
      <c r="AS79" s="86"/>
      <c r="AT79" s="86"/>
      <c r="AU79" s="86"/>
      <c r="AV79" s="86"/>
      <c r="AW79" s="86"/>
      <c r="AX79" s="86"/>
      <c r="AY79" s="86"/>
      <c r="CM79" s="86"/>
      <c r="CN79" s="86"/>
    </row>
    <row r="80" spans="2:92" s="367" customFormat="1" ht="15.75" hidden="1" customHeight="1" outlineLevel="1">
      <c r="B80" s="852">
        <f ca="1">IF('Month A'!B80&lt;&gt;"",'Month A'!B80,)</f>
        <v>0</v>
      </c>
      <c r="C80" s="454">
        <f ca="1">'Month A'!C80</f>
        <v>0</v>
      </c>
      <c r="D80" s="74"/>
      <c r="E80" s="521"/>
      <c r="F80" s="858"/>
      <c r="H80" s="543"/>
      <c r="I80" s="853"/>
      <c r="J80" s="6"/>
      <c r="K80" s="541"/>
      <c r="L80" s="860"/>
      <c r="M80" s="20" t="str">
        <f>IF(J80="","",$M$5-SUM($J$7:J80))</f>
        <v/>
      </c>
      <c r="O80" s="7"/>
      <c r="P80" s="873">
        <f>IF('Month A'!Q80&lt;&gt;'Month A'!R80,IF('Month A'!Q80&lt;&gt;0,IF('Month A'!S80&lt;&gt;'Month A'!T80,'Month A'!P80,),),)</f>
        <v>0</v>
      </c>
      <c r="Q80" s="795">
        <f>IF('Month A'!Q80&lt;&gt;'Month A'!R80,IF('Month A'!Q80&lt;&gt;0,IF('Month A'!S80&lt;&gt;'Month A'!T80,'Month A'!Q80,),),)</f>
        <v>0</v>
      </c>
      <c r="R80" s="628">
        <f>IF('Month A'!Q80&lt;&gt;'Month A'!R80,IF('Month A'!Q80&lt;&gt;0,IF('Month A'!S80&lt;&gt;'Month A'!T80,0,Q80),Q80),Q80)</f>
        <v>0</v>
      </c>
      <c r="S80" s="796">
        <f>IF('Month A'!Q80&lt;&gt;'Month A'!R80,IF('Month A'!Q80&lt;&gt;0,IF('Month A'!S80&lt;&gt;'Month A'!T80,'Month A'!S80+1,),),)</f>
        <v>0</v>
      </c>
      <c r="T80" s="796">
        <f>IF('Month A'!Q80&lt;&gt;'Month A'!R80,IF('Month A'!Q80&lt;&gt;0,IF('Month A'!S80&lt;&gt;'Month A'!T80,'Month A'!T80,),),)</f>
        <v>0</v>
      </c>
      <c r="U80" s="797">
        <f>IF('Month A'!Q80&lt;&gt;'Month A'!R80,IF('Month A'!Q80&lt;&gt;0,IF('Month A'!S80&lt;&gt;'Month A'!T80,'Month A'!U80,),),)</f>
        <v>0</v>
      </c>
      <c r="V80" s="875">
        <f>IF('Month A'!Q80&lt;&gt;'Month A'!R80,IF('Month A'!Q80&lt;&gt;0,IF('Month A'!S80&lt;&gt;'Month A'!T80,'Month A'!V80,),),)</f>
        <v>0</v>
      </c>
      <c r="W80" s="633">
        <f>IF(Q80="","",$W$5-SUM($Q$7:$Q$45)-SUM($Q$64:Q80))</f>
        <v>0</v>
      </c>
      <c r="AO80" s="86"/>
      <c r="AP80" s="86"/>
      <c r="AQ80" s="86"/>
      <c r="AR80" s="86"/>
      <c r="AS80" s="86"/>
      <c r="AT80" s="86"/>
      <c r="AU80" s="86"/>
      <c r="AV80" s="86"/>
      <c r="AW80" s="86"/>
      <c r="AX80" s="86"/>
      <c r="AY80" s="86"/>
      <c r="CM80" s="86"/>
      <c r="CN80" s="86"/>
    </row>
    <row r="81" spans="2:92" s="367" customFormat="1" ht="15.75" hidden="1" customHeight="1" outlineLevel="1">
      <c r="B81" s="852">
        <f ca="1">IF('Month A'!B81&lt;&gt;"",'Month A'!B81,)</f>
        <v>0</v>
      </c>
      <c r="C81" s="454">
        <f ca="1">'Month A'!C81</f>
        <v>0</v>
      </c>
      <c r="D81" s="74"/>
      <c r="E81" s="521"/>
      <c r="F81" s="858"/>
      <c r="H81" s="543"/>
      <c r="I81" s="853"/>
      <c r="J81" s="6"/>
      <c r="K81" s="541"/>
      <c r="L81" s="860"/>
      <c r="M81" s="20" t="str">
        <f>IF(J81="","",$M$5-SUM($J$7:J81))</f>
        <v/>
      </c>
      <c r="O81" s="7"/>
      <c r="P81" s="873">
        <f>IF('Month A'!Q81&lt;&gt;'Month A'!R81,IF('Month A'!Q81&lt;&gt;0,IF('Month A'!S81&lt;&gt;'Month A'!T81,'Month A'!P81,),),)</f>
        <v>0</v>
      </c>
      <c r="Q81" s="795">
        <f>IF('Month A'!Q81&lt;&gt;'Month A'!R81,IF('Month A'!Q81&lt;&gt;0,IF('Month A'!S81&lt;&gt;'Month A'!T81,'Month A'!Q81,),),)</f>
        <v>0</v>
      </c>
      <c r="R81" s="628">
        <f>IF('Month A'!Q81&lt;&gt;'Month A'!R81,IF('Month A'!Q81&lt;&gt;0,IF('Month A'!S81&lt;&gt;'Month A'!T81,0,Q81),Q81),Q81)</f>
        <v>0</v>
      </c>
      <c r="S81" s="796">
        <f>IF('Month A'!Q81&lt;&gt;'Month A'!R81,IF('Month A'!Q81&lt;&gt;0,IF('Month A'!S81&lt;&gt;'Month A'!T81,'Month A'!S81+1,),),)</f>
        <v>0</v>
      </c>
      <c r="T81" s="796">
        <f>IF('Month A'!Q81&lt;&gt;'Month A'!R81,IF('Month A'!Q81&lt;&gt;0,IF('Month A'!S81&lt;&gt;'Month A'!T81,'Month A'!T81,),),)</f>
        <v>0</v>
      </c>
      <c r="U81" s="797">
        <f>IF('Month A'!Q81&lt;&gt;'Month A'!R81,IF('Month A'!Q81&lt;&gt;0,IF('Month A'!S81&lt;&gt;'Month A'!T81,'Month A'!U81,),),)</f>
        <v>0</v>
      </c>
      <c r="V81" s="875">
        <f>IF('Month A'!Q81&lt;&gt;'Month A'!R81,IF('Month A'!Q81&lt;&gt;0,IF('Month A'!S81&lt;&gt;'Month A'!T81,'Month A'!V81,),),)</f>
        <v>0</v>
      </c>
      <c r="W81" s="633">
        <f>IF(Q81="","",$W$5-SUM($Q$7:$Q$45)-SUM($Q$64:Q81))</f>
        <v>0</v>
      </c>
      <c r="AO81" s="86"/>
      <c r="AP81" s="86"/>
      <c r="AQ81" s="86"/>
      <c r="AR81" s="86"/>
      <c r="AS81" s="86"/>
      <c r="AT81" s="86"/>
      <c r="AU81" s="86"/>
      <c r="AV81" s="86"/>
      <c r="AW81" s="86"/>
      <c r="AX81" s="86"/>
      <c r="AY81" s="86"/>
      <c r="CM81" s="86"/>
      <c r="CN81" s="86"/>
    </row>
    <row r="82" spans="2:92" s="367" customFormat="1" ht="15.75" hidden="1" customHeight="1" outlineLevel="1">
      <c r="B82" s="852">
        <f ca="1">IF('Month A'!B82&lt;&gt;"",'Month A'!B82,)</f>
        <v>0</v>
      </c>
      <c r="C82" s="454">
        <f ca="1">'Month A'!C82</f>
        <v>0</v>
      </c>
      <c r="D82" s="74"/>
      <c r="E82" s="521"/>
      <c r="F82" s="858"/>
      <c r="H82" s="543"/>
      <c r="I82" s="853"/>
      <c r="J82" s="6"/>
      <c r="K82" s="541"/>
      <c r="L82" s="860"/>
      <c r="M82" s="20" t="str">
        <f>IF(J82="","",$M$5-SUM($J$7:J82))</f>
        <v/>
      </c>
      <c r="O82" s="7"/>
      <c r="P82" s="873">
        <f>IF('Month A'!Q82&lt;&gt;'Month A'!R82,IF('Month A'!Q82&lt;&gt;0,IF('Month A'!S82&lt;&gt;'Month A'!T82,'Month A'!P82,),),)</f>
        <v>0</v>
      </c>
      <c r="Q82" s="795">
        <f>IF('Month A'!Q82&lt;&gt;'Month A'!R82,IF('Month A'!Q82&lt;&gt;0,IF('Month A'!S82&lt;&gt;'Month A'!T82,'Month A'!Q82,),),)</f>
        <v>0</v>
      </c>
      <c r="R82" s="628">
        <f>IF('Month A'!Q82&lt;&gt;'Month A'!R82,IF('Month A'!Q82&lt;&gt;0,IF('Month A'!S82&lt;&gt;'Month A'!T82,0,Q82),Q82),Q82)</f>
        <v>0</v>
      </c>
      <c r="S82" s="796">
        <f>IF('Month A'!Q82&lt;&gt;'Month A'!R82,IF('Month A'!Q82&lt;&gt;0,IF('Month A'!S82&lt;&gt;'Month A'!T82,'Month A'!S82+1,),),)</f>
        <v>0</v>
      </c>
      <c r="T82" s="796">
        <f>IF('Month A'!Q82&lt;&gt;'Month A'!R82,IF('Month A'!Q82&lt;&gt;0,IF('Month A'!S82&lt;&gt;'Month A'!T82,'Month A'!T82,),),)</f>
        <v>0</v>
      </c>
      <c r="U82" s="797">
        <f>IF('Month A'!Q82&lt;&gt;'Month A'!R82,IF('Month A'!Q82&lt;&gt;0,IF('Month A'!S82&lt;&gt;'Month A'!T82,'Month A'!U82,),),)</f>
        <v>0</v>
      </c>
      <c r="V82" s="875">
        <f>IF('Month A'!Q82&lt;&gt;'Month A'!R82,IF('Month A'!Q82&lt;&gt;0,IF('Month A'!S82&lt;&gt;'Month A'!T82,'Month A'!V82,),),)</f>
        <v>0</v>
      </c>
      <c r="W82" s="633">
        <f>IF(Q82="","",$W$5-SUM($Q$7:$Q$45)-SUM($Q$64:Q82))</f>
        <v>0</v>
      </c>
      <c r="AO82" s="86"/>
      <c r="AP82" s="86"/>
      <c r="AQ82" s="86"/>
      <c r="AR82" s="86"/>
      <c r="AS82" s="86"/>
      <c r="AT82" s="86"/>
      <c r="AU82" s="86"/>
      <c r="AV82" s="86"/>
      <c r="AW82" s="86"/>
      <c r="AX82" s="86"/>
      <c r="AY82" s="86"/>
      <c r="CM82" s="86"/>
      <c r="CN82" s="86"/>
    </row>
    <row r="83" spans="2:92" s="367" customFormat="1" ht="15.75" hidden="1" customHeight="1" outlineLevel="1">
      <c r="B83" s="852">
        <f ca="1">IF('Month A'!B83&lt;&gt;"",'Month A'!B83,)</f>
        <v>0</v>
      </c>
      <c r="C83" s="454">
        <f ca="1">'Month A'!C83</f>
        <v>0</v>
      </c>
      <c r="D83" s="74"/>
      <c r="E83" s="521"/>
      <c r="F83" s="858"/>
      <c r="H83" s="543"/>
      <c r="I83" s="853"/>
      <c r="J83" s="6"/>
      <c r="K83" s="541"/>
      <c r="L83" s="860"/>
      <c r="M83" s="20" t="str">
        <f>IF(J83="","",$M$5-SUM($J$7:J83))</f>
        <v/>
      </c>
      <c r="O83" s="7"/>
      <c r="P83" s="873">
        <f>IF('Month A'!Q83&lt;&gt;'Month A'!R83,IF('Month A'!Q83&lt;&gt;0,IF('Month A'!S83&lt;&gt;'Month A'!T83,'Month A'!P83,),),)</f>
        <v>0</v>
      </c>
      <c r="Q83" s="795">
        <f>IF('Month A'!Q83&lt;&gt;'Month A'!R83,IF('Month A'!Q83&lt;&gt;0,IF('Month A'!S83&lt;&gt;'Month A'!T83,'Month A'!Q83,),),)</f>
        <v>0</v>
      </c>
      <c r="R83" s="628">
        <f>IF('Month A'!Q83&lt;&gt;'Month A'!R83,IF('Month A'!Q83&lt;&gt;0,IF('Month A'!S83&lt;&gt;'Month A'!T83,0,Q83),Q83),Q83)</f>
        <v>0</v>
      </c>
      <c r="S83" s="796">
        <f>IF('Month A'!Q83&lt;&gt;'Month A'!R83,IF('Month A'!Q83&lt;&gt;0,IF('Month A'!S83&lt;&gt;'Month A'!T83,'Month A'!S83+1,),),)</f>
        <v>0</v>
      </c>
      <c r="T83" s="796">
        <f>IF('Month A'!Q83&lt;&gt;'Month A'!R83,IF('Month A'!Q83&lt;&gt;0,IF('Month A'!S83&lt;&gt;'Month A'!T83,'Month A'!T83,),),)</f>
        <v>0</v>
      </c>
      <c r="U83" s="797">
        <f>IF('Month A'!Q83&lt;&gt;'Month A'!R83,IF('Month A'!Q83&lt;&gt;0,IF('Month A'!S83&lt;&gt;'Month A'!T83,'Month A'!U83,),),)</f>
        <v>0</v>
      </c>
      <c r="V83" s="875">
        <f>IF('Month A'!Q83&lt;&gt;'Month A'!R83,IF('Month A'!Q83&lt;&gt;0,IF('Month A'!S83&lt;&gt;'Month A'!T83,'Month A'!V83,),),)</f>
        <v>0</v>
      </c>
      <c r="W83" s="633">
        <f>IF(Q83="","",$W$5-SUM($Q$7:$Q$45)-SUM($Q$64:Q83))</f>
        <v>0</v>
      </c>
      <c r="AO83" s="86"/>
      <c r="AP83" s="86"/>
      <c r="AQ83" s="86"/>
      <c r="AR83" s="86"/>
      <c r="AS83" s="86"/>
      <c r="AT83" s="86"/>
      <c r="AU83" s="86"/>
      <c r="AV83" s="86"/>
      <c r="AW83" s="86"/>
      <c r="AX83" s="86"/>
      <c r="AY83" s="86"/>
      <c r="CM83" s="86"/>
      <c r="CN83" s="86"/>
    </row>
    <row r="84" spans="2:92" s="367" customFormat="1" ht="15.75" hidden="1" customHeight="1" outlineLevel="1">
      <c r="B84" s="852">
        <f ca="1">IF('Month A'!B84&lt;&gt;"",'Month A'!B84,)</f>
        <v>0</v>
      </c>
      <c r="C84" s="454">
        <f ca="1">'Month A'!C84</f>
        <v>0</v>
      </c>
      <c r="D84" s="74"/>
      <c r="E84" s="521"/>
      <c r="F84" s="858"/>
      <c r="H84" s="543"/>
      <c r="I84" s="853"/>
      <c r="J84" s="6"/>
      <c r="K84" s="541"/>
      <c r="L84" s="860"/>
      <c r="M84" s="20" t="str">
        <f>IF(J84="","",$M$5-SUM($J$7:J84))</f>
        <v/>
      </c>
      <c r="O84" s="7"/>
      <c r="P84" s="873">
        <f>IF('Month A'!Q84&lt;&gt;'Month A'!R84,IF('Month A'!Q84&lt;&gt;0,IF('Month A'!S84&lt;&gt;'Month A'!T84,'Month A'!P84,),),)</f>
        <v>0</v>
      </c>
      <c r="Q84" s="795">
        <f>IF('Month A'!Q84&lt;&gt;'Month A'!R84,IF('Month A'!Q84&lt;&gt;0,IF('Month A'!S84&lt;&gt;'Month A'!T84,'Month A'!Q84,),),)</f>
        <v>0</v>
      </c>
      <c r="R84" s="628">
        <f>IF('Month A'!Q84&lt;&gt;'Month A'!R84,IF('Month A'!Q84&lt;&gt;0,IF('Month A'!S84&lt;&gt;'Month A'!T84,0,Q84),Q84),Q84)</f>
        <v>0</v>
      </c>
      <c r="S84" s="796">
        <f>IF('Month A'!Q84&lt;&gt;'Month A'!R84,IF('Month A'!Q84&lt;&gt;0,IF('Month A'!S84&lt;&gt;'Month A'!T84,'Month A'!S84+1,),),)</f>
        <v>0</v>
      </c>
      <c r="T84" s="796">
        <f>IF('Month A'!Q84&lt;&gt;'Month A'!R84,IF('Month A'!Q84&lt;&gt;0,IF('Month A'!S84&lt;&gt;'Month A'!T84,'Month A'!T84,),),)</f>
        <v>0</v>
      </c>
      <c r="U84" s="797">
        <f>IF('Month A'!Q84&lt;&gt;'Month A'!R84,IF('Month A'!Q84&lt;&gt;0,IF('Month A'!S84&lt;&gt;'Month A'!T84,'Month A'!U84,),),)</f>
        <v>0</v>
      </c>
      <c r="V84" s="875">
        <f>IF('Month A'!Q84&lt;&gt;'Month A'!R84,IF('Month A'!Q84&lt;&gt;0,IF('Month A'!S84&lt;&gt;'Month A'!T84,'Month A'!V84,),),)</f>
        <v>0</v>
      </c>
      <c r="W84" s="633">
        <f>IF(Q84="","",$W$5-SUM($Q$7:$Q$45)-SUM($Q$64:Q84))</f>
        <v>0</v>
      </c>
      <c r="AO84" s="86"/>
      <c r="AP84" s="86"/>
      <c r="AQ84" s="86"/>
      <c r="AR84" s="86"/>
      <c r="AS84" s="86"/>
      <c r="AT84" s="86"/>
      <c r="AU84" s="86"/>
      <c r="AV84" s="86"/>
      <c r="AW84" s="86"/>
      <c r="AX84" s="86"/>
      <c r="AY84" s="86"/>
      <c r="CM84" s="86"/>
      <c r="CN84" s="86"/>
    </row>
    <row r="85" spans="2:92" s="367" customFormat="1" ht="15.75" hidden="1" customHeight="1" outlineLevel="1">
      <c r="B85" s="852">
        <f ca="1">IF('Month A'!B85&lt;&gt;"",'Month A'!B85,)</f>
        <v>0</v>
      </c>
      <c r="C85" s="454">
        <f ca="1">'Month A'!C85</f>
        <v>0</v>
      </c>
      <c r="D85" s="74"/>
      <c r="E85" s="521"/>
      <c r="F85" s="858"/>
      <c r="H85" s="543"/>
      <c r="I85" s="853"/>
      <c r="J85" s="6"/>
      <c r="K85" s="541"/>
      <c r="L85" s="860"/>
      <c r="M85" s="20" t="str">
        <f>IF(J85="","",$M$5-SUM($J$7:J85))</f>
        <v/>
      </c>
      <c r="O85" s="7"/>
      <c r="P85" s="873">
        <f>IF('Month A'!Q85&lt;&gt;'Month A'!R85,IF('Month A'!Q85&lt;&gt;0,IF('Month A'!S85&lt;&gt;'Month A'!T85,'Month A'!P85,),),)</f>
        <v>0</v>
      </c>
      <c r="Q85" s="795">
        <f>IF('Month A'!Q85&lt;&gt;'Month A'!R85,IF('Month A'!Q85&lt;&gt;0,IF('Month A'!S85&lt;&gt;'Month A'!T85,'Month A'!Q85,),),)</f>
        <v>0</v>
      </c>
      <c r="R85" s="628">
        <f>IF('Month A'!Q85&lt;&gt;'Month A'!R85,IF('Month A'!Q85&lt;&gt;0,IF('Month A'!S85&lt;&gt;'Month A'!T85,0,Q85),Q85),Q85)</f>
        <v>0</v>
      </c>
      <c r="S85" s="796">
        <f>IF('Month A'!Q85&lt;&gt;'Month A'!R85,IF('Month A'!Q85&lt;&gt;0,IF('Month A'!S85&lt;&gt;'Month A'!T85,'Month A'!S85+1,),),)</f>
        <v>0</v>
      </c>
      <c r="T85" s="796">
        <f>IF('Month A'!Q85&lt;&gt;'Month A'!R85,IF('Month A'!Q85&lt;&gt;0,IF('Month A'!S85&lt;&gt;'Month A'!T85,'Month A'!T85,),),)</f>
        <v>0</v>
      </c>
      <c r="U85" s="797">
        <f>IF('Month A'!Q85&lt;&gt;'Month A'!R85,IF('Month A'!Q85&lt;&gt;0,IF('Month A'!S85&lt;&gt;'Month A'!T85,'Month A'!U85,),),)</f>
        <v>0</v>
      </c>
      <c r="V85" s="875">
        <f>IF('Month A'!Q85&lt;&gt;'Month A'!R85,IF('Month A'!Q85&lt;&gt;0,IF('Month A'!S85&lt;&gt;'Month A'!T85,'Month A'!V85,),),)</f>
        <v>0</v>
      </c>
      <c r="W85" s="633">
        <f>IF(Q85="","",$W$5-SUM($Q$7:$Q$45)-SUM($Q$64:Q85))</f>
        <v>0</v>
      </c>
      <c r="AO85" s="86"/>
      <c r="AP85" s="86"/>
      <c r="AQ85" s="86"/>
      <c r="AR85" s="86"/>
      <c r="AS85" s="86"/>
      <c r="AT85" s="86"/>
      <c r="AU85" s="86"/>
      <c r="AV85" s="86"/>
      <c r="AW85" s="86"/>
      <c r="AX85" s="86"/>
      <c r="AY85" s="86"/>
      <c r="CM85" s="86"/>
      <c r="CN85" s="86"/>
    </row>
    <row r="86" spans="2:92" s="367" customFormat="1" ht="15.75" hidden="1" customHeight="1" outlineLevel="1">
      <c r="B86" s="852">
        <f ca="1">IF('Month A'!B86&lt;&gt;"",'Month A'!B86,)</f>
        <v>0</v>
      </c>
      <c r="C86" s="454">
        <f ca="1">'Month A'!C86</f>
        <v>0</v>
      </c>
      <c r="D86" s="74"/>
      <c r="E86" s="521"/>
      <c r="F86" s="858"/>
      <c r="H86" s="543"/>
      <c r="I86" s="854"/>
      <c r="J86" s="6"/>
      <c r="K86" s="541"/>
      <c r="L86" s="860"/>
      <c r="M86" s="20" t="str">
        <f>IF(J86="","",$M$5-SUM($J$7:J86))</f>
        <v/>
      </c>
      <c r="O86" s="7"/>
      <c r="P86" s="873">
        <f>IF('Month A'!Q86&lt;&gt;'Month A'!R86,IF('Month A'!Q86&lt;&gt;0,IF('Month A'!S86&lt;&gt;'Month A'!T86,'Month A'!P86,),),)</f>
        <v>0</v>
      </c>
      <c r="Q86" s="795">
        <f>IF('Month A'!Q86&lt;&gt;'Month A'!R86,IF('Month A'!Q86&lt;&gt;0,IF('Month A'!S86&lt;&gt;'Month A'!T86,'Month A'!Q86,),),)</f>
        <v>0</v>
      </c>
      <c r="R86" s="628">
        <f>IF('Month A'!Q86&lt;&gt;'Month A'!R86,IF('Month A'!Q86&lt;&gt;0,IF('Month A'!S86&lt;&gt;'Month A'!T86,0,Q86),Q86),Q86)</f>
        <v>0</v>
      </c>
      <c r="S86" s="796">
        <f>IF('Month A'!Q86&lt;&gt;'Month A'!R86,IF('Month A'!Q86&lt;&gt;0,IF('Month A'!S86&lt;&gt;'Month A'!T86,'Month A'!S86+1,),),)</f>
        <v>0</v>
      </c>
      <c r="T86" s="796">
        <f>IF('Month A'!Q86&lt;&gt;'Month A'!R86,IF('Month A'!Q86&lt;&gt;0,IF('Month A'!S86&lt;&gt;'Month A'!T86,'Month A'!T86,),),)</f>
        <v>0</v>
      </c>
      <c r="U86" s="797">
        <f>IF('Month A'!Q86&lt;&gt;'Month A'!R86,IF('Month A'!Q86&lt;&gt;0,IF('Month A'!S86&lt;&gt;'Month A'!T86,'Month A'!U86,),),)</f>
        <v>0</v>
      </c>
      <c r="V86" s="875">
        <f>IF('Month A'!Q86&lt;&gt;'Month A'!R86,IF('Month A'!Q86&lt;&gt;0,IF('Month A'!S86&lt;&gt;'Month A'!T86,'Month A'!V86,),),)</f>
        <v>0</v>
      </c>
      <c r="W86" s="633">
        <f>IF(Q86="","",$W$5-SUM($Q$7:$Q$45)-SUM($Q$64:Q86))</f>
        <v>0</v>
      </c>
      <c r="AO86" s="86"/>
      <c r="AP86" s="86"/>
      <c r="AQ86" s="86"/>
      <c r="AR86" s="86"/>
      <c r="AS86" s="86"/>
      <c r="AT86" s="86"/>
      <c r="AU86" s="86"/>
      <c r="AV86" s="86"/>
      <c r="AW86" s="86"/>
      <c r="AX86" s="86"/>
      <c r="AY86" s="86"/>
      <c r="CM86" s="86"/>
      <c r="CN86" s="86"/>
    </row>
    <row r="87" spans="2:92" s="367" customFormat="1" ht="15.75" hidden="1" customHeight="1" outlineLevel="1">
      <c r="H87" s="543"/>
      <c r="I87" s="853"/>
      <c r="J87" s="6"/>
      <c r="K87" s="541"/>
      <c r="L87" s="860"/>
      <c r="M87" s="20" t="str">
        <f>IF(J87="","",$M$5-SUM($J$7:J87))</f>
        <v/>
      </c>
      <c r="O87" s="7"/>
      <c r="P87" s="873">
        <f>IF('Month A'!Q87&lt;&gt;'Month A'!R87,IF('Month A'!Q87&lt;&gt;0,IF('Month A'!S87&lt;&gt;'Month A'!T87,'Month A'!P87,),),)</f>
        <v>0</v>
      </c>
      <c r="Q87" s="795">
        <f>IF('Month A'!Q87&lt;&gt;'Month A'!R87,IF('Month A'!Q87&lt;&gt;0,IF('Month A'!S87&lt;&gt;'Month A'!T87,'Month A'!Q87,),),)</f>
        <v>0</v>
      </c>
      <c r="R87" s="628">
        <f>IF('Month A'!Q87&lt;&gt;'Month A'!R87,IF('Month A'!Q87&lt;&gt;0,IF('Month A'!S87&lt;&gt;'Month A'!T87,0,Q87),Q87),Q87)</f>
        <v>0</v>
      </c>
      <c r="S87" s="796">
        <f>IF('Month A'!Q87&lt;&gt;'Month A'!R87,IF('Month A'!Q87&lt;&gt;0,IF('Month A'!S87&lt;&gt;'Month A'!T87,'Month A'!S87+1,),),)</f>
        <v>0</v>
      </c>
      <c r="T87" s="796">
        <f>IF('Month A'!Q87&lt;&gt;'Month A'!R87,IF('Month A'!Q87&lt;&gt;0,IF('Month A'!S87&lt;&gt;'Month A'!T87,'Month A'!T87,),),)</f>
        <v>0</v>
      </c>
      <c r="U87" s="797">
        <f>IF('Month A'!Q87&lt;&gt;'Month A'!R87,IF('Month A'!Q87&lt;&gt;0,IF('Month A'!S87&lt;&gt;'Month A'!T87,'Month A'!U87,),),)</f>
        <v>0</v>
      </c>
      <c r="V87" s="875">
        <f>IF('Month A'!Q87&lt;&gt;'Month A'!R87,IF('Month A'!Q87&lt;&gt;0,IF('Month A'!S87&lt;&gt;'Month A'!T87,'Month A'!V87,),),)</f>
        <v>0</v>
      </c>
      <c r="W87" s="633">
        <f>IF(Q87="","",$W$5-SUM($Q$7:$Q$45)-SUM($Q$64:Q87))</f>
        <v>0</v>
      </c>
      <c r="AO87" s="86"/>
      <c r="AP87" s="86"/>
      <c r="AQ87" s="86"/>
      <c r="AR87" s="86"/>
      <c r="AS87" s="86"/>
      <c r="AT87" s="86"/>
      <c r="AU87" s="86"/>
      <c r="AV87" s="86"/>
      <c r="AW87" s="86"/>
      <c r="AX87" s="86"/>
      <c r="AY87" s="86"/>
      <c r="CM87" s="86"/>
      <c r="CN87" s="86"/>
    </row>
    <row r="88" spans="2:92" s="367" customFormat="1" ht="15.75" hidden="1" customHeight="1" outlineLevel="1">
      <c r="H88" s="543"/>
      <c r="I88" s="853"/>
      <c r="J88" s="6"/>
      <c r="K88" s="541"/>
      <c r="L88" s="860"/>
      <c r="M88" s="20" t="str">
        <f>IF(J88="","",$M$5-SUM($J$7:J88))</f>
        <v/>
      </c>
      <c r="O88" s="7"/>
      <c r="P88" s="871">
        <f>IF('Month A'!Q88&lt;&gt;'Month A'!R88,IF('Month A'!Q88&lt;&gt;0,IF('Month A'!S88&lt;&gt;'Month A'!T88,'Month A'!P88,),),)</f>
        <v>0</v>
      </c>
      <c r="Q88" s="795">
        <f>IF('Month A'!Q88&lt;&gt;'Month A'!R88,IF('Month A'!Q88&lt;&gt;0,IF('Month A'!S88&lt;&gt;'Month A'!T88,'Month A'!Q88,),),)</f>
        <v>0</v>
      </c>
      <c r="R88" s="628">
        <f>IF('Month A'!Q88&lt;&gt;'Month A'!R88,IF('Month A'!Q88&lt;&gt;0,IF('Month A'!S88&lt;&gt;'Month A'!T88,0,Q88),Q88),Q88)</f>
        <v>0</v>
      </c>
      <c r="S88" s="796">
        <f>IF('Month A'!Q88&lt;&gt;'Month A'!R88,IF('Month A'!Q88&lt;&gt;0,IF('Month A'!S88&lt;&gt;'Month A'!T88,'Month A'!S88+1,),),)</f>
        <v>0</v>
      </c>
      <c r="T88" s="796">
        <f>IF('Month A'!Q88&lt;&gt;'Month A'!R88,IF('Month A'!Q88&lt;&gt;0,IF('Month A'!S88&lt;&gt;'Month A'!T88,'Month A'!T88,),),)</f>
        <v>0</v>
      </c>
      <c r="U88" s="797">
        <f>IF('Month A'!Q88&lt;&gt;'Month A'!R88,IF('Month A'!Q88&lt;&gt;0,IF('Month A'!S88&lt;&gt;'Month A'!T88,'Month A'!U88,),),)</f>
        <v>0</v>
      </c>
      <c r="V88" s="875">
        <f>IF('Month A'!Q88&lt;&gt;'Month A'!R88,IF('Month A'!Q88&lt;&gt;0,IF('Month A'!S88&lt;&gt;'Month A'!T88,'Month A'!V88,),),)</f>
        <v>0</v>
      </c>
      <c r="W88" s="633">
        <f>IF(Q88="","",$W$5-SUM($Q$7:$Q$45)-SUM($Q$64:Q88))</f>
        <v>0</v>
      </c>
      <c r="AO88" s="86"/>
      <c r="AP88" s="86"/>
      <c r="AQ88" s="86"/>
      <c r="AR88" s="86"/>
      <c r="AS88" s="86"/>
      <c r="AT88" s="86"/>
      <c r="AU88" s="86"/>
      <c r="AV88" s="86"/>
      <c r="AW88" s="86"/>
      <c r="AX88" s="86"/>
      <c r="AY88" s="86"/>
      <c r="CM88" s="86"/>
      <c r="CN88" s="86"/>
    </row>
    <row r="89" spans="2:92" s="367" customFormat="1" ht="15.75" hidden="1" customHeight="1" outlineLevel="1">
      <c r="H89" s="543"/>
      <c r="I89" s="853"/>
      <c r="J89" s="6"/>
      <c r="K89" s="541"/>
      <c r="L89" s="860"/>
      <c r="M89" s="20" t="str">
        <f>IF(J89="","",$M$5-SUM($J$7:J89))</f>
        <v/>
      </c>
      <c r="O89" s="7"/>
      <c r="P89" s="873">
        <f>IF('Month A'!Q89&lt;&gt;'Month A'!R89,IF('Month A'!Q89&lt;&gt;0,IF('Month A'!S89&lt;&gt;'Month A'!T89,'Month A'!P89,),),)</f>
        <v>0</v>
      </c>
      <c r="Q89" s="795">
        <f>IF('Month A'!Q89&lt;&gt;'Month A'!R89,IF('Month A'!Q89&lt;&gt;0,IF('Month A'!S89&lt;&gt;'Month A'!T89,'Month A'!Q89,),),)</f>
        <v>0</v>
      </c>
      <c r="R89" s="628">
        <f>IF('Month A'!Q89&lt;&gt;'Month A'!R89,IF('Month A'!Q89&lt;&gt;0,IF('Month A'!S89&lt;&gt;'Month A'!T89,0,Q89),Q89),Q89)</f>
        <v>0</v>
      </c>
      <c r="S89" s="796">
        <f>IF('Month A'!Q89&lt;&gt;'Month A'!R89,IF('Month A'!Q89&lt;&gt;0,IF('Month A'!S89&lt;&gt;'Month A'!T89,'Month A'!S89+1,),),)</f>
        <v>0</v>
      </c>
      <c r="T89" s="796">
        <f>IF('Month A'!Q89&lt;&gt;'Month A'!R89,IF('Month A'!Q89&lt;&gt;0,IF('Month A'!S89&lt;&gt;'Month A'!T89,'Month A'!T89,),),)</f>
        <v>0</v>
      </c>
      <c r="U89" s="797">
        <f>IF('Month A'!Q89&lt;&gt;'Month A'!R89,IF('Month A'!Q89&lt;&gt;0,IF('Month A'!S89&lt;&gt;'Month A'!T89,'Month A'!U89,),),)</f>
        <v>0</v>
      </c>
      <c r="V89" s="875">
        <f>IF('Month A'!Q89&lt;&gt;'Month A'!R89,IF('Month A'!Q89&lt;&gt;0,IF('Month A'!S89&lt;&gt;'Month A'!T89,'Month A'!V89,),),)</f>
        <v>0</v>
      </c>
      <c r="W89" s="633">
        <f>IF(Q89="","",$W$5-SUM($Q$7:$Q$45)-SUM($Q$64:Q89))</f>
        <v>0</v>
      </c>
      <c r="AO89" s="86"/>
      <c r="AP89" s="86"/>
      <c r="AQ89" s="86"/>
      <c r="AR89" s="86"/>
      <c r="AS89" s="86"/>
      <c r="AT89" s="86"/>
      <c r="AU89" s="86"/>
      <c r="AV89" s="86"/>
      <c r="AW89" s="86"/>
      <c r="AX89" s="86"/>
      <c r="AY89" s="86"/>
      <c r="CM89" s="86"/>
      <c r="CN89" s="86"/>
    </row>
    <row r="90" spans="2:92" s="367" customFormat="1" ht="15.75" hidden="1" customHeight="1" outlineLevel="1">
      <c r="H90" s="543"/>
      <c r="I90" s="853"/>
      <c r="J90" s="6"/>
      <c r="K90" s="541"/>
      <c r="L90" s="860"/>
      <c r="M90" s="20" t="str">
        <f>IF(J90="","",$M$5-SUM($J$7:J90))</f>
        <v/>
      </c>
      <c r="O90" s="7"/>
      <c r="P90" s="871">
        <f>IF('Month A'!Q90&lt;&gt;'Month A'!R90,IF('Month A'!Q90&lt;&gt;0,IF('Month A'!S90&lt;&gt;'Month A'!T90,'Month A'!P90,),),)</f>
        <v>0</v>
      </c>
      <c r="Q90" s="795">
        <f>IF('Month A'!Q90&lt;&gt;'Month A'!R90,IF('Month A'!Q90&lt;&gt;0,IF('Month A'!S90&lt;&gt;'Month A'!T90,'Month A'!Q90,),),)</f>
        <v>0</v>
      </c>
      <c r="R90" s="628">
        <f>IF('Month A'!Q90&lt;&gt;'Month A'!R90,IF('Month A'!Q90&lt;&gt;0,IF('Month A'!S90&lt;&gt;'Month A'!T90,0,Q90),Q90),Q90)</f>
        <v>0</v>
      </c>
      <c r="S90" s="796">
        <f>IF('Month A'!Q90&lt;&gt;'Month A'!R90,IF('Month A'!Q90&lt;&gt;0,IF('Month A'!S90&lt;&gt;'Month A'!T90,'Month A'!S90+1,),),)</f>
        <v>0</v>
      </c>
      <c r="T90" s="796">
        <f>IF('Month A'!Q90&lt;&gt;'Month A'!R90,IF('Month A'!Q90&lt;&gt;0,IF('Month A'!S90&lt;&gt;'Month A'!T90,'Month A'!T90,),),)</f>
        <v>0</v>
      </c>
      <c r="U90" s="797">
        <f>IF('Month A'!Q90&lt;&gt;'Month A'!R90,IF('Month A'!Q90&lt;&gt;0,IF('Month A'!S90&lt;&gt;'Month A'!T90,'Month A'!U90,),),)</f>
        <v>0</v>
      </c>
      <c r="V90" s="875">
        <f>IF('Month A'!Q90&lt;&gt;'Month A'!R90,IF('Month A'!Q90&lt;&gt;0,IF('Month A'!S90&lt;&gt;'Month A'!T90,'Month A'!V90,),),)</f>
        <v>0</v>
      </c>
      <c r="W90" s="633">
        <f>IF(Q90="","",$W$5-SUM($Q$7:$Q$45)-SUM($Q$64:Q90))</f>
        <v>0</v>
      </c>
      <c r="AO90" s="86"/>
      <c r="AP90" s="86"/>
      <c r="AQ90" s="86"/>
      <c r="AR90" s="86"/>
      <c r="AS90" s="86"/>
      <c r="AT90" s="86"/>
      <c r="AU90" s="86"/>
      <c r="AV90" s="86"/>
      <c r="AW90" s="86"/>
      <c r="AX90" s="86"/>
      <c r="AY90" s="86"/>
      <c r="CM90" s="86"/>
      <c r="CN90" s="86"/>
    </row>
    <row r="91" spans="2:92" s="367" customFormat="1" ht="15.75" hidden="1" customHeight="1" outlineLevel="1">
      <c r="H91" s="543"/>
      <c r="I91" s="853"/>
      <c r="J91" s="6"/>
      <c r="K91" s="541"/>
      <c r="L91" s="860"/>
      <c r="M91" s="20" t="str">
        <f>IF(J91="","",$M$5-SUM($J$7:J91))</f>
        <v/>
      </c>
      <c r="O91" s="7"/>
      <c r="P91" s="873">
        <f>IF('Month A'!Q91&lt;&gt;'Month A'!R91,IF('Month A'!Q91&lt;&gt;0,IF('Month A'!S91&lt;&gt;'Month A'!T91,'Month A'!P91,),),)</f>
        <v>0</v>
      </c>
      <c r="Q91" s="795">
        <f>IF('Month A'!Q91&lt;&gt;'Month A'!R91,IF('Month A'!Q91&lt;&gt;0,IF('Month A'!S91&lt;&gt;'Month A'!T91,'Month A'!Q91,),),)</f>
        <v>0</v>
      </c>
      <c r="R91" s="628">
        <f>IF('Month A'!Q91&lt;&gt;'Month A'!R91,IF('Month A'!Q91&lt;&gt;0,IF('Month A'!S91&lt;&gt;'Month A'!T91,0,Q91),Q91),Q91)</f>
        <v>0</v>
      </c>
      <c r="S91" s="796">
        <f>IF('Month A'!Q91&lt;&gt;'Month A'!R91,IF('Month A'!Q91&lt;&gt;0,IF('Month A'!S91&lt;&gt;'Month A'!T91,'Month A'!S91+1,),),)</f>
        <v>0</v>
      </c>
      <c r="T91" s="796">
        <f>IF('Month A'!Q91&lt;&gt;'Month A'!R91,IF('Month A'!Q91&lt;&gt;0,IF('Month A'!S91&lt;&gt;'Month A'!T91,'Month A'!T91,),),)</f>
        <v>0</v>
      </c>
      <c r="U91" s="797">
        <f>IF('Month A'!Q91&lt;&gt;'Month A'!R91,IF('Month A'!Q91&lt;&gt;0,IF('Month A'!S91&lt;&gt;'Month A'!T91,'Month A'!U91,),),)</f>
        <v>0</v>
      </c>
      <c r="V91" s="875">
        <f>IF('Month A'!Q91&lt;&gt;'Month A'!R91,IF('Month A'!Q91&lt;&gt;0,IF('Month A'!S91&lt;&gt;'Month A'!T91,'Month A'!V91,),),)</f>
        <v>0</v>
      </c>
      <c r="W91" s="633">
        <f>IF(Q91="","",$W$5-SUM($Q$7:$Q$45)-SUM($Q$64:Q91))</f>
        <v>0</v>
      </c>
      <c r="AO91" s="86"/>
      <c r="AP91" s="86"/>
      <c r="AQ91" s="86"/>
      <c r="AR91" s="86"/>
      <c r="AS91" s="86"/>
      <c r="AT91" s="86"/>
      <c r="AU91" s="86"/>
      <c r="AV91" s="86"/>
      <c r="AW91" s="86"/>
      <c r="AX91" s="86"/>
      <c r="AY91" s="86"/>
      <c r="CM91" s="86"/>
      <c r="CN91" s="86"/>
    </row>
    <row r="92" spans="2:92" s="367" customFormat="1" ht="15.75" hidden="1" customHeight="1" outlineLevel="1">
      <c r="H92" s="543"/>
      <c r="I92" s="853"/>
      <c r="J92" s="6"/>
      <c r="K92" s="541"/>
      <c r="L92" s="860"/>
      <c r="M92" s="20" t="str">
        <f>IF(J92="","",$M$5-SUM($J$7:J92))</f>
        <v/>
      </c>
      <c r="O92" s="7"/>
      <c r="P92" s="871">
        <f>IF('Month A'!Q92&lt;&gt;'Month A'!R92,IF('Month A'!Q92&lt;&gt;0,IF('Month A'!S92&lt;&gt;'Month A'!T92,'Month A'!P92,),),)</f>
        <v>0</v>
      </c>
      <c r="Q92" s="799">
        <f>IF('Month A'!Q92&lt;&gt;'Month A'!R92,IF('Month A'!Q92&lt;&gt;0,IF('Month A'!S92&lt;&gt;'Month A'!T92,'Month A'!Q92,),),)</f>
        <v>0</v>
      </c>
      <c r="R92" s="628">
        <f>IF('Month A'!Q92&lt;&gt;'Month A'!R92,IF('Month A'!Q92&lt;&gt;0,IF('Month A'!S92&lt;&gt;'Month A'!T92,0,Q92),Q92),Q92)</f>
        <v>0</v>
      </c>
      <c r="S92" s="796">
        <f>IF('Month A'!Q92&lt;&gt;'Month A'!R92,IF('Month A'!Q92&lt;&gt;0,IF('Month A'!S92&lt;&gt;'Month A'!T92,'Month A'!S92+1,),),)</f>
        <v>0</v>
      </c>
      <c r="T92" s="796">
        <f>IF('Month A'!Q92&lt;&gt;'Month A'!R92,IF('Month A'!Q92&lt;&gt;0,IF('Month A'!S92&lt;&gt;'Month A'!T92,'Month A'!T92,),),)</f>
        <v>0</v>
      </c>
      <c r="U92" s="797">
        <f>IF('Month A'!Q92&lt;&gt;'Month A'!R92,IF('Month A'!Q92&lt;&gt;0,IF('Month A'!S92&lt;&gt;'Month A'!T92,'Month A'!U92,),),)</f>
        <v>0</v>
      </c>
      <c r="V92" s="875">
        <f>IF('Month A'!Q92&lt;&gt;'Month A'!R92,IF('Month A'!Q92&lt;&gt;0,IF('Month A'!S92&lt;&gt;'Month A'!T92,'Month A'!V92,),),)</f>
        <v>0</v>
      </c>
      <c r="W92" s="634">
        <f>IF(Q92="","",$W$5-SUM($Q$7:$Q$45)-SUM($Q$64:Q92))</f>
        <v>0</v>
      </c>
      <c r="AO92" s="86"/>
      <c r="AP92" s="86"/>
      <c r="AQ92" s="86"/>
      <c r="AR92" s="86"/>
      <c r="AS92" s="86"/>
      <c r="AT92" s="86"/>
      <c r="AU92" s="86"/>
      <c r="AV92" s="86"/>
      <c r="AW92" s="86"/>
      <c r="AX92" s="86"/>
      <c r="AY92" s="86"/>
      <c r="CM92" s="86"/>
      <c r="CN92" s="86"/>
    </row>
    <row r="93" spans="2:92" s="367" customFormat="1" ht="15.75" hidden="1" customHeight="1" outlineLevel="1">
      <c r="H93" s="543"/>
      <c r="I93" s="853"/>
      <c r="J93" s="6"/>
      <c r="K93" s="541"/>
      <c r="L93" s="860"/>
      <c r="M93" s="20" t="str">
        <f>IF(J93="","",$M$5-SUM($J$7:J93))</f>
        <v/>
      </c>
      <c r="O93" s="7"/>
      <c r="P93" s="873">
        <f>IF('Month A'!Q93&lt;&gt;'Month A'!R93,IF('Month A'!Q93&lt;&gt;0,IF('Month A'!S93&lt;&gt;'Month A'!T93,'Month A'!P93,),),)</f>
        <v>0</v>
      </c>
      <c r="Q93" s="795">
        <f>IF('Month A'!Q93&lt;&gt;'Month A'!R93,IF('Month A'!Q93&lt;&gt;0,IF('Month A'!S93&lt;&gt;'Month A'!T93,'Month A'!Q93,),),)</f>
        <v>0</v>
      </c>
      <c r="R93" s="628">
        <f>IF('Month A'!Q93&lt;&gt;'Month A'!R93,IF('Month A'!Q93&lt;&gt;0,IF('Month A'!S93&lt;&gt;'Month A'!T93,0,Q93),Q93),Q93)</f>
        <v>0</v>
      </c>
      <c r="S93" s="796">
        <f>IF('Month A'!Q93&lt;&gt;'Month A'!R93,IF('Month A'!Q93&lt;&gt;0,IF('Month A'!S93&lt;&gt;'Month A'!T93,'Month A'!S93+1,),),)</f>
        <v>0</v>
      </c>
      <c r="T93" s="796">
        <f>IF('Month A'!Q93&lt;&gt;'Month A'!R93,IF('Month A'!Q93&lt;&gt;0,IF('Month A'!S93&lt;&gt;'Month A'!T93,'Month A'!T93,),),)</f>
        <v>0</v>
      </c>
      <c r="U93" s="797">
        <f>IF('Month A'!Q93&lt;&gt;'Month A'!R93,IF('Month A'!Q93&lt;&gt;0,IF('Month A'!S93&lt;&gt;'Month A'!T93,'Month A'!U93,),),)</f>
        <v>0</v>
      </c>
      <c r="V93" s="875">
        <f>IF('Month A'!Q93&lt;&gt;'Month A'!R93,IF('Month A'!Q93&lt;&gt;0,IF('Month A'!S93&lt;&gt;'Month A'!T93,'Month A'!V93,),),)</f>
        <v>0</v>
      </c>
      <c r="W93" s="633">
        <f>IF(Q93="","",$W$5-SUM($Q$7:$Q$45)-SUM($Q$64:Q93))</f>
        <v>0</v>
      </c>
      <c r="AO93" s="86"/>
      <c r="AP93" s="86"/>
      <c r="AQ93" s="86"/>
      <c r="AR93" s="86"/>
      <c r="AS93" s="86"/>
      <c r="AT93" s="86"/>
      <c r="AU93" s="86"/>
      <c r="AV93" s="86"/>
      <c r="AW93" s="86"/>
      <c r="AX93" s="86"/>
      <c r="AY93" s="86"/>
      <c r="CM93" s="86"/>
      <c r="CN93" s="86"/>
    </row>
    <row r="94" spans="2:92" s="367" customFormat="1" ht="15.75" hidden="1" customHeight="1" outlineLevel="1">
      <c r="H94" s="543"/>
      <c r="I94" s="853"/>
      <c r="J94" s="6"/>
      <c r="K94" s="541"/>
      <c r="L94" s="860"/>
      <c r="M94" s="20" t="str">
        <f>IF(J94="","",$M$5-SUM($J$7:J94))</f>
        <v/>
      </c>
      <c r="O94" s="7"/>
      <c r="P94" s="871">
        <f>IF('Month A'!Q94&lt;&gt;'Month A'!R94,IF('Month A'!Q94&lt;&gt;0,IF('Month A'!S94&lt;&gt;'Month A'!T94,'Month A'!P94,),),)</f>
        <v>0</v>
      </c>
      <c r="Q94" s="795">
        <f>IF('Month A'!Q94&lt;&gt;'Month A'!R94,IF('Month A'!Q94&lt;&gt;0,IF('Month A'!S94&lt;&gt;'Month A'!T94,'Month A'!Q94,),),)</f>
        <v>0</v>
      </c>
      <c r="R94" s="628">
        <f>IF('Month A'!Q94&lt;&gt;'Month A'!R94,IF('Month A'!Q94&lt;&gt;0,IF('Month A'!S94&lt;&gt;'Month A'!T94,0,Q94),Q94),Q94)</f>
        <v>0</v>
      </c>
      <c r="S94" s="796">
        <f>IF('Month A'!Q94&lt;&gt;'Month A'!R94,IF('Month A'!Q94&lt;&gt;0,IF('Month A'!S94&lt;&gt;'Month A'!T94,'Month A'!S94+1,),),)</f>
        <v>0</v>
      </c>
      <c r="T94" s="796">
        <f>IF('Month A'!Q94&lt;&gt;'Month A'!R94,IF('Month A'!Q94&lt;&gt;0,IF('Month A'!S94&lt;&gt;'Month A'!T94,'Month A'!T94,),),)</f>
        <v>0</v>
      </c>
      <c r="U94" s="797">
        <f>IF('Month A'!Q94&lt;&gt;'Month A'!R94,IF('Month A'!Q94&lt;&gt;0,IF('Month A'!S94&lt;&gt;'Month A'!T94,'Month A'!U94,),),)</f>
        <v>0</v>
      </c>
      <c r="V94" s="875">
        <f>IF('Month A'!Q94&lt;&gt;'Month A'!R94,IF('Month A'!Q94&lt;&gt;0,IF('Month A'!S94&lt;&gt;'Month A'!T94,'Month A'!V94,),),)</f>
        <v>0</v>
      </c>
      <c r="W94" s="633">
        <f>IF(Q94="","",$W$5-SUM($Q$7:$Q$45)-SUM($Q$64:Q94))</f>
        <v>0</v>
      </c>
      <c r="AO94" s="86"/>
      <c r="AP94" s="86"/>
      <c r="AQ94" s="86"/>
      <c r="AR94" s="86"/>
      <c r="AS94" s="86"/>
      <c r="AT94" s="86"/>
      <c r="AU94" s="86"/>
      <c r="AV94" s="86"/>
      <c r="AW94" s="86"/>
      <c r="AX94" s="86"/>
      <c r="AY94" s="86"/>
      <c r="CM94" s="86"/>
      <c r="CN94" s="86"/>
    </row>
    <row r="95" spans="2:92" s="367" customFormat="1" ht="15.75" hidden="1" customHeight="1" outlineLevel="1">
      <c r="H95" s="543"/>
      <c r="I95" s="853"/>
      <c r="J95" s="6"/>
      <c r="K95" s="541"/>
      <c r="L95" s="860"/>
      <c r="M95" s="20" t="str">
        <f>IF(J95="","",$M$5-SUM($J$7:J95))</f>
        <v/>
      </c>
      <c r="O95" s="7"/>
      <c r="P95" s="873">
        <f>IF('Month A'!Q95&lt;&gt;'Month A'!R95,IF('Month A'!Q95&lt;&gt;0,IF('Month A'!S95&lt;&gt;'Month A'!T95,'Month A'!P95,),),)</f>
        <v>0</v>
      </c>
      <c r="Q95" s="795">
        <f>IF('Month A'!Q95&lt;&gt;'Month A'!R95,IF('Month A'!Q95&lt;&gt;0,IF('Month A'!S95&lt;&gt;'Month A'!T95,'Month A'!Q95,),),)</f>
        <v>0</v>
      </c>
      <c r="R95" s="628">
        <f>IF('Month A'!Q95&lt;&gt;'Month A'!R95,IF('Month A'!Q95&lt;&gt;0,IF('Month A'!S95&lt;&gt;'Month A'!T95,0,Q95),Q95),Q95)</f>
        <v>0</v>
      </c>
      <c r="S95" s="796">
        <f>IF('Month A'!Q95&lt;&gt;'Month A'!R95,IF('Month A'!Q95&lt;&gt;0,IF('Month A'!S95&lt;&gt;'Month A'!T95,'Month A'!S95+1,),),)</f>
        <v>0</v>
      </c>
      <c r="T95" s="796">
        <f>IF('Month A'!Q95&lt;&gt;'Month A'!R95,IF('Month A'!Q95&lt;&gt;0,IF('Month A'!S95&lt;&gt;'Month A'!T95,'Month A'!T95,),),)</f>
        <v>0</v>
      </c>
      <c r="U95" s="797">
        <f>IF('Month A'!Q95&lt;&gt;'Month A'!R95,IF('Month A'!Q95&lt;&gt;0,IF('Month A'!S95&lt;&gt;'Month A'!T95,'Month A'!U95,),),)</f>
        <v>0</v>
      </c>
      <c r="V95" s="875">
        <f>IF('Month A'!Q95&lt;&gt;'Month A'!R95,IF('Month A'!Q95&lt;&gt;0,IF('Month A'!S95&lt;&gt;'Month A'!T95,'Month A'!V95,),),)</f>
        <v>0</v>
      </c>
      <c r="W95" s="633">
        <f>IF(Q95="","",$W$5-SUM($Q$7:$Q$45)-SUM($Q$64:Q95))</f>
        <v>0</v>
      </c>
      <c r="AO95" s="86"/>
      <c r="AP95" s="86"/>
      <c r="AQ95" s="86"/>
      <c r="AR95" s="86"/>
      <c r="AS95" s="86"/>
      <c r="AT95" s="86"/>
      <c r="AU95" s="86"/>
      <c r="AV95" s="86"/>
      <c r="AW95" s="86"/>
      <c r="AX95" s="86"/>
      <c r="AY95" s="86"/>
      <c r="CM95" s="86"/>
      <c r="CN95" s="86"/>
    </row>
    <row r="96" spans="2:92" s="367" customFormat="1" ht="15.75" hidden="1" customHeight="1" outlineLevel="1">
      <c r="H96" s="543"/>
      <c r="I96" s="853"/>
      <c r="J96" s="6"/>
      <c r="K96" s="541"/>
      <c r="L96" s="860"/>
      <c r="M96" s="20" t="str">
        <f>IF(J96="","",$M$5-SUM($J$7:J96))</f>
        <v/>
      </c>
      <c r="O96" s="7"/>
      <c r="P96" s="872">
        <f>IF('Month A'!Q96&lt;&gt;'Month A'!R96,IF('Month A'!Q96&lt;&gt;0,IF('Month A'!S96&lt;&gt;'Month A'!T96,'Month A'!P96,),),)</f>
        <v>0</v>
      </c>
      <c r="Q96" s="795">
        <f>IF('Month A'!Q96&lt;&gt;'Month A'!R96,IF('Month A'!Q96&lt;&gt;0,IF('Month A'!S96&lt;&gt;'Month A'!T96,'Month A'!Q96,),),)</f>
        <v>0</v>
      </c>
      <c r="R96" s="628">
        <f>IF('Month A'!Q96&lt;&gt;'Month A'!R96,IF('Month A'!Q96&lt;&gt;0,IF('Month A'!S96&lt;&gt;'Month A'!T96,0,Q96),Q96),Q96)</f>
        <v>0</v>
      </c>
      <c r="S96" s="796">
        <f>IF('Month A'!Q96&lt;&gt;'Month A'!R96,IF('Month A'!Q96&lt;&gt;0,IF('Month A'!S96&lt;&gt;'Month A'!T96,'Month A'!S96+1,),),)</f>
        <v>0</v>
      </c>
      <c r="T96" s="796">
        <f>IF('Month A'!Q96&lt;&gt;'Month A'!R96,IF('Month A'!Q96&lt;&gt;0,IF('Month A'!S96&lt;&gt;'Month A'!T96,'Month A'!T96,),),)</f>
        <v>0</v>
      </c>
      <c r="U96" s="797">
        <f>IF('Month A'!Q96&lt;&gt;'Month A'!R96,IF('Month A'!Q96&lt;&gt;0,IF('Month A'!S96&lt;&gt;'Month A'!T96,'Month A'!U96,),),)</f>
        <v>0</v>
      </c>
      <c r="V96" s="875">
        <f>IF('Month A'!Q96&lt;&gt;'Month A'!R96,IF('Month A'!Q96&lt;&gt;0,IF('Month A'!S96&lt;&gt;'Month A'!T96,'Month A'!V96,),),)</f>
        <v>0</v>
      </c>
      <c r="W96" s="633">
        <f>IF(Q96="","",$W$5-SUM($Q$7:$Q$45)-SUM($Q$64:Q96))</f>
        <v>0</v>
      </c>
      <c r="AO96" s="86"/>
      <c r="AP96" s="86"/>
      <c r="AQ96" s="86"/>
      <c r="AR96" s="86"/>
      <c r="AS96" s="86"/>
      <c r="AT96" s="86"/>
      <c r="AU96" s="86"/>
      <c r="AV96" s="86"/>
      <c r="AW96" s="86"/>
      <c r="AX96" s="86"/>
      <c r="AY96" s="86"/>
      <c r="CM96" s="86"/>
      <c r="CN96" s="86"/>
    </row>
    <row r="97" spans="8:92" s="367" customFormat="1" ht="15.75" hidden="1" customHeight="1" outlineLevel="1">
      <c r="H97" s="543"/>
      <c r="I97" s="853"/>
      <c r="J97" s="6"/>
      <c r="K97" s="541"/>
      <c r="L97" s="860"/>
      <c r="M97" s="20" t="str">
        <f>IF(J97="","",$M$5-SUM($J$7:J97))</f>
        <v/>
      </c>
      <c r="O97" s="7"/>
      <c r="P97" s="871">
        <f>IF('Month A'!Q97&lt;&gt;'Month A'!R97,IF('Month A'!Q97&lt;&gt;0,IF('Month A'!S97&lt;&gt;'Month A'!T97,'Month A'!P97,),),)</f>
        <v>0</v>
      </c>
      <c r="Q97" s="795">
        <f>IF('Month A'!Q97&lt;&gt;'Month A'!R97,IF('Month A'!Q97&lt;&gt;0,IF('Month A'!S97&lt;&gt;'Month A'!T97,'Month A'!Q97,),),)</f>
        <v>0</v>
      </c>
      <c r="R97" s="628">
        <f>IF('Month A'!Q97&lt;&gt;'Month A'!R97,IF('Month A'!Q97&lt;&gt;0,IF('Month A'!S97&lt;&gt;'Month A'!T97,0,Q97),Q97),Q97)</f>
        <v>0</v>
      </c>
      <c r="S97" s="796">
        <f>IF('Month A'!Q97&lt;&gt;'Month A'!R97,IF('Month A'!Q97&lt;&gt;0,IF('Month A'!S97&lt;&gt;'Month A'!T97,'Month A'!S97+1,),),)</f>
        <v>0</v>
      </c>
      <c r="T97" s="796">
        <f>IF('Month A'!Q97&lt;&gt;'Month A'!R97,IF('Month A'!Q97&lt;&gt;0,IF('Month A'!S97&lt;&gt;'Month A'!T97,'Month A'!T97,),),)</f>
        <v>0</v>
      </c>
      <c r="U97" s="797">
        <f>IF('Month A'!Q97&lt;&gt;'Month A'!R97,IF('Month A'!Q97&lt;&gt;0,IF('Month A'!S97&lt;&gt;'Month A'!T97,'Month A'!U97,),),)</f>
        <v>0</v>
      </c>
      <c r="V97" s="875">
        <f>IF('Month A'!Q97&lt;&gt;'Month A'!R97,IF('Month A'!Q97&lt;&gt;0,IF('Month A'!S97&lt;&gt;'Month A'!T97,'Month A'!V97,),),)</f>
        <v>0</v>
      </c>
      <c r="W97" s="633">
        <f>IF(Q97="","",$W$5-SUM($Q$7:$Q$45)-SUM($Q$64:Q97))</f>
        <v>0</v>
      </c>
      <c r="AO97" s="86"/>
      <c r="AP97" s="86"/>
      <c r="AQ97" s="86"/>
      <c r="AR97" s="86"/>
      <c r="AS97" s="86"/>
      <c r="AT97" s="86"/>
      <c r="AU97" s="86"/>
      <c r="AV97" s="86"/>
      <c r="AW97" s="86"/>
      <c r="AX97" s="86"/>
      <c r="AY97" s="86"/>
      <c r="CM97" s="86"/>
      <c r="CN97" s="86"/>
    </row>
    <row r="98" spans="8:92" s="367" customFormat="1" ht="15.75" hidden="1" customHeight="1" outlineLevel="1">
      <c r="H98" s="543"/>
      <c r="I98" s="853"/>
      <c r="J98" s="6"/>
      <c r="K98" s="541"/>
      <c r="L98" s="860"/>
      <c r="M98" s="20" t="str">
        <f>IF(J98="","",$M$5-SUM($J$7:J98))</f>
        <v/>
      </c>
      <c r="O98" s="7"/>
      <c r="P98" s="871">
        <f>IF('Month A'!Q98&lt;&gt;'Month A'!R98,IF('Month A'!Q98&lt;&gt;0,IF('Month A'!S98&lt;&gt;'Month A'!T98,'Month A'!P98,),),)</f>
        <v>0</v>
      </c>
      <c r="Q98" s="795">
        <f>IF('Month A'!Q98&lt;&gt;'Month A'!R98,IF('Month A'!Q98&lt;&gt;0,IF('Month A'!S98&lt;&gt;'Month A'!T98,'Month A'!Q98,),),)</f>
        <v>0</v>
      </c>
      <c r="R98" s="628">
        <f>IF('Month A'!Q98&lt;&gt;'Month A'!R98,IF('Month A'!Q98&lt;&gt;0,IF('Month A'!S98&lt;&gt;'Month A'!T98,0,Q98),Q98),Q98)</f>
        <v>0</v>
      </c>
      <c r="S98" s="796">
        <f>IF('Month A'!Q98&lt;&gt;'Month A'!R98,IF('Month A'!Q98&lt;&gt;0,IF('Month A'!S98&lt;&gt;'Month A'!T98,'Month A'!S98+1,),),)</f>
        <v>0</v>
      </c>
      <c r="T98" s="796">
        <f>IF('Month A'!Q98&lt;&gt;'Month A'!R98,IF('Month A'!Q98&lt;&gt;0,IF('Month A'!S98&lt;&gt;'Month A'!T98,'Month A'!T98,),),)</f>
        <v>0</v>
      </c>
      <c r="U98" s="797">
        <f>IF('Month A'!Q98&lt;&gt;'Month A'!R98,IF('Month A'!Q98&lt;&gt;0,IF('Month A'!S98&lt;&gt;'Month A'!T98,'Month A'!U98,),),)</f>
        <v>0</v>
      </c>
      <c r="V98" s="875">
        <f>IF('Month A'!Q98&lt;&gt;'Month A'!R98,IF('Month A'!Q98&lt;&gt;0,IF('Month A'!S98&lt;&gt;'Month A'!T98,'Month A'!V98,),),)</f>
        <v>0</v>
      </c>
      <c r="W98" s="633">
        <f>IF(Q98="","",$W$5-SUM($Q$7:$Q$45)-SUM($Q$64:Q98))</f>
        <v>0</v>
      </c>
      <c r="AO98" s="86"/>
      <c r="AP98" s="86"/>
      <c r="AQ98" s="86"/>
      <c r="AR98" s="86"/>
      <c r="AS98" s="86"/>
      <c r="AT98" s="86"/>
      <c r="AU98" s="86"/>
      <c r="AV98" s="86"/>
      <c r="AW98" s="86"/>
      <c r="AX98" s="86"/>
      <c r="AY98" s="86"/>
      <c r="CM98" s="86"/>
      <c r="CN98" s="86"/>
    </row>
    <row r="99" spans="8:92" s="367" customFormat="1" ht="15.75" hidden="1" customHeight="1" outlineLevel="1">
      <c r="H99" s="543"/>
      <c r="I99" s="853"/>
      <c r="J99" s="6"/>
      <c r="K99" s="541"/>
      <c r="L99" s="860"/>
      <c r="M99" s="20" t="str">
        <f>IF(J99="","",$M$5-SUM($J$7:J99))</f>
        <v/>
      </c>
      <c r="O99" s="7"/>
      <c r="P99" s="873">
        <f>IF('Month A'!Q99&lt;&gt;'Month A'!R99,IF('Month A'!Q99&lt;&gt;0,IF('Month A'!S99&lt;&gt;'Month A'!T99,'Month A'!P99,),),)</f>
        <v>0</v>
      </c>
      <c r="Q99" s="795">
        <f>IF('Month A'!Q99&lt;&gt;'Month A'!R99,IF('Month A'!Q99&lt;&gt;0,IF('Month A'!S99&lt;&gt;'Month A'!T99,'Month A'!Q99,),),)</f>
        <v>0</v>
      </c>
      <c r="R99" s="628">
        <f>IF('Month A'!Q99&lt;&gt;'Month A'!R99,IF('Month A'!Q99&lt;&gt;0,IF('Month A'!S99&lt;&gt;'Month A'!T99,0,Q99),Q99),Q99)</f>
        <v>0</v>
      </c>
      <c r="S99" s="796">
        <f>IF('Month A'!Q99&lt;&gt;'Month A'!R99,IF('Month A'!Q99&lt;&gt;0,IF('Month A'!S99&lt;&gt;'Month A'!T99,'Month A'!S99+1,),),)</f>
        <v>0</v>
      </c>
      <c r="T99" s="796">
        <f>IF('Month A'!Q99&lt;&gt;'Month A'!R99,IF('Month A'!Q99&lt;&gt;0,IF('Month A'!S99&lt;&gt;'Month A'!T99,'Month A'!T99,),),)</f>
        <v>0</v>
      </c>
      <c r="U99" s="797">
        <f>IF('Month A'!Q99&lt;&gt;'Month A'!R99,IF('Month A'!Q99&lt;&gt;0,IF('Month A'!S99&lt;&gt;'Month A'!T99,'Month A'!U99,),),)</f>
        <v>0</v>
      </c>
      <c r="V99" s="875">
        <f>IF('Month A'!Q99&lt;&gt;'Month A'!R99,IF('Month A'!Q99&lt;&gt;0,IF('Month A'!S99&lt;&gt;'Month A'!T99,'Month A'!V99,),),)</f>
        <v>0</v>
      </c>
      <c r="W99" s="633">
        <f>IF(Q99="","",$W$5-SUM($Q$7:$Q$45)-SUM($Q$64:Q99))</f>
        <v>0</v>
      </c>
      <c r="AO99" s="86"/>
      <c r="AP99" s="86"/>
      <c r="AQ99" s="86"/>
      <c r="AR99" s="86"/>
      <c r="AS99" s="86"/>
      <c r="AT99" s="86"/>
      <c r="AU99" s="86"/>
      <c r="AV99" s="86"/>
      <c r="AW99" s="86"/>
      <c r="AX99" s="86"/>
      <c r="AY99" s="86"/>
      <c r="CM99" s="86"/>
      <c r="CN99" s="86"/>
    </row>
    <row r="100" spans="8:92" s="367" customFormat="1" ht="15.75" hidden="1" customHeight="1" outlineLevel="1">
      <c r="H100" s="543"/>
      <c r="I100" s="854"/>
      <c r="J100" s="6"/>
      <c r="K100" s="541"/>
      <c r="L100" s="860"/>
      <c r="M100" s="20" t="str">
        <f>IF(J100="","",$M$5-SUM($J$7:J100))</f>
        <v/>
      </c>
      <c r="O100" s="7"/>
      <c r="P100" s="871">
        <f>IF('Month A'!Q100&lt;&gt;'Month A'!R100,IF('Month A'!Q100&lt;&gt;0,IF('Month A'!S100&lt;&gt;'Month A'!T100,'Month A'!P100,),),)</f>
        <v>0</v>
      </c>
      <c r="Q100" s="795">
        <f>IF('Month A'!Q100&lt;&gt;'Month A'!R100,IF('Month A'!Q100&lt;&gt;0,IF('Month A'!S100&lt;&gt;'Month A'!T100,'Month A'!Q100,),),)</f>
        <v>0</v>
      </c>
      <c r="R100" s="628">
        <f>IF('Month A'!Q100&lt;&gt;'Month A'!R100,IF('Month A'!Q100&lt;&gt;0,IF('Month A'!S100&lt;&gt;'Month A'!T100,0,Q100),Q100),Q100)</f>
        <v>0</v>
      </c>
      <c r="S100" s="796">
        <f>IF('Month A'!Q100&lt;&gt;'Month A'!R100,IF('Month A'!Q100&lt;&gt;0,IF('Month A'!S100&lt;&gt;'Month A'!T100,'Month A'!S100+1,),),)</f>
        <v>0</v>
      </c>
      <c r="T100" s="796">
        <f>IF('Month A'!Q100&lt;&gt;'Month A'!R100,IF('Month A'!Q100&lt;&gt;0,IF('Month A'!S100&lt;&gt;'Month A'!T100,'Month A'!T100,),),)</f>
        <v>0</v>
      </c>
      <c r="U100" s="797">
        <f>IF('Month A'!Q100&lt;&gt;'Month A'!R100,IF('Month A'!Q100&lt;&gt;0,IF('Month A'!S100&lt;&gt;'Month A'!T100,'Month A'!U100,),),)</f>
        <v>0</v>
      </c>
      <c r="V100" s="875">
        <f>IF('Month A'!Q100&lt;&gt;'Month A'!R100,IF('Month A'!Q100&lt;&gt;0,IF('Month A'!S100&lt;&gt;'Month A'!T100,'Month A'!V100,),),)</f>
        <v>0</v>
      </c>
      <c r="W100" s="633">
        <f>IF(Q100="","",$W$5-SUM($Q$7:$Q$45)-SUM($Q$64:Q100))</f>
        <v>0</v>
      </c>
      <c r="AO100" s="86"/>
      <c r="AP100" s="86"/>
      <c r="AQ100" s="86"/>
      <c r="AR100" s="86"/>
      <c r="AS100" s="86"/>
      <c r="AT100" s="86"/>
      <c r="AU100" s="86"/>
      <c r="AV100" s="86"/>
      <c r="AW100" s="86"/>
      <c r="AX100" s="86"/>
      <c r="AY100" s="86"/>
      <c r="CM100" s="86"/>
      <c r="CN100" s="86"/>
    </row>
    <row r="101" spans="8:92" s="367" customFormat="1" ht="15.75" hidden="1" customHeight="1" outlineLevel="1">
      <c r="H101" s="543"/>
      <c r="I101" s="853"/>
      <c r="J101" s="6"/>
      <c r="K101" s="541"/>
      <c r="L101" s="860"/>
      <c r="M101" s="20" t="str">
        <f>IF(J101="","",$M$5-SUM($J$7:J101))</f>
        <v/>
      </c>
      <c r="O101" s="7"/>
      <c r="P101" s="871">
        <f>IF('Month A'!Q101&lt;&gt;'Month A'!R101,IF('Month A'!Q101&lt;&gt;0,IF('Month A'!S101&lt;&gt;'Month A'!T101,'Month A'!P101,),),)</f>
        <v>0</v>
      </c>
      <c r="Q101" s="795">
        <f>IF('Month A'!Q101&lt;&gt;'Month A'!R101,IF('Month A'!Q101&lt;&gt;0,IF('Month A'!S101&lt;&gt;'Month A'!T101,'Month A'!Q101,),),)</f>
        <v>0</v>
      </c>
      <c r="R101" s="628">
        <f>IF('Month A'!Q101&lt;&gt;'Month A'!R101,IF('Month A'!Q101&lt;&gt;0,IF('Month A'!S101&lt;&gt;'Month A'!T101,0,Q101),Q101),Q101)</f>
        <v>0</v>
      </c>
      <c r="S101" s="796">
        <f>IF('Month A'!Q101&lt;&gt;'Month A'!R101,IF('Month A'!Q101&lt;&gt;0,IF('Month A'!S101&lt;&gt;'Month A'!T101,'Month A'!S101+1,),),)</f>
        <v>0</v>
      </c>
      <c r="T101" s="796">
        <f>IF('Month A'!Q101&lt;&gt;'Month A'!R101,IF('Month A'!Q101&lt;&gt;0,IF('Month A'!S101&lt;&gt;'Month A'!T101,'Month A'!T101,),),)</f>
        <v>0</v>
      </c>
      <c r="U101" s="797">
        <f>IF('Month A'!Q101&lt;&gt;'Month A'!R101,IF('Month A'!Q101&lt;&gt;0,IF('Month A'!S101&lt;&gt;'Month A'!T101,'Month A'!U101,),),)</f>
        <v>0</v>
      </c>
      <c r="V101" s="875">
        <f>IF('Month A'!Q101&lt;&gt;'Month A'!R101,IF('Month A'!Q101&lt;&gt;0,IF('Month A'!S101&lt;&gt;'Month A'!T101,'Month A'!V101,),),)</f>
        <v>0</v>
      </c>
      <c r="W101" s="633">
        <f>IF(Q101="","",$W$5-SUM($Q$7:$Q$45)-SUM($Q$64:Q101))</f>
        <v>0</v>
      </c>
      <c r="AO101" s="86"/>
      <c r="AP101" s="86"/>
      <c r="AQ101" s="86"/>
      <c r="AR101" s="86"/>
      <c r="AS101" s="86"/>
      <c r="AT101" s="86"/>
      <c r="AU101" s="86"/>
      <c r="AV101" s="86"/>
      <c r="AW101" s="86"/>
      <c r="AX101" s="86"/>
      <c r="AY101" s="86"/>
      <c r="CM101" s="86"/>
      <c r="CN101" s="86"/>
    </row>
    <row r="102" spans="8:92" s="367" customFormat="1" ht="15.75" hidden="1" customHeight="1" outlineLevel="1">
      <c r="H102" s="543"/>
      <c r="I102" s="853"/>
      <c r="J102" s="6"/>
      <c r="K102" s="541"/>
      <c r="L102" s="860"/>
      <c r="M102" s="20" t="str">
        <f>IF(J102="","",$M$5-SUM($J$7:J102))</f>
        <v/>
      </c>
      <c r="O102" s="7"/>
      <c r="P102" s="873">
        <f>IF('Month A'!Q102&lt;&gt;'Month A'!R102,IF('Month A'!Q102&lt;&gt;0,IF('Month A'!S102&lt;&gt;'Month A'!T102,'Month A'!P102,),),)</f>
        <v>0</v>
      </c>
      <c r="Q102" s="795">
        <f>IF('Month A'!Q102&lt;&gt;'Month A'!R102,IF('Month A'!Q102&lt;&gt;0,IF('Month A'!S102&lt;&gt;'Month A'!T102,'Month A'!Q102,),),)</f>
        <v>0</v>
      </c>
      <c r="R102" s="628">
        <f>IF('Month A'!Q102&lt;&gt;'Month A'!R102,IF('Month A'!Q102&lt;&gt;0,IF('Month A'!S102&lt;&gt;'Month A'!T102,0,Q102),Q102),Q102)</f>
        <v>0</v>
      </c>
      <c r="S102" s="796">
        <f>IF('Month A'!Q102&lt;&gt;'Month A'!R102,IF('Month A'!Q102&lt;&gt;0,IF('Month A'!S102&lt;&gt;'Month A'!T102,'Month A'!S102+1,),),)</f>
        <v>0</v>
      </c>
      <c r="T102" s="796">
        <f>IF('Month A'!Q102&lt;&gt;'Month A'!R102,IF('Month A'!Q102&lt;&gt;0,IF('Month A'!S102&lt;&gt;'Month A'!T102,'Month A'!T102,),),)</f>
        <v>0</v>
      </c>
      <c r="U102" s="797">
        <f>IF('Month A'!Q102&lt;&gt;'Month A'!R102,IF('Month A'!Q102&lt;&gt;0,IF('Month A'!S102&lt;&gt;'Month A'!T102,'Month A'!U102,),),)</f>
        <v>0</v>
      </c>
      <c r="V102" s="875">
        <f>IF('Month A'!Q102&lt;&gt;'Month A'!R102,IF('Month A'!Q102&lt;&gt;0,IF('Month A'!S102&lt;&gt;'Month A'!T102,'Month A'!V102,),),)</f>
        <v>0</v>
      </c>
      <c r="W102" s="633">
        <f>IF(Q102="","",$W$5-SUM($Q$7:$Q$45)-SUM($Q$64:Q102))</f>
        <v>0</v>
      </c>
      <c r="AO102" s="86"/>
      <c r="AP102" s="86"/>
      <c r="AQ102" s="86"/>
      <c r="AR102" s="86"/>
      <c r="AS102" s="86"/>
      <c r="AT102" s="86"/>
      <c r="AU102" s="86"/>
      <c r="AV102" s="86"/>
      <c r="AW102" s="86"/>
      <c r="AX102" s="86"/>
      <c r="AY102" s="86"/>
      <c r="CM102" s="86"/>
      <c r="CN102" s="86"/>
    </row>
    <row r="103" spans="8:92" s="367" customFormat="1" ht="15.75" hidden="1" customHeight="1" outlineLevel="1">
      <c r="H103" s="543"/>
      <c r="I103" s="853"/>
      <c r="J103" s="6"/>
      <c r="K103" s="541"/>
      <c r="L103" s="860"/>
      <c r="M103" s="20" t="str">
        <f>IF(J103="","",$M$5-SUM($J$7:J103))</f>
        <v/>
      </c>
      <c r="O103" s="7"/>
      <c r="P103" s="871">
        <f>IF('Month A'!Q103&lt;&gt;'Month A'!R103,IF('Month A'!Q103&lt;&gt;0,IF('Month A'!S103&lt;&gt;'Month A'!T103,'Month A'!P103,),),)</f>
        <v>0</v>
      </c>
      <c r="Q103" s="795">
        <f>IF('Month A'!Q103&lt;&gt;'Month A'!R103,IF('Month A'!Q103&lt;&gt;0,IF('Month A'!S103&lt;&gt;'Month A'!T103,'Month A'!Q103,),),)</f>
        <v>0</v>
      </c>
      <c r="R103" s="628">
        <f>IF('Month A'!Q103&lt;&gt;'Month A'!R103,IF('Month A'!Q103&lt;&gt;0,IF('Month A'!S103&lt;&gt;'Month A'!T103,0,Q103),Q103),Q103)</f>
        <v>0</v>
      </c>
      <c r="S103" s="796">
        <f>IF('Month A'!Q103&lt;&gt;'Month A'!R103,IF('Month A'!Q103&lt;&gt;0,IF('Month A'!S103&lt;&gt;'Month A'!T103,'Month A'!S103+1,),),)</f>
        <v>0</v>
      </c>
      <c r="T103" s="796">
        <f>IF('Month A'!Q103&lt;&gt;'Month A'!R103,IF('Month A'!Q103&lt;&gt;0,IF('Month A'!S103&lt;&gt;'Month A'!T103,'Month A'!T103,),),)</f>
        <v>0</v>
      </c>
      <c r="U103" s="797">
        <f>IF('Month A'!Q103&lt;&gt;'Month A'!R103,IF('Month A'!Q103&lt;&gt;0,IF('Month A'!S103&lt;&gt;'Month A'!T103,'Month A'!U103,),),)</f>
        <v>0</v>
      </c>
      <c r="V103" s="875">
        <f>IF('Month A'!Q103&lt;&gt;'Month A'!R103,IF('Month A'!Q103&lt;&gt;0,IF('Month A'!S103&lt;&gt;'Month A'!T103,'Month A'!V103,),),)</f>
        <v>0</v>
      </c>
      <c r="W103" s="633">
        <f>IF(Q103="","",$W$5-SUM($Q$7:$Q$45)-SUM($Q$64:Q103))</f>
        <v>0</v>
      </c>
      <c r="AO103" s="86"/>
      <c r="AP103" s="86"/>
      <c r="AQ103" s="86"/>
      <c r="AR103" s="86"/>
      <c r="AS103" s="86"/>
      <c r="AT103" s="86"/>
      <c r="AU103" s="86"/>
      <c r="AV103" s="86"/>
      <c r="AW103" s="86"/>
      <c r="AX103" s="86"/>
      <c r="AY103" s="86"/>
      <c r="CM103" s="86"/>
      <c r="CN103" s="86"/>
    </row>
    <row r="104" spans="8:92" s="367" customFormat="1" ht="15.75" hidden="1" customHeight="1" outlineLevel="1">
      <c r="H104" s="543"/>
      <c r="I104" s="853"/>
      <c r="J104" s="6"/>
      <c r="K104" s="541"/>
      <c r="L104" s="860"/>
      <c r="M104" s="20" t="str">
        <f>IF(J104="","",$M$5-SUM($J$7:J104))</f>
        <v/>
      </c>
      <c r="O104" s="7"/>
      <c r="P104" s="873">
        <f>IF('Month A'!Q104&lt;&gt;'Month A'!R104,IF('Month A'!Q104&lt;&gt;0,IF('Month A'!S104&lt;&gt;'Month A'!T104,'Month A'!P104,),),)</f>
        <v>0</v>
      </c>
      <c r="Q104" s="795">
        <f>IF('Month A'!Q104&lt;&gt;'Month A'!R104,IF('Month A'!Q104&lt;&gt;0,IF('Month A'!S104&lt;&gt;'Month A'!T104,'Month A'!Q104,),),)</f>
        <v>0</v>
      </c>
      <c r="R104" s="628">
        <f>IF('Month A'!Q104&lt;&gt;'Month A'!R104,IF('Month A'!Q104&lt;&gt;0,IF('Month A'!S104&lt;&gt;'Month A'!T104,0,Q104),Q104),Q104)</f>
        <v>0</v>
      </c>
      <c r="S104" s="796">
        <f>IF('Month A'!Q104&lt;&gt;'Month A'!R104,IF('Month A'!Q104&lt;&gt;0,IF('Month A'!S104&lt;&gt;'Month A'!T104,'Month A'!S104+1,),),)</f>
        <v>0</v>
      </c>
      <c r="T104" s="796">
        <f>IF('Month A'!Q104&lt;&gt;'Month A'!R104,IF('Month A'!Q104&lt;&gt;0,IF('Month A'!S104&lt;&gt;'Month A'!T104,'Month A'!T104,),),)</f>
        <v>0</v>
      </c>
      <c r="U104" s="797">
        <f>IF('Month A'!Q104&lt;&gt;'Month A'!R104,IF('Month A'!Q104&lt;&gt;0,IF('Month A'!S104&lt;&gt;'Month A'!T104,'Month A'!U104,),),)</f>
        <v>0</v>
      </c>
      <c r="V104" s="875">
        <f>IF('Month A'!Q104&lt;&gt;'Month A'!R104,IF('Month A'!Q104&lt;&gt;0,IF('Month A'!S104&lt;&gt;'Month A'!T104,'Month A'!V104,),),)</f>
        <v>0</v>
      </c>
      <c r="W104" s="633">
        <f>IF(Q104="","",$W$5-SUM($Q$7:$Q$45)-SUM($Q$64:Q104))</f>
        <v>0</v>
      </c>
      <c r="AO104" s="86"/>
      <c r="AP104" s="86"/>
      <c r="AQ104" s="86"/>
      <c r="AR104" s="86"/>
      <c r="AS104" s="86"/>
      <c r="AT104" s="86"/>
      <c r="AU104" s="86"/>
      <c r="AV104" s="86"/>
      <c r="AW104" s="86"/>
      <c r="AX104" s="86"/>
      <c r="AY104" s="86"/>
      <c r="CM104" s="86"/>
      <c r="CN104" s="86"/>
    </row>
    <row r="105" spans="8:92" s="367" customFormat="1" ht="15.75" hidden="1" customHeight="1" outlineLevel="1">
      <c r="H105" s="543"/>
      <c r="I105" s="853"/>
      <c r="J105" s="6"/>
      <c r="K105" s="541"/>
      <c r="L105" s="860"/>
      <c r="M105" s="20" t="str">
        <f>IF(J105="","",$M$5-SUM($J$7:J105))</f>
        <v/>
      </c>
      <c r="O105" s="7"/>
      <c r="P105" s="872">
        <f>IF('Month A'!Q105&lt;&gt;'Month A'!R105,IF('Month A'!Q105&lt;&gt;0,IF('Month A'!S105&lt;&gt;'Month A'!T105,'Month A'!P105,),),)</f>
        <v>0</v>
      </c>
      <c r="Q105" s="795">
        <f>IF('Month A'!Q105&lt;&gt;'Month A'!R105,IF('Month A'!Q105&lt;&gt;0,IF('Month A'!S105&lt;&gt;'Month A'!T105,'Month A'!Q105,),),)</f>
        <v>0</v>
      </c>
      <c r="R105" s="628">
        <f>IF('Month A'!Q105&lt;&gt;'Month A'!R105,IF('Month A'!Q105&lt;&gt;0,IF('Month A'!S105&lt;&gt;'Month A'!T105,0,Q105),Q105),Q105)</f>
        <v>0</v>
      </c>
      <c r="S105" s="796">
        <f>IF('Month A'!Q105&lt;&gt;'Month A'!R105,IF('Month A'!Q105&lt;&gt;0,IF('Month A'!S105&lt;&gt;'Month A'!T105,'Month A'!S105+1,),),)</f>
        <v>0</v>
      </c>
      <c r="T105" s="796">
        <f>IF('Month A'!Q105&lt;&gt;'Month A'!R105,IF('Month A'!Q105&lt;&gt;0,IF('Month A'!S105&lt;&gt;'Month A'!T105,'Month A'!T105,),),)</f>
        <v>0</v>
      </c>
      <c r="U105" s="797">
        <f>IF('Month A'!Q105&lt;&gt;'Month A'!R105,IF('Month A'!Q105&lt;&gt;0,IF('Month A'!S105&lt;&gt;'Month A'!T105,'Month A'!U105,),),)</f>
        <v>0</v>
      </c>
      <c r="V105" s="875">
        <f>IF('Month A'!Q105&lt;&gt;'Month A'!R105,IF('Month A'!Q105&lt;&gt;0,IF('Month A'!S105&lt;&gt;'Month A'!T105,'Month A'!V105,),),)</f>
        <v>0</v>
      </c>
      <c r="W105" s="633">
        <f>IF(Q105="","",$W$5-SUM($Q$7:$Q$45)-SUM($Q$64:Q105))</f>
        <v>0</v>
      </c>
      <c r="AO105" s="86"/>
      <c r="AP105" s="86"/>
      <c r="AQ105" s="86"/>
      <c r="AR105" s="86"/>
      <c r="AS105" s="86"/>
      <c r="AT105" s="86"/>
      <c r="AU105" s="86"/>
      <c r="AV105" s="86"/>
      <c r="AW105" s="86"/>
      <c r="AX105" s="86"/>
      <c r="AY105" s="86"/>
      <c r="CM105" s="86"/>
      <c r="CN105" s="86"/>
    </row>
    <row r="106" spans="8:92" s="367" customFormat="1" ht="15.75" hidden="1" customHeight="1" outlineLevel="1">
      <c r="H106" s="543"/>
      <c r="I106" s="853"/>
      <c r="J106" s="6"/>
      <c r="K106" s="541"/>
      <c r="L106" s="860"/>
      <c r="M106" s="20" t="str">
        <f>IF(J106="","",$M$5-SUM($J$7:J106))</f>
        <v/>
      </c>
      <c r="O106" s="7"/>
      <c r="P106" s="871">
        <f>IF('Month A'!Q106&lt;&gt;'Month A'!R106,IF('Month A'!Q106&lt;&gt;0,IF('Month A'!S106&lt;&gt;'Month A'!T106,'Month A'!P106,),),)</f>
        <v>0</v>
      </c>
      <c r="Q106" s="795">
        <f>IF('Month A'!Q106&lt;&gt;'Month A'!R106,IF('Month A'!Q106&lt;&gt;0,IF('Month A'!S106&lt;&gt;'Month A'!T106,'Month A'!Q106,),),)</f>
        <v>0</v>
      </c>
      <c r="R106" s="628">
        <f>IF('Month A'!Q106&lt;&gt;'Month A'!R106,IF('Month A'!Q106&lt;&gt;0,IF('Month A'!S106&lt;&gt;'Month A'!T106,0,Q106),Q106),Q106)</f>
        <v>0</v>
      </c>
      <c r="S106" s="796">
        <f>IF('Month A'!Q106&lt;&gt;'Month A'!R106,IF('Month A'!Q106&lt;&gt;0,IF('Month A'!S106&lt;&gt;'Month A'!T106,'Month A'!S106+1,),),)</f>
        <v>0</v>
      </c>
      <c r="T106" s="796">
        <f>IF('Month A'!Q106&lt;&gt;'Month A'!R106,IF('Month A'!Q106&lt;&gt;0,IF('Month A'!S106&lt;&gt;'Month A'!T106,'Month A'!T106,),),)</f>
        <v>0</v>
      </c>
      <c r="U106" s="797">
        <f>IF('Month A'!Q106&lt;&gt;'Month A'!R106,IF('Month A'!Q106&lt;&gt;0,IF('Month A'!S106&lt;&gt;'Month A'!T106,'Month A'!U106,),),)</f>
        <v>0</v>
      </c>
      <c r="V106" s="875">
        <f>IF('Month A'!Q106&lt;&gt;'Month A'!R106,IF('Month A'!Q106&lt;&gt;0,IF('Month A'!S106&lt;&gt;'Month A'!T106,'Month A'!V106,),),)</f>
        <v>0</v>
      </c>
      <c r="W106" s="633">
        <f>IF(Q106="","",$W$5-SUM($Q$7:$Q$45)-SUM($Q$64:Q106))</f>
        <v>0</v>
      </c>
      <c r="AO106" s="86"/>
      <c r="AP106" s="86"/>
      <c r="AQ106" s="86"/>
      <c r="AR106" s="86"/>
      <c r="AS106" s="86"/>
      <c r="AT106" s="86"/>
      <c r="AU106" s="86"/>
      <c r="AV106" s="86"/>
      <c r="AW106" s="86"/>
      <c r="AX106" s="86"/>
      <c r="AY106" s="86"/>
      <c r="CM106" s="86"/>
      <c r="CN106" s="86"/>
    </row>
    <row r="107" spans="8:92" s="367" customFormat="1" ht="15.75" hidden="1" customHeight="1" outlineLevel="1">
      <c r="H107" s="543"/>
      <c r="I107" s="853"/>
      <c r="J107" s="6"/>
      <c r="K107" s="541"/>
      <c r="L107" s="860"/>
      <c r="M107" s="20" t="str">
        <f>IF(J107="","",$M$5-SUM($J$7:J107))</f>
        <v/>
      </c>
      <c r="O107" s="7"/>
      <c r="P107" s="871">
        <f>IF('Month A'!Q107&lt;&gt;'Month A'!R107,IF('Month A'!Q107&lt;&gt;0,IF('Month A'!S107&lt;&gt;'Month A'!T107,'Month A'!P107,),),)</f>
        <v>0</v>
      </c>
      <c r="Q107" s="795">
        <f>IF('Month A'!Q107&lt;&gt;'Month A'!R107,IF('Month A'!Q107&lt;&gt;0,IF('Month A'!S107&lt;&gt;'Month A'!T107,'Month A'!Q107,),),)</f>
        <v>0</v>
      </c>
      <c r="R107" s="628">
        <f>IF('Month A'!Q107&lt;&gt;'Month A'!R107,IF('Month A'!Q107&lt;&gt;0,IF('Month A'!S107&lt;&gt;'Month A'!T107,0,Q107),Q107),Q107)</f>
        <v>0</v>
      </c>
      <c r="S107" s="796">
        <f>IF('Month A'!Q107&lt;&gt;'Month A'!R107,IF('Month A'!Q107&lt;&gt;0,IF('Month A'!S107&lt;&gt;'Month A'!T107,'Month A'!S107+1,),),)</f>
        <v>0</v>
      </c>
      <c r="T107" s="796">
        <f>IF('Month A'!Q107&lt;&gt;'Month A'!R107,IF('Month A'!Q107&lt;&gt;0,IF('Month A'!S107&lt;&gt;'Month A'!T107,'Month A'!T107,),),)</f>
        <v>0</v>
      </c>
      <c r="U107" s="797">
        <f>IF('Month A'!Q107&lt;&gt;'Month A'!R107,IF('Month A'!Q107&lt;&gt;0,IF('Month A'!S107&lt;&gt;'Month A'!T107,'Month A'!U107,),),)</f>
        <v>0</v>
      </c>
      <c r="V107" s="875">
        <f>IF('Month A'!Q107&lt;&gt;'Month A'!R107,IF('Month A'!Q107&lt;&gt;0,IF('Month A'!S107&lt;&gt;'Month A'!T107,'Month A'!V107,),),)</f>
        <v>0</v>
      </c>
      <c r="W107" s="633">
        <f>IF(Q107="","",$W$5-SUM($Q$7:$Q$45)-SUM($Q$64:Q107))</f>
        <v>0</v>
      </c>
      <c r="AO107" s="86"/>
      <c r="AP107" s="86"/>
      <c r="AQ107" s="86"/>
      <c r="AR107" s="86"/>
      <c r="AS107" s="86"/>
      <c r="AT107" s="86"/>
      <c r="AU107" s="86"/>
      <c r="AV107" s="86"/>
      <c r="AW107" s="86"/>
      <c r="AX107" s="86"/>
      <c r="AY107" s="86"/>
      <c r="CM107" s="86"/>
      <c r="CN107" s="86"/>
    </row>
    <row r="108" spans="8:92" s="367" customFormat="1" ht="15.75" hidden="1" customHeight="1" outlineLevel="1">
      <c r="H108" s="543"/>
      <c r="I108" s="853"/>
      <c r="J108" s="6"/>
      <c r="K108" s="541"/>
      <c r="L108" s="860"/>
      <c r="M108" s="20" t="str">
        <f>IF(J108="","",$M$5-SUM($J$7:J108))</f>
        <v/>
      </c>
      <c r="O108" s="7"/>
      <c r="P108" s="873">
        <f>IF('Month A'!Q108&lt;&gt;'Month A'!R108,IF('Month A'!Q108&lt;&gt;0,IF('Month A'!S108&lt;&gt;'Month A'!T108,'Month A'!P108,),),)</f>
        <v>0</v>
      </c>
      <c r="Q108" s="795">
        <f>IF('Month A'!Q108&lt;&gt;'Month A'!R108,IF('Month A'!Q108&lt;&gt;0,IF('Month A'!S108&lt;&gt;'Month A'!T108,'Month A'!Q108,),),)</f>
        <v>0</v>
      </c>
      <c r="R108" s="628">
        <f>IF('Month A'!Q108&lt;&gt;'Month A'!R108,IF('Month A'!Q108&lt;&gt;0,IF('Month A'!S108&lt;&gt;'Month A'!T108,0,Q108),Q108),Q108)</f>
        <v>0</v>
      </c>
      <c r="S108" s="796">
        <f>IF('Month A'!Q108&lt;&gt;'Month A'!R108,IF('Month A'!Q108&lt;&gt;0,IF('Month A'!S108&lt;&gt;'Month A'!T108,'Month A'!S108+1,),),)</f>
        <v>0</v>
      </c>
      <c r="T108" s="796">
        <f>IF('Month A'!Q108&lt;&gt;'Month A'!R108,IF('Month A'!Q108&lt;&gt;0,IF('Month A'!S108&lt;&gt;'Month A'!T108,'Month A'!T108,),),)</f>
        <v>0</v>
      </c>
      <c r="U108" s="797">
        <f>IF('Month A'!Q108&lt;&gt;'Month A'!R108,IF('Month A'!Q108&lt;&gt;0,IF('Month A'!S108&lt;&gt;'Month A'!T108,'Month A'!U108,),),)</f>
        <v>0</v>
      </c>
      <c r="V108" s="875">
        <f>IF('Month A'!Q108&lt;&gt;'Month A'!R108,IF('Month A'!Q108&lt;&gt;0,IF('Month A'!S108&lt;&gt;'Month A'!T108,'Month A'!V108,),),)</f>
        <v>0</v>
      </c>
      <c r="W108" s="633">
        <f>IF(Q108="","",$W$5-SUM($Q$7:$Q$45)-SUM($Q$64:Q108))</f>
        <v>0</v>
      </c>
      <c r="AO108" s="86"/>
      <c r="AP108" s="86"/>
      <c r="AQ108" s="86"/>
      <c r="AR108" s="86"/>
      <c r="AS108" s="86"/>
      <c r="AT108" s="86"/>
      <c r="AU108" s="86"/>
      <c r="AV108" s="86"/>
      <c r="AW108" s="86"/>
      <c r="AX108" s="86"/>
      <c r="AY108" s="86"/>
      <c r="CM108" s="86"/>
      <c r="CN108" s="86"/>
    </row>
    <row r="109" spans="8:92" s="367" customFormat="1" ht="15.75" hidden="1" customHeight="1" outlineLevel="1">
      <c r="H109" s="543"/>
      <c r="I109" s="853"/>
      <c r="J109" s="6"/>
      <c r="K109" s="541"/>
      <c r="L109" s="860"/>
      <c r="M109" s="20" t="str">
        <f>IF(J109="","",$M$5-SUM($J$7:J109))</f>
        <v/>
      </c>
      <c r="O109" s="7"/>
      <c r="P109" s="871">
        <f>IF('Month A'!Q109&lt;&gt;'Month A'!R109,IF('Month A'!Q109&lt;&gt;0,IF('Month A'!S109&lt;&gt;'Month A'!T109,'Month A'!P109,),),)</f>
        <v>0</v>
      </c>
      <c r="Q109" s="795">
        <f>IF('Month A'!Q109&lt;&gt;'Month A'!R109,IF('Month A'!Q109&lt;&gt;0,IF('Month A'!S109&lt;&gt;'Month A'!T109,'Month A'!Q109,),),)</f>
        <v>0</v>
      </c>
      <c r="R109" s="628">
        <f>IF('Month A'!Q109&lt;&gt;'Month A'!R109,IF('Month A'!Q109&lt;&gt;0,IF('Month A'!S109&lt;&gt;'Month A'!T109,0,Q109),Q109),Q109)</f>
        <v>0</v>
      </c>
      <c r="S109" s="796">
        <f>IF('Month A'!Q109&lt;&gt;'Month A'!R109,IF('Month A'!Q109&lt;&gt;0,IF('Month A'!S109&lt;&gt;'Month A'!T109,'Month A'!S109+1,),),)</f>
        <v>0</v>
      </c>
      <c r="T109" s="796">
        <f>IF('Month A'!Q109&lt;&gt;'Month A'!R109,IF('Month A'!Q109&lt;&gt;0,IF('Month A'!S109&lt;&gt;'Month A'!T109,'Month A'!T109,),),)</f>
        <v>0</v>
      </c>
      <c r="U109" s="797">
        <f>IF('Month A'!Q109&lt;&gt;'Month A'!R109,IF('Month A'!Q109&lt;&gt;0,IF('Month A'!S109&lt;&gt;'Month A'!T109,'Month A'!U109,),),)</f>
        <v>0</v>
      </c>
      <c r="V109" s="875">
        <f>IF('Month A'!Q109&lt;&gt;'Month A'!R109,IF('Month A'!Q109&lt;&gt;0,IF('Month A'!S109&lt;&gt;'Month A'!T109,'Month A'!V109,),),)</f>
        <v>0</v>
      </c>
      <c r="W109" s="633">
        <f>IF(Q109="","",$W$5-SUM($Q$7:$Q$45)-SUM($Q$64:Q109))</f>
        <v>0</v>
      </c>
      <c r="AO109" s="86"/>
      <c r="AP109" s="86"/>
      <c r="AQ109" s="86"/>
      <c r="AR109" s="86"/>
      <c r="AS109" s="86"/>
      <c r="AT109" s="86"/>
      <c r="AU109" s="86"/>
      <c r="AV109" s="86"/>
      <c r="AW109" s="86"/>
      <c r="AX109" s="86"/>
      <c r="AY109" s="86"/>
      <c r="CM109" s="86"/>
      <c r="CN109" s="86"/>
    </row>
    <row r="110" spans="8:92" s="367" customFormat="1" ht="16.5" hidden="1" customHeight="1" outlineLevel="1" thickBot="1">
      <c r="H110" s="544"/>
      <c r="I110" s="857"/>
      <c r="J110" s="545"/>
      <c r="K110" s="601"/>
      <c r="L110" s="861"/>
      <c r="M110" s="546" t="str">
        <f>IF(J110="","",$M$5-SUM($J$7:J110))</f>
        <v/>
      </c>
      <c r="O110" s="523"/>
      <c r="P110" s="874">
        <f>IF('Month A'!Q110&lt;&gt;'Month A'!R110,IF('Month A'!Q110&lt;&gt;0,IF('Month A'!S110&lt;&gt;'Month A'!T110,'Month A'!P110,),),)</f>
        <v>0</v>
      </c>
      <c r="Q110" s="800">
        <f>IF('Month A'!Q110&lt;&gt;'Month A'!R110,IF('Month A'!Q110&lt;&gt;0,IF('Month A'!S110&lt;&gt;'Month A'!T110,'Month A'!Q110,),),)</f>
        <v>0</v>
      </c>
      <c r="R110" s="630">
        <f>IF('Month A'!Q110&lt;&gt;'Month A'!R110,IF('Month A'!Q110&lt;&gt;0,IF('Month A'!S110&lt;&gt;'Month A'!T110,0,Q110),Q110),Q110)</f>
        <v>0</v>
      </c>
      <c r="S110" s="801">
        <f>IF('Month A'!Q110&lt;&gt;'Month A'!R110,IF('Month A'!Q110&lt;&gt;0,IF('Month A'!S110&lt;&gt;'Month A'!T110,'Month A'!S110+1,),),)</f>
        <v>0</v>
      </c>
      <c r="T110" s="801">
        <f>IF('Month A'!Q110&lt;&gt;'Month A'!R110,IF('Month A'!Q110&lt;&gt;0,IF('Month A'!S110&lt;&gt;'Month A'!T110,'Month A'!T110,),),)</f>
        <v>0</v>
      </c>
      <c r="U110" s="802">
        <f>IF('Month A'!Q110&lt;&gt;'Month A'!R110,IF('Month A'!Q110&lt;&gt;0,IF('Month A'!S110&lt;&gt;'Month A'!T110,'Month A'!U110,),),)</f>
        <v>0</v>
      </c>
      <c r="V110" s="876">
        <f>IF('Month A'!Q110&lt;&gt;'Month A'!R110,IF('Month A'!Q110&lt;&gt;0,IF('Month A'!S110&lt;&gt;'Month A'!T110,'Month A'!V110,),),)</f>
        <v>0</v>
      </c>
      <c r="W110" s="635">
        <f>IF(Q110="","",$W$5-SUM($Q$7:$Q$45)-SUM($Q$64:Q110))</f>
        <v>0</v>
      </c>
      <c r="AO110" s="86"/>
      <c r="AP110" s="86"/>
      <c r="AQ110" s="86"/>
      <c r="AR110" s="86"/>
      <c r="AS110" s="86"/>
      <c r="AT110" s="86"/>
      <c r="AU110" s="86"/>
      <c r="AV110" s="86"/>
      <c r="AW110" s="86"/>
      <c r="AX110" s="86"/>
      <c r="AY110" s="86"/>
      <c r="CM110" s="86"/>
      <c r="CN110" s="86"/>
    </row>
    <row r="111" spans="8:92" s="367" customFormat="1">
      <c r="K111" s="593"/>
      <c r="L111" s="593"/>
      <c r="O111" s="511"/>
      <c r="S111" s="371"/>
      <c r="T111" s="371"/>
      <c r="U111" s="371"/>
      <c r="V111" s="371"/>
      <c r="AO111" s="86"/>
      <c r="AP111" s="86"/>
      <c r="AQ111" s="86"/>
      <c r="AR111" s="86"/>
      <c r="AS111" s="86"/>
      <c r="AT111" s="86"/>
      <c r="AU111" s="86"/>
      <c r="AV111" s="86"/>
      <c r="AW111" s="86"/>
      <c r="AX111" s="86"/>
      <c r="AY111" s="86"/>
      <c r="CM111" s="86"/>
      <c r="CN111" s="86"/>
    </row>
    <row r="112" spans="8:92" s="367" customFormat="1">
      <c r="O112" s="511"/>
      <c r="S112" s="371"/>
      <c r="T112" s="371"/>
      <c r="U112" s="371"/>
      <c r="V112" s="371"/>
      <c r="AO112" s="86"/>
      <c r="AP112" s="86"/>
      <c r="AQ112" s="86"/>
      <c r="AR112" s="86"/>
      <c r="AS112" s="86"/>
      <c r="AT112" s="86"/>
      <c r="AU112" s="86"/>
      <c r="AV112" s="86"/>
      <c r="AW112" s="86"/>
      <c r="AX112" s="86"/>
      <c r="AY112" s="86"/>
      <c r="CM112" s="86"/>
      <c r="CN112" s="86"/>
    </row>
    <row r="113" spans="15:92" s="367" customFormat="1">
      <c r="O113" s="511"/>
      <c r="S113" s="371"/>
      <c r="T113" s="371"/>
      <c r="U113" s="371"/>
      <c r="V113" s="371"/>
      <c r="AO113" s="86"/>
      <c r="AP113" s="86"/>
      <c r="AQ113" s="86"/>
      <c r="AR113" s="86"/>
      <c r="AS113" s="86"/>
      <c r="AT113" s="86"/>
      <c r="AU113" s="86"/>
      <c r="AV113" s="86"/>
      <c r="AW113" s="86"/>
      <c r="AX113" s="86"/>
      <c r="AY113" s="86"/>
      <c r="CM113" s="86"/>
      <c r="CN113" s="86"/>
    </row>
    <row r="114" spans="15:92" s="367" customFormat="1">
      <c r="O114" s="511"/>
      <c r="S114" s="371"/>
      <c r="T114" s="371"/>
      <c r="U114" s="371"/>
      <c r="V114" s="371"/>
      <c r="AO114" s="86"/>
      <c r="AP114" s="86"/>
      <c r="AQ114" s="86"/>
      <c r="AR114" s="86"/>
      <c r="AS114" s="86"/>
      <c r="AT114" s="86"/>
      <c r="AU114" s="86"/>
      <c r="AV114" s="86"/>
      <c r="AW114" s="86"/>
      <c r="AX114" s="86"/>
      <c r="AY114" s="86"/>
      <c r="CM114" s="86"/>
      <c r="CN114" s="86"/>
    </row>
    <row r="115" spans="15:92" s="367" customFormat="1">
      <c r="O115" s="511"/>
      <c r="S115" s="371"/>
      <c r="T115" s="371"/>
      <c r="U115" s="371"/>
      <c r="V115" s="371"/>
      <c r="AO115" s="86"/>
      <c r="AP115" s="86"/>
      <c r="AQ115" s="86"/>
      <c r="AR115" s="86"/>
      <c r="AS115" s="86"/>
      <c r="AT115" s="86"/>
      <c r="AU115" s="86"/>
      <c r="AV115" s="86"/>
      <c r="AW115" s="86"/>
      <c r="AX115" s="86"/>
      <c r="AY115" s="86"/>
      <c r="CM115" s="86"/>
      <c r="CN115" s="86"/>
    </row>
    <row r="116" spans="15:92" s="367" customFormat="1">
      <c r="O116" s="511"/>
      <c r="S116" s="371"/>
      <c r="T116" s="371"/>
      <c r="U116" s="371"/>
      <c r="V116" s="371"/>
      <c r="AO116" s="86"/>
      <c r="AP116" s="86"/>
      <c r="AQ116" s="86"/>
      <c r="AR116" s="86"/>
      <c r="AS116" s="86"/>
      <c r="AT116" s="86"/>
      <c r="AU116" s="86"/>
      <c r="AV116" s="86"/>
      <c r="AW116" s="86"/>
      <c r="AX116" s="86"/>
      <c r="AY116" s="86"/>
      <c r="CM116" s="86"/>
      <c r="CN116" s="86"/>
    </row>
    <row r="117" spans="15:92" s="367" customFormat="1">
      <c r="O117" s="511"/>
      <c r="S117" s="371"/>
      <c r="T117" s="371"/>
      <c r="U117" s="371"/>
      <c r="V117" s="371"/>
      <c r="AO117" s="86"/>
      <c r="AP117" s="86"/>
      <c r="AQ117" s="86"/>
      <c r="AR117" s="86"/>
      <c r="AS117" s="86"/>
      <c r="AT117" s="86"/>
      <c r="AU117" s="86"/>
      <c r="AV117" s="86"/>
      <c r="AW117" s="86"/>
      <c r="AX117" s="86"/>
      <c r="AY117" s="86"/>
      <c r="CM117" s="86"/>
      <c r="CN117" s="86"/>
    </row>
    <row r="118" spans="15:92" s="367" customFormat="1">
      <c r="O118" s="511"/>
      <c r="S118" s="371"/>
      <c r="T118" s="371"/>
      <c r="U118" s="371"/>
      <c r="V118" s="371"/>
      <c r="AO118" s="86"/>
      <c r="AP118" s="86"/>
      <c r="AQ118" s="86"/>
      <c r="AR118" s="86"/>
      <c r="AS118" s="86"/>
      <c r="AT118" s="86"/>
      <c r="AU118" s="86"/>
      <c r="AV118" s="86"/>
      <c r="AW118" s="86"/>
      <c r="AX118" s="86"/>
      <c r="AY118" s="86"/>
      <c r="CM118" s="86"/>
      <c r="CN118" s="86"/>
    </row>
    <row r="119" spans="15:92" s="367" customFormat="1">
      <c r="O119" s="511"/>
      <c r="S119" s="371"/>
      <c r="T119" s="371"/>
      <c r="U119" s="371"/>
      <c r="V119" s="371"/>
      <c r="AO119" s="86"/>
      <c r="AP119" s="86"/>
      <c r="AQ119" s="86"/>
      <c r="AR119" s="86"/>
      <c r="AS119" s="86"/>
      <c r="AT119" s="86"/>
      <c r="AU119" s="86"/>
      <c r="AV119" s="86"/>
      <c r="AW119" s="86"/>
      <c r="AX119" s="86"/>
      <c r="AY119" s="86"/>
      <c r="CM119" s="86"/>
      <c r="CN119" s="86"/>
    </row>
    <row r="120" spans="15:92" s="367" customFormat="1">
      <c r="O120" s="511"/>
      <c r="S120" s="371"/>
      <c r="T120" s="371"/>
      <c r="U120" s="371"/>
      <c r="V120" s="371"/>
      <c r="AO120" s="86"/>
      <c r="AP120" s="86"/>
      <c r="AQ120" s="86"/>
      <c r="AR120" s="86"/>
      <c r="AS120" s="86"/>
      <c r="AT120" s="86"/>
      <c r="AU120" s="86"/>
      <c r="AV120" s="86"/>
      <c r="AW120" s="86"/>
      <c r="AX120" s="86"/>
      <c r="AY120" s="86"/>
      <c r="CM120" s="86"/>
      <c r="CN120" s="86"/>
    </row>
    <row r="121" spans="15:92" s="367" customFormat="1">
      <c r="O121" s="511"/>
      <c r="S121" s="371"/>
      <c r="T121" s="371"/>
      <c r="U121" s="371"/>
      <c r="V121" s="371"/>
      <c r="AO121" s="86"/>
      <c r="AP121" s="86"/>
      <c r="AQ121" s="86"/>
      <c r="AR121" s="86"/>
      <c r="AS121" s="86"/>
      <c r="AT121" s="86"/>
      <c r="AU121" s="86"/>
      <c r="AV121" s="86"/>
      <c r="AW121" s="86"/>
      <c r="AX121" s="86"/>
      <c r="AY121" s="86"/>
      <c r="CM121" s="86"/>
      <c r="CN121" s="86"/>
    </row>
    <row r="122" spans="15:92" s="367" customFormat="1">
      <c r="O122" s="511"/>
      <c r="S122" s="371"/>
      <c r="T122" s="371"/>
      <c r="U122" s="371"/>
      <c r="V122" s="371"/>
      <c r="AO122" s="86"/>
      <c r="AP122" s="86"/>
      <c r="AQ122" s="86"/>
      <c r="AR122" s="86"/>
      <c r="AS122" s="86"/>
      <c r="AT122" s="86"/>
      <c r="AU122" s="86"/>
      <c r="AV122" s="86"/>
      <c r="AW122" s="86"/>
      <c r="AX122" s="86"/>
      <c r="AY122" s="86"/>
      <c r="CM122" s="86"/>
      <c r="CN122" s="86"/>
    </row>
    <row r="123" spans="15:92" s="367" customFormat="1">
      <c r="O123" s="511"/>
      <c r="S123" s="371"/>
      <c r="T123" s="371"/>
      <c r="U123" s="371"/>
      <c r="V123" s="371"/>
      <c r="AO123" s="86"/>
      <c r="AP123" s="86"/>
      <c r="AQ123" s="86"/>
      <c r="AR123" s="86"/>
      <c r="AS123" s="86"/>
      <c r="AT123" s="86"/>
      <c r="AU123" s="86"/>
      <c r="AV123" s="86"/>
      <c r="AW123" s="86"/>
      <c r="AX123" s="86"/>
      <c r="AY123" s="86"/>
      <c r="CM123" s="86"/>
      <c r="CN123" s="86"/>
    </row>
    <row r="124" spans="15:92" s="367" customFormat="1">
      <c r="O124" s="511"/>
      <c r="S124" s="371"/>
      <c r="T124" s="371"/>
      <c r="U124" s="371"/>
      <c r="V124" s="371"/>
      <c r="AO124" s="86"/>
      <c r="AP124" s="86"/>
      <c r="AQ124" s="86"/>
      <c r="AR124" s="86"/>
      <c r="AS124" s="86"/>
      <c r="AT124" s="86"/>
      <c r="AU124" s="86"/>
      <c r="AV124" s="86"/>
      <c r="AW124" s="86"/>
      <c r="AX124" s="86"/>
      <c r="AY124" s="86"/>
      <c r="CM124" s="86"/>
      <c r="CN124" s="86"/>
    </row>
    <row r="125" spans="15:92" s="367" customFormat="1">
      <c r="O125" s="511"/>
      <c r="S125" s="371"/>
      <c r="T125" s="371"/>
      <c r="U125" s="371"/>
      <c r="V125" s="371"/>
      <c r="AO125" s="86"/>
      <c r="AP125" s="86"/>
      <c r="AQ125" s="86"/>
      <c r="AR125" s="86"/>
      <c r="AS125" s="86"/>
      <c r="AT125" s="86"/>
      <c r="AU125" s="86"/>
      <c r="AV125" s="86"/>
      <c r="AW125" s="86"/>
      <c r="AX125" s="86"/>
      <c r="AY125" s="86"/>
      <c r="CM125" s="86"/>
      <c r="CN125" s="86"/>
    </row>
    <row r="126" spans="15:92" s="367" customFormat="1">
      <c r="O126" s="511"/>
      <c r="S126" s="371"/>
      <c r="T126" s="371"/>
      <c r="U126" s="371"/>
      <c r="V126" s="371"/>
      <c r="AO126" s="86"/>
      <c r="AP126" s="86"/>
      <c r="AQ126" s="86"/>
      <c r="AR126" s="86"/>
      <c r="AS126" s="86"/>
      <c r="AT126" s="86"/>
      <c r="AU126" s="86"/>
      <c r="AV126" s="86"/>
      <c r="AW126" s="86"/>
      <c r="AX126" s="86"/>
      <c r="AY126" s="86"/>
      <c r="CM126" s="86"/>
      <c r="CN126" s="86"/>
    </row>
    <row r="127" spans="15:92" s="367" customFormat="1">
      <c r="O127" s="511"/>
      <c r="S127" s="371"/>
      <c r="T127" s="371"/>
      <c r="U127" s="371"/>
      <c r="V127" s="371"/>
      <c r="AO127" s="86"/>
      <c r="AP127" s="86"/>
      <c r="AQ127" s="86"/>
      <c r="AR127" s="86"/>
      <c r="AS127" s="86"/>
      <c r="AT127" s="86"/>
      <c r="AU127" s="86"/>
      <c r="AV127" s="86"/>
      <c r="AW127" s="86"/>
      <c r="AX127" s="86"/>
      <c r="AY127" s="86"/>
      <c r="CM127" s="86"/>
      <c r="CN127" s="86"/>
    </row>
    <row r="128" spans="15:92" s="367" customFormat="1">
      <c r="O128" s="511"/>
      <c r="S128" s="371"/>
      <c r="T128" s="371"/>
      <c r="U128" s="371"/>
      <c r="V128" s="371"/>
      <c r="AO128" s="86"/>
      <c r="AP128" s="86"/>
      <c r="AQ128" s="86"/>
      <c r="AR128" s="86"/>
      <c r="AS128" s="86"/>
      <c r="AT128" s="86"/>
      <c r="AU128" s="86"/>
      <c r="AV128" s="86"/>
      <c r="AW128" s="86"/>
      <c r="AX128" s="86"/>
      <c r="AY128" s="86"/>
      <c r="CM128" s="86"/>
      <c r="CN128" s="86"/>
    </row>
    <row r="129" spans="15:92" s="367" customFormat="1">
      <c r="O129" s="511"/>
      <c r="S129" s="371"/>
      <c r="T129" s="371"/>
      <c r="U129" s="371"/>
      <c r="V129" s="371"/>
      <c r="AO129" s="86"/>
      <c r="AP129" s="86"/>
      <c r="AQ129" s="86"/>
      <c r="AR129" s="86"/>
      <c r="AS129" s="86"/>
      <c r="AT129" s="86"/>
      <c r="AU129" s="86"/>
      <c r="AV129" s="86"/>
      <c r="AW129" s="86"/>
      <c r="AX129" s="86"/>
      <c r="AY129" s="86"/>
      <c r="CM129" s="86"/>
      <c r="CN129" s="86"/>
    </row>
    <row r="130" spans="15:92" s="367" customFormat="1">
      <c r="O130" s="511"/>
      <c r="S130" s="371"/>
      <c r="T130" s="371"/>
      <c r="U130" s="371"/>
      <c r="V130" s="371"/>
      <c r="AO130" s="86"/>
      <c r="AP130" s="86"/>
      <c r="AQ130" s="86"/>
      <c r="AR130" s="86"/>
      <c r="AS130" s="86"/>
      <c r="AT130" s="86"/>
      <c r="AU130" s="86"/>
      <c r="AV130" s="86"/>
      <c r="AW130" s="86"/>
      <c r="AX130" s="86"/>
      <c r="AY130" s="86"/>
      <c r="CM130" s="86"/>
      <c r="CN130" s="86"/>
    </row>
    <row r="131" spans="15:92" s="367" customFormat="1">
      <c r="O131" s="511"/>
      <c r="S131" s="371"/>
      <c r="T131" s="371"/>
      <c r="U131" s="371"/>
      <c r="V131" s="371"/>
      <c r="AO131" s="86"/>
      <c r="AP131" s="86"/>
      <c r="AQ131" s="86"/>
      <c r="AR131" s="86"/>
      <c r="AS131" s="86"/>
      <c r="AT131" s="86"/>
      <c r="AU131" s="86"/>
      <c r="AV131" s="86"/>
      <c r="AW131" s="86"/>
      <c r="AX131" s="86"/>
      <c r="AY131" s="86"/>
      <c r="CM131" s="86"/>
      <c r="CN131" s="86"/>
    </row>
    <row r="132" spans="15:92" s="367" customFormat="1">
      <c r="O132" s="511"/>
      <c r="S132" s="371"/>
      <c r="T132" s="371"/>
      <c r="U132" s="371"/>
      <c r="V132" s="371"/>
      <c r="AO132" s="86"/>
      <c r="AP132" s="86"/>
      <c r="AQ132" s="86"/>
      <c r="AR132" s="86"/>
      <c r="AS132" s="86"/>
      <c r="AT132" s="86"/>
      <c r="AU132" s="86"/>
      <c r="AV132" s="86"/>
      <c r="AW132" s="86"/>
      <c r="AX132" s="86"/>
      <c r="AY132" s="86"/>
      <c r="CM132" s="86"/>
      <c r="CN132" s="86"/>
    </row>
    <row r="133" spans="15:92" s="367" customFormat="1">
      <c r="O133" s="511"/>
      <c r="S133" s="371"/>
      <c r="T133" s="371"/>
      <c r="U133" s="371"/>
      <c r="V133" s="371"/>
      <c r="AO133" s="86"/>
      <c r="AP133" s="86"/>
      <c r="AQ133" s="86"/>
      <c r="AR133" s="86"/>
      <c r="AS133" s="86"/>
      <c r="AT133" s="86"/>
      <c r="AU133" s="86"/>
      <c r="AV133" s="86"/>
      <c r="AW133" s="86"/>
      <c r="AX133" s="86"/>
      <c r="AY133" s="86"/>
      <c r="CM133" s="86"/>
      <c r="CN133" s="86"/>
    </row>
    <row r="134" spans="15:92" s="367" customFormat="1">
      <c r="O134" s="511"/>
      <c r="S134" s="371"/>
      <c r="T134" s="371"/>
      <c r="U134" s="371"/>
      <c r="V134" s="371"/>
      <c r="AO134" s="86"/>
      <c r="AP134" s="86"/>
      <c r="AQ134" s="86"/>
      <c r="AR134" s="86"/>
      <c r="AS134" s="86"/>
      <c r="AT134" s="86"/>
      <c r="AU134" s="86"/>
      <c r="AV134" s="86"/>
      <c r="AW134" s="86"/>
      <c r="AX134" s="86"/>
      <c r="AY134" s="86"/>
      <c r="CM134" s="86"/>
      <c r="CN134" s="86"/>
    </row>
    <row r="135" spans="15:92" s="367" customFormat="1">
      <c r="O135" s="511"/>
      <c r="S135" s="371"/>
      <c r="T135" s="371"/>
      <c r="U135" s="371"/>
      <c r="V135" s="371"/>
      <c r="AO135" s="86"/>
      <c r="AP135" s="86"/>
      <c r="AQ135" s="86"/>
      <c r="AR135" s="86"/>
      <c r="AS135" s="86"/>
      <c r="AT135" s="86"/>
      <c r="AU135" s="86"/>
      <c r="AV135" s="86"/>
      <c r="AW135" s="86"/>
      <c r="AX135" s="86"/>
      <c r="AY135" s="86"/>
      <c r="CM135" s="86"/>
      <c r="CN135" s="86"/>
    </row>
    <row r="136" spans="15:92" s="367" customFormat="1">
      <c r="O136" s="511"/>
      <c r="S136" s="371"/>
      <c r="T136" s="371"/>
      <c r="U136" s="371"/>
      <c r="V136" s="371"/>
      <c r="AO136" s="86"/>
      <c r="AP136" s="86"/>
      <c r="AQ136" s="86"/>
      <c r="AR136" s="86"/>
      <c r="AS136" s="86"/>
      <c r="AT136" s="86"/>
      <c r="AU136" s="86"/>
      <c r="AV136" s="86"/>
      <c r="AW136" s="86"/>
      <c r="AX136" s="86"/>
      <c r="AY136" s="86"/>
      <c r="CM136" s="86"/>
      <c r="CN136" s="86"/>
    </row>
    <row r="137" spans="15:92" s="367" customFormat="1">
      <c r="O137" s="511"/>
      <c r="S137" s="371"/>
      <c r="T137" s="371"/>
      <c r="U137" s="371"/>
      <c r="V137" s="371"/>
      <c r="AO137" s="86"/>
      <c r="AP137" s="86"/>
      <c r="AQ137" s="86"/>
      <c r="AR137" s="86"/>
      <c r="AS137" s="86"/>
      <c r="AT137" s="86"/>
      <c r="AU137" s="86"/>
      <c r="AV137" s="86"/>
      <c r="AW137" s="86"/>
      <c r="AX137" s="86"/>
      <c r="AY137" s="86"/>
      <c r="CM137" s="86"/>
      <c r="CN137" s="86"/>
    </row>
    <row r="138" spans="15:92" s="367" customFormat="1">
      <c r="O138" s="511"/>
      <c r="S138" s="371"/>
      <c r="T138" s="371"/>
      <c r="U138" s="371"/>
      <c r="V138" s="371"/>
      <c r="AO138" s="86"/>
      <c r="AP138" s="86"/>
      <c r="AQ138" s="86"/>
      <c r="AR138" s="86"/>
      <c r="AS138" s="86"/>
      <c r="AT138" s="86"/>
      <c r="AU138" s="86"/>
      <c r="AV138" s="86"/>
      <c r="AW138" s="86"/>
      <c r="AX138" s="86"/>
      <c r="AY138" s="86"/>
      <c r="CM138" s="86"/>
      <c r="CN138" s="86"/>
    </row>
    <row r="139" spans="15:92" s="367" customFormat="1">
      <c r="O139" s="511"/>
      <c r="S139" s="371"/>
      <c r="T139" s="371"/>
      <c r="U139" s="371"/>
      <c r="V139" s="371"/>
      <c r="AO139" s="86"/>
      <c r="AP139" s="86"/>
      <c r="AQ139" s="86"/>
      <c r="AR139" s="86"/>
      <c r="AS139" s="86"/>
      <c r="AT139" s="86"/>
      <c r="AU139" s="86"/>
      <c r="AV139" s="86"/>
      <c r="AW139" s="86"/>
      <c r="AX139" s="86"/>
      <c r="AY139" s="86"/>
      <c r="CM139" s="86"/>
      <c r="CN139" s="86"/>
    </row>
    <row r="140" spans="15:92" s="367" customFormat="1">
      <c r="O140" s="511"/>
      <c r="S140" s="371"/>
      <c r="T140" s="371"/>
      <c r="U140" s="371"/>
      <c r="V140" s="371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CM140" s="86"/>
      <c r="CN140" s="86"/>
    </row>
    <row r="141" spans="15:92" s="367" customFormat="1">
      <c r="O141" s="511"/>
      <c r="S141" s="371"/>
      <c r="T141" s="371"/>
      <c r="U141" s="371"/>
      <c r="V141" s="371"/>
      <c r="AO141" s="86"/>
      <c r="AP141" s="86"/>
      <c r="AQ141" s="86"/>
      <c r="AR141" s="86"/>
      <c r="AS141" s="86"/>
      <c r="AT141" s="86"/>
      <c r="AU141" s="86"/>
      <c r="AV141" s="86"/>
      <c r="AW141" s="86"/>
      <c r="AX141" s="86"/>
      <c r="AY141" s="86"/>
      <c r="CM141" s="86"/>
      <c r="CN141" s="86"/>
    </row>
    <row r="142" spans="15:92" s="367" customFormat="1">
      <c r="O142" s="511"/>
      <c r="S142" s="371"/>
      <c r="T142" s="371"/>
      <c r="U142" s="371"/>
      <c r="V142" s="371"/>
      <c r="AO142" s="86"/>
      <c r="AP142" s="86"/>
      <c r="AQ142" s="86"/>
      <c r="AR142" s="86"/>
      <c r="AS142" s="86"/>
      <c r="AT142" s="86"/>
      <c r="AU142" s="86"/>
      <c r="AV142" s="86"/>
      <c r="AW142" s="86"/>
      <c r="AX142" s="86"/>
      <c r="AY142" s="86"/>
      <c r="CM142" s="86"/>
      <c r="CN142" s="86"/>
    </row>
    <row r="143" spans="15:92" s="367" customFormat="1">
      <c r="O143" s="511"/>
      <c r="S143" s="371"/>
      <c r="T143" s="371"/>
      <c r="U143" s="371"/>
      <c r="V143" s="371"/>
      <c r="AO143" s="86"/>
      <c r="AP143" s="86"/>
      <c r="AQ143" s="86"/>
      <c r="AR143" s="86"/>
      <c r="AS143" s="86"/>
      <c r="AT143" s="86"/>
      <c r="AU143" s="86"/>
      <c r="AV143" s="86"/>
      <c r="AW143" s="86"/>
      <c r="AX143" s="86"/>
      <c r="AY143" s="86"/>
      <c r="CM143" s="86"/>
      <c r="CN143" s="86"/>
    </row>
    <row r="144" spans="15:92" s="367" customFormat="1">
      <c r="O144" s="511"/>
      <c r="S144" s="371"/>
      <c r="T144" s="371"/>
      <c r="U144" s="371"/>
      <c r="V144" s="371"/>
      <c r="AO144" s="86"/>
      <c r="AP144" s="86"/>
      <c r="AQ144" s="86"/>
      <c r="AR144" s="86"/>
      <c r="AS144" s="86"/>
      <c r="AT144" s="86"/>
      <c r="AU144" s="86"/>
      <c r="AV144" s="86"/>
      <c r="AW144" s="86"/>
      <c r="AX144" s="86"/>
      <c r="AY144" s="86"/>
      <c r="CM144" s="86"/>
      <c r="CN144" s="86"/>
    </row>
    <row r="145" spans="1:92" s="367" customFormat="1">
      <c r="O145" s="511"/>
      <c r="S145" s="371"/>
      <c r="T145" s="371"/>
      <c r="U145" s="371"/>
      <c r="V145" s="371"/>
      <c r="AO145" s="86"/>
      <c r="AP145" s="86"/>
      <c r="AQ145" s="86"/>
      <c r="AR145" s="86"/>
      <c r="AS145" s="86"/>
      <c r="AT145" s="86"/>
      <c r="AU145" s="86"/>
      <c r="AV145" s="86"/>
      <c r="AW145" s="86"/>
      <c r="AX145" s="86"/>
      <c r="AY145" s="86"/>
      <c r="CM145" s="86"/>
      <c r="CN145" s="86"/>
    </row>
    <row r="146" spans="1:92" s="367" customFormat="1">
      <c r="O146" s="511"/>
      <c r="S146" s="371"/>
      <c r="T146" s="371"/>
      <c r="U146" s="371"/>
      <c r="V146" s="371"/>
      <c r="AO146" s="86"/>
      <c r="AP146" s="86"/>
      <c r="AQ146" s="86"/>
      <c r="AR146" s="86"/>
      <c r="AS146" s="86"/>
      <c r="AT146" s="86"/>
      <c r="AU146" s="86"/>
      <c r="AV146" s="86"/>
      <c r="AW146" s="86"/>
      <c r="AX146" s="86"/>
      <c r="AY146" s="86"/>
      <c r="CM146" s="86"/>
      <c r="CN146" s="86"/>
    </row>
    <row r="147" spans="1:92" s="367" customFormat="1">
      <c r="O147" s="511"/>
      <c r="S147" s="371"/>
      <c r="T147" s="371"/>
      <c r="U147" s="371"/>
      <c r="V147" s="371"/>
      <c r="AO147" s="86"/>
      <c r="AP147" s="86"/>
      <c r="AQ147" s="86"/>
      <c r="AR147" s="86"/>
      <c r="AS147" s="86"/>
      <c r="AT147" s="86"/>
      <c r="AU147" s="86"/>
      <c r="AV147" s="86"/>
      <c r="AW147" s="86"/>
      <c r="AX147" s="86"/>
      <c r="AY147" s="86"/>
      <c r="CM147" s="86"/>
      <c r="CN147" s="86"/>
    </row>
    <row r="148" spans="1:92" s="367" customFormat="1">
      <c r="O148" s="511"/>
      <c r="S148" s="371"/>
      <c r="T148" s="371"/>
      <c r="U148" s="371"/>
      <c r="V148" s="371"/>
      <c r="AO148" s="86"/>
      <c r="AP148" s="86"/>
      <c r="AQ148" s="86"/>
      <c r="AR148" s="86"/>
      <c r="AS148" s="86"/>
      <c r="AT148" s="86"/>
      <c r="AU148" s="86"/>
      <c r="AV148" s="86"/>
      <c r="AW148" s="86"/>
      <c r="AX148" s="86"/>
      <c r="AY148" s="86"/>
      <c r="CM148" s="86"/>
      <c r="CN148" s="86"/>
    </row>
    <row r="149" spans="1:92" s="367" customFormat="1">
      <c r="O149" s="511"/>
      <c r="S149" s="371"/>
      <c r="T149" s="371"/>
      <c r="U149" s="371"/>
      <c r="V149" s="371"/>
      <c r="AO149" s="86"/>
      <c r="AP149" s="86"/>
      <c r="AQ149" s="86"/>
      <c r="AR149" s="86"/>
      <c r="AS149" s="86"/>
      <c r="AT149" s="86"/>
      <c r="AU149" s="86"/>
      <c r="AV149" s="86"/>
      <c r="AW149" s="86"/>
      <c r="AX149" s="86"/>
      <c r="AY149" s="86"/>
      <c r="CM149" s="86"/>
      <c r="CN149" s="86"/>
    </row>
    <row r="150" spans="1:92" s="367" customFormat="1">
      <c r="O150" s="511"/>
      <c r="S150" s="371"/>
      <c r="T150" s="371"/>
      <c r="U150" s="371"/>
      <c r="V150" s="371"/>
      <c r="AO150" s="86"/>
      <c r="AP150" s="86"/>
      <c r="AQ150" s="86"/>
      <c r="AR150" s="86"/>
      <c r="AS150" s="86"/>
      <c r="AT150" s="86"/>
      <c r="AU150" s="86"/>
      <c r="AV150" s="86"/>
      <c r="AW150" s="86"/>
      <c r="AX150" s="86"/>
      <c r="AY150" s="86"/>
      <c r="CM150" s="86"/>
      <c r="CN150" s="86"/>
    </row>
    <row r="151" spans="1:92" s="367" customFormat="1">
      <c r="O151" s="511"/>
      <c r="S151" s="371"/>
      <c r="T151" s="371"/>
      <c r="U151" s="371"/>
      <c r="V151" s="371"/>
      <c r="AO151" s="86"/>
      <c r="AP151" s="86"/>
      <c r="AQ151" s="86"/>
      <c r="AR151" s="86"/>
      <c r="AS151" s="86"/>
      <c r="AT151" s="86"/>
      <c r="AU151" s="86"/>
      <c r="AV151" s="86"/>
      <c r="AW151" s="86"/>
      <c r="AX151" s="86"/>
      <c r="AY151" s="86"/>
      <c r="CM151" s="86"/>
      <c r="CN151" s="86"/>
    </row>
    <row r="152" spans="1:92">
      <c r="A152" s="367"/>
      <c r="B152" s="367"/>
      <c r="C152" s="367"/>
      <c r="D152" s="367"/>
      <c r="E152" s="367"/>
      <c r="F152" s="367"/>
      <c r="G152" s="367"/>
      <c r="H152" s="367"/>
      <c r="I152" s="367"/>
      <c r="J152" s="367"/>
      <c r="K152" s="367"/>
      <c r="L152" s="367"/>
      <c r="M152" s="367"/>
      <c r="N152" s="367"/>
      <c r="O152" s="377"/>
      <c r="P152" s="367"/>
      <c r="Q152" s="367"/>
      <c r="R152" s="367"/>
      <c r="S152" s="371"/>
      <c r="T152" s="371"/>
      <c r="U152" s="371"/>
      <c r="V152" s="371"/>
      <c r="W152" s="367"/>
      <c r="X152" s="367"/>
      <c r="Y152" s="367"/>
      <c r="Z152" s="367"/>
      <c r="AA152" s="367"/>
      <c r="AB152" s="367"/>
      <c r="AC152" s="367"/>
      <c r="AD152" s="367"/>
      <c r="AE152" s="367"/>
      <c r="AF152" s="367"/>
      <c r="AG152" s="367"/>
      <c r="AH152" s="367"/>
      <c r="AI152" s="367"/>
      <c r="AJ152" s="367"/>
      <c r="AK152" s="367"/>
      <c r="AL152" s="367"/>
      <c r="AM152" s="367"/>
      <c r="AN152" s="367"/>
      <c r="AO152" s="86"/>
    </row>
  </sheetData>
  <sheetProtection password="D37A" sheet="1" scenarios="1" formatCells="0" formatColumns="0" formatRows="0" insertColumns="0" insertRows="0" sort="0" autoFilter="0"/>
  <mergeCells count="72">
    <mergeCell ref="S51:T51"/>
    <mergeCell ref="S52:T52"/>
    <mergeCell ref="S59:T59"/>
    <mergeCell ref="S53:T53"/>
    <mergeCell ref="S54:T54"/>
    <mergeCell ref="S55:T55"/>
    <mergeCell ref="S56:T56"/>
    <mergeCell ref="S58:T58"/>
    <mergeCell ref="N2:O2"/>
    <mergeCell ref="H54:H56"/>
    <mergeCell ref="C41:D41"/>
    <mergeCell ref="I56:J56"/>
    <mergeCell ref="B42:D42"/>
    <mergeCell ref="B3:C3"/>
    <mergeCell ref="B23:B24"/>
    <mergeCell ref="B25:B26"/>
    <mergeCell ref="N53:O54"/>
    <mergeCell ref="E5:E6"/>
    <mergeCell ref="C5:C6"/>
    <mergeCell ref="F5:F6"/>
    <mergeCell ref="K5:K6"/>
    <mergeCell ref="Y3:AA3"/>
    <mergeCell ref="C58:D58"/>
    <mergeCell ref="C23:D24"/>
    <mergeCell ref="D25:D26"/>
    <mergeCell ref="C25:C26"/>
    <mergeCell ref="F25:F26"/>
    <mergeCell ref="E25:E26"/>
    <mergeCell ref="E23:F24"/>
    <mergeCell ref="C4:D4"/>
    <mergeCell ref="Y4:Z4"/>
    <mergeCell ref="E4:F4"/>
    <mergeCell ref="D5:D6"/>
    <mergeCell ref="H5:H6"/>
    <mergeCell ref="O5:O6"/>
    <mergeCell ref="B43:C43"/>
    <mergeCell ref="L5:L6"/>
    <mergeCell ref="AR21:AR22"/>
    <mergeCell ref="AE15:AE20"/>
    <mergeCell ref="AE21:AE22"/>
    <mergeCell ref="Y21:Y22"/>
    <mergeCell ref="Z21:Z22"/>
    <mergeCell ref="AG21:AG22"/>
    <mergeCell ref="AD21:AD22"/>
    <mergeCell ref="AA21:AA22"/>
    <mergeCell ref="AP12:AX12"/>
    <mergeCell ref="Y18:Z18"/>
    <mergeCell ref="Y20:AA20"/>
    <mergeCell ref="AQ20:AT20"/>
    <mergeCell ref="P5:Q6"/>
    <mergeCell ref="AE5:AE7"/>
    <mergeCell ref="AE10:AE12"/>
    <mergeCell ref="U5:U6"/>
    <mergeCell ref="S4:S5"/>
    <mergeCell ref="R5:R6"/>
    <mergeCell ref="T4:T5"/>
    <mergeCell ref="AB4:AC4"/>
    <mergeCell ref="V5:V6"/>
    <mergeCell ref="W5:W6"/>
    <mergeCell ref="B63:B64"/>
    <mergeCell ref="C63:C64"/>
    <mergeCell ref="D63:D64"/>
    <mergeCell ref="E63:E64"/>
    <mergeCell ref="F63:F64"/>
    <mergeCell ref="S49:T49"/>
    <mergeCell ref="S50:T50"/>
    <mergeCell ref="S48:T48"/>
    <mergeCell ref="Z46:AA46"/>
    <mergeCell ref="B5:B6"/>
    <mergeCell ref="B20:D20"/>
    <mergeCell ref="I5:J6"/>
    <mergeCell ref="M5:M6"/>
  </mergeCells>
  <conditionalFormatting sqref="AE23:AE44 Q56:S56 S50:S55">
    <cfRule type="cellIs" dxfId="4621" priority="6" stopIfTrue="1" operator="lessThan">
      <formula>0</formula>
    </cfRule>
  </conditionalFormatting>
  <conditionalFormatting sqref="AE13:AE14">
    <cfRule type="containsText" dxfId="4620" priority="230" stopIfTrue="1" operator="containsText" text="חריגה">
      <formula>NOT(ISERROR(SEARCH("חריגה",AE13)))</formula>
    </cfRule>
  </conditionalFormatting>
  <conditionalFormatting sqref="AI23:AI44">
    <cfRule type="cellIs" dxfId="4619" priority="229" stopIfTrue="1" operator="equal">
      <formula>1</formula>
    </cfRule>
  </conditionalFormatting>
  <conditionalFormatting sqref="E20:F20 E42:F42">
    <cfRule type="containsText" dxfId="4618" priority="228" stopIfTrue="1" operator="containsText" text="חיובי">
      <formula>NOT(ISERROR(SEARCH("חיובי",E20)))</formula>
    </cfRule>
  </conditionalFormatting>
  <conditionalFormatting sqref="W46 K54:M54 K58:M58 C41 D19">
    <cfRule type="cellIs" dxfId="4617" priority="227" stopIfTrue="1" operator="lessThan">
      <formula>0</formula>
    </cfRule>
  </conditionalFormatting>
  <conditionalFormatting sqref="D45">
    <cfRule type="cellIs" dxfId="4616" priority="250" stopIfTrue="1" operator="greaterThan">
      <formula>$C$45</formula>
    </cfRule>
  </conditionalFormatting>
  <conditionalFormatting sqref="D46">
    <cfRule type="cellIs" dxfId="4615" priority="251" stopIfTrue="1" operator="greaterThan">
      <formula>$C$46</formula>
    </cfRule>
  </conditionalFormatting>
  <conditionalFormatting sqref="D47">
    <cfRule type="cellIs" dxfId="4614" priority="252" stopIfTrue="1" operator="greaterThan">
      <formula>$C$47</formula>
    </cfRule>
  </conditionalFormatting>
  <conditionalFormatting sqref="D48">
    <cfRule type="cellIs" dxfId="4613" priority="253" stopIfTrue="1" operator="greaterThan">
      <formula>$C$48</formula>
    </cfRule>
  </conditionalFormatting>
  <conditionalFormatting sqref="D49">
    <cfRule type="cellIs" dxfId="4612" priority="254" stopIfTrue="1" operator="greaterThan">
      <formula>$C$49</formula>
    </cfRule>
  </conditionalFormatting>
  <conditionalFormatting sqref="D50">
    <cfRule type="cellIs" dxfId="4611" priority="255" stopIfTrue="1" operator="greaterThan">
      <formula>$C$50</formula>
    </cfRule>
  </conditionalFormatting>
  <conditionalFormatting sqref="D51">
    <cfRule type="cellIs" dxfId="4610" priority="256" stopIfTrue="1" operator="greaterThan">
      <formula>$C$51</formula>
    </cfRule>
  </conditionalFormatting>
  <conditionalFormatting sqref="D52">
    <cfRule type="cellIs" dxfId="4609" priority="257" stopIfTrue="1" operator="greaterThan">
      <formula>$C$52</formula>
    </cfRule>
  </conditionalFormatting>
  <conditionalFormatting sqref="D53">
    <cfRule type="cellIs" dxfId="4608" priority="258" stopIfTrue="1" operator="greaterThan">
      <formula>$C$53</formula>
    </cfRule>
  </conditionalFormatting>
  <conditionalFormatting sqref="D54">
    <cfRule type="cellIs" dxfId="4607" priority="259" stopIfTrue="1" operator="greaterThan">
      <formula>$C$54</formula>
    </cfRule>
  </conditionalFormatting>
  <conditionalFormatting sqref="D55">
    <cfRule type="cellIs" dxfId="4606" priority="260" stopIfTrue="1" operator="greaterThan">
      <formula>$C$55</formula>
    </cfRule>
  </conditionalFormatting>
  <conditionalFormatting sqref="D56">
    <cfRule type="cellIs" dxfId="4605" priority="261" stopIfTrue="1" operator="greaterThan">
      <formula>$C$56</formula>
    </cfRule>
  </conditionalFormatting>
  <conditionalFormatting sqref="C7">
    <cfRule type="expression" dxfId="4604" priority="223" stopIfTrue="1">
      <formula>AND(C7&lt;&gt;0, NOT(ISTEXT(B7)))</formula>
    </cfRule>
    <cfRule type="cellIs" dxfId="4603" priority="224" stopIfTrue="1" operator="lessThan">
      <formula>0</formula>
    </cfRule>
  </conditionalFormatting>
  <conditionalFormatting sqref="C8">
    <cfRule type="expression" dxfId="4602" priority="221" stopIfTrue="1">
      <formula>AND(C8&lt;&gt;0, NOT(ISTEXT(B8)))</formula>
    </cfRule>
    <cfRule type="cellIs" dxfId="4601" priority="222" stopIfTrue="1" operator="lessThan">
      <formula>0</formula>
    </cfRule>
  </conditionalFormatting>
  <conditionalFormatting sqref="C9">
    <cfRule type="expression" dxfId="4600" priority="219" stopIfTrue="1">
      <formula>AND(C9&lt;&gt;0, NOT(ISTEXT(B9)))</formula>
    </cfRule>
    <cfRule type="cellIs" dxfId="4599" priority="220" stopIfTrue="1" operator="lessThan">
      <formula>0</formula>
    </cfRule>
  </conditionalFormatting>
  <conditionalFormatting sqref="C10">
    <cfRule type="expression" dxfId="4598" priority="217" stopIfTrue="1">
      <formula>AND(C10&lt;&gt;0, NOT(ISTEXT(B10)))</formula>
    </cfRule>
    <cfRule type="cellIs" dxfId="4597" priority="218" stopIfTrue="1" operator="lessThan">
      <formula>0</formula>
    </cfRule>
  </conditionalFormatting>
  <conditionalFormatting sqref="C11">
    <cfRule type="expression" dxfId="4596" priority="215" stopIfTrue="1">
      <formula>AND(C11&lt;&gt;0, NOT(ISTEXT(B11)))</formula>
    </cfRule>
    <cfRule type="cellIs" dxfId="4595" priority="216" stopIfTrue="1" operator="lessThan">
      <formula>0</formula>
    </cfRule>
  </conditionalFormatting>
  <conditionalFormatting sqref="C12">
    <cfRule type="expression" dxfId="4594" priority="213" stopIfTrue="1">
      <formula>AND(C12&lt;&gt;0, NOT(ISTEXT(B12)))</formula>
    </cfRule>
    <cfRule type="cellIs" dxfId="4593" priority="214" stopIfTrue="1" operator="lessThan">
      <formula>0</formula>
    </cfRule>
  </conditionalFormatting>
  <conditionalFormatting sqref="C13">
    <cfRule type="expression" dxfId="4592" priority="211" stopIfTrue="1">
      <formula>AND(C13&lt;&gt;0, NOT(ISTEXT(B13)))</formula>
    </cfRule>
    <cfRule type="cellIs" dxfId="4591" priority="212" stopIfTrue="1" operator="lessThan">
      <formula>0</formula>
    </cfRule>
  </conditionalFormatting>
  <conditionalFormatting sqref="C14">
    <cfRule type="expression" dxfId="4590" priority="209" stopIfTrue="1">
      <formula>AND(C14&lt;&gt;0, NOT(ISTEXT(B14)))</formula>
    </cfRule>
    <cfRule type="cellIs" dxfId="4589" priority="210" stopIfTrue="1" operator="lessThan">
      <formula>0</formula>
    </cfRule>
  </conditionalFormatting>
  <conditionalFormatting sqref="C15">
    <cfRule type="expression" dxfId="4588" priority="207" stopIfTrue="1">
      <formula>AND(C15&lt;&gt;0, NOT(ISTEXT(B15)))</formula>
    </cfRule>
    <cfRule type="cellIs" dxfId="4587" priority="208" stopIfTrue="1" operator="lessThan">
      <formula>0</formula>
    </cfRule>
  </conditionalFormatting>
  <conditionalFormatting sqref="C16">
    <cfRule type="expression" dxfId="4586" priority="205" stopIfTrue="1">
      <formula>AND(C16&lt;&gt;0, NOT(ISTEXT(B16)))</formula>
    </cfRule>
    <cfRule type="cellIs" dxfId="4585" priority="206" stopIfTrue="1" operator="lessThan">
      <formula>0</formula>
    </cfRule>
  </conditionalFormatting>
  <conditionalFormatting sqref="C17">
    <cfRule type="expression" dxfId="4584" priority="203" stopIfTrue="1">
      <formula>AND(C17&lt;&gt;0, NOT(ISTEXT(B17)))</formula>
    </cfRule>
    <cfRule type="cellIs" dxfId="4583" priority="204" stopIfTrue="1" operator="lessThan">
      <formula>0</formula>
    </cfRule>
  </conditionalFormatting>
  <conditionalFormatting sqref="C27">
    <cfRule type="expression" dxfId="4582" priority="201" stopIfTrue="1">
      <formula>AND(C27&lt;&gt;0, NOT(ISTEXT(B27)))</formula>
    </cfRule>
    <cfRule type="cellIs" dxfId="4581" priority="202" stopIfTrue="1" operator="lessThan">
      <formula>0</formula>
    </cfRule>
  </conditionalFormatting>
  <conditionalFormatting sqref="C39">
    <cfRule type="expression" dxfId="4580" priority="199" stopIfTrue="1">
      <formula>AND(C39&lt;&gt;0, NOT(ISTEXT(B39)))</formula>
    </cfRule>
    <cfRule type="cellIs" dxfId="4579" priority="200" stopIfTrue="1" operator="lessThan">
      <formula>0</formula>
    </cfRule>
  </conditionalFormatting>
  <conditionalFormatting sqref="C28">
    <cfRule type="expression" dxfId="4578" priority="197" stopIfTrue="1">
      <formula>AND(C28&lt;&gt;0, NOT(ISTEXT(B28)))</formula>
    </cfRule>
    <cfRule type="cellIs" dxfId="4577" priority="198" stopIfTrue="1" operator="lessThan">
      <formula>0</formula>
    </cfRule>
  </conditionalFormatting>
  <conditionalFormatting sqref="C29">
    <cfRule type="expression" dxfId="4576" priority="195" stopIfTrue="1">
      <formula>AND(C29&lt;&gt;0, NOT(ISTEXT(B29)))</formula>
    </cfRule>
    <cfRule type="cellIs" dxfId="4575" priority="196" stopIfTrue="1" operator="lessThan">
      <formula>0</formula>
    </cfRule>
  </conditionalFormatting>
  <conditionalFormatting sqref="C30">
    <cfRule type="expression" dxfId="4574" priority="193" stopIfTrue="1">
      <formula>AND(C30&lt;&gt;0, NOT(ISTEXT(B30)))</formula>
    </cfRule>
    <cfRule type="cellIs" dxfId="4573" priority="194" stopIfTrue="1" operator="lessThan">
      <formula>0</formula>
    </cfRule>
  </conditionalFormatting>
  <conditionalFormatting sqref="C31">
    <cfRule type="expression" dxfId="4572" priority="191" stopIfTrue="1">
      <formula>AND(C31&lt;&gt;0, NOT(ISTEXT(B31)))</formula>
    </cfRule>
    <cfRule type="cellIs" dxfId="4571" priority="192" stopIfTrue="1" operator="lessThan">
      <formula>0</formula>
    </cfRule>
  </conditionalFormatting>
  <conditionalFormatting sqref="C32">
    <cfRule type="expression" dxfId="4570" priority="189" stopIfTrue="1">
      <formula>AND(C32&lt;&gt;0, NOT(ISTEXT(B32)))</formula>
    </cfRule>
    <cfRule type="cellIs" dxfId="4569" priority="190" stopIfTrue="1" operator="lessThan">
      <formula>0</formula>
    </cfRule>
  </conditionalFormatting>
  <conditionalFormatting sqref="C33">
    <cfRule type="expression" dxfId="4568" priority="187" stopIfTrue="1">
      <formula>AND(C33&lt;&gt;0, NOT(ISTEXT(B33)))</formula>
    </cfRule>
    <cfRule type="cellIs" dxfId="4567" priority="188" stopIfTrue="1" operator="lessThan">
      <formula>0</formula>
    </cfRule>
  </conditionalFormatting>
  <conditionalFormatting sqref="C34">
    <cfRule type="expression" dxfId="4566" priority="185" stopIfTrue="1">
      <formula>AND(C34&lt;&gt;0, NOT(ISTEXT(B34)))</formula>
    </cfRule>
    <cfRule type="cellIs" dxfId="4565" priority="186" stopIfTrue="1" operator="lessThan">
      <formula>0</formula>
    </cfRule>
  </conditionalFormatting>
  <conditionalFormatting sqref="C35">
    <cfRule type="expression" dxfId="4564" priority="183" stopIfTrue="1">
      <formula>AND(C35&lt;&gt;0, NOT(ISTEXT(B35)))</formula>
    </cfRule>
    <cfRule type="cellIs" dxfId="4563" priority="184" stopIfTrue="1" operator="lessThan">
      <formula>0</formula>
    </cfRule>
  </conditionalFormatting>
  <conditionalFormatting sqref="C36">
    <cfRule type="expression" dxfId="4562" priority="181" stopIfTrue="1">
      <formula>AND(C36&lt;&gt;0, NOT(ISTEXT(B36)))</formula>
    </cfRule>
    <cfRule type="cellIs" dxfId="4561" priority="182" stopIfTrue="1" operator="lessThan">
      <formula>0</formula>
    </cfRule>
  </conditionalFormatting>
  <conditionalFormatting sqref="C37">
    <cfRule type="expression" dxfId="4560" priority="179" stopIfTrue="1">
      <formula>AND(C37&lt;&gt;0, NOT(ISTEXT(B37)))</formula>
    </cfRule>
    <cfRule type="cellIs" dxfId="4559" priority="180" stopIfTrue="1" operator="lessThan">
      <formula>0</formula>
    </cfRule>
  </conditionalFormatting>
  <conditionalFormatting sqref="C38">
    <cfRule type="expression" dxfId="4558" priority="177" stopIfTrue="1">
      <formula>AND(C38&lt;&gt;0, NOT(ISTEXT(B38)))</formula>
    </cfRule>
    <cfRule type="cellIs" dxfId="4557" priority="178" stopIfTrue="1" operator="lessThan">
      <formula>0</formula>
    </cfRule>
  </conditionalFormatting>
  <conditionalFormatting sqref="C45">
    <cfRule type="expression" dxfId="4556" priority="175" stopIfTrue="1">
      <formula>AND(C45&lt;&gt;0, NOT(ISTEXT(B45)))</formula>
    </cfRule>
    <cfRule type="cellIs" dxfId="4555" priority="176" stopIfTrue="1" operator="lessThan">
      <formula>0</formula>
    </cfRule>
  </conditionalFormatting>
  <conditionalFormatting sqref="C56">
    <cfRule type="expression" dxfId="4554" priority="173" stopIfTrue="1">
      <formula>AND(C56&lt;&gt;0, NOT(ISTEXT(B56)))</formula>
    </cfRule>
    <cfRule type="cellIs" dxfId="4553" priority="174" stopIfTrue="1" operator="lessThan">
      <formula>0</formula>
    </cfRule>
  </conditionalFormatting>
  <conditionalFormatting sqref="C46">
    <cfRule type="expression" dxfId="4552" priority="171" stopIfTrue="1">
      <formula>AND(C46&lt;&gt;0, NOT(ISTEXT(B46)))</formula>
    </cfRule>
    <cfRule type="cellIs" dxfId="4551" priority="172" stopIfTrue="1" operator="lessThan">
      <formula>0</formula>
    </cfRule>
  </conditionalFormatting>
  <conditionalFormatting sqref="C47">
    <cfRule type="expression" dxfId="4550" priority="169" stopIfTrue="1">
      <formula>AND(C47&lt;&gt;0, NOT(ISTEXT(B47)))</formula>
    </cfRule>
    <cfRule type="cellIs" dxfId="4549" priority="170" stopIfTrue="1" operator="lessThan">
      <formula>0</formula>
    </cfRule>
  </conditionalFormatting>
  <conditionalFormatting sqref="C48">
    <cfRule type="expression" dxfId="4548" priority="167" stopIfTrue="1">
      <formula>AND(C48&lt;&gt;0, NOT(ISTEXT(B48)))</formula>
    </cfRule>
    <cfRule type="cellIs" dxfId="4547" priority="168" stopIfTrue="1" operator="lessThan">
      <formula>0</formula>
    </cfRule>
  </conditionalFormatting>
  <conditionalFormatting sqref="C49">
    <cfRule type="expression" dxfId="4546" priority="165" stopIfTrue="1">
      <formula>AND(C49&lt;&gt;0, NOT(ISTEXT(B49)))</formula>
    </cfRule>
    <cfRule type="cellIs" dxfId="4545" priority="166" stopIfTrue="1" operator="lessThan">
      <formula>0</formula>
    </cfRule>
  </conditionalFormatting>
  <conditionalFormatting sqref="C50">
    <cfRule type="expression" dxfId="4544" priority="163" stopIfTrue="1">
      <formula>AND(C50&lt;&gt;0, NOT(ISTEXT(B50)))</formula>
    </cfRule>
    <cfRule type="cellIs" dxfId="4543" priority="164" stopIfTrue="1" operator="lessThan">
      <formula>0</formula>
    </cfRule>
  </conditionalFormatting>
  <conditionalFormatting sqref="C51">
    <cfRule type="expression" dxfId="4542" priority="161" stopIfTrue="1">
      <formula>AND(C51&lt;&gt;0, NOT(ISTEXT(B51)))</formula>
    </cfRule>
    <cfRule type="cellIs" dxfId="4541" priority="162" stopIfTrue="1" operator="lessThan">
      <formula>0</formula>
    </cfRule>
  </conditionalFormatting>
  <conditionalFormatting sqref="C52">
    <cfRule type="expression" dxfId="4540" priority="159" stopIfTrue="1">
      <formula>AND(C52&lt;&gt;0, NOT(ISTEXT(B52)))</formula>
    </cfRule>
    <cfRule type="cellIs" dxfId="4539" priority="160" stopIfTrue="1" operator="lessThan">
      <formula>0</formula>
    </cfRule>
  </conditionalFormatting>
  <conditionalFormatting sqref="C53">
    <cfRule type="expression" dxfId="4538" priority="157" stopIfTrue="1">
      <formula>AND(C53&lt;&gt;0, NOT(ISTEXT(B53)))</formula>
    </cfRule>
    <cfRule type="cellIs" dxfId="4537" priority="158" stopIfTrue="1" operator="lessThan">
      <formula>0</formula>
    </cfRule>
  </conditionalFormatting>
  <conditionalFormatting sqref="C54">
    <cfRule type="expression" dxfId="4536" priority="155" stopIfTrue="1">
      <formula>AND(C54&lt;&gt;0, NOT(ISTEXT(B54)))</formula>
    </cfRule>
    <cfRule type="cellIs" dxfId="4535" priority="156" stopIfTrue="1" operator="lessThan">
      <formula>0</formula>
    </cfRule>
  </conditionalFormatting>
  <conditionalFormatting sqref="C55">
    <cfRule type="expression" dxfId="4534" priority="153" stopIfTrue="1">
      <formula>AND(C55&lt;&gt;0, NOT(ISTEXT(B55)))</formula>
    </cfRule>
    <cfRule type="cellIs" dxfId="4533" priority="154" stopIfTrue="1" operator="lessThan">
      <formula>0</formula>
    </cfRule>
  </conditionalFormatting>
  <conditionalFormatting sqref="Z23">
    <cfRule type="expression" dxfId="4532" priority="151" stopIfTrue="1">
      <formula>AND(Z23&lt;&gt;0, NOT(ISTEXT(Y23)))</formula>
    </cfRule>
    <cfRule type="cellIs" dxfId="4531" priority="152" stopIfTrue="1" operator="lessThan">
      <formula>0</formula>
    </cfRule>
  </conditionalFormatting>
  <conditionalFormatting sqref="Z44">
    <cfRule type="expression" dxfId="4530" priority="149" stopIfTrue="1">
      <formula>AND(Z44&lt;&gt;0, NOT(ISTEXT(Y44)))</formula>
    </cfRule>
    <cfRule type="cellIs" dxfId="4529" priority="150" stopIfTrue="1" operator="lessThan">
      <formula>0</formula>
    </cfRule>
  </conditionalFormatting>
  <conditionalFormatting sqref="Z24">
    <cfRule type="expression" dxfId="4528" priority="147" stopIfTrue="1">
      <formula>AND(Z24&lt;&gt;0, NOT(ISTEXT(Y24)))</formula>
    </cfRule>
    <cfRule type="cellIs" dxfId="4527" priority="148" stopIfTrue="1" operator="lessThan">
      <formula>0</formula>
    </cfRule>
  </conditionalFormatting>
  <conditionalFormatting sqref="Z25">
    <cfRule type="expression" dxfId="4526" priority="145" stopIfTrue="1">
      <formula>AND(Z25&lt;&gt;0, NOT(ISTEXT(Y25)))</formula>
    </cfRule>
    <cfRule type="cellIs" dxfId="4525" priority="146" stopIfTrue="1" operator="lessThan">
      <formula>0</formula>
    </cfRule>
  </conditionalFormatting>
  <conditionalFormatting sqref="Z26">
    <cfRule type="expression" dxfId="4524" priority="143" stopIfTrue="1">
      <formula>AND(Z26&lt;&gt;0, NOT(ISTEXT(Y26)))</formula>
    </cfRule>
    <cfRule type="cellIs" dxfId="4523" priority="144" stopIfTrue="1" operator="lessThan">
      <formula>0</formula>
    </cfRule>
  </conditionalFormatting>
  <conditionalFormatting sqref="Z27">
    <cfRule type="expression" dxfId="4522" priority="141" stopIfTrue="1">
      <formula>AND(Z27&lt;&gt;0, NOT(ISTEXT(Y27)))</formula>
    </cfRule>
    <cfRule type="cellIs" dxfId="4521" priority="142" stopIfTrue="1" operator="lessThan">
      <formula>0</formula>
    </cfRule>
  </conditionalFormatting>
  <conditionalFormatting sqref="Z28">
    <cfRule type="expression" dxfId="4520" priority="139" stopIfTrue="1">
      <formula>AND(Z28&lt;&gt;0, NOT(ISTEXT(Y28)))</formula>
    </cfRule>
    <cfRule type="cellIs" dxfId="4519" priority="140" stopIfTrue="1" operator="lessThan">
      <formula>0</formula>
    </cfRule>
  </conditionalFormatting>
  <conditionalFormatting sqref="Z29">
    <cfRule type="expression" dxfId="4518" priority="137" stopIfTrue="1">
      <formula>AND(Z29&lt;&gt;0, NOT(ISTEXT(Y29)))</formula>
    </cfRule>
    <cfRule type="cellIs" dxfId="4517" priority="138" stopIfTrue="1" operator="lessThan">
      <formula>0</formula>
    </cfRule>
  </conditionalFormatting>
  <conditionalFormatting sqref="Z30">
    <cfRule type="expression" dxfId="4516" priority="135" stopIfTrue="1">
      <formula>AND(Z30&lt;&gt;0, NOT(ISTEXT(Y30)))</formula>
    </cfRule>
    <cfRule type="cellIs" dxfId="4515" priority="136" stopIfTrue="1" operator="lessThan">
      <formula>0</formula>
    </cfRule>
  </conditionalFormatting>
  <conditionalFormatting sqref="Z31">
    <cfRule type="expression" dxfId="4514" priority="133" stopIfTrue="1">
      <formula>AND(Z31&lt;&gt;0, NOT(ISTEXT(Y31)))</formula>
    </cfRule>
    <cfRule type="cellIs" dxfId="4513" priority="134" stopIfTrue="1" operator="lessThan">
      <formula>0</formula>
    </cfRule>
  </conditionalFormatting>
  <conditionalFormatting sqref="Z32">
    <cfRule type="expression" dxfId="4512" priority="131" stopIfTrue="1">
      <formula>AND(Z32&lt;&gt;0, NOT(ISTEXT(Y32)))</formula>
    </cfRule>
    <cfRule type="cellIs" dxfId="4511" priority="132" stopIfTrue="1" operator="lessThan">
      <formula>0</formula>
    </cfRule>
  </conditionalFormatting>
  <conditionalFormatting sqref="Z33">
    <cfRule type="expression" dxfId="4510" priority="129" stopIfTrue="1">
      <formula>AND(Z33&lt;&gt;0, NOT(ISTEXT(Y33)))</formula>
    </cfRule>
    <cfRule type="cellIs" dxfId="4509" priority="130" stopIfTrue="1" operator="lessThan">
      <formula>0</formula>
    </cfRule>
  </conditionalFormatting>
  <conditionalFormatting sqref="Z34">
    <cfRule type="expression" dxfId="4508" priority="127" stopIfTrue="1">
      <formula>AND(Z34&lt;&gt;0, NOT(ISTEXT(Y34)))</formula>
    </cfRule>
    <cfRule type="cellIs" dxfId="4507" priority="128" stopIfTrue="1" operator="lessThan">
      <formula>0</formula>
    </cfRule>
  </conditionalFormatting>
  <conditionalFormatting sqref="Z35">
    <cfRule type="expression" dxfId="4506" priority="125" stopIfTrue="1">
      <formula>AND(Z35&lt;&gt;0, NOT(ISTEXT(Y35)))</formula>
    </cfRule>
    <cfRule type="cellIs" dxfId="4505" priority="126" stopIfTrue="1" operator="lessThan">
      <formula>0</formula>
    </cfRule>
  </conditionalFormatting>
  <conditionalFormatting sqref="Z36">
    <cfRule type="expression" dxfId="4504" priority="123" stopIfTrue="1">
      <formula>AND(Z36&lt;&gt;0, NOT(ISTEXT(Y36)))</formula>
    </cfRule>
    <cfRule type="cellIs" dxfId="4503" priority="124" stopIfTrue="1" operator="lessThan">
      <formula>0</formula>
    </cfRule>
  </conditionalFormatting>
  <conditionalFormatting sqref="Z37">
    <cfRule type="expression" dxfId="4502" priority="121" stopIfTrue="1">
      <formula>AND(Z37&lt;&gt;0, NOT(ISTEXT(Y37)))</formula>
    </cfRule>
    <cfRule type="cellIs" dxfId="4501" priority="122" stopIfTrue="1" operator="lessThan">
      <formula>0</formula>
    </cfRule>
  </conditionalFormatting>
  <conditionalFormatting sqref="Z38">
    <cfRule type="expression" dxfId="4500" priority="119" stopIfTrue="1">
      <formula>AND(Z38&lt;&gt;0, NOT(ISTEXT(Y38)))</formula>
    </cfRule>
    <cfRule type="cellIs" dxfId="4499" priority="120" stopIfTrue="1" operator="lessThan">
      <formula>0</formula>
    </cfRule>
  </conditionalFormatting>
  <conditionalFormatting sqref="Z39">
    <cfRule type="expression" dxfId="4498" priority="117" stopIfTrue="1">
      <formula>AND(Z39&lt;&gt;0, NOT(ISTEXT(Y39)))</formula>
    </cfRule>
    <cfRule type="cellIs" dxfId="4497" priority="118" stopIfTrue="1" operator="lessThan">
      <formula>0</formula>
    </cfRule>
  </conditionalFormatting>
  <conditionalFormatting sqref="Z40">
    <cfRule type="expression" dxfId="4496" priority="115" stopIfTrue="1">
      <formula>AND(Z40&lt;&gt;0, NOT(ISTEXT(Y40)))</formula>
    </cfRule>
    <cfRule type="cellIs" dxfId="4495" priority="116" stopIfTrue="1" operator="lessThan">
      <formula>0</formula>
    </cfRule>
  </conditionalFormatting>
  <conditionalFormatting sqref="Z41">
    <cfRule type="expression" dxfId="4494" priority="113" stopIfTrue="1">
      <formula>AND(Z41&lt;&gt;0, NOT(ISTEXT(Y41)))</formula>
    </cfRule>
    <cfRule type="cellIs" dxfId="4493" priority="114" stopIfTrue="1" operator="lessThan">
      <formula>0</formula>
    </cfRule>
  </conditionalFormatting>
  <conditionalFormatting sqref="Z42">
    <cfRule type="expression" dxfId="4492" priority="111" stopIfTrue="1">
      <formula>AND(Z42&lt;&gt;0, NOT(ISTEXT(Y42)))</formula>
    </cfRule>
    <cfRule type="cellIs" dxfId="4491" priority="112" stopIfTrue="1" operator="lessThan">
      <formula>0</formula>
    </cfRule>
  </conditionalFormatting>
  <conditionalFormatting sqref="Z43">
    <cfRule type="expression" dxfId="4490" priority="109" stopIfTrue="1">
      <formula>AND(Z43&lt;&gt;0, NOT(ISTEXT(Y43)))</formula>
    </cfRule>
    <cfRule type="cellIs" dxfId="4489" priority="110" stopIfTrue="1" operator="lessThan">
      <formula>0</formula>
    </cfRule>
  </conditionalFormatting>
  <conditionalFormatting sqref="Z6">
    <cfRule type="expression" dxfId="4488" priority="107" stopIfTrue="1">
      <formula>AND(Z6&lt;&gt;0, NOT(ISTEXT(Y6)))</formula>
    </cfRule>
    <cfRule type="cellIs" dxfId="4487" priority="108" stopIfTrue="1" operator="lessThan">
      <formula>0</formula>
    </cfRule>
  </conditionalFormatting>
  <conditionalFormatting sqref="Z16">
    <cfRule type="expression" dxfId="4486" priority="105" stopIfTrue="1">
      <formula>AND(Z16&lt;&gt;0, NOT(ISTEXT(Y16)))</formula>
    </cfRule>
    <cfRule type="cellIs" dxfId="4485" priority="106" stopIfTrue="1" operator="lessThan">
      <formula>0</formula>
    </cfRule>
  </conditionalFormatting>
  <conditionalFormatting sqref="Z7">
    <cfRule type="expression" dxfId="4484" priority="103" stopIfTrue="1">
      <formula>AND(Z7&lt;&gt;0, NOT(ISTEXT(Y7)))</formula>
    </cfRule>
    <cfRule type="cellIs" dxfId="4483" priority="104" stopIfTrue="1" operator="lessThan">
      <formula>0</formula>
    </cfRule>
  </conditionalFormatting>
  <conditionalFormatting sqref="Z8">
    <cfRule type="expression" dxfId="4482" priority="101" stopIfTrue="1">
      <formula>AND(Z8&lt;&gt;0, NOT(ISTEXT(Y8)))</formula>
    </cfRule>
    <cfRule type="cellIs" dxfId="4481" priority="102" stopIfTrue="1" operator="lessThan">
      <formula>0</formula>
    </cfRule>
  </conditionalFormatting>
  <conditionalFormatting sqref="Z9">
    <cfRule type="expression" dxfId="4480" priority="99" stopIfTrue="1">
      <formula>AND(Z9&lt;&gt;0, NOT(ISTEXT(Y9)))</formula>
    </cfRule>
    <cfRule type="cellIs" dxfId="4479" priority="100" stopIfTrue="1" operator="lessThan">
      <formula>0</formula>
    </cfRule>
  </conditionalFormatting>
  <conditionalFormatting sqref="Z10">
    <cfRule type="expression" dxfId="4478" priority="97" stopIfTrue="1">
      <formula>AND(Z10&lt;&gt;0, NOT(ISTEXT(Y10)))</formula>
    </cfRule>
    <cfRule type="cellIs" dxfId="4477" priority="98" stopIfTrue="1" operator="lessThan">
      <formula>0</formula>
    </cfRule>
  </conditionalFormatting>
  <conditionalFormatting sqref="Z11">
    <cfRule type="expression" dxfId="4476" priority="95" stopIfTrue="1">
      <formula>AND(Z11&lt;&gt;0, NOT(ISTEXT(Y11)))</formula>
    </cfRule>
    <cfRule type="cellIs" dxfId="4475" priority="96" stopIfTrue="1" operator="lessThan">
      <formula>0</formula>
    </cfRule>
  </conditionalFormatting>
  <conditionalFormatting sqref="Z12">
    <cfRule type="expression" dxfId="4474" priority="93" stopIfTrue="1">
      <formula>AND(Z12&lt;&gt;0, NOT(ISTEXT(Y12)))</formula>
    </cfRule>
    <cfRule type="cellIs" dxfId="4473" priority="94" stopIfTrue="1" operator="lessThan">
      <formula>0</formula>
    </cfRule>
  </conditionalFormatting>
  <conditionalFormatting sqref="Z13">
    <cfRule type="expression" dxfId="4472" priority="91" stopIfTrue="1">
      <formula>AND(Z13&lt;&gt;0, NOT(ISTEXT(Y13)))</formula>
    </cfRule>
    <cfRule type="cellIs" dxfId="4471" priority="92" stopIfTrue="1" operator="lessThan">
      <formula>0</formula>
    </cfRule>
  </conditionalFormatting>
  <conditionalFormatting sqref="Z14">
    <cfRule type="expression" dxfId="4470" priority="89" stopIfTrue="1">
      <formula>AND(Z14&lt;&gt;0, NOT(ISTEXT(Y14)))</formula>
    </cfRule>
    <cfRule type="cellIs" dxfId="4469" priority="90" stopIfTrue="1" operator="lessThan">
      <formula>0</formula>
    </cfRule>
  </conditionalFormatting>
  <conditionalFormatting sqref="Z15">
    <cfRule type="expression" dxfId="4468" priority="87" stopIfTrue="1">
      <formula>AND(Z15&lt;&gt;0, NOT(ISTEXT(Y15)))</formula>
    </cfRule>
    <cfRule type="cellIs" dxfId="4467" priority="88" stopIfTrue="1" operator="lessThan">
      <formula>0</formula>
    </cfRule>
  </conditionalFormatting>
  <conditionalFormatting sqref="N53:O54">
    <cfRule type="containsText" dxfId="4466" priority="85" stopIfTrue="1" operator="containsText" text="הפרש">
      <formula>NOT(ISERROR(SEARCH("הפרש",N53)))</formula>
    </cfRule>
  </conditionalFormatting>
  <conditionalFormatting sqref="Z23:Z44 Q64:Q110 Q7:Q45 J7:J53 C27:D39 C45:C56 J64:J110 C65:D86 C7:D17 Z6:AA16">
    <cfRule type="expression" dxfId="4465" priority="83" stopIfTrue="1">
      <formula>ISTEXT(C6)</formula>
    </cfRule>
  </conditionalFormatting>
  <conditionalFormatting sqref="D7:D17 D27:D39 AA6:AA16">
    <cfRule type="expression" dxfId="4464" priority="71" stopIfTrue="1">
      <formula>AND(D6&lt;&gt;0,NOT(ISTEXT(B6)))</formula>
    </cfRule>
  </conditionalFormatting>
  <conditionalFormatting sqref="C65">
    <cfRule type="expression" dxfId="4463" priority="67" stopIfTrue="1">
      <formula>AND(C65&lt;&gt;0, NOT(ISTEXT(B65)))</formula>
    </cfRule>
    <cfRule type="cellIs" dxfId="4462" priority="68" stopIfTrue="1" operator="lessThan">
      <formula>0</formula>
    </cfRule>
  </conditionalFormatting>
  <conditionalFormatting sqref="C77">
    <cfRule type="expression" dxfId="4461" priority="65" stopIfTrue="1">
      <formula>AND(C77&lt;&gt;0, NOT(ISTEXT(B77)))</formula>
    </cfRule>
    <cfRule type="cellIs" dxfId="4460" priority="66" stopIfTrue="1" operator="lessThan">
      <formula>0</formula>
    </cfRule>
  </conditionalFormatting>
  <conditionalFormatting sqref="C66">
    <cfRule type="expression" dxfId="4459" priority="63" stopIfTrue="1">
      <formula>AND(C66&lt;&gt;0, NOT(ISTEXT(B66)))</formula>
    </cfRule>
    <cfRule type="cellIs" dxfId="4458" priority="64" stopIfTrue="1" operator="lessThan">
      <formula>0</formula>
    </cfRule>
  </conditionalFormatting>
  <conditionalFormatting sqref="C67">
    <cfRule type="expression" dxfId="4457" priority="61" stopIfTrue="1">
      <formula>AND(C67&lt;&gt;0, NOT(ISTEXT(B67)))</formula>
    </cfRule>
    <cfRule type="cellIs" dxfId="4456" priority="62" stopIfTrue="1" operator="lessThan">
      <formula>0</formula>
    </cfRule>
  </conditionalFormatting>
  <conditionalFormatting sqref="C68">
    <cfRule type="expression" dxfId="4455" priority="59" stopIfTrue="1">
      <formula>AND(C68&lt;&gt;0, NOT(ISTEXT(B68)))</formula>
    </cfRule>
    <cfRule type="cellIs" dxfId="4454" priority="60" stopIfTrue="1" operator="lessThan">
      <formula>0</formula>
    </cfRule>
  </conditionalFormatting>
  <conditionalFormatting sqref="C69">
    <cfRule type="expression" dxfId="4453" priority="57" stopIfTrue="1">
      <formula>AND(C69&lt;&gt;0, NOT(ISTEXT(B69)))</formula>
    </cfRule>
    <cfRule type="cellIs" dxfId="4452" priority="58" stopIfTrue="1" operator="lessThan">
      <formula>0</formula>
    </cfRule>
  </conditionalFormatting>
  <conditionalFormatting sqref="C70">
    <cfRule type="expression" dxfId="4451" priority="55" stopIfTrue="1">
      <formula>AND(C70&lt;&gt;0, NOT(ISTEXT(B70)))</formula>
    </cfRule>
    <cfRule type="cellIs" dxfId="4450" priority="56" stopIfTrue="1" operator="lessThan">
      <formula>0</formula>
    </cfRule>
  </conditionalFormatting>
  <conditionalFormatting sqref="C71">
    <cfRule type="expression" dxfId="4449" priority="53" stopIfTrue="1">
      <formula>AND(C71&lt;&gt;0, NOT(ISTEXT(B71)))</formula>
    </cfRule>
    <cfRule type="cellIs" dxfId="4448" priority="54" stopIfTrue="1" operator="lessThan">
      <formula>0</formula>
    </cfRule>
  </conditionalFormatting>
  <conditionalFormatting sqref="C72">
    <cfRule type="expression" dxfId="4447" priority="51" stopIfTrue="1">
      <formula>AND(C72&lt;&gt;0, NOT(ISTEXT(B72)))</formula>
    </cfRule>
    <cfRule type="cellIs" dxfId="4446" priority="52" stopIfTrue="1" operator="lessThan">
      <formula>0</formula>
    </cfRule>
  </conditionalFormatting>
  <conditionalFormatting sqref="C73">
    <cfRule type="expression" dxfId="4445" priority="49" stopIfTrue="1">
      <formula>AND(C73&lt;&gt;0, NOT(ISTEXT(B73)))</formula>
    </cfRule>
    <cfRule type="cellIs" dxfId="4444" priority="50" stopIfTrue="1" operator="lessThan">
      <formula>0</formula>
    </cfRule>
  </conditionalFormatting>
  <conditionalFormatting sqref="C74">
    <cfRule type="expression" dxfId="4443" priority="47" stopIfTrue="1">
      <formula>AND(C74&lt;&gt;0, NOT(ISTEXT(B74)))</formula>
    </cfRule>
    <cfRule type="cellIs" dxfId="4442" priority="48" stopIfTrue="1" operator="lessThan">
      <formula>0</formula>
    </cfRule>
  </conditionalFormatting>
  <conditionalFormatting sqref="C75">
    <cfRule type="expression" dxfId="4441" priority="45" stopIfTrue="1">
      <formula>AND(C75&lt;&gt;0, NOT(ISTEXT(B75)))</formula>
    </cfRule>
    <cfRule type="cellIs" dxfId="4440" priority="46" stopIfTrue="1" operator="lessThan">
      <formula>0</formula>
    </cfRule>
  </conditionalFormatting>
  <conditionalFormatting sqref="C76">
    <cfRule type="expression" dxfId="4439" priority="43" stopIfTrue="1">
      <formula>AND(C76&lt;&gt;0, NOT(ISTEXT(B76)))</formula>
    </cfRule>
    <cfRule type="cellIs" dxfId="4438" priority="44" stopIfTrue="1" operator="lessThan">
      <formula>0</formula>
    </cfRule>
  </conditionalFormatting>
  <conditionalFormatting sqref="D65:D77">
    <cfRule type="expression" dxfId="4437" priority="41" stopIfTrue="1">
      <formula>AND(D65&lt;&gt;0,NOT(ISTEXT(B65)))</formula>
    </cfRule>
  </conditionalFormatting>
  <conditionalFormatting sqref="C86">
    <cfRule type="expression" dxfId="4436" priority="37" stopIfTrue="1">
      <formula>AND(C86&lt;&gt;0, NOT(ISTEXT(B86)))</formula>
    </cfRule>
    <cfRule type="cellIs" dxfId="4435" priority="38" stopIfTrue="1" operator="lessThan">
      <formula>0</formula>
    </cfRule>
  </conditionalFormatting>
  <conditionalFormatting sqref="C78">
    <cfRule type="expression" dxfId="4434" priority="35" stopIfTrue="1">
      <formula>AND(C78&lt;&gt;0, NOT(ISTEXT(B78)))</formula>
    </cfRule>
    <cfRule type="cellIs" dxfId="4433" priority="36" stopIfTrue="1" operator="lessThan">
      <formula>0</formula>
    </cfRule>
  </conditionalFormatting>
  <conditionalFormatting sqref="C79">
    <cfRule type="expression" dxfId="4432" priority="33" stopIfTrue="1">
      <formula>AND(C79&lt;&gt;0, NOT(ISTEXT(B79)))</formula>
    </cfRule>
    <cfRule type="cellIs" dxfId="4431" priority="34" stopIfTrue="1" operator="lessThan">
      <formula>0</formula>
    </cfRule>
  </conditionalFormatting>
  <conditionalFormatting sqref="C80">
    <cfRule type="expression" dxfId="4430" priority="31" stopIfTrue="1">
      <formula>AND(C80&lt;&gt;0, NOT(ISTEXT(B80)))</formula>
    </cfRule>
    <cfRule type="cellIs" dxfId="4429" priority="32" stopIfTrue="1" operator="lessThan">
      <formula>0</formula>
    </cfRule>
  </conditionalFormatting>
  <conditionalFormatting sqref="C81">
    <cfRule type="expression" dxfId="4428" priority="29" stopIfTrue="1">
      <formula>AND(C81&lt;&gt;0, NOT(ISTEXT(B81)))</formula>
    </cfRule>
    <cfRule type="cellIs" dxfId="4427" priority="30" stopIfTrue="1" operator="lessThan">
      <formula>0</formula>
    </cfRule>
  </conditionalFormatting>
  <conditionalFormatting sqref="C82">
    <cfRule type="expression" dxfId="4426" priority="27" stopIfTrue="1">
      <formula>AND(C82&lt;&gt;0, NOT(ISTEXT(B82)))</formula>
    </cfRule>
    <cfRule type="cellIs" dxfId="4425" priority="28" stopIfTrue="1" operator="lessThan">
      <formula>0</formula>
    </cfRule>
  </conditionalFormatting>
  <conditionalFormatting sqref="C83">
    <cfRule type="expression" dxfId="4424" priority="25" stopIfTrue="1">
      <formula>AND(C83&lt;&gt;0, NOT(ISTEXT(B83)))</formula>
    </cfRule>
    <cfRule type="cellIs" dxfId="4423" priority="26" stopIfTrue="1" operator="lessThan">
      <formula>0</formula>
    </cfRule>
  </conditionalFormatting>
  <conditionalFormatting sqref="C84">
    <cfRule type="expression" dxfId="4422" priority="23" stopIfTrue="1">
      <formula>AND(C84&lt;&gt;0, NOT(ISTEXT(B84)))</formula>
    </cfRule>
    <cfRule type="cellIs" dxfId="4421" priority="24" stopIfTrue="1" operator="lessThan">
      <formula>0</formula>
    </cfRule>
  </conditionalFormatting>
  <conditionalFormatting sqref="C85">
    <cfRule type="expression" dxfId="4420" priority="21" stopIfTrue="1">
      <formula>AND(C85&lt;&gt;0, NOT(ISTEXT(B85)))</formula>
    </cfRule>
    <cfRule type="cellIs" dxfId="4419" priority="22" stopIfTrue="1" operator="lessThan">
      <formula>0</formula>
    </cfRule>
  </conditionalFormatting>
  <conditionalFormatting sqref="D78:D86">
    <cfRule type="expression" dxfId="4418" priority="19" stopIfTrue="1">
      <formula>AND(D78&lt;&gt;0,NOT(ISTEXT(B78)))</formula>
    </cfRule>
  </conditionalFormatting>
  <conditionalFormatting sqref="D7:D17 D27:D39 D65:D86">
    <cfRule type="cellIs" dxfId="4417" priority="16" stopIfTrue="1" operator="greaterThan">
      <formula>C7</formula>
    </cfRule>
  </conditionalFormatting>
  <conditionalFormatting sqref="AE23:AE44">
    <cfRule type="expression" dxfId="4416" priority="7" stopIfTrue="1">
      <formula>((Z23*(12-$AR$19))-AE23)/(Z23*(12-$AR$19)+0.00001)&gt;0.9</formula>
    </cfRule>
    <cfRule type="expression" dxfId="4415" priority="8" stopIfTrue="1">
      <formula>((Z23*(12-$AR$19))-AE23)/(Z23*(12-$AR$19)+0.00001)&gt;0.8</formula>
    </cfRule>
    <cfRule type="expression" dxfId="4414" priority="9" stopIfTrue="1">
      <formula>((Z23*(12-$AR$19))-AE23)/(Z23*(12-$AR$19)+0.00001)&gt;0.7</formula>
    </cfRule>
    <cfRule type="expression" dxfId="4413" priority="10" stopIfTrue="1">
      <formula>((Z23*(12-$AR$19))-AE23)/(Z23*(12-$AR$19)+0.00001)&gt;0.6</formula>
    </cfRule>
    <cfRule type="expression" dxfId="4412" priority="11" stopIfTrue="1">
      <formula>((Z23*(12-$AR$19))-AE23)/(Z23*(12-$AR$19)+0.00001)&gt;0.5</formula>
    </cfRule>
    <cfRule type="expression" dxfId="4411" priority="12" stopIfTrue="1">
      <formula>((Z23*(12-$AR$19))-AE23)/(Z23*(12-$AR$19)+0.00001)&gt;0.4</formula>
    </cfRule>
    <cfRule type="expression" dxfId="4410" priority="13" stopIfTrue="1">
      <formula>((Z23*(12-$AR$19))-AE23)/(Z23*(12-$AR$19)+0.00001)&gt;0.3</formula>
    </cfRule>
    <cfRule type="expression" dxfId="4409" priority="14" stopIfTrue="1">
      <formula>((Z23*(12-$AR$19))-AE23)/(Z23*(12-$AR$19)+0.00001)&gt;0.2</formula>
    </cfRule>
  </conditionalFormatting>
  <conditionalFormatting sqref="N55:N56">
    <cfRule type="containsText" dxfId="4408" priority="4" stopIfTrue="1" operator="containsText" text="No">
      <formula>NOT(ISERROR(SEARCH("No",N55)))</formula>
    </cfRule>
  </conditionalFormatting>
  <conditionalFormatting sqref="AE15:AE20">
    <cfRule type="containsText" dxfId="4407" priority="3" stopIfTrue="1" operator="containsText" text="Over">
      <formula>NOT(ISERROR(SEARCH("Over",AE15)))</formula>
    </cfRule>
  </conditionalFormatting>
  <conditionalFormatting sqref="B20:D20">
    <cfRule type="containsText" dxfId="4406" priority="2" stopIfTrue="1" operator="containsText" text="Check">
      <formula>NOT(ISERROR(SEARCH("Check",B20)))</formula>
    </cfRule>
  </conditionalFormatting>
  <conditionalFormatting sqref="B42:D42">
    <cfRule type="containsText" dxfId="4405" priority="1" stopIfTrue="1" operator="containsText" text="Check">
      <formula>NOT(ISERROR(SEARCH("Check",B42)))</formula>
    </cfRule>
  </conditionalFormatting>
  <dataValidations count="14">
    <dataValidation type="custom" showInputMessage="1" showErrorMessage="1" errorTitle="שגיאה" error="חובה למלא את שם ההוצאה לפני מילוי הסכום." sqref="J64:J110 J7:J53 Q7:Q45 Q64:Q110">
      <formula1>ISTEXT(I7)</formula1>
    </dataValidation>
    <dataValidation type="custom" showInputMessage="1" showErrorMessage="1" errorTitle="שגיאה" error="חובה לתת שם לכל סעיף שנרשם בו תקציב" sqref="C7:C17 C27:C39 C45:C56 Z6:Z16 Z23:Z44 C65:C86">
      <formula1>ISTEXT(B6)</formula1>
    </dataValidation>
    <dataValidation type="custom" showInputMessage="1" showErrorMessage="1" errorTitle="שגיאה" error="חובה לתת שם לכל סעיף שנרשם בו ביצוע" sqref="D65:D86 D7:D17 D27:D39 AA6:AA16 AC17">
      <formula1>ISTEXT(B6)</formula1>
    </dataValidation>
    <dataValidation type="whole" allowBlank="1" showInputMessage="1" showErrorMessage="1" errorTitle="ערך לא חוקי" error="התא יכול לקבל 0 או 1. ערכים אחרים אינם חוקיים." prompt="שים לב!_x000a_שינוי תא זה עלול להשפיע על התקציב המתוכנן לשוטפות בחודש הבא." sqref="AI23:AI44">
      <formula1>0</formula1>
      <formula2>1</formula2>
    </dataValidation>
    <dataValidation type="list" errorStyle="information" allowBlank="1" showInputMessage="1" sqref="K64:K110 U64:U110 U7:U45 E7:E17 E27:E39 E65:E86 K7:K53 AB6:AB16">
      <formula1>$AT$5:$AT$9</formula1>
    </dataValidation>
    <dataValidation type="whole" allowBlank="1" showInputMessage="1" showErrorMessage="1" error="מס' יום לא חוקי" sqref="O7:O45 H7:H53 H64:H110 O64:O110">
      <formula1>1</formula1>
      <formula2>31</formula2>
    </dataValidation>
    <dataValidation type="list" allowBlank="1" showInputMessage="1" showErrorMessage="1" error="חובה לבחור בהתפריט הנפתח" sqref="P7:P45 P64:P110">
      <formula1>$Y$23:$Y$44</formula1>
    </dataValidation>
    <dataValidation type="list" allowBlank="1" showInputMessage="1" showErrorMessage="1" error="חובה לבחור כן/לא." sqref="N55:N56">
      <formula1>$AP$55:$AP$56</formula1>
    </dataValidation>
    <dataValidation type="list" allowBlank="1" showInputMessage="1" showErrorMessage="1" error="חובה לבחור מהתפריט הנפתח" sqref="I7:I53 I64:I110">
      <formula1>$B$45:$B$56</formula1>
    </dataValidation>
    <dataValidation allowBlank="1" showInputMessage="1" showErrorMessage="1" prompt="שים לב! שינוי תא זה יבטל את החישוב האוטומטי לסה&quot;כ ביצוע הוצאות קבועות לחודש הנוכחי. " sqref="D18"/>
    <dataValidation allowBlank="1" showInputMessage="1" showErrorMessage="1" prompt="שים לב! שינוי תא זה יבטל את החישוב האוטומטי לסה&quot;כ ביצוע החזרי החובות לחודש הנוכחי. " sqref="D40"/>
    <dataValidation type="custom" errorStyle="warning" allowBlank="1" showInputMessage="1" showErrorMessage="1" errorTitle="סעיף כבר בשימוש" error="שם סעיף זה כבר בשימוש בקטגוריה זו או בקטגוריה אחרת. יתכן גם שנרשמה עליו שם כבר הוצאה בחודש זה." sqref="Y23:Y44 B45:B56 B27:B39 B65:B86 B7:B17">
      <formula1>(COUNTIF($B$7:$B$17,B7)+COUNTIF($B$27:$B$39,B7)+COUNTIF($B$45:$B$56,B7)+COUNTIF($I$7:$I$53,B7)+COUNTIF($Y$23:$Y$44,B7)+COUNTIF($P$7:$P$45,B7))&lt;=1</formula1>
    </dataValidation>
    <dataValidation type="list" allowBlank="1" showInputMessage="1" showErrorMessage="1" error="חובה לבחור מהתפריט הנפתח" sqref="N58">
      <formula1>$AQ$55:$AQ$56</formula1>
    </dataValidation>
    <dataValidation type="custom" errorStyle="information" allowBlank="1" showInputMessage="1" showErrorMessage="1" error="אתם מזינים עיסקת תשלומים. _x000a_חובה למלא את עמודות &quot;מספר התשלום&quot; ו- &quot;מתוך&quot; כדי שהתשלומים הבאים יוכנסו אוטומטית." prompt="שנה תא זה רק בהזנת עיסקת תשלומים._x000a_בחודש הראשון - הזן את סכום העיסקה הכולל._x000a_בחודשי התשלום הבאים - יוכנס אוטומטית 0 (יוצג כ &quot;-&quot;)." sqref="R7:R45 R64:R110">
      <formula1>R7=Q7</formula1>
    </dataValidation>
  </dataValidations>
  <hyperlinks>
    <hyperlink ref="Q3" location="B!Y21:Z46" tooltip="To Summary Table" display="List Periodic Expenses"/>
    <hyperlink ref="I3" location="B!B44:C58" tooltip="To Summary Table" display="List Everyday Expenses"/>
  </hyperlink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  <outlinePr summaryBelow="0" summaryRight="0"/>
  </sheetPr>
  <dimension ref="A1:CN152"/>
  <sheetViews>
    <sheetView showZeros="0" zoomScale="75" zoomScaleNormal="75" workbookViewId="0"/>
  </sheetViews>
  <sheetFormatPr defaultColWidth="9.125" defaultRowHeight="14.25" outlineLevelRow="1" outlineLevelCol="1"/>
  <cols>
    <col min="1" max="1" width="0.625" style="2" customWidth="1"/>
    <col min="2" max="2" width="22.125" style="2" customWidth="1"/>
    <col min="3" max="3" width="8.125" style="2" customWidth="1"/>
    <col min="4" max="4" width="9.75" style="2" customWidth="1" collapsed="1"/>
    <col min="5" max="5" width="12.25" style="2" hidden="1" customWidth="1" outlineLevel="1"/>
    <col min="6" max="6" width="20.75" style="2" hidden="1" customWidth="1" outlineLevel="1"/>
    <col min="7" max="7" width="1.125" style="2" customWidth="1"/>
    <col min="8" max="8" width="5.375" style="2" customWidth="1"/>
    <col min="9" max="9" width="22.125" style="2" customWidth="1"/>
    <col min="10" max="10" width="8.125" style="2" customWidth="1" collapsed="1"/>
    <col min="11" max="11" width="12.25" style="2" hidden="1" customWidth="1" outlineLevel="1"/>
    <col min="12" max="12" width="20.75" style="2" hidden="1" customWidth="1" outlineLevel="1"/>
    <col min="13" max="13" width="10.75" style="2" customWidth="1" collapsed="1"/>
    <col min="14" max="14" width="4.875" style="2" customWidth="1"/>
    <col min="15" max="15" width="5" style="3" customWidth="1"/>
    <col min="16" max="16" width="22.125" style="2" customWidth="1"/>
    <col min="17" max="17" width="10.875" style="2" customWidth="1"/>
    <col min="18" max="18" width="9.875" style="2" bestFit="1" customWidth="1"/>
    <col min="19" max="19" width="4.625" style="26" customWidth="1" collapsed="1"/>
    <col min="20" max="20" width="3.75" style="26" customWidth="1" collapsed="1"/>
    <col min="21" max="21" width="12.25" style="26" hidden="1" customWidth="1" outlineLevel="1"/>
    <col min="22" max="22" width="20.75" style="26" hidden="1" customWidth="1" outlineLevel="1"/>
    <col min="23" max="23" width="10.75" style="2" customWidth="1"/>
    <col min="24" max="24" width="1.125" style="2" customWidth="1"/>
    <col min="25" max="25" width="24.125" style="2" customWidth="1"/>
    <col min="26" max="26" width="9.875" style="2" bestFit="1" customWidth="1"/>
    <col min="27" max="27" width="10.875" style="2" bestFit="1" customWidth="1" collapsed="1"/>
    <col min="28" max="28" width="13.375" style="2" hidden="1" customWidth="1" outlineLevel="1"/>
    <col min="29" max="29" width="15" style="2" hidden="1" customWidth="1" outlineLevel="1"/>
    <col min="30" max="30" width="10.875" style="2" hidden="1" customWidth="1"/>
    <col min="31" max="31" width="13.875" style="2" customWidth="1"/>
    <col min="32" max="32" width="3" style="2" customWidth="1"/>
    <col min="33" max="33" width="9.75" style="2" customWidth="1"/>
    <col min="34" max="34" width="5.625" style="2" customWidth="1"/>
    <col min="35" max="35" width="4.25" style="2" customWidth="1"/>
    <col min="36" max="36" width="9.125" style="2"/>
    <col min="37" max="37" width="11.875" style="2" customWidth="1"/>
    <col min="38" max="38" width="13.875" style="2" customWidth="1"/>
    <col min="39" max="40" width="9.125" style="2"/>
    <col min="41" max="41" width="9.125" style="52" customWidth="1"/>
    <col min="42" max="42" width="13.875" style="52" hidden="1" customWidth="1"/>
    <col min="43" max="43" width="16" style="52" hidden="1" customWidth="1"/>
    <col min="44" max="44" width="18.125" style="52" hidden="1" customWidth="1"/>
    <col min="45" max="45" width="16.125" style="52" hidden="1" customWidth="1"/>
    <col min="46" max="46" width="11.75" style="52" hidden="1" customWidth="1"/>
    <col min="47" max="47" width="9.125" style="52" hidden="1" customWidth="1"/>
    <col min="48" max="48" width="14" style="52" hidden="1" customWidth="1"/>
    <col min="49" max="49" width="16.75" style="52" hidden="1" customWidth="1"/>
    <col min="50" max="50" width="17.375" style="52" hidden="1" customWidth="1"/>
    <col min="51" max="51" width="9.125" style="52" hidden="1" customWidth="1"/>
    <col min="52" max="53" width="9.125" style="2" hidden="1" customWidth="1"/>
    <col min="54" max="60" width="9.125" style="2"/>
    <col min="61" max="61" width="2.875" style="2" customWidth="1"/>
    <col min="62" max="90" width="9.125" style="2"/>
    <col min="91" max="92" width="0" style="52" hidden="1" customWidth="1"/>
    <col min="93" max="16384" width="9.125" style="2"/>
  </cols>
  <sheetData>
    <row r="1" spans="1:92" s="367" customFormat="1" ht="15">
      <c r="B1" s="880" t="s">
        <v>381</v>
      </c>
      <c r="O1" s="512"/>
      <c r="S1" s="371"/>
      <c r="T1" s="371"/>
      <c r="U1" s="371"/>
      <c r="V1" s="371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CM1" s="86"/>
      <c r="CN1" s="86"/>
    </row>
    <row r="2" spans="1:92" ht="20.25">
      <c r="A2" s="367"/>
      <c r="B2" s="809" t="s">
        <v>468</v>
      </c>
      <c r="C2" s="890" t="s">
        <v>475</v>
      </c>
      <c r="E2" s="367"/>
      <c r="F2" s="367"/>
      <c r="G2" s="367"/>
      <c r="H2" s="367"/>
      <c r="I2" s="367"/>
      <c r="J2" s="368"/>
      <c r="K2" s="596"/>
      <c r="L2" s="585"/>
      <c r="M2" s="67" t="str">
        <f>IF('Month A'!M2="Month","",VLOOKUP(B!M2,'Month A'!CM3:CN14,2,FALSE))</f>
        <v/>
      </c>
      <c r="N2" s="1232" t="str">
        <f>IF('Month A'!N2:O2="Year","",IF(M2="Jan",B!N2:O2+1,B!N2:O2))</f>
        <v/>
      </c>
      <c r="O2" s="1232"/>
      <c r="Q2" s="367"/>
      <c r="R2" s="878" t="s">
        <v>491</v>
      </c>
      <c r="S2" s="371"/>
      <c r="U2" s="371"/>
      <c r="V2" s="371"/>
      <c r="W2" s="367"/>
      <c r="X2" s="367"/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86"/>
    </row>
    <row r="3" spans="1:92" ht="19.5" customHeight="1" thickBot="1">
      <c r="A3" s="367"/>
      <c r="B3" s="1162" t="s">
        <v>348</v>
      </c>
      <c r="C3" s="1163"/>
      <c r="D3" s="378"/>
      <c r="E3" s="378"/>
      <c r="F3" s="378"/>
      <c r="G3" s="367"/>
      <c r="I3" s="830" t="s">
        <v>345</v>
      </c>
      <c r="J3" s="380"/>
      <c r="K3" s="384"/>
      <c r="L3" s="586"/>
      <c r="M3" s="384"/>
      <c r="N3" s="367"/>
      <c r="O3" s="377"/>
      <c r="P3" s="381"/>
      <c r="Q3" s="830" t="s">
        <v>346</v>
      </c>
      <c r="R3" s="641"/>
      <c r="S3" s="513"/>
      <c r="T3" s="381"/>
      <c r="U3" s="513"/>
      <c r="V3" s="513"/>
      <c r="W3" s="555"/>
      <c r="X3" s="382"/>
      <c r="Y3" s="1218" t="s">
        <v>296</v>
      </c>
      <c r="Z3" s="1218"/>
      <c r="AA3" s="1218"/>
      <c r="AB3" s="554"/>
      <c r="AC3" s="554"/>
      <c r="AD3" s="383"/>
      <c r="AE3" s="367"/>
      <c r="AF3" s="367"/>
      <c r="AG3" s="367"/>
      <c r="AH3" s="367"/>
      <c r="AI3" s="367"/>
      <c r="AJ3" s="367"/>
      <c r="AK3" s="367"/>
      <c r="AL3" s="367"/>
      <c r="AM3" s="367"/>
      <c r="AN3" s="367"/>
      <c r="AO3" s="86"/>
    </row>
    <row r="4" spans="1:92" s="614" customFormat="1" ht="34.5" customHeight="1" thickBot="1">
      <c r="A4" s="602"/>
      <c r="B4" s="879" t="s">
        <v>352</v>
      </c>
      <c r="C4" s="1230">
        <f>C18</f>
        <v>0</v>
      </c>
      <c r="D4" s="1167"/>
      <c r="E4" s="1158"/>
      <c r="F4" s="1159"/>
      <c r="G4" s="602"/>
      <c r="H4" s="603" t="s">
        <v>356</v>
      </c>
      <c r="I4" s="604" t="s">
        <v>357</v>
      </c>
      <c r="J4" s="605" t="s">
        <v>494</v>
      </c>
      <c r="K4" s="606" t="s">
        <v>380</v>
      </c>
      <c r="L4" s="607" t="s">
        <v>335</v>
      </c>
      <c r="M4" s="608" t="s">
        <v>389</v>
      </c>
      <c r="N4" s="602"/>
      <c r="O4" s="609" t="s">
        <v>356</v>
      </c>
      <c r="P4" s="610" t="s">
        <v>357</v>
      </c>
      <c r="Q4" s="806" t="s">
        <v>494</v>
      </c>
      <c r="R4" s="610" t="s">
        <v>359</v>
      </c>
      <c r="S4" s="1176" t="s">
        <v>360</v>
      </c>
      <c r="T4" s="1155" t="s">
        <v>361</v>
      </c>
      <c r="U4" s="787" t="s">
        <v>380</v>
      </c>
      <c r="V4" s="639" t="s">
        <v>335</v>
      </c>
      <c r="W4" s="640" t="s">
        <v>389</v>
      </c>
      <c r="X4" s="623"/>
      <c r="Y4" s="1208" t="s">
        <v>363</v>
      </c>
      <c r="Z4" s="1231"/>
      <c r="AA4" s="611">
        <f>Z17</f>
        <v>0</v>
      </c>
      <c r="AB4" s="1174"/>
      <c r="AC4" s="1175"/>
      <c r="AD4" s="612"/>
      <c r="AF4" s="602"/>
      <c r="AG4" s="602"/>
      <c r="AH4" s="602"/>
      <c r="AI4" s="602"/>
      <c r="AJ4" s="602"/>
      <c r="AK4" s="602"/>
      <c r="AL4" s="602"/>
      <c r="AM4" s="602"/>
      <c r="AN4" s="602"/>
      <c r="AO4" s="703"/>
      <c r="AP4" s="704"/>
      <c r="AQ4" s="704"/>
      <c r="AR4" s="704"/>
      <c r="AS4" s="704"/>
      <c r="AT4" s="705" t="s">
        <v>30</v>
      </c>
      <c r="AU4" s="704"/>
      <c r="AV4" s="704"/>
      <c r="AW4" s="704"/>
      <c r="AX4" s="704"/>
      <c r="AY4" s="704"/>
      <c r="CM4" s="704"/>
      <c r="CN4" s="704"/>
    </row>
    <row r="5" spans="1:92" ht="15" customHeight="1">
      <c r="A5" s="367"/>
      <c r="B5" s="1238" t="s">
        <v>353</v>
      </c>
      <c r="C5" s="1108" t="s">
        <v>354</v>
      </c>
      <c r="D5" s="1168" t="s">
        <v>494</v>
      </c>
      <c r="E5" s="1109" t="s">
        <v>380</v>
      </c>
      <c r="F5" s="1108" t="s">
        <v>335</v>
      </c>
      <c r="G5" s="367"/>
      <c r="H5" s="1157"/>
      <c r="I5" s="1221" t="s">
        <v>427</v>
      </c>
      <c r="J5" s="1150"/>
      <c r="K5" s="1193"/>
      <c r="L5" s="1160"/>
      <c r="M5" s="1153">
        <f ca="1">C57+IF(B!N58=AQ55,B!M58,0)+B!AP45</f>
        <v>0</v>
      </c>
      <c r="N5" s="14"/>
      <c r="O5" s="1182"/>
      <c r="P5" s="1183" t="s">
        <v>467</v>
      </c>
      <c r="Q5" s="1184"/>
      <c r="R5" s="1191"/>
      <c r="S5" s="1177"/>
      <c r="T5" s="1156"/>
      <c r="U5" s="1192"/>
      <c r="V5" s="1191"/>
      <c r="W5" s="1195">
        <f>B!W46+'C'!Z45-B!AP45</f>
        <v>0</v>
      </c>
      <c r="X5" s="621"/>
      <c r="Y5" s="5" t="s">
        <v>364</v>
      </c>
      <c r="Z5" s="105" t="s">
        <v>354</v>
      </c>
      <c r="AA5" s="914" t="s">
        <v>494</v>
      </c>
      <c r="AB5" s="803" t="s">
        <v>386</v>
      </c>
      <c r="AC5" s="718" t="s">
        <v>335</v>
      </c>
      <c r="AD5" s="31"/>
      <c r="AE5" s="1223" t="s">
        <v>365</v>
      </c>
      <c r="AF5" s="367"/>
      <c r="AG5" s="367"/>
      <c r="AH5" s="367"/>
      <c r="AI5" s="367"/>
      <c r="AJ5" s="367"/>
      <c r="AK5" s="367"/>
      <c r="AL5" s="367"/>
      <c r="AM5" s="367"/>
      <c r="AN5" s="367"/>
      <c r="AO5" s="86"/>
      <c r="AT5" s="52" t="s">
        <v>476</v>
      </c>
    </row>
    <row r="6" spans="1:92" ht="15" customHeight="1">
      <c r="A6" s="367"/>
      <c r="B6" s="1239"/>
      <c r="C6" s="1234"/>
      <c r="D6" s="1169"/>
      <c r="E6" s="1109"/>
      <c r="F6" s="1108"/>
      <c r="G6" s="367"/>
      <c r="H6" s="1157"/>
      <c r="I6" s="1222"/>
      <c r="J6" s="1152"/>
      <c r="K6" s="1194"/>
      <c r="L6" s="1161"/>
      <c r="M6" s="1154"/>
      <c r="N6" s="367"/>
      <c r="O6" s="1182"/>
      <c r="P6" s="1185"/>
      <c r="Q6" s="1186"/>
      <c r="R6" s="1192"/>
      <c r="S6" s="638"/>
      <c r="T6" s="786"/>
      <c r="U6" s="1197"/>
      <c r="V6" s="1191"/>
      <c r="W6" s="1196"/>
      <c r="X6" s="395"/>
      <c r="Y6" s="144" t="str">
        <f>IF(B!Y6&lt;&gt;"",B!Y6,)</f>
        <v>Husband job 1</v>
      </c>
      <c r="Z6" s="456">
        <f>B!Z6</f>
        <v>0</v>
      </c>
      <c r="AA6" s="69"/>
      <c r="AB6" s="715"/>
      <c r="AC6" s="877"/>
      <c r="AD6" s="32"/>
      <c r="AE6" s="1224"/>
      <c r="AF6" s="367"/>
      <c r="AG6" s="367"/>
      <c r="AH6" s="367"/>
      <c r="AI6" s="367"/>
      <c r="AJ6" s="367"/>
      <c r="AK6" s="367"/>
      <c r="AL6" s="367"/>
      <c r="AM6" s="367"/>
      <c r="AN6" s="367"/>
      <c r="AO6" s="86"/>
      <c r="AT6" s="52" t="s">
        <v>477</v>
      </c>
    </row>
    <row r="7" spans="1:92" ht="15" customHeight="1" thickBot="1">
      <c r="A7" s="367"/>
      <c r="B7" s="901" t="str">
        <f>IF(B!B7&lt;&gt;"",B!B7,)</f>
        <v>Mortgage Payments</v>
      </c>
      <c r="C7" s="451">
        <f>B!C7</f>
        <v>0</v>
      </c>
      <c r="D7" s="78"/>
      <c r="E7" s="521"/>
      <c r="F7" s="858"/>
      <c r="G7" s="367"/>
      <c r="H7" s="542"/>
      <c r="I7" s="853"/>
      <c r="J7" s="6"/>
      <c r="K7" s="541"/>
      <c r="L7" s="860"/>
      <c r="M7" s="20" t="str">
        <f>IF(J7="","",$M$5-SUM($J$7:J7))</f>
        <v/>
      </c>
      <c r="N7" s="367"/>
      <c r="O7" s="106"/>
      <c r="P7" s="871">
        <f>IF(B!Q7&lt;&gt;B!R7,IF(B!Q7&lt;&gt;0,IF(B!S7&lt;&gt;B!T7,B!P7,),),)</f>
        <v>0</v>
      </c>
      <c r="Q7" s="795">
        <f>IF(B!Q7&lt;&gt;B!R7,IF(B!Q7&lt;&gt;0,IF(B!S7&lt;&gt;B!T7,B!Q7,),),)</f>
        <v>0</v>
      </c>
      <c r="R7" s="628">
        <f>IF(B!Q7&lt;&gt;B!R7,IF(B!Q7&lt;&gt;0,IF(B!S7&lt;&gt;B!T7,0,Q7),Q7),Q7)</f>
        <v>0</v>
      </c>
      <c r="S7" s="796">
        <f>IF(B!Q7&lt;&gt;B!R7,IF(B!Q7&lt;&gt;0,IF(B!S7&lt;&gt;B!T7,B!S7+1,),),)</f>
        <v>0</v>
      </c>
      <c r="T7" s="796">
        <f>IF(B!Q7&lt;&gt;B!R7,IF(B!Q7&lt;&gt;0,IF(B!S7&lt;&gt;B!T7,B!T7,),),)</f>
        <v>0</v>
      </c>
      <c r="U7" s="797">
        <f>IF(B!Q7&lt;&gt;B!R7,IF(B!Q7&lt;&gt;0,IF(B!S7&lt;&gt;B!T7,B!U7,),),)</f>
        <v>0</v>
      </c>
      <c r="V7" s="875">
        <f>IF(B!Q7&lt;&gt;B!R7,IF(B!Q7&lt;&gt;0,IF(B!S7&lt;&gt;B!T7,B!V7,),),)</f>
        <v>0</v>
      </c>
      <c r="W7" s="622">
        <f>IF(Q7="","",$W$5-SUM($Q$7:Q7))</f>
        <v>0</v>
      </c>
      <c r="X7" s="395"/>
      <c r="Y7" s="144" t="str">
        <f>IF(B!Y7&lt;&gt;"",B!Y7,)</f>
        <v>Husband job 2</v>
      </c>
      <c r="Z7" s="456">
        <f>B!Z7</f>
        <v>0</v>
      </c>
      <c r="AA7" s="69"/>
      <c r="AB7" s="521"/>
      <c r="AC7" s="858"/>
      <c r="AD7" s="32"/>
      <c r="AE7" s="1225"/>
      <c r="AF7" s="367"/>
      <c r="AG7" s="367"/>
      <c r="AH7" s="367"/>
      <c r="AI7" s="367"/>
      <c r="AJ7" s="367"/>
      <c r="AK7" s="367"/>
      <c r="AL7" s="367"/>
      <c r="AM7" s="367"/>
      <c r="AN7" s="367"/>
      <c r="AO7" s="86"/>
      <c r="AT7" s="52" t="s">
        <v>478</v>
      </c>
    </row>
    <row r="8" spans="1:92" ht="15" customHeight="1" thickBot="1">
      <c r="A8" s="367"/>
      <c r="B8" s="901" t="str">
        <f>IF(B!B8&lt;&gt;"",B!B8,)</f>
        <v>Mortgage Insurance</v>
      </c>
      <c r="C8" s="451">
        <f>B!C8</f>
        <v>0</v>
      </c>
      <c r="D8" s="78"/>
      <c r="E8" s="521"/>
      <c r="F8" s="858"/>
      <c r="G8" s="367"/>
      <c r="H8" s="543"/>
      <c r="I8" s="853"/>
      <c r="J8" s="6"/>
      <c r="K8" s="541"/>
      <c r="L8" s="860"/>
      <c r="M8" s="20" t="str">
        <f>IF(J8="","",$M$5-SUM($J$7:J8))</f>
        <v/>
      </c>
      <c r="N8" s="367"/>
      <c r="O8" s="7"/>
      <c r="P8" s="872">
        <f>IF(B!Q8&lt;&gt;B!R8,IF(B!Q8&lt;&gt;0,IF(B!S8&lt;&gt;B!T8,B!P8,),),)</f>
        <v>0</v>
      </c>
      <c r="Q8" s="795">
        <f>IF(B!Q8&lt;&gt;B!R8,IF(B!Q8&lt;&gt;0,IF(B!S8&lt;&gt;B!T8,B!Q8,),),)</f>
        <v>0</v>
      </c>
      <c r="R8" s="628">
        <f>IF(B!Q8&lt;&gt;B!R8,IF(B!Q8&lt;&gt;0,IF(B!S8&lt;&gt;B!T8,0,Q8),Q8),Q8)</f>
        <v>0</v>
      </c>
      <c r="S8" s="796">
        <f>IF(B!Q8&lt;&gt;B!R8,IF(B!Q8&lt;&gt;0,IF(B!S8&lt;&gt;B!T8,B!S8+1,),),)</f>
        <v>0</v>
      </c>
      <c r="T8" s="796">
        <f>IF(B!Q8&lt;&gt;B!R8,IF(B!Q8&lt;&gt;0,IF(B!S8&lt;&gt;B!T8,B!T8,),),)</f>
        <v>0</v>
      </c>
      <c r="U8" s="797">
        <f>IF(B!Q8&lt;&gt;B!R8,IF(B!Q8&lt;&gt;0,IF(B!S8&lt;&gt;B!T8,B!U8,),),)</f>
        <v>0</v>
      </c>
      <c r="V8" s="875">
        <f>IF(B!Q8&lt;&gt;B!R8,IF(B!Q8&lt;&gt;0,IF(B!S8&lt;&gt;B!T8,B!V8,),),)</f>
        <v>0</v>
      </c>
      <c r="W8" s="622">
        <f>IF(Q8="","",$W$5-SUM($Q$7:Q8))</f>
        <v>0</v>
      </c>
      <c r="X8" s="395"/>
      <c r="Y8" s="144" t="str">
        <f>IF(B!Y8&lt;&gt;"",B!Y8,)</f>
        <v>Wife job 1</v>
      </c>
      <c r="Z8" s="456">
        <f>B!Z8</f>
        <v>0</v>
      </c>
      <c r="AA8" s="69"/>
      <c r="AB8" s="521"/>
      <c r="AC8" s="858"/>
      <c r="AD8" s="32"/>
      <c r="AE8" s="363">
        <f>(AA17+'Month A'!AA17+B!AA17)/AR19</f>
        <v>0</v>
      </c>
      <c r="AF8" s="367"/>
      <c r="AG8" s="367"/>
      <c r="AH8" s="367"/>
      <c r="AI8" s="367"/>
      <c r="AJ8" s="367"/>
      <c r="AK8" s="367"/>
      <c r="AL8" s="367"/>
      <c r="AM8" s="367"/>
      <c r="AN8" s="367"/>
      <c r="AO8" s="86"/>
      <c r="AT8" s="52" t="s">
        <v>480</v>
      </c>
    </row>
    <row r="9" spans="1:92" ht="15" customHeight="1" thickBot="1">
      <c r="A9" s="367"/>
      <c r="B9" s="901" t="str">
        <f>IF(B!B9&lt;&gt;"",B!B9,)</f>
        <v>Rent</v>
      </c>
      <c r="C9" s="451">
        <f>B!C9</f>
        <v>0</v>
      </c>
      <c r="D9" s="78"/>
      <c r="E9" s="521"/>
      <c r="F9" s="858"/>
      <c r="G9" s="367"/>
      <c r="H9" s="543"/>
      <c r="I9" s="853"/>
      <c r="J9" s="6"/>
      <c r="K9" s="541"/>
      <c r="L9" s="860"/>
      <c r="M9" s="20" t="str">
        <f>IF(J9="","",$M$5-SUM($J$7:J9))</f>
        <v/>
      </c>
      <c r="N9" s="367"/>
      <c r="O9" s="7"/>
      <c r="P9" s="871">
        <f>IF(B!Q9&lt;&gt;B!R9,IF(B!Q9&lt;&gt;0,IF(B!S9&lt;&gt;B!T9,B!P9,),),)</f>
        <v>0</v>
      </c>
      <c r="Q9" s="795">
        <f>IF(B!Q9&lt;&gt;B!R9,IF(B!Q9&lt;&gt;0,IF(B!S9&lt;&gt;B!T9,B!Q9,),),)</f>
        <v>0</v>
      </c>
      <c r="R9" s="628">
        <f>IF(B!Q9&lt;&gt;B!R9,IF(B!Q9&lt;&gt;0,IF(B!S9&lt;&gt;B!T9,0,Q9),Q9),Q9)</f>
        <v>0</v>
      </c>
      <c r="S9" s="796">
        <f>IF(B!Q9&lt;&gt;B!R9,IF(B!Q9&lt;&gt;0,IF(B!S9&lt;&gt;B!T9,B!S9+1,),),)</f>
        <v>0</v>
      </c>
      <c r="T9" s="796">
        <f>IF(B!Q9&lt;&gt;B!R9,IF(B!Q9&lt;&gt;0,IF(B!S9&lt;&gt;B!T9,B!T9,),),)</f>
        <v>0</v>
      </c>
      <c r="U9" s="797">
        <f>IF(B!Q9&lt;&gt;B!R9,IF(B!Q9&lt;&gt;0,IF(B!S9&lt;&gt;B!T9,B!U9,),),)</f>
        <v>0</v>
      </c>
      <c r="V9" s="875">
        <f>IF(B!Q9&lt;&gt;B!R9,IF(B!Q9&lt;&gt;0,IF(B!S9&lt;&gt;B!T9,B!V9,),),)</f>
        <v>0</v>
      </c>
      <c r="W9" s="622">
        <f>IF(Q9="","",$W$5-SUM($Q$7:Q9))</f>
        <v>0</v>
      </c>
      <c r="X9" s="395"/>
      <c r="Y9" s="144" t="str">
        <f>IF(B!Y9&lt;&gt;"",B!Y9,)</f>
        <v>Wife job 2</v>
      </c>
      <c r="Z9" s="456">
        <f>B!Z9</f>
        <v>0</v>
      </c>
      <c r="AA9" s="69"/>
      <c r="AB9" s="521"/>
      <c r="AC9" s="858"/>
      <c r="AD9" s="32"/>
      <c r="AE9" s="404"/>
      <c r="AF9" s="367"/>
      <c r="AG9" s="367"/>
      <c r="AH9" s="367"/>
      <c r="AI9" s="367"/>
      <c r="AJ9" s="367"/>
      <c r="AK9" s="367"/>
      <c r="AL9" s="367"/>
      <c r="AM9" s="367"/>
      <c r="AN9" s="367"/>
      <c r="AO9" s="86"/>
      <c r="AT9" s="52" t="s">
        <v>479</v>
      </c>
    </row>
    <row r="10" spans="1:92" ht="15" customHeight="1">
      <c r="A10" s="367"/>
      <c r="B10" s="902" t="str">
        <f>IF(B!B10&lt;&gt;"",B!B10,)</f>
        <v>Town Taxes / Maintenance Fees</v>
      </c>
      <c r="C10" s="451">
        <f>B!C10</f>
        <v>0</v>
      </c>
      <c r="D10" s="79"/>
      <c r="E10" s="522"/>
      <c r="F10" s="859"/>
      <c r="G10" s="367"/>
      <c r="H10" s="543"/>
      <c r="I10" s="853"/>
      <c r="J10" s="6"/>
      <c r="K10" s="541"/>
      <c r="L10" s="860"/>
      <c r="M10" s="20" t="str">
        <f>IF(J10="","",$M$5-SUM($J$7:J10))</f>
        <v/>
      </c>
      <c r="N10" s="367"/>
      <c r="O10" s="7"/>
      <c r="P10" s="871">
        <f>IF(B!Q10&lt;&gt;B!R10,IF(B!Q10&lt;&gt;0,IF(B!S10&lt;&gt;B!T10,B!P10,),),)</f>
        <v>0</v>
      </c>
      <c r="Q10" s="798">
        <f>IF(B!Q10&lt;&gt;B!R10,IF(B!Q10&lt;&gt;0,IF(B!S10&lt;&gt;B!T10,B!Q10,),),)</f>
        <v>0</v>
      </c>
      <c r="R10" s="628">
        <f>IF(B!Q10&lt;&gt;B!R10,IF(B!Q10&lt;&gt;0,IF(B!S10&lt;&gt;B!T10,0,Q10),Q10),Q10)</f>
        <v>0</v>
      </c>
      <c r="S10" s="796">
        <f>IF(B!Q10&lt;&gt;B!R10,IF(B!Q10&lt;&gt;0,IF(B!S10&lt;&gt;B!T10,B!S10+1,),),)</f>
        <v>0</v>
      </c>
      <c r="T10" s="796">
        <f>IF(B!Q10&lt;&gt;B!R10,IF(B!Q10&lt;&gt;0,IF(B!S10&lt;&gt;B!T10,B!T10,),),)</f>
        <v>0</v>
      </c>
      <c r="U10" s="797">
        <f>IF(B!Q10&lt;&gt;B!R10,IF(B!Q10&lt;&gt;0,IF(B!S10&lt;&gt;B!T10,B!U10,),),)</f>
        <v>0</v>
      </c>
      <c r="V10" s="875">
        <f>IF(B!Q10&lt;&gt;B!R10,IF(B!Q10&lt;&gt;0,IF(B!S10&lt;&gt;B!T10,B!V10,),),)</f>
        <v>0</v>
      </c>
      <c r="W10" s="624">
        <f>IF(Q10="","",$W$5-SUM($Q$7:Q10))</f>
        <v>0</v>
      </c>
      <c r="X10" s="621"/>
      <c r="Y10" s="144" t="str">
        <f>IF(B!Y10&lt;&gt;"",B!Y10,)</f>
        <v>National Social Security for Children</v>
      </c>
      <c r="Z10" s="456">
        <f>B!Z10</f>
        <v>0</v>
      </c>
      <c r="AA10" s="69"/>
      <c r="AB10" s="522"/>
      <c r="AC10" s="859"/>
      <c r="AD10" s="32"/>
      <c r="AE10" s="1226" t="s">
        <v>366</v>
      </c>
      <c r="AF10" s="367"/>
      <c r="AG10" s="367"/>
      <c r="AH10" s="367"/>
      <c r="AI10" s="367"/>
      <c r="AJ10" s="367"/>
      <c r="AK10" s="367"/>
      <c r="AL10" s="367"/>
      <c r="AM10" s="367"/>
      <c r="AN10" s="367"/>
      <c r="AO10" s="86"/>
    </row>
    <row r="11" spans="1:92" ht="15" customHeight="1" thickBot="1">
      <c r="A11" s="367"/>
      <c r="B11" s="901" t="str">
        <f>IF(B!B11&lt;&gt;"",B!B11,)</f>
        <v xml:space="preserve">Insurance (excl. car) </v>
      </c>
      <c r="C11" s="451">
        <f>B!C11</f>
        <v>0</v>
      </c>
      <c r="D11" s="78"/>
      <c r="E11" s="521"/>
      <c r="F11" s="858"/>
      <c r="G11" s="367"/>
      <c r="H11" s="543"/>
      <c r="I11" s="853"/>
      <c r="J11" s="6"/>
      <c r="K11" s="541"/>
      <c r="L11" s="860"/>
      <c r="M11" s="20" t="str">
        <f>IF(J11="","",$M$5-SUM($J$7:J11))</f>
        <v/>
      </c>
      <c r="N11" s="367"/>
      <c r="O11" s="7"/>
      <c r="P11" s="871">
        <f>IF(B!Q11&lt;&gt;B!R11,IF(B!Q11&lt;&gt;0,IF(B!S11&lt;&gt;B!T11,B!P11,),),)</f>
        <v>0</v>
      </c>
      <c r="Q11" s="795">
        <f>IF(B!Q11&lt;&gt;B!R11,IF(B!Q11&lt;&gt;0,IF(B!S11&lt;&gt;B!T11,B!Q11,),),)</f>
        <v>0</v>
      </c>
      <c r="R11" s="628">
        <f>IF(B!Q11&lt;&gt;B!R11,IF(B!Q11&lt;&gt;0,IF(B!S11&lt;&gt;B!T11,0,Q11),Q11),Q11)</f>
        <v>0</v>
      </c>
      <c r="S11" s="796">
        <f>IF(B!Q11&lt;&gt;B!R11,IF(B!Q11&lt;&gt;0,IF(B!S11&lt;&gt;B!T11,B!S11+1,),),)</f>
        <v>0</v>
      </c>
      <c r="T11" s="796">
        <f>IF(B!Q11&lt;&gt;B!R11,IF(B!Q11&lt;&gt;0,IF(B!S11&lt;&gt;B!T11,B!T11,),),)</f>
        <v>0</v>
      </c>
      <c r="U11" s="797">
        <f>IF(B!Q11&lt;&gt;B!R11,IF(B!Q11&lt;&gt;0,IF(B!S11&lt;&gt;B!T11,B!U11,),),)</f>
        <v>0</v>
      </c>
      <c r="V11" s="875">
        <f>IF(B!Q11&lt;&gt;B!R11,IF(B!Q11&lt;&gt;0,IF(B!S11&lt;&gt;B!T11,B!V11,),),)</f>
        <v>0</v>
      </c>
      <c r="W11" s="622">
        <f>IF(Q11="","",$W$5-SUM($Q$7:Q11))</f>
        <v>0</v>
      </c>
      <c r="X11" s="395"/>
      <c r="Y11" s="144" t="str">
        <f>IF(B!Y11&lt;&gt;"",B!Y11,)</f>
        <v>other Allowances</v>
      </c>
      <c r="Z11" s="456">
        <f>B!Z11</f>
        <v>0</v>
      </c>
      <c r="AA11" s="69"/>
      <c r="AB11" s="521"/>
      <c r="AC11" s="858"/>
      <c r="AD11" s="32"/>
      <c r="AE11" s="1227"/>
      <c r="AF11" s="367"/>
      <c r="AG11" s="367"/>
      <c r="AH11" s="367"/>
      <c r="AI11" s="367"/>
      <c r="AJ11" s="367"/>
      <c r="AK11" s="367"/>
      <c r="AL11" s="367"/>
      <c r="AM11" s="367"/>
      <c r="AN11" s="367"/>
      <c r="AO11" s="86"/>
    </row>
    <row r="12" spans="1:92" ht="15" customHeight="1" thickBot="1">
      <c r="A12" s="367"/>
      <c r="B12" s="901" t="str">
        <f>IF(B!B12&lt;&gt;"",B!B12,)</f>
        <v>Bank Savings Program</v>
      </c>
      <c r="C12" s="451">
        <f>B!C12</f>
        <v>0</v>
      </c>
      <c r="D12" s="78"/>
      <c r="E12" s="521"/>
      <c r="F12" s="858"/>
      <c r="G12" s="367"/>
      <c r="H12" s="543"/>
      <c r="I12" s="853"/>
      <c r="J12" s="6"/>
      <c r="K12" s="541"/>
      <c r="L12" s="860"/>
      <c r="M12" s="20" t="str">
        <f>IF(J12="","",$M$5-SUM($J$7:J12))</f>
        <v/>
      </c>
      <c r="N12" s="367"/>
      <c r="O12" s="7"/>
      <c r="P12" s="871">
        <f>IF(B!Q12&lt;&gt;B!R12,IF(B!Q12&lt;&gt;0,IF(B!S12&lt;&gt;B!T12,B!P12,),),)</f>
        <v>0</v>
      </c>
      <c r="Q12" s="795">
        <f>IF(B!Q12&lt;&gt;B!R12,IF(B!Q12&lt;&gt;0,IF(B!S12&lt;&gt;B!T12,B!Q12,),),)</f>
        <v>0</v>
      </c>
      <c r="R12" s="628">
        <f>IF(B!Q12&lt;&gt;B!R12,IF(B!Q12&lt;&gt;0,IF(B!S12&lt;&gt;B!T12,0,Q12),Q12),Q12)</f>
        <v>0</v>
      </c>
      <c r="S12" s="796">
        <f>IF(B!Q12&lt;&gt;B!R12,IF(B!Q12&lt;&gt;0,IF(B!S12&lt;&gt;B!T12,B!S12+1,),),)</f>
        <v>0</v>
      </c>
      <c r="T12" s="796">
        <f>IF(B!Q12&lt;&gt;B!R12,IF(B!Q12&lt;&gt;0,IF(B!S12&lt;&gt;B!T12,B!T12,),),)</f>
        <v>0</v>
      </c>
      <c r="U12" s="797">
        <f>IF(B!Q12&lt;&gt;B!R12,IF(B!Q12&lt;&gt;0,IF(B!S12&lt;&gt;B!T12,B!U12,),),)</f>
        <v>0</v>
      </c>
      <c r="V12" s="875">
        <f>IF(B!Q12&lt;&gt;B!R12,IF(B!Q12&lt;&gt;0,IF(B!S12&lt;&gt;B!T12,B!V12,),),)</f>
        <v>0</v>
      </c>
      <c r="W12" s="622">
        <f>IF(Q12="","",$W$5-SUM($Q$7:Q12))</f>
        <v>0</v>
      </c>
      <c r="X12" s="395"/>
      <c r="Y12" s="144" t="str">
        <f>IF(B!Y12&lt;&gt;"",B!Y12,)</f>
        <v>Rent Assistance</v>
      </c>
      <c r="Z12" s="456">
        <f>B!Z12</f>
        <v>0</v>
      </c>
      <c r="AA12" s="69"/>
      <c r="AB12" s="521"/>
      <c r="AC12" s="858"/>
      <c r="AD12" s="32"/>
      <c r="AE12" s="1228"/>
      <c r="AF12" s="367"/>
      <c r="AG12" s="367"/>
      <c r="AH12" s="367"/>
      <c r="AI12" s="367"/>
      <c r="AJ12" s="367"/>
      <c r="AK12" s="367"/>
      <c r="AL12" s="367"/>
      <c r="AM12" s="367"/>
      <c r="AN12" s="367"/>
      <c r="AO12" s="86"/>
      <c r="AP12" s="1138" t="s">
        <v>20</v>
      </c>
      <c r="AQ12" s="1139"/>
      <c r="AR12" s="1139"/>
      <c r="AS12" s="1139"/>
      <c r="AT12" s="1139"/>
      <c r="AU12" s="1139"/>
      <c r="AV12" s="1139"/>
      <c r="AW12" s="1139"/>
      <c r="AX12" s="1140"/>
    </row>
    <row r="13" spans="1:92" ht="15" customHeight="1" thickBot="1">
      <c r="A13" s="367"/>
      <c r="B13" s="901" t="str">
        <f>IF(B!B13&lt;&gt;"",B!B13,)</f>
        <v>Subscriptions</v>
      </c>
      <c r="C13" s="451">
        <f>B!C13</f>
        <v>0</v>
      </c>
      <c r="D13" s="78"/>
      <c r="E13" s="521"/>
      <c r="F13" s="858"/>
      <c r="G13" s="367"/>
      <c r="H13" s="543"/>
      <c r="I13" s="853"/>
      <c r="J13" s="6"/>
      <c r="K13" s="541"/>
      <c r="L13" s="860"/>
      <c r="M13" s="20" t="str">
        <f>IF(J13="","",$M$5-SUM($J$7:J13))</f>
        <v/>
      </c>
      <c r="N13" s="367"/>
      <c r="O13" s="7"/>
      <c r="P13" s="871">
        <f>IF(B!Q13&lt;&gt;B!R13,IF(B!Q13&lt;&gt;0,IF(B!S13&lt;&gt;B!T13,B!P13,),),)</f>
        <v>0</v>
      </c>
      <c r="Q13" s="795">
        <f>IF(B!Q13&lt;&gt;B!R13,IF(B!Q13&lt;&gt;0,IF(B!S13&lt;&gt;B!T13,B!Q13,),),)</f>
        <v>0</v>
      </c>
      <c r="R13" s="628">
        <f>IF(B!Q13&lt;&gt;B!R13,IF(B!Q13&lt;&gt;0,IF(B!S13&lt;&gt;B!T13,0,Q13),Q13),Q13)</f>
        <v>0</v>
      </c>
      <c r="S13" s="796">
        <f>IF(B!Q13&lt;&gt;B!R13,IF(B!Q13&lt;&gt;0,IF(B!S13&lt;&gt;B!T13,B!S13+1,),),)</f>
        <v>0</v>
      </c>
      <c r="T13" s="796">
        <f>IF(B!Q13&lt;&gt;B!R13,IF(B!Q13&lt;&gt;0,IF(B!S13&lt;&gt;B!T13,B!T13,),),)</f>
        <v>0</v>
      </c>
      <c r="U13" s="797">
        <f>IF(B!Q13&lt;&gt;B!R13,IF(B!Q13&lt;&gt;0,IF(B!S13&lt;&gt;B!T13,B!U13,),),)</f>
        <v>0</v>
      </c>
      <c r="V13" s="875">
        <f>IF(B!Q13&lt;&gt;B!R13,IF(B!Q13&lt;&gt;0,IF(B!S13&lt;&gt;B!T13,B!V13,),),)</f>
        <v>0</v>
      </c>
      <c r="W13" s="622">
        <f>IF(Q13="","",$W$5-SUM($Q$7:Q13))</f>
        <v>0</v>
      </c>
      <c r="X13" s="395"/>
      <c r="Y13" s="144" t="str">
        <f>IF(B!Y13&lt;&gt;"",B!Y13,)</f>
        <v>Food Packages</v>
      </c>
      <c r="Z13" s="456">
        <f>B!Z13</f>
        <v>0</v>
      </c>
      <c r="AA13" s="69"/>
      <c r="AB13" s="521"/>
      <c r="AC13" s="858"/>
      <c r="AD13" s="32"/>
      <c r="AE13" s="363">
        <f>AA18+'Month A'!AA18+B!AA18</f>
        <v>0</v>
      </c>
      <c r="AF13" s="367"/>
      <c r="AG13" s="367"/>
      <c r="AH13" s="367"/>
      <c r="AI13" s="367"/>
      <c r="AJ13" s="367"/>
      <c r="AK13" s="367"/>
      <c r="AL13" s="367"/>
      <c r="AM13" s="367"/>
      <c r="AN13" s="367"/>
      <c r="AO13" s="86"/>
    </row>
    <row r="14" spans="1:92" ht="15" customHeight="1">
      <c r="A14" s="367"/>
      <c r="B14" s="901" t="str">
        <f>IF(B!B14&lt;&gt;"",B!B14,)</f>
        <v>Donations</v>
      </c>
      <c r="C14" s="451">
        <f>B!C14</f>
        <v>0</v>
      </c>
      <c r="D14" s="78"/>
      <c r="E14" s="521"/>
      <c r="F14" s="858"/>
      <c r="G14" s="367"/>
      <c r="H14" s="543"/>
      <c r="I14" s="853"/>
      <c r="J14" s="6"/>
      <c r="K14" s="541"/>
      <c r="L14" s="860"/>
      <c r="M14" s="20" t="str">
        <f>IF(J14="","",$M$5-SUM($J$7:J14))</f>
        <v/>
      </c>
      <c r="N14" s="367"/>
      <c r="O14" s="7"/>
      <c r="P14" s="871">
        <f>IF(B!Q14&lt;&gt;B!R14,IF(B!Q14&lt;&gt;0,IF(B!S14&lt;&gt;B!T14,B!P14,),),)</f>
        <v>0</v>
      </c>
      <c r="Q14" s="795">
        <f>IF(B!Q14&lt;&gt;B!R14,IF(B!Q14&lt;&gt;0,IF(B!S14&lt;&gt;B!T14,B!Q14,),),)</f>
        <v>0</v>
      </c>
      <c r="R14" s="628">
        <f>IF(B!Q14&lt;&gt;B!R14,IF(B!Q14&lt;&gt;0,IF(B!S14&lt;&gt;B!T14,0,Q14),Q14),Q14)</f>
        <v>0</v>
      </c>
      <c r="S14" s="796">
        <f>IF(B!Q14&lt;&gt;B!R14,IF(B!Q14&lt;&gt;0,IF(B!S14&lt;&gt;B!T14,B!S14+1,),),)</f>
        <v>0</v>
      </c>
      <c r="T14" s="796">
        <f>IF(B!Q14&lt;&gt;B!R14,IF(B!Q14&lt;&gt;0,IF(B!S14&lt;&gt;B!T14,B!T14,),),)</f>
        <v>0</v>
      </c>
      <c r="U14" s="797">
        <f>IF(B!Q14&lt;&gt;B!R14,IF(B!Q14&lt;&gt;0,IF(B!S14&lt;&gt;B!T14,B!U14,),),)</f>
        <v>0</v>
      </c>
      <c r="V14" s="875">
        <f>IF(B!Q14&lt;&gt;B!R14,IF(B!Q14&lt;&gt;0,IF(B!S14&lt;&gt;B!T14,B!V14,),),)</f>
        <v>0</v>
      </c>
      <c r="W14" s="622">
        <f>IF(Q14="","",$W$5-SUM($Q$7:Q14))</f>
        <v>0</v>
      </c>
      <c r="X14" s="395"/>
      <c r="Y14" s="144" t="str">
        <f>IF(B!Y14&lt;&gt;"",B!Y14,)</f>
        <v>Income from Property</v>
      </c>
      <c r="Z14" s="456">
        <f>B!Z14</f>
        <v>0</v>
      </c>
      <c r="AA14" s="69"/>
      <c r="AB14" s="521"/>
      <c r="AC14" s="858"/>
      <c r="AD14" s="32"/>
      <c r="AE14" s="403"/>
      <c r="AF14" s="367"/>
      <c r="AG14" s="367"/>
      <c r="AH14" s="367"/>
      <c r="AI14" s="367"/>
      <c r="AJ14" s="367"/>
      <c r="AK14" s="367"/>
      <c r="AL14" s="367"/>
      <c r="AM14" s="367"/>
      <c r="AN14" s="367"/>
      <c r="AO14" s="86"/>
      <c r="AW14" s="52" t="s">
        <v>12</v>
      </c>
    </row>
    <row r="15" spans="1:92" ht="15" customHeight="1">
      <c r="A15" s="367"/>
      <c r="B15" s="901">
        <f>IF(B!B15&lt;&gt;"",B!B15,)</f>
        <v>0</v>
      </c>
      <c r="C15" s="451">
        <f>B!C15</f>
        <v>0</v>
      </c>
      <c r="D15" s="78"/>
      <c r="E15" s="521"/>
      <c r="F15" s="858"/>
      <c r="G15" s="367"/>
      <c r="H15" s="543"/>
      <c r="I15" s="853"/>
      <c r="J15" s="6"/>
      <c r="K15" s="541"/>
      <c r="L15" s="860"/>
      <c r="M15" s="20" t="str">
        <f>IF(J15="","",$M$5-SUM($J$7:J15))</f>
        <v/>
      </c>
      <c r="N15" s="367"/>
      <c r="O15" s="7"/>
      <c r="P15" s="871">
        <f>IF(B!Q15&lt;&gt;B!R15,IF(B!Q15&lt;&gt;0,IF(B!S15&lt;&gt;B!T15,B!P15,),),)</f>
        <v>0</v>
      </c>
      <c r="Q15" s="795">
        <f>IF(B!Q15&lt;&gt;B!R15,IF(B!Q15&lt;&gt;0,IF(B!S15&lt;&gt;B!T15,B!Q15,),),)</f>
        <v>0</v>
      </c>
      <c r="R15" s="628">
        <f>IF(B!Q15&lt;&gt;B!R15,IF(B!Q15&lt;&gt;0,IF(B!S15&lt;&gt;B!T15,0,Q15),Q15),Q15)</f>
        <v>0</v>
      </c>
      <c r="S15" s="796">
        <f>IF(B!Q15&lt;&gt;B!R15,IF(B!Q15&lt;&gt;0,IF(B!S15&lt;&gt;B!T15,B!S15+1,),),)</f>
        <v>0</v>
      </c>
      <c r="T15" s="796">
        <f>IF(B!Q15&lt;&gt;B!R15,IF(B!Q15&lt;&gt;0,IF(B!S15&lt;&gt;B!T15,B!T15,),),)</f>
        <v>0</v>
      </c>
      <c r="U15" s="797">
        <f>IF(B!Q15&lt;&gt;B!R15,IF(B!Q15&lt;&gt;0,IF(B!S15&lt;&gt;B!T15,B!U15,),),)</f>
        <v>0</v>
      </c>
      <c r="V15" s="875">
        <f>IF(B!Q15&lt;&gt;B!R15,IF(B!Q15&lt;&gt;0,IF(B!S15&lt;&gt;B!T15,B!V15,),),)</f>
        <v>0</v>
      </c>
      <c r="W15" s="625">
        <f>IF(Q15="","",$W$5-SUM($Q$7:Q15))</f>
        <v>0</v>
      </c>
      <c r="X15" s="621"/>
      <c r="Y15" s="144" t="str">
        <f>IF(B!Y15&lt;&gt;"",B!Y15,)</f>
        <v>Help from parents</v>
      </c>
      <c r="Z15" s="456">
        <f>B!Z15</f>
        <v>0</v>
      </c>
      <c r="AA15" s="69"/>
      <c r="AB15" s="521"/>
      <c r="AC15" s="858"/>
      <c r="AD15" s="32"/>
      <c r="AE15" s="1137" t="str">
        <f>IF(COUNTIF(AE23:AE44,"&lt;0")&gt;0,"Over yearly budget!
Take an action from the options to your right.","")</f>
        <v/>
      </c>
      <c r="AF15" s="367"/>
      <c r="AG15" s="367"/>
      <c r="AH15" s="367"/>
      <c r="AI15" s="367"/>
      <c r="AJ15" s="367"/>
      <c r="AK15" s="367"/>
      <c r="AL15" s="367"/>
      <c r="AM15" s="367"/>
      <c r="AN15" s="367"/>
      <c r="AO15" s="86"/>
      <c r="AW15" s="52" t="s">
        <v>13</v>
      </c>
    </row>
    <row r="16" spans="1:92" ht="15" customHeight="1">
      <c r="A16" s="367"/>
      <c r="B16" s="849">
        <f>IF(B!B16&lt;&gt;"",B!B16,)</f>
        <v>0</v>
      </c>
      <c r="C16" s="451">
        <f>B!C16</f>
        <v>0</v>
      </c>
      <c r="D16" s="78"/>
      <c r="E16" s="521"/>
      <c r="F16" s="858"/>
      <c r="G16" s="367"/>
      <c r="H16" s="543"/>
      <c r="I16" s="853"/>
      <c r="J16" s="6"/>
      <c r="K16" s="541"/>
      <c r="L16" s="860"/>
      <c r="M16" s="20" t="str">
        <f>IF(J16="","",$M$5-SUM($J$7:J16))</f>
        <v/>
      </c>
      <c r="N16" s="367"/>
      <c r="O16" s="7"/>
      <c r="P16" s="873">
        <f>IF(B!Q16&lt;&gt;B!R16,IF(B!Q16&lt;&gt;0,IF(B!S16&lt;&gt;B!T16,B!P16,),),)</f>
        <v>0</v>
      </c>
      <c r="Q16" s="795">
        <f>IF(B!Q16&lt;&gt;B!R16,IF(B!Q16&lt;&gt;0,IF(B!S16&lt;&gt;B!T16,B!Q16,),),)</f>
        <v>0</v>
      </c>
      <c r="R16" s="628">
        <f>IF(B!Q16&lt;&gt;B!R16,IF(B!Q16&lt;&gt;0,IF(B!S16&lt;&gt;B!T16,0,Q16),Q16),Q16)</f>
        <v>0</v>
      </c>
      <c r="S16" s="796">
        <f>IF(B!Q16&lt;&gt;B!R16,IF(B!Q16&lt;&gt;0,IF(B!S16&lt;&gt;B!T16,B!S16+1,),),)</f>
        <v>0</v>
      </c>
      <c r="T16" s="796">
        <f>IF(B!Q16&lt;&gt;B!R16,IF(B!Q16&lt;&gt;0,IF(B!S16&lt;&gt;B!T16,B!T16,),),)</f>
        <v>0</v>
      </c>
      <c r="U16" s="797">
        <f>IF(B!Q16&lt;&gt;B!R16,IF(B!Q16&lt;&gt;0,IF(B!S16&lt;&gt;B!T16,B!U16,),),)</f>
        <v>0</v>
      </c>
      <c r="V16" s="875">
        <f>IF(B!Q16&lt;&gt;B!R16,IF(B!Q16&lt;&gt;0,IF(B!S16&lt;&gt;B!T16,B!V16,),),)</f>
        <v>0</v>
      </c>
      <c r="W16" s="622">
        <f>IF(Q16="","",$W$5-SUM($Q$7:Q16))</f>
        <v>0</v>
      </c>
      <c r="X16" s="395"/>
      <c r="Y16" s="144" t="str">
        <f>IF(B!Y16&lt;&gt;"",B!Y16,)</f>
        <v>Other Income</v>
      </c>
      <c r="Z16" s="456">
        <f>B!Z16</f>
        <v>0</v>
      </c>
      <c r="AA16" s="69"/>
      <c r="AB16" s="645"/>
      <c r="AC16" s="870"/>
      <c r="AD16" s="32"/>
      <c r="AE16" s="1137"/>
      <c r="AF16" s="367"/>
      <c r="AG16" s="367"/>
      <c r="AH16" s="367"/>
      <c r="AI16" s="367"/>
      <c r="AJ16" s="367"/>
      <c r="AK16" s="367"/>
      <c r="AL16" s="367"/>
      <c r="AM16" s="367"/>
      <c r="AN16" s="367"/>
      <c r="AO16" s="86"/>
      <c r="AW16" s="90">
        <f>13-AR19</f>
        <v>10</v>
      </c>
    </row>
    <row r="17" spans="1:63" ht="15" customHeight="1">
      <c r="A17" s="367"/>
      <c r="B17" s="849">
        <f>IF(B!B17&lt;&gt;"",B!B17,)</f>
        <v>0</v>
      </c>
      <c r="C17" s="451">
        <f>B!C17</f>
        <v>0</v>
      </c>
      <c r="D17" s="78"/>
      <c r="E17" s="521"/>
      <c r="F17" s="858"/>
      <c r="G17" s="367"/>
      <c r="H17" s="543"/>
      <c r="I17" s="853"/>
      <c r="J17" s="6"/>
      <c r="K17" s="541"/>
      <c r="L17" s="860"/>
      <c r="M17" s="20" t="str">
        <f>IF(J17="","",$M$5-SUM($J$7:J17))</f>
        <v/>
      </c>
      <c r="N17" s="367"/>
      <c r="O17" s="7"/>
      <c r="P17" s="871">
        <f>IF(B!Q17&lt;&gt;B!R17,IF(B!Q17&lt;&gt;0,IF(B!S17&lt;&gt;B!T17,B!P17,),),)</f>
        <v>0</v>
      </c>
      <c r="Q17" s="795">
        <f>IF(B!Q17&lt;&gt;B!R17,IF(B!Q17&lt;&gt;0,IF(B!S17&lt;&gt;B!T17,B!Q17,),),)</f>
        <v>0</v>
      </c>
      <c r="R17" s="628">
        <f>IF(B!Q17&lt;&gt;B!R17,IF(B!Q17&lt;&gt;0,IF(B!S17&lt;&gt;B!T17,0,Q17),Q17),Q17)</f>
        <v>0</v>
      </c>
      <c r="S17" s="796">
        <f>IF(B!Q17&lt;&gt;B!R17,IF(B!Q17&lt;&gt;0,IF(B!S17&lt;&gt;B!T17,B!S17+1,),),)</f>
        <v>0</v>
      </c>
      <c r="T17" s="796">
        <f>IF(B!Q17&lt;&gt;B!R17,IF(B!Q17&lt;&gt;0,IF(B!S17&lt;&gt;B!T17,B!T17,),),)</f>
        <v>0</v>
      </c>
      <c r="U17" s="797">
        <f>IF(B!Q17&lt;&gt;B!R17,IF(B!Q17&lt;&gt;0,IF(B!S17&lt;&gt;B!T17,B!U17,),),)</f>
        <v>0</v>
      </c>
      <c r="V17" s="875">
        <f>IF(B!Q17&lt;&gt;B!R17,IF(B!Q17&lt;&gt;0,IF(B!S17&lt;&gt;B!T17,B!V17,),),)</f>
        <v>0</v>
      </c>
      <c r="W17" s="624">
        <f>IF(Q17="","",$W$5-SUM($Q$7:Q17))</f>
        <v>0</v>
      </c>
      <c r="X17" s="621"/>
      <c r="Y17" s="18" t="s">
        <v>179</v>
      </c>
      <c r="Z17" s="17">
        <f>SUM(Z6:Z16)</f>
        <v>0</v>
      </c>
      <c r="AA17" s="19">
        <f>SUM(AA6:AA16)</f>
        <v>0</v>
      </c>
      <c r="AB17" s="642"/>
      <c r="AC17" s="642"/>
      <c r="AD17" s="33"/>
      <c r="AE17" s="1137"/>
      <c r="AF17" s="367"/>
      <c r="AG17" s="367"/>
      <c r="AH17" s="367"/>
      <c r="AI17" s="367"/>
      <c r="AJ17" s="367"/>
      <c r="AK17" s="367"/>
      <c r="AL17" s="367"/>
      <c r="AM17" s="367"/>
      <c r="AN17" s="367"/>
      <c r="AO17" s="86"/>
    </row>
    <row r="18" spans="1:63" ht="15" customHeight="1" thickBot="1">
      <c r="A18" s="367"/>
      <c r="B18" s="16" t="s">
        <v>179</v>
      </c>
      <c r="C18" s="77">
        <f>SUM(C7:C17)</f>
        <v>0</v>
      </c>
      <c r="D18" s="75">
        <f>SUM(D7:D17)</f>
        <v>0</v>
      </c>
      <c r="E18" s="515"/>
      <c r="F18" s="515"/>
      <c r="G18" s="367"/>
      <c r="H18" s="543"/>
      <c r="I18" s="853"/>
      <c r="J18" s="6"/>
      <c r="K18" s="541"/>
      <c r="L18" s="860"/>
      <c r="M18" s="20" t="str">
        <f>IF(J18="","",$M$5-SUM($J$7:J18))</f>
        <v/>
      </c>
      <c r="N18" s="367"/>
      <c r="O18" s="7"/>
      <c r="P18" s="873">
        <f>IF(B!Q18&lt;&gt;B!R18,IF(B!Q18&lt;&gt;0,IF(B!S18&lt;&gt;B!T18,B!P18,),),)</f>
        <v>0</v>
      </c>
      <c r="Q18" s="795">
        <f>IF(B!Q18&lt;&gt;B!R18,IF(B!Q18&lt;&gt;0,IF(B!S18&lt;&gt;B!T18,B!Q18,),),)</f>
        <v>0</v>
      </c>
      <c r="R18" s="628">
        <f>IF(B!Q18&lt;&gt;B!R18,IF(B!Q18&lt;&gt;0,IF(B!S18&lt;&gt;B!T18,0,Q18),Q18),Q18)</f>
        <v>0</v>
      </c>
      <c r="S18" s="796">
        <f>IF(B!Q18&lt;&gt;B!R18,IF(B!Q18&lt;&gt;0,IF(B!S18&lt;&gt;B!T18,B!S18+1,),),)</f>
        <v>0</v>
      </c>
      <c r="T18" s="796">
        <f>IF(B!Q18&lt;&gt;B!R18,IF(B!Q18&lt;&gt;0,IF(B!S18&lt;&gt;B!T18,B!T18,),),)</f>
        <v>0</v>
      </c>
      <c r="U18" s="797">
        <f>IF(B!Q18&lt;&gt;B!R18,IF(B!Q18&lt;&gt;0,IF(B!S18&lt;&gt;B!T18,B!U18,),),)</f>
        <v>0</v>
      </c>
      <c r="V18" s="875">
        <f>IF(B!Q18&lt;&gt;B!R18,IF(B!Q18&lt;&gt;0,IF(B!S18&lt;&gt;B!T18,B!V18,),),)</f>
        <v>0</v>
      </c>
      <c r="W18" s="622">
        <f>IF(Q18="","",$W$5-SUM($Q$7:Q18))</f>
        <v>0</v>
      </c>
      <c r="X18" s="395"/>
      <c r="Y18" s="1204" t="s">
        <v>367</v>
      </c>
      <c r="Z18" s="1205"/>
      <c r="AA18" s="121">
        <f>AA17-AA4</f>
        <v>0</v>
      </c>
      <c r="AB18" s="643"/>
      <c r="AC18" s="643"/>
      <c r="AD18" s="34"/>
      <c r="AE18" s="1137"/>
      <c r="AF18" s="367"/>
      <c r="AG18" s="376"/>
      <c r="AH18" s="885" t="s">
        <v>401</v>
      </c>
      <c r="AI18" s="367"/>
      <c r="AJ18" s="367"/>
      <c r="AK18" s="367"/>
      <c r="AL18" s="367"/>
      <c r="AM18" s="367"/>
      <c r="AN18" s="367"/>
      <c r="AO18" s="86"/>
      <c r="AR18" s="52" t="s">
        <v>5</v>
      </c>
    </row>
    <row r="19" spans="1:63" ht="15" customHeight="1" thickBot="1">
      <c r="A19" s="367"/>
      <c r="B19" s="95" t="s">
        <v>367</v>
      </c>
      <c r="C19" s="98"/>
      <c r="D19" s="97">
        <f>C18-D18</f>
        <v>0</v>
      </c>
      <c r="E19" s="516"/>
      <c r="F19" s="516"/>
      <c r="G19" s="367"/>
      <c r="H19" s="543"/>
      <c r="I19" s="853"/>
      <c r="J19" s="6"/>
      <c r="K19" s="541"/>
      <c r="L19" s="860"/>
      <c r="M19" s="20" t="str">
        <f>IF(J19="","",$M$5-SUM($J$7:J19))</f>
        <v/>
      </c>
      <c r="N19" s="367"/>
      <c r="O19" s="7"/>
      <c r="P19" s="871">
        <f>IF(B!Q19&lt;&gt;B!R19,IF(B!Q19&lt;&gt;0,IF(B!S19&lt;&gt;B!T19,B!P19,),),)</f>
        <v>0</v>
      </c>
      <c r="Q19" s="795">
        <f>IF(B!Q19&lt;&gt;B!R19,IF(B!Q19&lt;&gt;0,IF(B!S19&lt;&gt;B!T19,B!Q19,),),)</f>
        <v>0</v>
      </c>
      <c r="R19" s="628">
        <f>IF(B!Q19&lt;&gt;B!R19,IF(B!Q19&lt;&gt;0,IF(B!S19&lt;&gt;B!T19,0,Q19),Q19),Q19)</f>
        <v>0</v>
      </c>
      <c r="S19" s="796">
        <f>IF(B!Q19&lt;&gt;B!R19,IF(B!Q19&lt;&gt;0,IF(B!S19&lt;&gt;B!T19,B!S19+1,),),)</f>
        <v>0</v>
      </c>
      <c r="T19" s="796">
        <f>IF(B!Q19&lt;&gt;B!R19,IF(B!Q19&lt;&gt;0,IF(B!S19&lt;&gt;B!T19,B!T19,),),)</f>
        <v>0</v>
      </c>
      <c r="U19" s="797">
        <f>IF(B!Q19&lt;&gt;B!R19,IF(B!Q19&lt;&gt;0,IF(B!S19&lt;&gt;B!T19,B!U19,),),)</f>
        <v>0</v>
      </c>
      <c r="V19" s="875">
        <f>IF(B!Q19&lt;&gt;B!R19,IF(B!Q19&lt;&gt;0,IF(B!S19&lt;&gt;B!T19,B!V19,),),)</f>
        <v>0</v>
      </c>
      <c r="W19" s="622">
        <f>IF(Q19="","",$W$5-SUM($Q$7:Q19))</f>
        <v>0</v>
      </c>
      <c r="X19" s="395"/>
      <c r="Y19" s="378"/>
      <c r="Z19" s="378"/>
      <c r="AA19" s="378"/>
      <c r="AB19" s="378"/>
      <c r="AC19" s="378"/>
      <c r="AD19" s="9"/>
      <c r="AE19" s="1137"/>
      <c r="AF19" s="367"/>
      <c r="AG19" s="373"/>
      <c r="AH19" s="886" t="s">
        <v>402</v>
      </c>
      <c r="AI19" s="367"/>
      <c r="AJ19" s="367"/>
      <c r="AK19" s="367"/>
      <c r="AL19" s="367"/>
      <c r="AM19" s="367"/>
      <c r="AN19" s="367"/>
      <c r="AO19" s="86"/>
      <c r="AR19" s="88">
        <v>3</v>
      </c>
      <c r="AV19" s="476" t="s">
        <v>14</v>
      </c>
    </row>
    <row r="20" spans="1:63" ht="15" customHeight="1" thickBot="1">
      <c r="A20" s="367"/>
      <c r="B20" s="1095" t="str">
        <f>IF(D19&gt;0,"Unexpected positive difference - Check why!","")</f>
        <v/>
      </c>
      <c r="C20" s="1095"/>
      <c r="D20" s="1095"/>
      <c r="E20" s="514"/>
      <c r="F20" s="514"/>
      <c r="G20" s="367"/>
      <c r="H20" s="543"/>
      <c r="I20" s="853"/>
      <c r="J20" s="6"/>
      <c r="K20" s="541"/>
      <c r="L20" s="860"/>
      <c r="M20" s="20" t="str">
        <f>IF(J20="","",$M$5-SUM($J$7:J20))</f>
        <v/>
      </c>
      <c r="N20" s="367"/>
      <c r="O20" s="7"/>
      <c r="P20" s="871">
        <f>IF(B!Q20&lt;&gt;B!R20,IF(B!Q20&lt;&gt;0,IF(B!S20&lt;&gt;B!T20,B!P20,),),)</f>
        <v>0</v>
      </c>
      <c r="Q20" s="795">
        <f>IF(B!Q20&lt;&gt;B!R20,IF(B!Q20&lt;&gt;0,IF(B!S20&lt;&gt;B!T20,B!Q20,),),)</f>
        <v>0</v>
      </c>
      <c r="R20" s="628">
        <f>IF(B!Q20&lt;&gt;B!R20,IF(B!Q20&lt;&gt;0,IF(B!S20&lt;&gt;B!T20,0,Q20),Q20),Q20)</f>
        <v>0</v>
      </c>
      <c r="S20" s="796">
        <f>IF(B!Q20&lt;&gt;B!R20,IF(B!Q20&lt;&gt;0,IF(B!S20&lt;&gt;B!T20,B!S20+1,),),)</f>
        <v>0</v>
      </c>
      <c r="T20" s="796">
        <f>IF(B!Q20&lt;&gt;B!R20,IF(B!Q20&lt;&gt;0,IF(B!S20&lt;&gt;B!T20,B!T20,),),)</f>
        <v>0</v>
      </c>
      <c r="U20" s="797">
        <f>IF(B!Q20&lt;&gt;B!R20,IF(B!Q20&lt;&gt;0,IF(B!S20&lt;&gt;B!T20,B!U20,),),)</f>
        <v>0</v>
      </c>
      <c r="V20" s="875">
        <f>IF(B!Q20&lt;&gt;B!R20,IF(B!Q20&lt;&gt;0,IF(B!S20&lt;&gt;B!T20,B!V20,),),)</f>
        <v>0</v>
      </c>
      <c r="W20" s="622">
        <f>IF(Q20="","",$W$5-SUM($Q$7:Q20))</f>
        <v>0</v>
      </c>
      <c r="X20" s="395"/>
      <c r="Y20" s="1206" t="s">
        <v>350</v>
      </c>
      <c r="Z20" s="1207"/>
      <c r="AA20" s="1207"/>
      <c r="AB20" s="552"/>
      <c r="AC20" s="552"/>
      <c r="AD20" s="27"/>
      <c r="AE20" s="1137"/>
      <c r="AF20" s="367"/>
      <c r="AG20" s="374"/>
      <c r="AH20" s="887" t="s">
        <v>466</v>
      </c>
      <c r="AI20" s="367"/>
      <c r="AJ20" s="367"/>
      <c r="AK20" s="367"/>
      <c r="AL20" s="367"/>
      <c r="AM20" s="367"/>
      <c r="AN20" s="367"/>
      <c r="AO20" s="86"/>
      <c r="AQ20" s="1240" t="s">
        <v>29</v>
      </c>
      <c r="AR20" s="1139"/>
      <c r="AS20" s="1139"/>
      <c r="AT20" s="1140"/>
      <c r="AV20" s="476" t="s">
        <v>15</v>
      </c>
    </row>
    <row r="21" spans="1:63" ht="15" customHeight="1">
      <c r="A21" s="367"/>
      <c r="B21" s="399"/>
      <c r="C21" s="400"/>
      <c r="D21" s="400"/>
      <c r="E21" s="400"/>
      <c r="F21" s="400"/>
      <c r="G21" s="367"/>
      <c r="H21" s="543"/>
      <c r="I21" s="853"/>
      <c r="J21" s="6"/>
      <c r="K21" s="541"/>
      <c r="L21" s="860"/>
      <c r="M21" s="20" t="str">
        <f>IF(J21="","",$M$5-SUM($J$7:J21))</f>
        <v/>
      </c>
      <c r="N21" s="367"/>
      <c r="O21" s="7"/>
      <c r="P21" s="873">
        <f>IF(B!Q21&lt;&gt;B!R21,IF(B!Q21&lt;&gt;0,IF(B!S21&lt;&gt;B!T21,B!P21,),),)</f>
        <v>0</v>
      </c>
      <c r="Q21" s="795">
        <f>IF(B!Q21&lt;&gt;B!R21,IF(B!Q21&lt;&gt;0,IF(B!S21&lt;&gt;B!T21,B!Q21,),),)</f>
        <v>0</v>
      </c>
      <c r="R21" s="628">
        <f>IF(B!Q21&lt;&gt;B!R21,IF(B!Q21&lt;&gt;0,IF(B!S21&lt;&gt;B!T21,0,Q21),Q21),Q21)</f>
        <v>0</v>
      </c>
      <c r="S21" s="796">
        <f>IF(B!Q21&lt;&gt;B!R21,IF(B!Q21&lt;&gt;0,IF(B!S21&lt;&gt;B!T21,B!S21+1,),),)</f>
        <v>0</v>
      </c>
      <c r="T21" s="796">
        <f>IF(B!Q21&lt;&gt;B!R21,IF(B!Q21&lt;&gt;0,IF(B!S21&lt;&gt;B!T21,B!T21,),),)</f>
        <v>0</v>
      </c>
      <c r="U21" s="797">
        <f>IF(B!Q21&lt;&gt;B!R21,IF(B!Q21&lt;&gt;0,IF(B!S21&lt;&gt;B!T21,B!U21,),),)</f>
        <v>0</v>
      </c>
      <c r="V21" s="875">
        <f>IF(B!Q21&lt;&gt;B!R21,IF(B!Q21&lt;&gt;0,IF(B!S21&lt;&gt;B!T21,B!V21,),),)</f>
        <v>0</v>
      </c>
      <c r="W21" s="622">
        <f>IF(Q21="","",$W$5-SUM($Q$7:Q21))</f>
        <v>0</v>
      </c>
      <c r="X21" s="395"/>
      <c r="Y21" s="1187" t="s">
        <v>353</v>
      </c>
      <c r="Z21" s="1189" t="s">
        <v>354</v>
      </c>
      <c r="AA21" s="1210" t="s">
        <v>494</v>
      </c>
      <c r="AB21" s="719"/>
      <c r="AC21" s="720"/>
      <c r="AD21" s="1148" t="s">
        <v>2</v>
      </c>
      <c r="AE21" s="1141" t="s">
        <v>406</v>
      </c>
      <c r="AG21" s="1242" t="s">
        <v>405</v>
      </c>
      <c r="AH21" s="887" t="s">
        <v>403</v>
      </c>
      <c r="AI21" s="367"/>
      <c r="AJ21" s="367"/>
      <c r="AK21" s="367"/>
      <c r="AL21" s="367"/>
      <c r="AM21" s="367"/>
      <c r="AN21" s="367"/>
      <c r="AO21" s="86"/>
      <c r="AP21" s="89" t="s">
        <v>3</v>
      </c>
      <c r="AQ21" s="475" t="s">
        <v>7</v>
      </c>
      <c r="AR21" s="1229" t="s">
        <v>11</v>
      </c>
      <c r="AS21" s="476"/>
      <c r="AT21" s="476"/>
      <c r="AU21" s="476"/>
      <c r="AV21" s="476" t="s">
        <v>16</v>
      </c>
      <c r="AW21" s="476"/>
      <c r="AX21" s="90" t="s">
        <v>0</v>
      </c>
    </row>
    <row r="22" spans="1:63" ht="15.75" customHeight="1" thickBot="1">
      <c r="A22" s="367"/>
      <c r="B22" s="401" t="s">
        <v>349</v>
      </c>
      <c r="C22" s="402"/>
      <c r="D22" s="378"/>
      <c r="E22" s="378"/>
      <c r="F22" s="378"/>
      <c r="G22" s="367"/>
      <c r="H22" s="543"/>
      <c r="I22" s="853"/>
      <c r="J22" s="6"/>
      <c r="K22" s="541"/>
      <c r="L22" s="860"/>
      <c r="M22" s="20" t="str">
        <f>IF(J22="","",$M$5-SUM($J$7:J22))</f>
        <v/>
      </c>
      <c r="N22" s="367"/>
      <c r="O22" s="7"/>
      <c r="P22" s="871">
        <f>IF(B!Q22&lt;&gt;B!R22,IF(B!Q22&lt;&gt;0,IF(B!S22&lt;&gt;B!T22,B!P22,),),)</f>
        <v>0</v>
      </c>
      <c r="Q22" s="795">
        <f>IF(B!Q22&lt;&gt;B!R22,IF(B!Q22&lt;&gt;0,IF(B!S22&lt;&gt;B!T22,B!Q22,),),)</f>
        <v>0</v>
      </c>
      <c r="R22" s="628">
        <f>IF(B!Q22&lt;&gt;B!R22,IF(B!Q22&lt;&gt;0,IF(B!S22&lt;&gt;B!T22,0,Q22),Q22),Q22)</f>
        <v>0</v>
      </c>
      <c r="S22" s="796">
        <f>IF(B!Q22&lt;&gt;B!R22,IF(B!Q22&lt;&gt;0,IF(B!S22&lt;&gt;B!T22,B!S22+1,),),)</f>
        <v>0</v>
      </c>
      <c r="T22" s="796">
        <f>IF(B!Q22&lt;&gt;B!R22,IF(B!Q22&lt;&gt;0,IF(B!S22&lt;&gt;B!T22,B!T22,),),)</f>
        <v>0</v>
      </c>
      <c r="U22" s="797">
        <f>IF(B!Q22&lt;&gt;B!R22,IF(B!Q22&lt;&gt;0,IF(B!S22&lt;&gt;B!T22,B!U22,),),)</f>
        <v>0</v>
      </c>
      <c r="V22" s="875">
        <f>IF(B!Q22&lt;&gt;B!R22,IF(B!Q22&lt;&gt;0,IF(B!S22&lt;&gt;B!T22,B!V22,),),)</f>
        <v>0</v>
      </c>
      <c r="W22" s="622">
        <f>IF(Q22="","",$W$5-SUM($Q$7:Q22))</f>
        <v>0</v>
      </c>
      <c r="X22" s="395"/>
      <c r="Y22" s="1188"/>
      <c r="Z22" s="1241"/>
      <c r="AA22" s="1211"/>
      <c r="AB22" s="719"/>
      <c r="AC22" s="721"/>
      <c r="AD22" s="1148"/>
      <c r="AE22" s="1141"/>
      <c r="AF22" s="367"/>
      <c r="AG22" s="1243"/>
      <c r="AH22" s="367"/>
      <c r="AI22" s="367"/>
      <c r="AJ22" s="367"/>
      <c r="AK22" s="367"/>
      <c r="AL22" s="367"/>
      <c r="AM22" s="367"/>
      <c r="AN22" s="367"/>
      <c r="AO22" s="86"/>
      <c r="AP22" s="90" t="s">
        <v>9</v>
      </c>
      <c r="AQ22" s="475" t="s">
        <v>10</v>
      </c>
      <c r="AR22" s="1229"/>
      <c r="AS22" s="475" t="s">
        <v>8</v>
      </c>
      <c r="AT22" s="475" t="s">
        <v>6</v>
      </c>
      <c r="AU22" s="476"/>
      <c r="AV22" s="475" t="s">
        <v>17</v>
      </c>
      <c r="AW22" s="475" t="s">
        <v>18</v>
      </c>
      <c r="AX22" s="706" t="s">
        <v>19</v>
      </c>
      <c r="AZ22" s="725" t="s">
        <v>31</v>
      </c>
      <c r="BA22" s="724"/>
      <c r="BB22" s="724"/>
      <c r="BC22" s="724"/>
      <c r="BD22" s="724"/>
      <c r="BE22" s="724"/>
      <c r="BF22" s="724"/>
      <c r="BG22" s="724"/>
      <c r="BH22" s="724"/>
      <c r="BJ22" s="724"/>
      <c r="BK22" s="724"/>
    </row>
    <row r="23" spans="1:63" ht="15.75">
      <c r="A23" s="367"/>
      <c r="B23" s="1102" t="s">
        <v>428</v>
      </c>
      <c r="C23" s="1104">
        <f ca="1">C40</f>
        <v>0</v>
      </c>
      <c r="D23" s="1105"/>
      <c r="E23" s="1091"/>
      <c r="F23" s="1092"/>
      <c r="G23" s="367"/>
      <c r="H23" s="543"/>
      <c r="I23" s="853"/>
      <c r="J23" s="6"/>
      <c r="K23" s="541"/>
      <c r="L23" s="860"/>
      <c r="M23" s="20" t="str">
        <f>IF(J23="","",$M$5-SUM($J$7:J23))</f>
        <v/>
      </c>
      <c r="N23" s="367"/>
      <c r="O23" s="7"/>
      <c r="P23" s="873">
        <f>IF(B!Q23&lt;&gt;B!R23,IF(B!Q23&lt;&gt;0,IF(B!S23&lt;&gt;B!T23,B!P23,),),)</f>
        <v>0</v>
      </c>
      <c r="Q23" s="795">
        <f>IF(B!Q23&lt;&gt;B!R23,IF(B!Q23&lt;&gt;0,IF(B!S23&lt;&gt;B!T23,B!Q23,),),)</f>
        <v>0</v>
      </c>
      <c r="R23" s="628">
        <f>IF(B!Q23&lt;&gt;B!R23,IF(B!Q23&lt;&gt;0,IF(B!S23&lt;&gt;B!T23,0,Q23),Q23),Q23)</f>
        <v>0</v>
      </c>
      <c r="S23" s="796">
        <f>IF(B!Q23&lt;&gt;B!R23,IF(B!Q23&lt;&gt;0,IF(B!S23&lt;&gt;B!T23,B!S23+1,),),)</f>
        <v>0</v>
      </c>
      <c r="T23" s="796">
        <f>IF(B!Q23&lt;&gt;B!R23,IF(B!Q23&lt;&gt;0,IF(B!S23&lt;&gt;B!T23,B!T23,),),)</f>
        <v>0</v>
      </c>
      <c r="U23" s="797">
        <f>IF(B!Q23&lt;&gt;B!R23,IF(B!Q23&lt;&gt;0,IF(B!S23&lt;&gt;B!T23,B!U23,),),)</f>
        <v>0</v>
      </c>
      <c r="V23" s="875">
        <f>IF(B!Q23&lt;&gt;B!R23,IF(B!Q23&lt;&gt;0,IF(B!S23&lt;&gt;B!T23,B!V23,),),)</f>
        <v>0</v>
      </c>
      <c r="W23" s="622">
        <f>IF(Q23="","",$W$5-SUM($Q$7:Q23))</f>
        <v>0</v>
      </c>
      <c r="X23" s="395"/>
      <c r="Y23" s="905" t="str">
        <f>IF(B!Y23&lt;&gt;"",B!Y23,)</f>
        <v>Municipal Taxes</v>
      </c>
      <c r="Z23" s="457">
        <f>B!Z23</f>
        <v>0</v>
      </c>
      <c r="AA23" s="21">
        <f t="shared" ref="AA23:AA44" si="0">SUMIF($P$7:$P$110,Y23,$Q$7:$Q$110)</f>
        <v>0</v>
      </c>
      <c r="AB23" s="722"/>
      <c r="AC23" s="722"/>
      <c r="AD23" s="35">
        <f t="shared" ref="AD23:AD44" si="1">SUMIF($P$7:$P$110,Y23,$R$7:$R$110)</f>
        <v>0</v>
      </c>
      <c r="AE23" s="23">
        <f>IF(AI23=0,AX23,0)</f>
        <v>0</v>
      </c>
      <c r="AF23" s="367"/>
      <c r="AG23" s="728">
        <f t="shared" ref="AG23:AG44" si="2">IF(AZ23&gt;1,"overrun",IF(AZ23&lt;0,"OK",AZ23))</f>
        <v>0</v>
      </c>
      <c r="AH23" s="367"/>
      <c r="AI23" s="375">
        <v>0</v>
      </c>
      <c r="AJ23" s="367"/>
      <c r="AK23" s="367"/>
      <c r="AL23" s="367"/>
      <c r="AM23" s="367"/>
      <c r="AN23" s="367"/>
      <c r="AO23" s="86"/>
      <c r="AP23" s="51">
        <f t="shared" ref="AP23:AP44" si="3">IF(AI23=1,AX23,0)</f>
        <v>0</v>
      </c>
      <c r="AQ23" s="477">
        <f>B!AQ23+B!AP23</f>
        <v>0</v>
      </c>
      <c r="AR23" s="477">
        <f t="shared" ref="AR23:AR44" si="4">Z23*12-AS23-AQ23</f>
        <v>0</v>
      </c>
      <c r="AS23" s="477">
        <f>AD23+B!AS23</f>
        <v>0</v>
      </c>
      <c r="AT23" s="477">
        <f>AA23+B!AT23</f>
        <v>0</v>
      </c>
      <c r="AU23" s="476"/>
      <c r="AV23" s="477">
        <f>B!AV23-B!AD23+'C'!Z23-B!AP23</f>
        <v>0</v>
      </c>
      <c r="AW23" s="476">
        <f>IF(AE23&lt;0,AE23,0)</f>
        <v>0</v>
      </c>
      <c r="AX23" s="52">
        <f>IF(Z23=B!Z23,B!AE23-AD23,B!AE23+(Z23-B!Z23)*$AW$16-AD23)</f>
        <v>0</v>
      </c>
      <c r="AZ23" s="726">
        <f t="shared" ref="AZ23:AZ44" si="5">(($Z23*(12-$AR$19))-$AE23)/($Z23*(12-$AR$19)+0.00001)</f>
        <v>0</v>
      </c>
    </row>
    <row r="24" spans="1:63" ht="15.75">
      <c r="A24" s="367"/>
      <c r="B24" s="1103"/>
      <c r="C24" s="1106"/>
      <c r="D24" s="1107"/>
      <c r="E24" s="1091"/>
      <c r="F24" s="1092"/>
      <c r="G24" s="367"/>
      <c r="H24" s="543"/>
      <c r="I24" s="853"/>
      <c r="J24" s="6"/>
      <c r="K24" s="541"/>
      <c r="L24" s="860"/>
      <c r="M24" s="20" t="str">
        <f>IF(J24="","",$M$5-SUM($J$7:J24))</f>
        <v/>
      </c>
      <c r="N24" s="367"/>
      <c r="O24" s="7"/>
      <c r="P24" s="873">
        <f>IF(B!Q24&lt;&gt;B!R24,IF(B!Q24&lt;&gt;0,IF(B!S24&lt;&gt;B!T24,B!P24,),),)</f>
        <v>0</v>
      </c>
      <c r="Q24" s="795">
        <f>IF(B!Q24&lt;&gt;B!R24,IF(B!Q24&lt;&gt;0,IF(B!S24&lt;&gt;B!T24,B!Q24,),),)</f>
        <v>0</v>
      </c>
      <c r="R24" s="628">
        <f>IF(B!Q24&lt;&gt;B!R24,IF(B!Q24&lt;&gt;0,IF(B!S24&lt;&gt;B!T24,0,Q24),Q24),Q24)</f>
        <v>0</v>
      </c>
      <c r="S24" s="796">
        <f>IF(B!Q24&lt;&gt;B!R24,IF(B!Q24&lt;&gt;0,IF(B!S24&lt;&gt;B!T24,B!S24+1,),),)</f>
        <v>0</v>
      </c>
      <c r="T24" s="796">
        <f>IF(B!Q24&lt;&gt;B!R24,IF(B!Q24&lt;&gt;0,IF(B!S24&lt;&gt;B!T24,B!T24,),),)</f>
        <v>0</v>
      </c>
      <c r="U24" s="797">
        <f>IF(B!Q24&lt;&gt;B!R24,IF(B!Q24&lt;&gt;0,IF(B!S24&lt;&gt;B!T24,B!U24,),),)</f>
        <v>0</v>
      </c>
      <c r="V24" s="875">
        <f>IF(B!Q24&lt;&gt;B!R24,IF(B!Q24&lt;&gt;0,IF(B!S24&lt;&gt;B!T24,B!V24,),),)</f>
        <v>0</v>
      </c>
      <c r="W24" s="622">
        <f>IF(Q24="","",$W$5-SUM($Q$7:Q24))</f>
        <v>0</v>
      </c>
      <c r="X24" s="395"/>
      <c r="Y24" s="905" t="str">
        <f>IF(B!Y24&lt;&gt;"",B!Y24,)</f>
        <v>Water and Sewage</v>
      </c>
      <c r="Z24" s="457">
        <f>B!Z24</f>
        <v>0</v>
      </c>
      <c r="AA24" s="20">
        <f t="shared" si="0"/>
        <v>0</v>
      </c>
      <c r="AB24" s="723"/>
      <c r="AC24" s="723"/>
      <c r="AD24" s="36">
        <f t="shared" si="1"/>
        <v>0</v>
      </c>
      <c r="AE24" s="23">
        <f t="shared" ref="AE24:AE44" si="6">IF(AI24=0,AX24,0)</f>
        <v>0</v>
      </c>
      <c r="AF24" s="367"/>
      <c r="AG24" s="728">
        <f t="shared" si="2"/>
        <v>0</v>
      </c>
      <c r="AH24" s="367"/>
      <c r="AI24" s="375">
        <v>0</v>
      </c>
      <c r="AJ24" s="367"/>
      <c r="AK24" s="367"/>
      <c r="AL24" s="367"/>
      <c r="AM24" s="367"/>
      <c r="AN24" s="367"/>
      <c r="AO24" s="86"/>
      <c r="AP24" s="51">
        <f t="shared" si="3"/>
        <v>0</v>
      </c>
      <c r="AQ24" s="477">
        <f>B!AQ24+B!AP24</f>
        <v>0</v>
      </c>
      <c r="AR24" s="476">
        <f t="shared" si="4"/>
        <v>0</v>
      </c>
      <c r="AS24" s="477">
        <f>AD24+B!AS24</f>
        <v>0</v>
      </c>
      <c r="AT24" s="477">
        <f>AA24+B!AT24</f>
        <v>0</v>
      </c>
      <c r="AU24" s="476"/>
      <c r="AV24" s="477">
        <f>B!AV24-B!AD24+'C'!Z24-B!AP24</f>
        <v>0</v>
      </c>
      <c r="AW24" s="476">
        <f t="shared" ref="AW24:AW44" si="7">IF(AE24&lt;0,AE24,0)</f>
        <v>0</v>
      </c>
      <c r="AX24" s="52">
        <f>IF(Z24=B!Z24,B!AE24-AD24,B!AE24+(Z24-B!Z24)*$AW$16-AD24)</f>
        <v>0</v>
      </c>
      <c r="AZ24" s="726">
        <f t="shared" si="5"/>
        <v>0</v>
      </c>
    </row>
    <row r="25" spans="1:63" ht="16.5" thickBot="1">
      <c r="A25" s="367"/>
      <c r="B25" s="1178" t="s">
        <v>388</v>
      </c>
      <c r="C25" s="1118" t="s">
        <v>354</v>
      </c>
      <c r="D25" s="1180" t="s">
        <v>494</v>
      </c>
      <c r="E25" s="1109" t="s">
        <v>380</v>
      </c>
      <c r="F25" s="1108" t="s">
        <v>335</v>
      </c>
      <c r="G25" s="367"/>
      <c r="H25" s="543"/>
      <c r="I25" s="853"/>
      <c r="J25" s="6"/>
      <c r="K25" s="541"/>
      <c r="L25" s="860"/>
      <c r="M25" s="20" t="str">
        <f>IF(J25="","",$M$5-SUM($J$7:J25))</f>
        <v/>
      </c>
      <c r="N25" s="367"/>
      <c r="O25" s="7"/>
      <c r="P25" s="873">
        <f>IF(B!Q25&lt;&gt;B!R25,IF(B!Q25&lt;&gt;0,IF(B!S25&lt;&gt;B!T25,B!P25,),),)</f>
        <v>0</v>
      </c>
      <c r="Q25" s="795">
        <f>IF(B!Q25&lt;&gt;B!R25,IF(B!Q25&lt;&gt;0,IF(B!S25&lt;&gt;B!T25,B!Q25,),),)</f>
        <v>0</v>
      </c>
      <c r="R25" s="628">
        <f>IF(B!Q25&lt;&gt;B!R25,IF(B!Q25&lt;&gt;0,IF(B!S25&lt;&gt;B!T25,0,Q25),Q25),Q25)</f>
        <v>0</v>
      </c>
      <c r="S25" s="796">
        <f>IF(B!Q25&lt;&gt;B!R25,IF(B!Q25&lt;&gt;0,IF(B!S25&lt;&gt;B!T25,B!S25+1,),),)</f>
        <v>0</v>
      </c>
      <c r="T25" s="796">
        <f>IF(B!Q25&lt;&gt;B!R25,IF(B!Q25&lt;&gt;0,IF(B!S25&lt;&gt;B!T25,B!T25,),),)</f>
        <v>0</v>
      </c>
      <c r="U25" s="797">
        <f>IF(B!Q25&lt;&gt;B!R25,IF(B!Q25&lt;&gt;0,IF(B!S25&lt;&gt;B!T25,B!U25,),),)</f>
        <v>0</v>
      </c>
      <c r="V25" s="875">
        <f>IF(B!Q25&lt;&gt;B!R25,IF(B!Q25&lt;&gt;0,IF(B!S25&lt;&gt;B!T25,B!V25,),),)</f>
        <v>0</v>
      </c>
      <c r="W25" s="622">
        <f>IF(Q25="","",$W$5-SUM($Q$7:Q25))</f>
        <v>0</v>
      </c>
      <c r="X25" s="395"/>
      <c r="Y25" s="905" t="str">
        <f>IF(B!Y25&lt;&gt;"",B!Y25,)</f>
        <v>Electricity</v>
      </c>
      <c r="Z25" s="457">
        <f>B!Z25</f>
        <v>0</v>
      </c>
      <c r="AA25" s="20">
        <f t="shared" si="0"/>
        <v>0</v>
      </c>
      <c r="AB25" s="723"/>
      <c r="AC25" s="723"/>
      <c r="AD25" s="36">
        <f t="shared" si="1"/>
        <v>0</v>
      </c>
      <c r="AE25" s="23">
        <f t="shared" si="6"/>
        <v>0</v>
      </c>
      <c r="AF25" s="367"/>
      <c r="AG25" s="728">
        <f t="shared" si="2"/>
        <v>0</v>
      </c>
      <c r="AH25" s="367"/>
      <c r="AI25" s="375">
        <v>0</v>
      </c>
      <c r="AJ25" s="367"/>
      <c r="AK25" s="367"/>
      <c r="AL25" s="367"/>
      <c r="AM25" s="367"/>
      <c r="AN25" s="367"/>
      <c r="AO25" s="86"/>
      <c r="AP25" s="51">
        <f t="shared" si="3"/>
        <v>0</v>
      </c>
      <c r="AQ25" s="477">
        <f>B!AQ25+B!AP25</f>
        <v>0</v>
      </c>
      <c r="AR25" s="476">
        <f t="shared" si="4"/>
        <v>0</v>
      </c>
      <c r="AS25" s="477">
        <f>AD25+B!AS25</f>
        <v>0</v>
      </c>
      <c r="AT25" s="477">
        <f>AA25+B!AT25</f>
        <v>0</v>
      </c>
      <c r="AU25" s="476"/>
      <c r="AV25" s="477">
        <f>B!AV25-B!AD25+'C'!Z25-B!AP25</f>
        <v>0</v>
      </c>
      <c r="AW25" s="476">
        <f t="shared" si="7"/>
        <v>0</v>
      </c>
      <c r="AX25" s="52">
        <f>IF(Z25=B!Z25,B!AE25-AD25,B!AE25+(Z25-B!Z25)*$AW$16-AD25)</f>
        <v>0</v>
      </c>
      <c r="AZ25" s="726">
        <f t="shared" si="5"/>
        <v>0</v>
      </c>
    </row>
    <row r="26" spans="1:63" ht="15.75">
      <c r="A26" s="367"/>
      <c r="B26" s="1179"/>
      <c r="C26" s="1119"/>
      <c r="D26" s="1181"/>
      <c r="E26" s="1109"/>
      <c r="F26" s="1108"/>
      <c r="G26" s="367"/>
      <c r="H26" s="543"/>
      <c r="I26" s="853"/>
      <c r="J26" s="6"/>
      <c r="K26" s="541"/>
      <c r="L26" s="860"/>
      <c r="M26" s="20" t="str">
        <f>IF(J26="","",$M$5-SUM($J$7:J26))</f>
        <v/>
      </c>
      <c r="N26" s="367"/>
      <c r="O26" s="7"/>
      <c r="P26" s="873">
        <f>IF(B!Q26&lt;&gt;B!R26,IF(B!Q26&lt;&gt;0,IF(B!S26&lt;&gt;B!T26,B!P26,),),)</f>
        <v>0</v>
      </c>
      <c r="Q26" s="795">
        <f>IF(B!Q26&lt;&gt;B!R26,IF(B!Q26&lt;&gt;0,IF(B!S26&lt;&gt;B!T26,B!Q26,),),)</f>
        <v>0</v>
      </c>
      <c r="R26" s="628">
        <f>IF(B!Q26&lt;&gt;B!R26,IF(B!Q26&lt;&gt;0,IF(B!S26&lt;&gt;B!T26,0,Q26),Q26),Q26)</f>
        <v>0</v>
      </c>
      <c r="S26" s="796">
        <f>IF(B!Q26&lt;&gt;B!R26,IF(B!Q26&lt;&gt;0,IF(B!S26&lt;&gt;B!T26,B!S26+1,),),)</f>
        <v>0</v>
      </c>
      <c r="T26" s="796">
        <f>IF(B!Q26&lt;&gt;B!R26,IF(B!Q26&lt;&gt;0,IF(B!S26&lt;&gt;B!T26,B!T26,),),)</f>
        <v>0</v>
      </c>
      <c r="U26" s="797">
        <f>IF(B!Q26&lt;&gt;B!R26,IF(B!Q26&lt;&gt;0,IF(B!S26&lt;&gt;B!T26,B!U26,),),)</f>
        <v>0</v>
      </c>
      <c r="V26" s="875">
        <f>IF(B!Q26&lt;&gt;B!R26,IF(B!Q26&lt;&gt;0,IF(B!S26&lt;&gt;B!T26,B!V26,),),)</f>
        <v>0</v>
      </c>
      <c r="W26" s="622">
        <f>IF(Q26="","",$W$5-SUM($Q$7:Q26))</f>
        <v>0</v>
      </c>
      <c r="X26" s="395"/>
      <c r="Y26" s="905" t="str">
        <f>IF(B!Y26&lt;&gt;"",B!Y26,)</f>
        <v>Gas</v>
      </c>
      <c r="Z26" s="457">
        <f>B!Z26</f>
        <v>0</v>
      </c>
      <c r="AA26" s="20">
        <f t="shared" si="0"/>
        <v>0</v>
      </c>
      <c r="AB26" s="723"/>
      <c r="AC26" s="723"/>
      <c r="AD26" s="36">
        <f t="shared" si="1"/>
        <v>0</v>
      </c>
      <c r="AE26" s="23">
        <f t="shared" si="6"/>
        <v>0</v>
      </c>
      <c r="AF26" s="367"/>
      <c r="AG26" s="728">
        <f t="shared" si="2"/>
        <v>0</v>
      </c>
      <c r="AH26" s="367"/>
      <c r="AI26" s="375">
        <v>0</v>
      </c>
      <c r="AJ26" s="367"/>
      <c r="AK26" s="525" t="s">
        <v>404</v>
      </c>
      <c r="AL26" s="526"/>
      <c r="AM26" s="367"/>
      <c r="AN26" s="367"/>
      <c r="AO26" s="86"/>
      <c r="AP26" s="51">
        <f t="shared" si="3"/>
        <v>0</v>
      </c>
      <c r="AQ26" s="477">
        <f>B!AQ26+B!AP26</f>
        <v>0</v>
      </c>
      <c r="AR26" s="476">
        <f t="shared" si="4"/>
        <v>0</v>
      </c>
      <c r="AS26" s="477">
        <f>AD26+B!AS26</f>
        <v>0</v>
      </c>
      <c r="AT26" s="477">
        <f>AA26+B!AT26</f>
        <v>0</v>
      </c>
      <c r="AU26" s="476"/>
      <c r="AV26" s="477">
        <f>B!AV26-B!AD26+'C'!Z26-B!AP26</f>
        <v>0</v>
      </c>
      <c r="AW26" s="476">
        <f t="shared" si="7"/>
        <v>0</v>
      </c>
      <c r="AX26" s="52">
        <f>IF(Z26=B!Z26,B!AE26-AD26,B!AE26+(Z26-B!Z26)*$AW$16-AD26)</f>
        <v>0</v>
      </c>
      <c r="AZ26" s="726">
        <f t="shared" si="5"/>
        <v>0</v>
      </c>
    </row>
    <row r="27" spans="1:63" ht="15.75">
      <c r="A27" s="367"/>
      <c r="B27" s="850">
        <f>IF(B!B27&lt;&gt;"",B!B27,)</f>
        <v>0</v>
      </c>
      <c r="C27" s="454">
        <f>B!C27</f>
        <v>0</v>
      </c>
      <c r="D27" s="74"/>
      <c r="E27" s="521"/>
      <c r="F27" s="858"/>
      <c r="G27" s="367"/>
      <c r="H27" s="543"/>
      <c r="I27" s="853"/>
      <c r="J27" s="6"/>
      <c r="K27" s="541"/>
      <c r="L27" s="860"/>
      <c r="M27" s="20" t="str">
        <f>IF(J27="","",$M$5-SUM($J$7:J27))</f>
        <v/>
      </c>
      <c r="N27" s="367"/>
      <c r="O27" s="7"/>
      <c r="P27" s="873">
        <f>IF(B!Q27&lt;&gt;B!R27,IF(B!Q27&lt;&gt;0,IF(B!S27&lt;&gt;B!T27,B!P27,),),)</f>
        <v>0</v>
      </c>
      <c r="Q27" s="795">
        <f>IF(B!Q27&lt;&gt;B!R27,IF(B!Q27&lt;&gt;0,IF(B!S27&lt;&gt;B!T27,B!Q27,),),)</f>
        <v>0</v>
      </c>
      <c r="R27" s="628">
        <f>IF(B!Q27&lt;&gt;B!R27,IF(B!Q27&lt;&gt;0,IF(B!S27&lt;&gt;B!T27,0,Q27),Q27),Q27)</f>
        <v>0</v>
      </c>
      <c r="S27" s="796">
        <f>IF(B!Q27&lt;&gt;B!R27,IF(B!Q27&lt;&gt;0,IF(B!S27&lt;&gt;B!T27,B!S27+1,),),)</f>
        <v>0</v>
      </c>
      <c r="T27" s="796">
        <f>IF(B!Q27&lt;&gt;B!R27,IF(B!Q27&lt;&gt;0,IF(B!S27&lt;&gt;B!T27,B!T27,),),)</f>
        <v>0</v>
      </c>
      <c r="U27" s="797">
        <f>IF(B!Q27&lt;&gt;B!R27,IF(B!Q27&lt;&gt;0,IF(B!S27&lt;&gt;B!T27,B!U27,),),)</f>
        <v>0</v>
      </c>
      <c r="V27" s="875">
        <f>IF(B!Q27&lt;&gt;B!R27,IF(B!Q27&lt;&gt;0,IF(B!S27&lt;&gt;B!T27,B!V27,),),)</f>
        <v>0</v>
      </c>
      <c r="W27" s="622">
        <f>IF(Q27="","",$W$5-SUM($Q$7:Q27))</f>
        <v>0</v>
      </c>
      <c r="X27" s="395"/>
      <c r="Y27" s="905" t="str">
        <f>IF(B!Y27&lt;&gt;"",B!Y27,)</f>
        <v>Heating</v>
      </c>
      <c r="Z27" s="457">
        <f>B!Z27</f>
        <v>0</v>
      </c>
      <c r="AA27" s="20">
        <f t="shared" si="0"/>
        <v>0</v>
      </c>
      <c r="AB27" s="723"/>
      <c r="AC27" s="723"/>
      <c r="AD27" s="36">
        <f t="shared" si="1"/>
        <v>0</v>
      </c>
      <c r="AE27" s="23">
        <f t="shared" si="6"/>
        <v>0</v>
      </c>
      <c r="AF27" s="367"/>
      <c r="AG27" s="728">
        <f t="shared" si="2"/>
        <v>0</v>
      </c>
      <c r="AH27" s="367"/>
      <c r="AI27" s="375">
        <v>0</v>
      </c>
      <c r="AJ27" s="367"/>
      <c r="AK27" s="527"/>
      <c r="AL27" s="394"/>
      <c r="AM27" s="367"/>
      <c r="AN27" s="367"/>
      <c r="AO27" s="86"/>
      <c r="AP27" s="51">
        <f t="shared" si="3"/>
        <v>0</v>
      </c>
      <c r="AQ27" s="477">
        <f>B!AQ27+B!AP27</f>
        <v>0</v>
      </c>
      <c r="AR27" s="476">
        <f t="shared" si="4"/>
        <v>0</v>
      </c>
      <c r="AS27" s="477">
        <f>AD27+B!AS27</f>
        <v>0</v>
      </c>
      <c r="AT27" s="477">
        <f>AA27+B!AT27</f>
        <v>0</v>
      </c>
      <c r="AU27" s="476"/>
      <c r="AV27" s="477">
        <f>B!AV27-B!AD27+'C'!Z27-B!AP27</f>
        <v>0</v>
      </c>
      <c r="AW27" s="476">
        <f t="shared" si="7"/>
        <v>0</v>
      </c>
      <c r="AX27" s="52">
        <f>IF(Z27=B!Z27,B!AE27-AD27,B!AE27+(Z27-B!Z27)*$AW$16-AD27)</f>
        <v>0</v>
      </c>
      <c r="AZ27" s="726">
        <f t="shared" si="5"/>
        <v>0</v>
      </c>
    </row>
    <row r="28" spans="1:63" ht="15" customHeight="1">
      <c r="A28" s="367"/>
      <c r="B28" s="850">
        <f ca="1">IF(B!B28&lt;&gt;"",B!B28,)</f>
        <v>0</v>
      </c>
      <c r="C28" s="454">
        <f ca="1">B!C28</f>
        <v>0</v>
      </c>
      <c r="D28" s="74"/>
      <c r="E28" s="521"/>
      <c r="F28" s="858"/>
      <c r="G28" s="367"/>
      <c r="H28" s="543"/>
      <c r="I28" s="853"/>
      <c r="J28" s="6"/>
      <c r="K28" s="541"/>
      <c r="L28" s="860"/>
      <c r="M28" s="20" t="str">
        <f>IF(J28="","",$M$5-SUM($J$7:J28))</f>
        <v/>
      </c>
      <c r="N28" s="367"/>
      <c r="O28" s="7"/>
      <c r="P28" s="873">
        <f>IF(B!Q28&lt;&gt;B!R28,IF(B!Q28&lt;&gt;0,IF(B!S28&lt;&gt;B!T28,B!P28,),),)</f>
        <v>0</v>
      </c>
      <c r="Q28" s="795">
        <f>IF(B!Q28&lt;&gt;B!R28,IF(B!Q28&lt;&gt;0,IF(B!S28&lt;&gt;B!T28,B!Q28,),),)</f>
        <v>0</v>
      </c>
      <c r="R28" s="628">
        <f>IF(B!Q28&lt;&gt;B!R28,IF(B!Q28&lt;&gt;0,IF(B!S28&lt;&gt;B!T28,0,Q28),Q28),Q28)</f>
        <v>0</v>
      </c>
      <c r="S28" s="796">
        <f>IF(B!Q28&lt;&gt;B!R28,IF(B!Q28&lt;&gt;0,IF(B!S28&lt;&gt;B!T28,B!S28+1,),),)</f>
        <v>0</v>
      </c>
      <c r="T28" s="796">
        <f>IF(B!Q28&lt;&gt;B!R28,IF(B!Q28&lt;&gt;0,IF(B!S28&lt;&gt;B!T28,B!T28,),),)</f>
        <v>0</v>
      </c>
      <c r="U28" s="797">
        <f>IF(B!Q28&lt;&gt;B!R28,IF(B!Q28&lt;&gt;0,IF(B!S28&lt;&gt;B!T28,B!U28,),),)</f>
        <v>0</v>
      </c>
      <c r="V28" s="875">
        <f>IF(B!Q28&lt;&gt;B!R28,IF(B!Q28&lt;&gt;0,IF(B!S28&lt;&gt;B!T28,B!V28,),),)</f>
        <v>0</v>
      </c>
      <c r="W28" s="622">
        <f>IF(Q28="","",$W$5-SUM($Q$7:Q28))</f>
        <v>0</v>
      </c>
      <c r="X28" s="395"/>
      <c r="Y28" s="906" t="str">
        <f>IF(B!Y28&lt;&gt;"",B!Y28,)</f>
        <v>Education/Schoolbooks</v>
      </c>
      <c r="Z28" s="457">
        <f>B!Z28</f>
        <v>0</v>
      </c>
      <c r="AA28" s="20">
        <f t="shared" si="0"/>
        <v>0</v>
      </c>
      <c r="AB28" s="723"/>
      <c r="AC28" s="723"/>
      <c r="AD28" s="36">
        <f t="shared" si="1"/>
        <v>0</v>
      </c>
      <c r="AE28" s="23">
        <f>IF(AI28=0,AX28,0)</f>
        <v>0</v>
      </c>
      <c r="AF28" s="367"/>
      <c r="AG28" s="728">
        <f t="shared" si="2"/>
        <v>0</v>
      </c>
      <c r="AH28" s="367"/>
      <c r="AI28" s="375">
        <v>0</v>
      </c>
      <c r="AJ28" s="367"/>
      <c r="AK28" s="528" t="s">
        <v>405</v>
      </c>
      <c r="AL28" s="529" t="s">
        <v>407</v>
      </c>
      <c r="AM28" s="367"/>
      <c r="AN28" s="367"/>
      <c r="AO28" s="86"/>
      <c r="AP28" s="51">
        <f t="shared" si="3"/>
        <v>0</v>
      </c>
      <c r="AQ28" s="477">
        <f>B!AQ28+B!AP28</f>
        <v>0</v>
      </c>
      <c r="AR28" s="476">
        <f t="shared" si="4"/>
        <v>0</v>
      </c>
      <c r="AS28" s="477">
        <f>AD28+B!AS28</f>
        <v>0</v>
      </c>
      <c r="AT28" s="477">
        <f>AA28+B!AT28</f>
        <v>0</v>
      </c>
      <c r="AU28" s="476"/>
      <c r="AV28" s="477">
        <f>B!AV28-B!AD28+'C'!Z28-B!AP28</f>
        <v>0</v>
      </c>
      <c r="AW28" s="476">
        <f t="shared" si="7"/>
        <v>0</v>
      </c>
      <c r="AX28" s="52">
        <f>IF(Z28=B!Z28,B!AE28-AD28,B!AE28+(Z28-B!Z28)*$AW$16-AD28)</f>
        <v>0</v>
      </c>
      <c r="AZ28" s="726">
        <f t="shared" si="5"/>
        <v>0</v>
      </c>
    </row>
    <row r="29" spans="1:63" ht="15" customHeight="1">
      <c r="A29" s="367"/>
      <c r="B29" s="850">
        <f ca="1">IF(B!B29&lt;&gt;"",B!B29,)</f>
        <v>0</v>
      </c>
      <c r="C29" s="454">
        <f ca="1">B!C29</f>
        <v>0</v>
      </c>
      <c r="D29" s="74"/>
      <c r="E29" s="521"/>
      <c r="F29" s="858"/>
      <c r="G29" s="367"/>
      <c r="H29" s="543"/>
      <c r="I29" s="854"/>
      <c r="J29" s="6"/>
      <c r="K29" s="541"/>
      <c r="L29" s="860"/>
      <c r="M29" s="20" t="str">
        <f>IF(J29="","",$M$5-SUM($J$7:J29))</f>
        <v/>
      </c>
      <c r="N29" s="367"/>
      <c r="O29" s="7"/>
      <c r="P29" s="873">
        <f>IF(B!Q29&lt;&gt;B!R29,IF(B!Q29&lt;&gt;0,IF(B!S29&lt;&gt;B!T29,B!P29,),),)</f>
        <v>0</v>
      </c>
      <c r="Q29" s="795">
        <f>IF(B!Q29&lt;&gt;B!R29,IF(B!Q29&lt;&gt;0,IF(B!S29&lt;&gt;B!T29,B!Q29,),),)</f>
        <v>0</v>
      </c>
      <c r="R29" s="628">
        <f>IF(B!Q29&lt;&gt;B!R29,IF(B!Q29&lt;&gt;0,IF(B!S29&lt;&gt;B!T29,0,Q29),Q29),Q29)</f>
        <v>0</v>
      </c>
      <c r="S29" s="796">
        <f>IF(B!Q29&lt;&gt;B!R29,IF(B!Q29&lt;&gt;0,IF(B!S29&lt;&gt;B!T29,B!S29+1,),),)</f>
        <v>0</v>
      </c>
      <c r="T29" s="796">
        <f>IF(B!Q29&lt;&gt;B!R29,IF(B!Q29&lt;&gt;0,IF(B!S29&lt;&gt;B!T29,B!T29,),),)</f>
        <v>0</v>
      </c>
      <c r="U29" s="797">
        <f>IF(B!Q29&lt;&gt;B!R29,IF(B!Q29&lt;&gt;0,IF(B!S29&lt;&gt;B!T29,B!U29,),),)</f>
        <v>0</v>
      </c>
      <c r="V29" s="875">
        <f>IF(B!Q29&lt;&gt;B!R29,IF(B!Q29&lt;&gt;0,IF(B!S29&lt;&gt;B!T29,B!V29,),),)</f>
        <v>0</v>
      </c>
      <c r="W29" s="622">
        <f>IF(Q29="","",$W$5-SUM($Q$7:Q29))</f>
        <v>0</v>
      </c>
      <c r="X29" s="395"/>
      <c r="Y29" s="906" t="str">
        <f>IF(B!Y29&lt;&gt;"",B!Y29,)</f>
        <v>Extracurricular Activities/Camps/Pool</v>
      </c>
      <c r="Z29" s="457">
        <f>B!Z29</f>
        <v>0</v>
      </c>
      <c r="AA29" s="20">
        <f t="shared" si="0"/>
        <v>0</v>
      </c>
      <c r="AB29" s="723"/>
      <c r="AC29" s="723"/>
      <c r="AD29" s="36">
        <f t="shared" si="1"/>
        <v>0</v>
      </c>
      <c r="AE29" s="23">
        <f t="shared" si="6"/>
        <v>0</v>
      </c>
      <c r="AF29" s="367"/>
      <c r="AG29" s="728">
        <f t="shared" si="2"/>
        <v>0</v>
      </c>
      <c r="AH29" s="367"/>
      <c r="AI29" s="375">
        <v>0</v>
      </c>
      <c r="AJ29" s="367"/>
      <c r="AK29" s="530" t="s">
        <v>32</v>
      </c>
      <c r="AL29" s="531" t="s">
        <v>33</v>
      </c>
      <c r="AM29" s="367"/>
      <c r="AN29" s="367"/>
      <c r="AO29" s="86"/>
      <c r="AP29" s="51">
        <f t="shared" si="3"/>
        <v>0</v>
      </c>
      <c r="AQ29" s="477">
        <f>B!AQ29+B!AP29</f>
        <v>0</v>
      </c>
      <c r="AR29" s="476">
        <f t="shared" si="4"/>
        <v>0</v>
      </c>
      <c r="AS29" s="477">
        <f>AD29+B!AS29</f>
        <v>0</v>
      </c>
      <c r="AT29" s="477">
        <f>AA29+B!AT29</f>
        <v>0</v>
      </c>
      <c r="AU29" s="476"/>
      <c r="AV29" s="477">
        <f>B!AV29-B!AD29+'C'!Z29-B!AP29</f>
        <v>0</v>
      </c>
      <c r="AW29" s="476">
        <f t="shared" si="7"/>
        <v>0</v>
      </c>
      <c r="AX29" s="52">
        <f>IF(Z29=B!Z29,B!AE29-AD29,B!AE29+(Z29-B!Z29)*$AW$16-AD29)</f>
        <v>0</v>
      </c>
      <c r="AZ29" s="726">
        <f t="shared" si="5"/>
        <v>0</v>
      </c>
    </row>
    <row r="30" spans="1:63" ht="15" customHeight="1">
      <c r="A30" s="367"/>
      <c r="B30" s="850">
        <f ca="1">IF(B!B30&lt;&gt;"",B!B30,)</f>
        <v>0</v>
      </c>
      <c r="C30" s="454">
        <f ca="1">B!C30</f>
        <v>0</v>
      </c>
      <c r="D30" s="74"/>
      <c r="E30" s="521"/>
      <c r="F30" s="858"/>
      <c r="G30" s="367"/>
      <c r="H30" s="543"/>
      <c r="I30" s="853"/>
      <c r="J30" s="6"/>
      <c r="K30" s="541"/>
      <c r="L30" s="860"/>
      <c r="M30" s="20" t="str">
        <f>IF(J30="","",$M$5-SUM($J$7:J30))</f>
        <v/>
      </c>
      <c r="N30" s="367"/>
      <c r="O30" s="7"/>
      <c r="P30" s="873">
        <f>IF(B!Q30&lt;&gt;B!R30,IF(B!Q30&lt;&gt;0,IF(B!S30&lt;&gt;B!T30,B!P30,),),)</f>
        <v>0</v>
      </c>
      <c r="Q30" s="795">
        <f>IF(B!Q30&lt;&gt;B!R30,IF(B!Q30&lt;&gt;0,IF(B!S30&lt;&gt;B!T30,B!Q30,),),)</f>
        <v>0</v>
      </c>
      <c r="R30" s="628">
        <f>IF(B!Q30&lt;&gt;B!R30,IF(B!Q30&lt;&gt;0,IF(B!S30&lt;&gt;B!T30,0,Q30),Q30),Q30)</f>
        <v>0</v>
      </c>
      <c r="S30" s="796">
        <f>IF(B!Q30&lt;&gt;B!R30,IF(B!Q30&lt;&gt;0,IF(B!S30&lt;&gt;B!T30,B!S30+1,),),)</f>
        <v>0</v>
      </c>
      <c r="T30" s="796">
        <f>IF(B!Q30&lt;&gt;B!R30,IF(B!Q30&lt;&gt;0,IF(B!S30&lt;&gt;B!T30,B!T30,),),)</f>
        <v>0</v>
      </c>
      <c r="U30" s="797">
        <f>IF(B!Q30&lt;&gt;B!R30,IF(B!Q30&lt;&gt;0,IF(B!S30&lt;&gt;B!T30,B!U30,),),)</f>
        <v>0</v>
      </c>
      <c r="V30" s="875">
        <f>IF(B!Q30&lt;&gt;B!R30,IF(B!Q30&lt;&gt;0,IF(B!S30&lt;&gt;B!T30,B!V30,),),)</f>
        <v>0</v>
      </c>
      <c r="W30" s="622">
        <f>IF(Q30="","",$W$5-SUM($Q$7:Q30))</f>
        <v>0</v>
      </c>
      <c r="X30" s="395"/>
      <c r="Y30" s="906" t="str">
        <f>IF(B!Y30&lt;&gt;"",B!Y30,)</f>
        <v xml:space="preserve">  Car Insurance and Licensing</v>
      </c>
      <c r="Z30" s="457">
        <f>B!Z30</f>
        <v>0</v>
      </c>
      <c r="AA30" s="20">
        <f t="shared" si="0"/>
        <v>0</v>
      </c>
      <c r="AB30" s="723"/>
      <c r="AC30" s="723"/>
      <c r="AD30" s="36">
        <f t="shared" si="1"/>
        <v>0</v>
      </c>
      <c r="AE30" s="23">
        <f t="shared" si="6"/>
        <v>0</v>
      </c>
      <c r="AF30" s="367"/>
      <c r="AG30" s="728">
        <f t="shared" si="2"/>
        <v>0</v>
      </c>
      <c r="AH30" s="367"/>
      <c r="AI30" s="375">
        <v>0</v>
      </c>
      <c r="AJ30" s="367"/>
      <c r="AK30" s="530" t="s">
        <v>34</v>
      </c>
      <c r="AL30" s="532" t="s">
        <v>33</v>
      </c>
      <c r="AM30" s="367"/>
      <c r="AN30" s="367"/>
      <c r="AO30" s="86"/>
      <c r="AP30" s="51">
        <f t="shared" si="3"/>
        <v>0</v>
      </c>
      <c r="AQ30" s="477">
        <f>B!AQ30+B!AP30</f>
        <v>0</v>
      </c>
      <c r="AR30" s="476">
        <f t="shared" si="4"/>
        <v>0</v>
      </c>
      <c r="AS30" s="477">
        <f>AD30+B!AS30</f>
        <v>0</v>
      </c>
      <c r="AT30" s="477">
        <f>AA30+B!AT30</f>
        <v>0</v>
      </c>
      <c r="AU30" s="476"/>
      <c r="AV30" s="477">
        <f>B!AV30-B!AD30+'C'!Z30-B!AP30</f>
        <v>0</v>
      </c>
      <c r="AW30" s="476">
        <f t="shared" si="7"/>
        <v>0</v>
      </c>
      <c r="AX30" s="52">
        <f>IF(Z30=B!Z30,B!AE30-AD30,B!AE30+(Z30-B!Z30)*$AW$16-AD30)</f>
        <v>0</v>
      </c>
      <c r="AZ30" s="726">
        <f t="shared" si="5"/>
        <v>0</v>
      </c>
    </row>
    <row r="31" spans="1:63" ht="15" customHeight="1">
      <c r="A31" s="367"/>
      <c r="B31" s="850">
        <f ca="1">IF(B!B31&lt;&gt;"",B!B31,)</f>
        <v>0</v>
      </c>
      <c r="C31" s="454">
        <f ca="1">B!C31</f>
        <v>0</v>
      </c>
      <c r="D31" s="74"/>
      <c r="E31" s="521"/>
      <c r="F31" s="858"/>
      <c r="G31" s="367"/>
      <c r="H31" s="543"/>
      <c r="I31" s="853"/>
      <c r="J31" s="6"/>
      <c r="K31" s="541"/>
      <c r="L31" s="860"/>
      <c r="M31" s="20" t="str">
        <f>IF(J31="","",$M$5-SUM($J$7:J31))</f>
        <v/>
      </c>
      <c r="N31" s="367"/>
      <c r="O31" s="7"/>
      <c r="P31" s="871">
        <f>IF(B!Q31&lt;&gt;B!R31,IF(B!Q31&lt;&gt;0,IF(B!S31&lt;&gt;B!T31,B!P31,),),)</f>
        <v>0</v>
      </c>
      <c r="Q31" s="795">
        <f>IF(B!Q31&lt;&gt;B!R31,IF(B!Q31&lt;&gt;0,IF(B!S31&lt;&gt;B!T31,B!Q31,),),)</f>
        <v>0</v>
      </c>
      <c r="R31" s="628">
        <f>IF(B!Q31&lt;&gt;B!R31,IF(B!Q31&lt;&gt;0,IF(B!S31&lt;&gt;B!T31,0,Q31),Q31),Q31)</f>
        <v>0</v>
      </c>
      <c r="S31" s="796">
        <f>IF(B!Q31&lt;&gt;B!R31,IF(B!Q31&lt;&gt;0,IF(B!S31&lt;&gt;B!T31,B!S31+1,),),)</f>
        <v>0</v>
      </c>
      <c r="T31" s="796">
        <f>IF(B!Q31&lt;&gt;B!R31,IF(B!Q31&lt;&gt;0,IF(B!S31&lt;&gt;B!T31,B!T31,),),)</f>
        <v>0</v>
      </c>
      <c r="U31" s="797">
        <f>IF(B!Q31&lt;&gt;B!R31,IF(B!Q31&lt;&gt;0,IF(B!S31&lt;&gt;B!T31,B!U31,),),)</f>
        <v>0</v>
      </c>
      <c r="V31" s="875">
        <f>IF(B!Q31&lt;&gt;B!R31,IF(B!Q31&lt;&gt;0,IF(B!S31&lt;&gt;B!T31,B!V31,),),)</f>
        <v>0</v>
      </c>
      <c r="W31" s="622">
        <f>IF(Q31="","",$W$5-SUM($Q$7:Q31))</f>
        <v>0</v>
      </c>
      <c r="X31" s="395"/>
      <c r="Y31" s="906" t="str">
        <f>IF(B!Y31&lt;&gt;"",B!Y31,)</f>
        <v>Car Maintenance</v>
      </c>
      <c r="Z31" s="457">
        <f>B!Z31</f>
        <v>0</v>
      </c>
      <c r="AA31" s="20">
        <f t="shared" si="0"/>
        <v>0</v>
      </c>
      <c r="AB31" s="723"/>
      <c r="AC31" s="723"/>
      <c r="AD31" s="36">
        <f t="shared" si="1"/>
        <v>0</v>
      </c>
      <c r="AE31" s="23">
        <f t="shared" si="6"/>
        <v>0</v>
      </c>
      <c r="AF31" s="367"/>
      <c r="AG31" s="728">
        <f t="shared" si="2"/>
        <v>0</v>
      </c>
      <c r="AH31" s="367"/>
      <c r="AI31" s="375">
        <v>0</v>
      </c>
      <c r="AJ31" s="367"/>
      <c r="AK31" s="530" t="s">
        <v>35</v>
      </c>
      <c r="AL31" s="533" t="s">
        <v>33</v>
      </c>
      <c r="AM31" s="367"/>
      <c r="AN31" s="367"/>
      <c r="AO31" s="86"/>
      <c r="AP31" s="51">
        <f t="shared" si="3"/>
        <v>0</v>
      </c>
      <c r="AQ31" s="477">
        <f>B!AQ31+B!AP31</f>
        <v>0</v>
      </c>
      <c r="AR31" s="476">
        <f t="shared" si="4"/>
        <v>0</v>
      </c>
      <c r="AS31" s="477">
        <f>AD31+B!AS31</f>
        <v>0</v>
      </c>
      <c r="AT31" s="477">
        <f>AA31+B!AT31</f>
        <v>0</v>
      </c>
      <c r="AU31" s="476"/>
      <c r="AV31" s="477">
        <f>B!AV31-B!AD31+'C'!Z31-B!AP31</f>
        <v>0</v>
      </c>
      <c r="AW31" s="476">
        <f t="shared" si="7"/>
        <v>0</v>
      </c>
      <c r="AX31" s="52">
        <f>IF(Z31=B!Z31,B!AE31-AD31,B!AE31+(Z31-B!Z31)*$AW$16-AD31)</f>
        <v>0</v>
      </c>
      <c r="AZ31" s="726">
        <f t="shared" si="5"/>
        <v>0</v>
      </c>
    </row>
    <row r="32" spans="1:63" ht="15" customHeight="1">
      <c r="A32" s="367"/>
      <c r="B32" s="850">
        <f ca="1">IF(B!B32&lt;&gt;"",B!B32,)</f>
        <v>0</v>
      </c>
      <c r="C32" s="454">
        <f ca="1">B!C32</f>
        <v>0</v>
      </c>
      <c r="D32" s="74"/>
      <c r="E32" s="521"/>
      <c r="F32" s="858"/>
      <c r="G32" s="367"/>
      <c r="H32" s="543"/>
      <c r="I32" s="853"/>
      <c r="J32" s="6"/>
      <c r="K32" s="541"/>
      <c r="L32" s="860"/>
      <c r="M32" s="20" t="str">
        <f>IF(J32="","",$M$5-SUM($J$7:J32))</f>
        <v/>
      </c>
      <c r="N32" s="367"/>
      <c r="O32" s="7"/>
      <c r="P32" s="873">
        <f>IF(B!Q32&lt;&gt;B!R32,IF(B!Q32&lt;&gt;0,IF(B!S32&lt;&gt;B!T32,B!P32,),),)</f>
        <v>0</v>
      </c>
      <c r="Q32" s="795">
        <f>IF(B!Q32&lt;&gt;B!R32,IF(B!Q32&lt;&gt;0,IF(B!S32&lt;&gt;B!T32,B!Q32,),),)</f>
        <v>0</v>
      </c>
      <c r="R32" s="628">
        <f>IF(B!Q32&lt;&gt;B!R32,IF(B!Q32&lt;&gt;0,IF(B!S32&lt;&gt;B!T32,0,Q32),Q32),Q32)</f>
        <v>0</v>
      </c>
      <c r="S32" s="796">
        <f>IF(B!Q32&lt;&gt;B!R32,IF(B!Q32&lt;&gt;0,IF(B!S32&lt;&gt;B!T32,B!S32+1,),),)</f>
        <v>0</v>
      </c>
      <c r="T32" s="796">
        <f>IF(B!Q32&lt;&gt;B!R32,IF(B!Q32&lt;&gt;0,IF(B!S32&lt;&gt;B!T32,B!T32,),),)</f>
        <v>0</v>
      </c>
      <c r="U32" s="797">
        <f>IF(B!Q32&lt;&gt;B!R32,IF(B!Q32&lt;&gt;0,IF(B!S32&lt;&gt;B!T32,B!U32,),),)</f>
        <v>0</v>
      </c>
      <c r="V32" s="875">
        <f>IF(B!Q32&lt;&gt;B!R32,IF(B!Q32&lt;&gt;0,IF(B!S32&lt;&gt;B!T32,B!V32,),),)</f>
        <v>0</v>
      </c>
      <c r="W32" s="622">
        <f>IF(Q32="","",$W$5-SUM($Q$7:Q32))</f>
        <v>0</v>
      </c>
      <c r="X32" s="389"/>
      <c r="Y32" s="906" t="str">
        <f>IF(B!Y32&lt;&gt;"",B!Y32,)</f>
        <v>Clothing and Shoes</v>
      </c>
      <c r="Z32" s="457">
        <f>B!Z32</f>
        <v>0</v>
      </c>
      <c r="AA32" s="20">
        <f t="shared" si="0"/>
        <v>0</v>
      </c>
      <c r="AB32" s="723"/>
      <c r="AC32" s="723"/>
      <c r="AD32" s="36">
        <f t="shared" si="1"/>
        <v>0</v>
      </c>
      <c r="AE32" s="23">
        <f t="shared" si="6"/>
        <v>0</v>
      </c>
      <c r="AF32" s="367"/>
      <c r="AG32" s="728">
        <f t="shared" si="2"/>
        <v>0</v>
      </c>
      <c r="AH32" s="367"/>
      <c r="AI32" s="375">
        <v>0</v>
      </c>
      <c r="AJ32" s="367"/>
      <c r="AK32" s="530" t="s">
        <v>36</v>
      </c>
      <c r="AL32" s="534" t="s">
        <v>33</v>
      </c>
      <c r="AM32" s="367"/>
      <c r="AN32" s="367"/>
      <c r="AO32" s="86"/>
      <c r="AP32" s="51">
        <f t="shared" si="3"/>
        <v>0</v>
      </c>
      <c r="AQ32" s="477">
        <f>B!AQ32+B!AP32</f>
        <v>0</v>
      </c>
      <c r="AR32" s="476">
        <f t="shared" si="4"/>
        <v>0</v>
      </c>
      <c r="AS32" s="477">
        <f>AD32+B!AS32</f>
        <v>0</v>
      </c>
      <c r="AT32" s="477">
        <f>AA32+B!AT32</f>
        <v>0</v>
      </c>
      <c r="AU32" s="476"/>
      <c r="AV32" s="477">
        <f>B!AV32-B!AD32+'C'!Z32-B!AP32</f>
        <v>0</v>
      </c>
      <c r="AW32" s="476">
        <f t="shared" si="7"/>
        <v>0</v>
      </c>
      <c r="AX32" s="52">
        <f>IF(Z32=B!Z32,B!AE32-AD32,B!AE32+(Z32-B!Z32)*$AW$16-AD32)</f>
        <v>0</v>
      </c>
      <c r="AZ32" s="726">
        <f t="shared" si="5"/>
        <v>0</v>
      </c>
    </row>
    <row r="33" spans="1:52" ht="15" customHeight="1">
      <c r="A33" s="367"/>
      <c r="B33" s="850">
        <f ca="1">IF(B!B33&lt;&gt;"",B!B33,)</f>
        <v>0</v>
      </c>
      <c r="C33" s="454">
        <f ca="1">B!C33</f>
        <v>0</v>
      </c>
      <c r="D33" s="74"/>
      <c r="E33" s="521"/>
      <c r="F33" s="858"/>
      <c r="G33" s="367"/>
      <c r="H33" s="543"/>
      <c r="I33" s="853"/>
      <c r="J33" s="6"/>
      <c r="K33" s="541"/>
      <c r="L33" s="860"/>
      <c r="M33" s="20" t="str">
        <f>IF(J33="","",$M$5-SUM($J$7:J33))</f>
        <v/>
      </c>
      <c r="N33" s="367"/>
      <c r="O33" s="7"/>
      <c r="P33" s="871">
        <f>IF(B!Q33&lt;&gt;B!R33,IF(B!Q33&lt;&gt;0,IF(B!S33&lt;&gt;B!T33,B!P33,),),)</f>
        <v>0</v>
      </c>
      <c r="Q33" s="795">
        <f>IF(B!Q33&lt;&gt;B!R33,IF(B!Q33&lt;&gt;0,IF(B!S33&lt;&gt;B!T33,B!Q33,),),)</f>
        <v>0</v>
      </c>
      <c r="R33" s="628">
        <f>IF(B!Q33&lt;&gt;B!R33,IF(B!Q33&lt;&gt;0,IF(B!S33&lt;&gt;B!T33,0,Q33),Q33),Q33)</f>
        <v>0</v>
      </c>
      <c r="S33" s="796">
        <f>IF(B!Q33&lt;&gt;B!R33,IF(B!Q33&lt;&gt;0,IF(B!S33&lt;&gt;B!T33,B!S33+1,),),)</f>
        <v>0</v>
      </c>
      <c r="T33" s="796">
        <f>IF(B!Q33&lt;&gt;B!R33,IF(B!Q33&lt;&gt;0,IF(B!S33&lt;&gt;B!T33,B!T33,),),)</f>
        <v>0</v>
      </c>
      <c r="U33" s="797">
        <f>IF(B!Q33&lt;&gt;B!R33,IF(B!Q33&lt;&gt;0,IF(B!S33&lt;&gt;B!T33,B!U33,),),)</f>
        <v>0</v>
      </c>
      <c r="V33" s="875">
        <f>IF(B!Q33&lt;&gt;B!R33,IF(B!Q33&lt;&gt;0,IF(B!S33&lt;&gt;B!T33,B!V33,),),)</f>
        <v>0</v>
      </c>
      <c r="W33" s="622">
        <f>IF(Q33="","",$W$5-SUM($Q$7:Q33))</f>
        <v>0</v>
      </c>
      <c r="X33" s="10"/>
      <c r="Y33" s="906" t="str">
        <f>IF(B!Y33&lt;&gt;"",B!Y33,)</f>
        <v>Medicine/Treatment</v>
      </c>
      <c r="Z33" s="457">
        <f>B!Z33</f>
        <v>0</v>
      </c>
      <c r="AA33" s="20">
        <f t="shared" si="0"/>
        <v>0</v>
      </c>
      <c r="AB33" s="723"/>
      <c r="AC33" s="723"/>
      <c r="AD33" s="36">
        <f t="shared" si="1"/>
        <v>0</v>
      </c>
      <c r="AE33" s="23">
        <f t="shared" si="6"/>
        <v>0</v>
      </c>
      <c r="AF33" s="367"/>
      <c r="AG33" s="728">
        <f t="shared" si="2"/>
        <v>0</v>
      </c>
      <c r="AH33" s="367"/>
      <c r="AI33" s="375">
        <v>0</v>
      </c>
      <c r="AJ33" s="367"/>
      <c r="AK33" s="530" t="s">
        <v>37</v>
      </c>
      <c r="AL33" s="535" t="s">
        <v>33</v>
      </c>
      <c r="AM33" s="367"/>
      <c r="AN33" s="367"/>
      <c r="AO33" s="86"/>
      <c r="AP33" s="51">
        <f t="shared" si="3"/>
        <v>0</v>
      </c>
      <c r="AQ33" s="477">
        <f>B!AQ33+B!AP33</f>
        <v>0</v>
      </c>
      <c r="AR33" s="476">
        <f t="shared" si="4"/>
        <v>0</v>
      </c>
      <c r="AS33" s="477">
        <f>AD33+B!AS33</f>
        <v>0</v>
      </c>
      <c r="AT33" s="477">
        <f>AA33+B!AT33</f>
        <v>0</v>
      </c>
      <c r="AU33" s="476"/>
      <c r="AV33" s="477">
        <f>B!AV33-B!AD33+'C'!Z33-B!AP33</f>
        <v>0</v>
      </c>
      <c r="AW33" s="476">
        <f t="shared" si="7"/>
        <v>0</v>
      </c>
      <c r="AX33" s="52">
        <f>IF(Z33=B!Z33,B!AE33-AD33,B!AE33+(Z33-B!Z33)*$AW$16-AD33)</f>
        <v>0</v>
      </c>
      <c r="AZ33" s="726">
        <f t="shared" si="5"/>
        <v>0</v>
      </c>
    </row>
    <row r="34" spans="1:52" ht="15" customHeight="1">
      <c r="A34" s="367"/>
      <c r="B34" s="850">
        <f ca="1">IF(B!B34&lt;&gt;"",B!B34,)</f>
        <v>0</v>
      </c>
      <c r="C34" s="454">
        <f ca="1">B!C34</f>
        <v>0</v>
      </c>
      <c r="D34" s="74"/>
      <c r="E34" s="521"/>
      <c r="F34" s="858"/>
      <c r="G34" s="367"/>
      <c r="H34" s="543"/>
      <c r="I34" s="853"/>
      <c r="J34" s="6"/>
      <c r="K34" s="541"/>
      <c r="L34" s="860"/>
      <c r="M34" s="20" t="str">
        <f>IF(J34="","",$M$5-SUM($J$7:J34))</f>
        <v/>
      </c>
      <c r="N34" s="367"/>
      <c r="O34" s="7"/>
      <c r="P34" s="873">
        <f>IF(B!Q34&lt;&gt;B!R34,IF(B!Q34&lt;&gt;0,IF(B!S34&lt;&gt;B!T34,B!P34,),),)</f>
        <v>0</v>
      </c>
      <c r="Q34" s="795">
        <f>IF(B!Q34&lt;&gt;B!R34,IF(B!Q34&lt;&gt;0,IF(B!S34&lt;&gt;B!T34,B!Q34,),),)</f>
        <v>0</v>
      </c>
      <c r="R34" s="628">
        <f>IF(B!Q34&lt;&gt;B!R34,IF(B!Q34&lt;&gt;0,IF(B!S34&lt;&gt;B!T34,0,Q34),Q34),Q34)</f>
        <v>0</v>
      </c>
      <c r="S34" s="796">
        <f>IF(B!Q34&lt;&gt;B!R34,IF(B!Q34&lt;&gt;0,IF(B!S34&lt;&gt;B!T34,B!S34+1,),),)</f>
        <v>0</v>
      </c>
      <c r="T34" s="796">
        <f>IF(B!Q34&lt;&gt;B!R34,IF(B!Q34&lt;&gt;0,IF(B!S34&lt;&gt;B!T34,B!T34,),),)</f>
        <v>0</v>
      </c>
      <c r="U34" s="797">
        <f>IF(B!Q34&lt;&gt;B!R34,IF(B!Q34&lt;&gt;0,IF(B!S34&lt;&gt;B!T34,B!U34,),),)</f>
        <v>0</v>
      </c>
      <c r="V34" s="875">
        <f>IF(B!Q34&lt;&gt;B!R34,IF(B!Q34&lt;&gt;0,IF(B!S34&lt;&gt;B!T34,B!V34,),),)</f>
        <v>0</v>
      </c>
      <c r="W34" s="622">
        <f>IF(Q34="","",$W$5-SUM($Q$7:Q34))</f>
        <v>0</v>
      </c>
      <c r="X34" s="10"/>
      <c r="Y34" s="905" t="str">
        <f>IF(B!Y34&lt;&gt;"",B!Y34,)</f>
        <v>Bank Interest and Fees</v>
      </c>
      <c r="Z34" s="457">
        <f>B!Z34</f>
        <v>0</v>
      </c>
      <c r="AA34" s="20">
        <f t="shared" si="0"/>
        <v>0</v>
      </c>
      <c r="AB34" s="723"/>
      <c r="AC34" s="723"/>
      <c r="AD34" s="36">
        <f t="shared" si="1"/>
        <v>0</v>
      </c>
      <c r="AE34" s="23">
        <f t="shared" si="6"/>
        <v>0</v>
      </c>
      <c r="AF34" s="367"/>
      <c r="AG34" s="728">
        <f t="shared" si="2"/>
        <v>0</v>
      </c>
      <c r="AH34" s="367"/>
      <c r="AI34" s="375">
        <v>0</v>
      </c>
      <c r="AJ34" s="367"/>
      <c r="AK34" s="530" t="s">
        <v>38</v>
      </c>
      <c r="AL34" s="536" t="s">
        <v>33</v>
      </c>
      <c r="AM34" s="367"/>
      <c r="AN34" s="367"/>
      <c r="AO34" s="86"/>
      <c r="AP34" s="51">
        <f t="shared" si="3"/>
        <v>0</v>
      </c>
      <c r="AQ34" s="477">
        <f>B!AQ34+B!AP34</f>
        <v>0</v>
      </c>
      <c r="AR34" s="476">
        <f t="shared" si="4"/>
        <v>0</v>
      </c>
      <c r="AS34" s="477">
        <f>AD34+B!AS34</f>
        <v>0</v>
      </c>
      <c r="AT34" s="477">
        <f>AA34+B!AT34</f>
        <v>0</v>
      </c>
      <c r="AU34" s="476"/>
      <c r="AV34" s="477">
        <f>B!AV34-B!AD34+'C'!Z34-B!AP34</f>
        <v>0</v>
      </c>
      <c r="AW34" s="476">
        <f t="shared" si="7"/>
        <v>0</v>
      </c>
      <c r="AX34" s="52">
        <f>IF(Z34=B!Z34,B!AE34-AD34,B!AE34+(Z34-B!Z34)*$AW$16-AD34)</f>
        <v>0</v>
      </c>
      <c r="AZ34" s="726">
        <f t="shared" si="5"/>
        <v>0</v>
      </c>
    </row>
    <row r="35" spans="1:52" ht="15" customHeight="1">
      <c r="A35" s="367"/>
      <c r="B35" s="850">
        <f ca="1">IF(B!B35&lt;&gt;"",B!B35,)</f>
        <v>0</v>
      </c>
      <c r="C35" s="454">
        <f ca="1">B!C35</f>
        <v>0</v>
      </c>
      <c r="D35" s="74"/>
      <c r="E35" s="521"/>
      <c r="F35" s="858"/>
      <c r="G35" s="367"/>
      <c r="H35" s="543"/>
      <c r="I35" s="853"/>
      <c r="J35" s="6"/>
      <c r="K35" s="541"/>
      <c r="L35" s="860"/>
      <c r="M35" s="20" t="str">
        <f>IF(J35="","",$M$5-SUM($J$7:J35))</f>
        <v/>
      </c>
      <c r="N35" s="367"/>
      <c r="O35" s="7"/>
      <c r="P35" s="871">
        <f>IF(B!Q35&lt;&gt;B!R35,IF(B!Q35&lt;&gt;0,IF(B!S35&lt;&gt;B!T35,B!P35,),),)</f>
        <v>0</v>
      </c>
      <c r="Q35" s="799">
        <f>IF(B!Q35&lt;&gt;B!R35,IF(B!Q35&lt;&gt;0,IF(B!S35&lt;&gt;B!T35,B!Q35,),),)</f>
        <v>0</v>
      </c>
      <c r="R35" s="628">
        <f>IF(B!Q35&lt;&gt;B!R35,IF(B!Q35&lt;&gt;0,IF(B!S35&lt;&gt;B!T35,0,Q35),Q35),Q35)</f>
        <v>0</v>
      </c>
      <c r="S35" s="796">
        <f>IF(B!Q35&lt;&gt;B!R35,IF(B!Q35&lt;&gt;0,IF(B!S35&lt;&gt;B!T35,B!S35+1,),),)</f>
        <v>0</v>
      </c>
      <c r="T35" s="796">
        <f>IF(B!Q35&lt;&gt;B!R35,IF(B!Q35&lt;&gt;0,IF(B!S35&lt;&gt;B!T35,B!T35,),),)</f>
        <v>0</v>
      </c>
      <c r="U35" s="797">
        <f>IF(B!Q35&lt;&gt;B!R35,IF(B!Q35&lt;&gt;0,IF(B!S35&lt;&gt;B!T35,B!U35,),),)</f>
        <v>0</v>
      </c>
      <c r="V35" s="875">
        <f>IF(B!Q35&lt;&gt;B!R35,IF(B!Q35&lt;&gt;0,IF(B!S35&lt;&gt;B!T35,B!V35,),),)</f>
        <v>0</v>
      </c>
      <c r="W35" s="626">
        <f>IF(Q35="","",$W$5-SUM($Q$7:Q35))</f>
        <v>0</v>
      </c>
      <c r="X35" s="395"/>
      <c r="Y35" s="905" t="str">
        <f>IF(B!Y35&lt;&gt;"",B!Y35,)</f>
        <v>Dental treatments</v>
      </c>
      <c r="Z35" s="457">
        <f>B!Z35</f>
        <v>0</v>
      </c>
      <c r="AA35" s="20">
        <f t="shared" si="0"/>
        <v>0</v>
      </c>
      <c r="AB35" s="723"/>
      <c r="AC35" s="723"/>
      <c r="AD35" s="36">
        <f t="shared" si="1"/>
        <v>0</v>
      </c>
      <c r="AE35" s="23">
        <f t="shared" si="6"/>
        <v>0</v>
      </c>
      <c r="AF35" s="367"/>
      <c r="AG35" s="728">
        <f t="shared" si="2"/>
        <v>0</v>
      </c>
      <c r="AH35" s="367"/>
      <c r="AI35" s="375">
        <v>0</v>
      </c>
      <c r="AJ35" s="367"/>
      <c r="AK35" s="530" t="s">
        <v>39</v>
      </c>
      <c r="AL35" s="537" t="s">
        <v>33</v>
      </c>
      <c r="AM35" s="367"/>
      <c r="AN35" s="367"/>
      <c r="AO35" s="86"/>
      <c r="AP35" s="51">
        <f t="shared" si="3"/>
        <v>0</v>
      </c>
      <c r="AQ35" s="477">
        <f>B!AQ35+B!AP35</f>
        <v>0</v>
      </c>
      <c r="AR35" s="476">
        <f t="shared" si="4"/>
        <v>0</v>
      </c>
      <c r="AS35" s="477">
        <f>AD35+B!AS35</f>
        <v>0</v>
      </c>
      <c r="AT35" s="477">
        <f>AA35+B!AT35</f>
        <v>0</v>
      </c>
      <c r="AU35" s="476"/>
      <c r="AV35" s="477">
        <f>B!AV35-B!AD35+'C'!Z35-B!AP35</f>
        <v>0</v>
      </c>
      <c r="AW35" s="476">
        <f t="shared" si="7"/>
        <v>0</v>
      </c>
      <c r="AX35" s="52">
        <f>IF(Z35=B!Z35,B!AE35-AD35,B!AE35+(Z35-B!Z35)*$AW$16-AD35)</f>
        <v>0</v>
      </c>
      <c r="AZ35" s="726">
        <f t="shared" si="5"/>
        <v>0</v>
      </c>
    </row>
    <row r="36" spans="1:52" ht="15" customHeight="1">
      <c r="A36" s="367"/>
      <c r="B36" s="850">
        <f ca="1">IF(B!B36&lt;&gt;"",B!B36,)</f>
        <v>0</v>
      </c>
      <c r="C36" s="454">
        <f ca="1">B!C36</f>
        <v>0</v>
      </c>
      <c r="D36" s="74"/>
      <c r="E36" s="521"/>
      <c r="F36" s="858"/>
      <c r="G36" s="367"/>
      <c r="H36" s="543"/>
      <c r="I36" s="853"/>
      <c r="J36" s="6"/>
      <c r="K36" s="541"/>
      <c r="L36" s="860"/>
      <c r="M36" s="20" t="str">
        <f>IF(J36="","",$M$5-SUM($J$7:J36))</f>
        <v/>
      </c>
      <c r="N36" s="367"/>
      <c r="O36" s="7"/>
      <c r="P36" s="873">
        <f>IF(B!Q36&lt;&gt;B!R36,IF(B!Q36&lt;&gt;0,IF(B!S36&lt;&gt;B!T36,B!P36,),),)</f>
        <v>0</v>
      </c>
      <c r="Q36" s="795">
        <f>IF(B!Q36&lt;&gt;B!R36,IF(B!Q36&lt;&gt;0,IF(B!S36&lt;&gt;B!T36,B!Q36,),),)</f>
        <v>0</v>
      </c>
      <c r="R36" s="628">
        <f>IF(B!Q36&lt;&gt;B!R36,IF(B!Q36&lt;&gt;0,IF(B!S36&lt;&gt;B!T36,0,Q36),Q36),Q36)</f>
        <v>0</v>
      </c>
      <c r="S36" s="796">
        <f>IF(B!Q36&lt;&gt;B!R36,IF(B!Q36&lt;&gt;0,IF(B!S36&lt;&gt;B!T36,B!S36+1,),),)</f>
        <v>0</v>
      </c>
      <c r="T36" s="796">
        <f>IF(B!Q36&lt;&gt;B!R36,IF(B!Q36&lt;&gt;0,IF(B!S36&lt;&gt;B!T36,B!T36,),),)</f>
        <v>0</v>
      </c>
      <c r="U36" s="797">
        <f>IF(B!Q36&lt;&gt;B!R36,IF(B!Q36&lt;&gt;0,IF(B!S36&lt;&gt;B!T36,B!U36,),),)</f>
        <v>0</v>
      </c>
      <c r="V36" s="875">
        <f>IF(B!Q36&lt;&gt;B!R36,IF(B!Q36&lt;&gt;0,IF(B!S36&lt;&gt;B!T36,B!V36,),),)</f>
        <v>0</v>
      </c>
      <c r="W36" s="622">
        <f>IF(Q36="","",$W$5-SUM($Q$7:Q36))</f>
        <v>0</v>
      </c>
      <c r="X36" s="395"/>
      <c r="Y36" s="905" t="str">
        <f>IF(B!Y36&lt;&gt;"",B!Y36,)</f>
        <v>Eyeglasses/Contact Lens</v>
      </c>
      <c r="Z36" s="457">
        <f>B!Z36</f>
        <v>0</v>
      </c>
      <c r="AA36" s="20">
        <f t="shared" si="0"/>
        <v>0</v>
      </c>
      <c r="AB36" s="723"/>
      <c r="AC36" s="723"/>
      <c r="AD36" s="36">
        <f t="shared" si="1"/>
        <v>0</v>
      </c>
      <c r="AE36" s="23">
        <f t="shared" si="6"/>
        <v>0</v>
      </c>
      <c r="AF36" s="367"/>
      <c r="AG36" s="728">
        <f t="shared" si="2"/>
        <v>0</v>
      </c>
      <c r="AH36" s="367"/>
      <c r="AI36" s="375">
        <v>0</v>
      </c>
      <c r="AJ36" s="367"/>
      <c r="AK36" s="530" t="s">
        <v>40</v>
      </c>
      <c r="AL36" s="538" t="s">
        <v>33</v>
      </c>
      <c r="AM36" s="367"/>
      <c r="AN36" s="367"/>
      <c r="AO36" s="86"/>
      <c r="AP36" s="51">
        <f t="shared" si="3"/>
        <v>0</v>
      </c>
      <c r="AQ36" s="477">
        <f>B!AQ36+B!AP36</f>
        <v>0</v>
      </c>
      <c r="AR36" s="476">
        <f t="shared" si="4"/>
        <v>0</v>
      </c>
      <c r="AS36" s="477">
        <f>AD36+B!AS36</f>
        <v>0</v>
      </c>
      <c r="AT36" s="477">
        <f>AA36+B!AT36</f>
        <v>0</v>
      </c>
      <c r="AU36" s="476"/>
      <c r="AV36" s="477">
        <f>B!AV36-B!AD36+'C'!Z36-B!AP36</f>
        <v>0</v>
      </c>
      <c r="AW36" s="476">
        <f t="shared" si="7"/>
        <v>0</v>
      </c>
      <c r="AX36" s="52">
        <f>IF(Z36=B!Z36,B!AE36-AD36,B!AE36+(Z36-B!Z36)*$AW$16-AD36)</f>
        <v>0</v>
      </c>
      <c r="AZ36" s="726">
        <f t="shared" si="5"/>
        <v>0</v>
      </c>
    </row>
    <row r="37" spans="1:52" ht="15" customHeight="1" thickBot="1">
      <c r="A37" s="367"/>
      <c r="B37" s="850">
        <f ca="1">IF(B!B37&lt;&gt;"",B!B37,)</f>
        <v>0</v>
      </c>
      <c r="C37" s="454">
        <f ca="1">B!C37</f>
        <v>0</v>
      </c>
      <c r="D37" s="74"/>
      <c r="E37" s="521"/>
      <c r="F37" s="858"/>
      <c r="G37" s="367"/>
      <c r="H37" s="543"/>
      <c r="I37" s="853"/>
      <c r="J37" s="6"/>
      <c r="K37" s="541"/>
      <c r="L37" s="860"/>
      <c r="M37" s="20" t="str">
        <f>IF(J37="","",$M$5-SUM($J$7:J37))</f>
        <v/>
      </c>
      <c r="N37" s="367"/>
      <c r="O37" s="7"/>
      <c r="P37" s="871">
        <f>IF(B!Q37&lt;&gt;B!R37,IF(B!Q37&lt;&gt;0,IF(B!S37&lt;&gt;B!T37,B!P37,),),)</f>
        <v>0</v>
      </c>
      <c r="Q37" s="795">
        <f>IF(B!Q37&lt;&gt;B!R37,IF(B!Q37&lt;&gt;0,IF(B!S37&lt;&gt;B!T37,B!Q37,),),)</f>
        <v>0</v>
      </c>
      <c r="R37" s="628">
        <f>IF(B!Q37&lt;&gt;B!R37,IF(B!Q37&lt;&gt;0,IF(B!S37&lt;&gt;B!T37,0,Q37),Q37),Q37)</f>
        <v>0</v>
      </c>
      <c r="S37" s="796">
        <f>IF(B!Q37&lt;&gt;B!R37,IF(B!Q37&lt;&gt;0,IF(B!S37&lt;&gt;B!T37,B!S37+1,),),)</f>
        <v>0</v>
      </c>
      <c r="T37" s="796">
        <f>IF(B!Q37&lt;&gt;B!R37,IF(B!Q37&lt;&gt;0,IF(B!S37&lt;&gt;B!T37,B!T37,),),)</f>
        <v>0</v>
      </c>
      <c r="U37" s="797">
        <f>IF(B!Q37&lt;&gt;B!R37,IF(B!Q37&lt;&gt;0,IF(B!S37&lt;&gt;B!T37,B!U37,),),)</f>
        <v>0</v>
      </c>
      <c r="V37" s="875">
        <f>IF(B!Q37&lt;&gt;B!R37,IF(B!Q37&lt;&gt;0,IF(B!S37&lt;&gt;B!T37,B!V37,),),)</f>
        <v>0</v>
      </c>
      <c r="W37" s="622">
        <f>IF(Q37="","",$W$5-SUM($Q$7:Q37))</f>
        <v>0</v>
      </c>
      <c r="X37" s="395"/>
      <c r="Y37" s="905" t="str">
        <f>IF(B!Y37&lt;&gt;"",B!Y37,)</f>
        <v>Vacations</v>
      </c>
      <c r="Z37" s="457">
        <f>B!Z37</f>
        <v>0</v>
      </c>
      <c r="AA37" s="20">
        <f t="shared" si="0"/>
        <v>0</v>
      </c>
      <c r="AB37" s="723"/>
      <c r="AC37" s="723"/>
      <c r="AD37" s="36">
        <f t="shared" si="1"/>
        <v>0</v>
      </c>
      <c r="AE37" s="23">
        <f t="shared" si="6"/>
        <v>0</v>
      </c>
      <c r="AF37" s="367"/>
      <c r="AG37" s="728">
        <f t="shared" si="2"/>
        <v>0</v>
      </c>
      <c r="AH37" s="367"/>
      <c r="AI37" s="375">
        <v>0</v>
      </c>
      <c r="AJ37" s="367"/>
      <c r="AK37" s="539" t="s">
        <v>41</v>
      </c>
      <c r="AL37" s="540" t="s">
        <v>33</v>
      </c>
      <c r="AM37" s="367"/>
      <c r="AN37" s="367"/>
      <c r="AO37" s="86"/>
      <c r="AP37" s="51">
        <f t="shared" si="3"/>
        <v>0</v>
      </c>
      <c r="AQ37" s="477">
        <f>B!AQ37+B!AP37</f>
        <v>0</v>
      </c>
      <c r="AR37" s="476">
        <f t="shared" si="4"/>
        <v>0</v>
      </c>
      <c r="AS37" s="477">
        <f>AD37+B!AS37</f>
        <v>0</v>
      </c>
      <c r="AT37" s="477">
        <f>AA37+B!AT37</f>
        <v>0</v>
      </c>
      <c r="AU37" s="476"/>
      <c r="AV37" s="477">
        <f>B!AV37-B!AD37+'C'!Z37-B!AP37</f>
        <v>0</v>
      </c>
      <c r="AW37" s="476">
        <f t="shared" si="7"/>
        <v>0</v>
      </c>
      <c r="AX37" s="52">
        <f>IF(Z37=B!Z37,B!AE37-AD37,B!AE37+(Z37-B!Z37)*$AW$16-AD37)</f>
        <v>0</v>
      </c>
      <c r="AZ37" s="726">
        <f t="shared" si="5"/>
        <v>0</v>
      </c>
    </row>
    <row r="38" spans="1:52" ht="15" customHeight="1">
      <c r="A38" s="367"/>
      <c r="B38" s="850">
        <f ca="1">IF(B!B38&lt;&gt;"",B!B38,)</f>
        <v>0</v>
      </c>
      <c r="C38" s="454">
        <f ca="1">B!C38</f>
        <v>0</v>
      </c>
      <c r="D38" s="74"/>
      <c r="E38" s="521"/>
      <c r="F38" s="858"/>
      <c r="G38" s="367"/>
      <c r="H38" s="543"/>
      <c r="I38" s="853"/>
      <c r="J38" s="6"/>
      <c r="K38" s="541"/>
      <c r="L38" s="860"/>
      <c r="M38" s="20" t="str">
        <f>IF(J38="","",$M$5-SUM($J$7:J38))</f>
        <v/>
      </c>
      <c r="N38" s="367"/>
      <c r="O38" s="7"/>
      <c r="P38" s="873">
        <f>IF(B!Q38&lt;&gt;B!R38,IF(B!Q38&lt;&gt;0,IF(B!S38&lt;&gt;B!T38,B!P38,),),)</f>
        <v>0</v>
      </c>
      <c r="Q38" s="795">
        <f>IF(B!Q38&lt;&gt;B!R38,IF(B!Q38&lt;&gt;0,IF(B!S38&lt;&gt;B!T38,B!Q38,),),)</f>
        <v>0</v>
      </c>
      <c r="R38" s="628">
        <f>IF(B!Q38&lt;&gt;B!R38,IF(B!Q38&lt;&gt;0,IF(B!S38&lt;&gt;B!T38,0,Q38),Q38),Q38)</f>
        <v>0</v>
      </c>
      <c r="S38" s="796">
        <f>IF(B!Q38&lt;&gt;B!R38,IF(B!Q38&lt;&gt;0,IF(B!S38&lt;&gt;B!T38,B!S38+1,),),)</f>
        <v>0</v>
      </c>
      <c r="T38" s="796">
        <f>IF(B!Q38&lt;&gt;B!R38,IF(B!Q38&lt;&gt;0,IF(B!S38&lt;&gt;B!T38,B!T38,),),)</f>
        <v>0</v>
      </c>
      <c r="U38" s="797">
        <f>IF(B!Q38&lt;&gt;B!R38,IF(B!Q38&lt;&gt;0,IF(B!S38&lt;&gt;B!T38,B!U38,),),)</f>
        <v>0</v>
      </c>
      <c r="V38" s="875">
        <f>IF(B!Q38&lt;&gt;B!R38,IF(B!Q38&lt;&gt;0,IF(B!S38&lt;&gt;B!T38,B!V38,),),)</f>
        <v>0</v>
      </c>
      <c r="W38" s="625">
        <f>IF(Q38="","",$W$5-SUM($Q$7:Q38))</f>
        <v>0</v>
      </c>
      <c r="X38" s="621"/>
      <c r="Y38" s="906" t="str">
        <f>IF(B!Y38&lt;&gt;"",B!Y38,)</f>
        <v>Religious expenses</v>
      </c>
      <c r="Z38" s="457">
        <f>B!Z38</f>
        <v>0</v>
      </c>
      <c r="AA38" s="20">
        <f t="shared" si="0"/>
        <v>0</v>
      </c>
      <c r="AB38" s="723"/>
      <c r="AC38" s="723"/>
      <c r="AD38" s="36">
        <f t="shared" si="1"/>
        <v>0</v>
      </c>
      <c r="AE38" s="23">
        <f t="shared" si="6"/>
        <v>0</v>
      </c>
      <c r="AF38" s="367"/>
      <c r="AG38" s="728">
        <f t="shared" si="2"/>
        <v>0</v>
      </c>
      <c r="AH38" s="367"/>
      <c r="AI38" s="375">
        <v>0</v>
      </c>
      <c r="AJ38" s="367"/>
      <c r="AK38" s="367"/>
      <c r="AL38" s="367"/>
      <c r="AM38" s="367"/>
      <c r="AN38" s="367"/>
      <c r="AO38" s="86"/>
      <c r="AP38" s="51">
        <f t="shared" si="3"/>
        <v>0</v>
      </c>
      <c r="AQ38" s="477">
        <f>B!AQ38+B!AP38</f>
        <v>0</v>
      </c>
      <c r="AR38" s="476">
        <f t="shared" si="4"/>
        <v>0</v>
      </c>
      <c r="AS38" s="477">
        <f>AD38+B!AS38</f>
        <v>0</v>
      </c>
      <c r="AT38" s="477">
        <f>AA38+B!AT38</f>
        <v>0</v>
      </c>
      <c r="AU38" s="476"/>
      <c r="AV38" s="477">
        <f>B!AV38-B!AD38+'C'!Z38-B!AP38</f>
        <v>0</v>
      </c>
      <c r="AW38" s="476">
        <f t="shared" si="7"/>
        <v>0</v>
      </c>
      <c r="AX38" s="52">
        <f>IF(Z38=B!Z38,B!AE38-AD38,B!AE38+(Z38-B!Z38)*$AW$16-AD38)</f>
        <v>0</v>
      </c>
      <c r="AZ38" s="726">
        <f t="shared" si="5"/>
        <v>0</v>
      </c>
    </row>
    <row r="39" spans="1:52" ht="15" customHeight="1">
      <c r="A39" s="367"/>
      <c r="B39" s="850">
        <f ca="1">IF(B!B39&lt;&gt;"",B!B39,)</f>
        <v>0</v>
      </c>
      <c r="C39" s="454">
        <f ca="1">B!C39</f>
        <v>0</v>
      </c>
      <c r="D39" s="74"/>
      <c r="E39" s="521"/>
      <c r="F39" s="858"/>
      <c r="G39" s="367"/>
      <c r="H39" s="543"/>
      <c r="I39" s="853"/>
      <c r="J39" s="6"/>
      <c r="K39" s="541"/>
      <c r="L39" s="860"/>
      <c r="M39" s="20" t="str">
        <f>IF(J39="","",$M$5-SUM($J$7:J39))</f>
        <v/>
      </c>
      <c r="N39" s="367"/>
      <c r="O39" s="7"/>
      <c r="P39" s="872">
        <f>IF(B!Q39&lt;&gt;B!R39,IF(B!Q39&lt;&gt;0,IF(B!S39&lt;&gt;B!T39,B!P39,),),)</f>
        <v>0</v>
      </c>
      <c r="Q39" s="795">
        <f>IF(B!Q39&lt;&gt;B!R39,IF(B!Q39&lt;&gt;0,IF(B!S39&lt;&gt;B!T39,B!Q39,),),)</f>
        <v>0</v>
      </c>
      <c r="R39" s="628">
        <f>IF(B!Q39&lt;&gt;B!R39,IF(B!Q39&lt;&gt;0,IF(B!S39&lt;&gt;B!T39,0,Q39),Q39),Q39)</f>
        <v>0</v>
      </c>
      <c r="S39" s="796">
        <f>IF(B!Q39&lt;&gt;B!R39,IF(B!Q39&lt;&gt;0,IF(B!S39&lt;&gt;B!T39,B!S39+1,),),)</f>
        <v>0</v>
      </c>
      <c r="T39" s="796">
        <f>IF(B!Q39&lt;&gt;B!R39,IF(B!Q39&lt;&gt;0,IF(B!S39&lt;&gt;B!T39,B!T39,),),)</f>
        <v>0</v>
      </c>
      <c r="U39" s="797">
        <f>IF(B!Q39&lt;&gt;B!R39,IF(B!Q39&lt;&gt;0,IF(B!S39&lt;&gt;B!T39,B!U39,),),)</f>
        <v>0</v>
      </c>
      <c r="V39" s="875">
        <f>IF(B!Q39&lt;&gt;B!R39,IF(B!Q39&lt;&gt;0,IF(B!S39&lt;&gt;B!T39,B!V39,),),)</f>
        <v>0</v>
      </c>
      <c r="W39" s="622">
        <f>IF(Q39="","",$W$5-SUM($Q$7:Q39))</f>
        <v>0</v>
      </c>
      <c r="X39" s="395"/>
      <c r="Y39" s="906" t="str">
        <f>IF(B!Y39&lt;&gt;"",B!Y39,)</f>
        <v>Gifts</v>
      </c>
      <c r="Z39" s="457">
        <f>B!Z39</f>
        <v>0</v>
      </c>
      <c r="AA39" s="20">
        <f t="shared" si="0"/>
        <v>0</v>
      </c>
      <c r="AB39" s="723"/>
      <c r="AC39" s="723"/>
      <c r="AD39" s="36">
        <f t="shared" si="1"/>
        <v>0</v>
      </c>
      <c r="AE39" s="23">
        <f t="shared" si="6"/>
        <v>0</v>
      </c>
      <c r="AF39" s="367"/>
      <c r="AG39" s="728">
        <f t="shared" si="2"/>
        <v>0</v>
      </c>
      <c r="AH39" s="367"/>
      <c r="AI39" s="375">
        <v>0</v>
      </c>
      <c r="AJ39" s="367"/>
      <c r="AK39" s="367"/>
      <c r="AL39" s="367"/>
      <c r="AM39" s="367"/>
      <c r="AN39" s="367"/>
      <c r="AO39" s="86"/>
      <c r="AP39" s="51">
        <f t="shared" si="3"/>
        <v>0</v>
      </c>
      <c r="AQ39" s="477">
        <f>B!AQ39+B!AP39</f>
        <v>0</v>
      </c>
      <c r="AR39" s="476">
        <f t="shared" si="4"/>
        <v>0</v>
      </c>
      <c r="AS39" s="477">
        <f>AD39+B!AS39</f>
        <v>0</v>
      </c>
      <c r="AT39" s="477">
        <f>AA39+B!AT39</f>
        <v>0</v>
      </c>
      <c r="AU39" s="476"/>
      <c r="AV39" s="477">
        <f>B!AV39-B!AD39+'C'!Z39-B!AP39</f>
        <v>0</v>
      </c>
      <c r="AW39" s="476">
        <f t="shared" si="7"/>
        <v>0</v>
      </c>
      <c r="AX39" s="52">
        <f>IF(Z39=B!Z39,B!AE39-AD39,B!AE39+(Z39-B!Z39)*$AW$16-AD39)</f>
        <v>0</v>
      </c>
      <c r="AZ39" s="726">
        <f t="shared" si="5"/>
        <v>0</v>
      </c>
    </row>
    <row r="40" spans="1:52" ht="15" customHeight="1">
      <c r="A40" s="367"/>
      <c r="B40" s="16" t="s">
        <v>179</v>
      </c>
      <c r="C40" s="77">
        <f ca="1">SUM(C27:C39)+SUM(C65:C86)</f>
        <v>0</v>
      </c>
      <c r="D40" s="75">
        <f>SUM(D27:D39)+SUM(D65:D86)</f>
        <v>0</v>
      </c>
      <c r="E40" s="515"/>
      <c r="F40" s="515"/>
      <c r="G40" s="367"/>
      <c r="H40" s="543"/>
      <c r="I40" s="853"/>
      <c r="J40" s="6"/>
      <c r="K40" s="541"/>
      <c r="L40" s="860"/>
      <c r="M40" s="20" t="str">
        <f>IF(J40="","",$M$5-SUM($J$7:J40))</f>
        <v/>
      </c>
      <c r="N40" s="367"/>
      <c r="O40" s="7"/>
      <c r="P40" s="871">
        <f>IF(B!Q40&lt;&gt;B!R40,IF(B!Q40&lt;&gt;0,IF(B!S40&lt;&gt;B!T40,B!P40,),),)</f>
        <v>0</v>
      </c>
      <c r="Q40" s="795">
        <f>IF(B!Q40&lt;&gt;B!R40,IF(B!Q40&lt;&gt;0,IF(B!S40&lt;&gt;B!T40,B!Q40,),),)</f>
        <v>0</v>
      </c>
      <c r="R40" s="628">
        <f>IF(B!Q40&lt;&gt;B!R40,IF(B!Q40&lt;&gt;0,IF(B!S40&lt;&gt;B!T40,0,Q40),Q40),Q40)</f>
        <v>0</v>
      </c>
      <c r="S40" s="796">
        <f>IF(B!Q40&lt;&gt;B!R40,IF(B!Q40&lt;&gt;0,IF(B!S40&lt;&gt;B!T40,B!S40+1,),),)</f>
        <v>0</v>
      </c>
      <c r="T40" s="796">
        <f>IF(B!Q40&lt;&gt;B!R40,IF(B!Q40&lt;&gt;0,IF(B!S40&lt;&gt;B!T40,B!T40,),),)</f>
        <v>0</v>
      </c>
      <c r="U40" s="797">
        <f>IF(B!Q40&lt;&gt;B!R40,IF(B!Q40&lt;&gt;0,IF(B!S40&lt;&gt;B!T40,B!U40,),),)</f>
        <v>0</v>
      </c>
      <c r="V40" s="875">
        <f>IF(B!Q40&lt;&gt;B!R40,IF(B!Q40&lt;&gt;0,IF(B!S40&lt;&gt;B!T40,B!V40,),),)</f>
        <v>0</v>
      </c>
      <c r="W40" s="622">
        <f>IF(Q40="","",$W$5-SUM($Q$7:Q40))</f>
        <v>0</v>
      </c>
      <c r="X40" s="395"/>
      <c r="Y40" s="906" t="str">
        <f>IF(B!Y40&lt;&gt;"",B!Y40,)</f>
        <v>Small Purchases</v>
      </c>
      <c r="Z40" s="457">
        <f>B!Z40</f>
        <v>0</v>
      </c>
      <c r="AA40" s="20">
        <f t="shared" si="0"/>
        <v>0</v>
      </c>
      <c r="AB40" s="723"/>
      <c r="AC40" s="723"/>
      <c r="AD40" s="36">
        <f t="shared" si="1"/>
        <v>0</v>
      </c>
      <c r="AE40" s="23">
        <f t="shared" si="6"/>
        <v>0</v>
      </c>
      <c r="AF40" s="367"/>
      <c r="AG40" s="728">
        <f t="shared" si="2"/>
        <v>0</v>
      </c>
      <c r="AH40" s="367"/>
      <c r="AI40" s="375">
        <v>0</v>
      </c>
      <c r="AJ40" s="367"/>
      <c r="AK40" s="367"/>
      <c r="AL40" s="367"/>
      <c r="AM40" s="367"/>
      <c r="AN40" s="367"/>
      <c r="AO40" s="86"/>
      <c r="AP40" s="51">
        <f t="shared" si="3"/>
        <v>0</v>
      </c>
      <c r="AQ40" s="477">
        <f>B!AQ40+B!AP40</f>
        <v>0</v>
      </c>
      <c r="AR40" s="476">
        <f t="shared" si="4"/>
        <v>0</v>
      </c>
      <c r="AS40" s="477">
        <f>AD40+B!AS40</f>
        <v>0</v>
      </c>
      <c r="AT40" s="477">
        <f>AA40+B!AT40</f>
        <v>0</v>
      </c>
      <c r="AU40" s="476"/>
      <c r="AV40" s="477">
        <f>B!AV40-B!AD40+'C'!Z40-B!AP40</f>
        <v>0</v>
      </c>
      <c r="AW40" s="476">
        <f t="shared" si="7"/>
        <v>0</v>
      </c>
      <c r="AX40" s="52">
        <f>IF(Z40=B!Z40,B!AE40-AD40,B!AE40+(Z40-B!Z40)*$AW$16-AD40)</f>
        <v>0</v>
      </c>
      <c r="AZ40" s="726">
        <f t="shared" si="5"/>
        <v>0</v>
      </c>
    </row>
    <row r="41" spans="1:52" ht="15" customHeight="1" thickBot="1">
      <c r="A41" s="367"/>
      <c r="B41" s="11" t="s">
        <v>367</v>
      </c>
      <c r="C41" s="1093">
        <f ca="1">C40-D40</f>
        <v>0</v>
      </c>
      <c r="D41" s="1094"/>
      <c r="E41" s="517"/>
      <c r="F41" s="517"/>
      <c r="G41" s="367"/>
      <c r="H41" s="543"/>
      <c r="I41" s="853"/>
      <c r="J41" s="6"/>
      <c r="K41" s="541"/>
      <c r="L41" s="860"/>
      <c r="M41" s="20" t="str">
        <f>IF(J41="","",$M$5-SUM($J$7:J41))</f>
        <v/>
      </c>
      <c r="N41" s="367"/>
      <c r="O41" s="7"/>
      <c r="P41" s="871">
        <f>IF(B!Q41&lt;&gt;B!R41,IF(B!Q41&lt;&gt;0,IF(B!S41&lt;&gt;B!T41,B!P41,),),)</f>
        <v>0</v>
      </c>
      <c r="Q41" s="795">
        <f>IF(B!Q41&lt;&gt;B!R41,IF(B!Q41&lt;&gt;0,IF(B!S41&lt;&gt;B!T41,B!Q41,),),)</f>
        <v>0</v>
      </c>
      <c r="R41" s="628">
        <f>IF(B!Q41&lt;&gt;B!R41,IF(B!Q41&lt;&gt;0,IF(B!S41&lt;&gt;B!T41,0,Q41),Q41),Q41)</f>
        <v>0</v>
      </c>
      <c r="S41" s="796">
        <f>IF(B!Q41&lt;&gt;B!R41,IF(B!Q41&lt;&gt;0,IF(B!S41&lt;&gt;B!T41,B!S41+1,),),)</f>
        <v>0</v>
      </c>
      <c r="T41" s="796">
        <f>IF(B!Q41&lt;&gt;B!R41,IF(B!Q41&lt;&gt;0,IF(B!S41&lt;&gt;B!T41,B!T41,),),)</f>
        <v>0</v>
      </c>
      <c r="U41" s="797">
        <f>IF(B!Q41&lt;&gt;B!R41,IF(B!Q41&lt;&gt;0,IF(B!S41&lt;&gt;B!T41,B!U41,),),)</f>
        <v>0</v>
      </c>
      <c r="V41" s="875">
        <f>IF(B!Q41&lt;&gt;B!R41,IF(B!Q41&lt;&gt;0,IF(B!S41&lt;&gt;B!T41,B!V41,),),)</f>
        <v>0</v>
      </c>
      <c r="W41" s="622">
        <f>IF(Q41="","",$W$5-SUM($Q$7:Q41))</f>
        <v>0</v>
      </c>
      <c r="X41" s="395"/>
      <c r="Y41" s="905" t="str">
        <f>IF(B!Y41&lt;&gt;"",B!Y41,)</f>
        <v>Haircuts / Cosmetics Treatments</v>
      </c>
      <c r="Z41" s="457">
        <f>B!Z41</f>
        <v>0</v>
      </c>
      <c r="AA41" s="20">
        <f t="shared" si="0"/>
        <v>0</v>
      </c>
      <c r="AB41" s="723"/>
      <c r="AC41" s="723"/>
      <c r="AD41" s="36">
        <f t="shared" si="1"/>
        <v>0</v>
      </c>
      <c r="AE41" s="23">
        <f t="shared" si="6"/>
        <v>0</v>
      </c>
      <c r="AF41" s="367"/>
      <c r="AG41" s="728">
        <f t="shared" si="2"/>
        <v>0</v>
      </c>
      <c r="AH41" s="367"/>
      <c r="AI41" s="375">
        <v>0</v>
      </c>
      <c r="AJ41" s="367"/>
      <c r="AK41" s="367"/>
      <c r="AL41" s="367"/>
      <c r="AM41" s="367"/>
      <c r="AN41" s="367"/>
      <c r="AO41" s="86"/>
      <c r="AP41" s="51">
        <f t="shared" si="3"/>
        <v>0</v>
      </c>
      <c r="AQ41" s="477">
        <f>B!AQ41+B!AP41</f>
        <v>0</v>
      </c>
      <c r="AR41" s="476">
        <f t="shared" si="4"/>
        <v>0</v>
      </c>
      <c r="AS41" s="477">
        <f>AD41+B!AS41</f>
        <v>0</v>
      </c>
      <c r="AT41" s="477">
        <f>AA41+B!AT41</f>
        <v>0</v>
      </c>
      <c r="AU41" s="476"/>
      <c r="AV41" s="477">
        <f>B!AV41-B!AD41+'C'!Z41-B!AP41</f>
        <v>0</v>
      </c>
      <c r="AW41" s="476">
        <f t="shared" si="7"/>
        <v>0</v>
      </c>
      <c r="AX41" s="52">
        <f>IF(Z41=B!Z41,B!AE41-AD41,B!AE41+(Z41-B!Z41)*$AW$16-AD41)</f>
        <v>0</v>
      </c>
      <c r="AZ41" s="726">
        <f t="shared" si="5"/>
        <v>0</v>
      </c>
    </row>
    <row r="42" spans="1:52" ht="15" customHeight="1">
      <c r="A42" s="367"/>
      <c r="B42" s="1095" t="str">
        <f ca="1">IF(C41&gt;0,"Unexpected positive difference - Check why!","")</f>
        <v/>
      </c>
      <c r="C42" s="1095"/>
      <c r="D42" s="1095"/>
      <c r="E42" s="514"/>
      <c r="F42" s="514"/>
      <c r="G42" s="367"/>
      <c r="H42" s="543"/>
      <c r="I42" s="853"/>
      <c r="J42" s="6"/>
      <c r="K42" s="541"/>
      <c r="L42" s="860"/>
      <c r="M42" s="20" t="str">
        <f>IF(J42="","",$M$5-SUM($J$7:J42))</f>
        <v/>
      </c>
      <c r="N42" s="367"/>
      <c r="O42" s="7"/>
      <c r="P42" s="873">
        <f>IF(B!Q42&lt;&gt;B!R42,IF(B!Q42&lt;&gt;0,IF(B!S42&lt;&gt;B!T42,B!P42,),),)</f>
        <v>0</v>
      </c>
      <c r="Q42" s="795">
        <f>IF(B!Q42&lt;&gt;B!R42,IF(B!Q42&lt;&gt;0,IF(B!S42&lt;&gt;B!T42,B!Q42,),),)</f>
        <v>0</v>
      </c>
      <c r="R42" s="628">
        <f>IF(B!Q42&lt;&gt;B!R42,IF(B!Q42&lt;&gt;0,IF(B!S42&lt;&gt;B!T42,0,Q42),Q42),Q42)</f>
        <v>0</v>
      </c>
      <c r="S42" s="796">
        <f>IF(B!Q42&lt;&gt;B!R42,IF(B!Q42&lt;&gt;0,IF(B!S42&lt;&gt;B!T42,B!S42+1,),),)</f>
        <v>0</v>
      </c>
      <c r="T42" s="796">
        <f>IF(B!Q42&lt;&gt;B!R42,IF(B!Q42&lt;&gt;0,IF(B!S42&lt;&gt;B!T42,B!T42,),),)</f>
        <v>0</v>
      </c>
      <c r="U42" s="797">
        <f>IF(B!Q42&lt;&gt;B!R42,IF(B!Q42&lt;&gt;0,IF(B!S42&lt;&gt;B!T42,B!U42,),),)</f>
        <v>0</v>
      </c>
      <c r="V42" s="875">
        <f>IF(B!Q42&lt;&gt;B!R42,IF(B!Q42&lt;&gt;0,IF(B!S42&lt;&gt;B!T42,B!V42,),),)</f>
        <v>0</v>
      </c>
      <c r="W42" s="622">
        <f>IF(Q42="","",$W$5-SUM($Q$7:Q42))</f>
        <v>0</v>
      </c>
      <c r="X42" s="395"/>
      <c r="Y42" s="905" t="str">
        <f>IF(B!Y42&lt;&gt;"",B!Y42,)</f>
        <v>National Insurance</v>
      </c>
      <c r="Z42" s="457">
        <f>B!Z42</f>
        <v>0</v>
      </c>
      <c r="AA42" s="20">
        <f t="shared" si="0"/>
        <v>0</v>
      </c>
      <c r="AB42" s="723"/>
      <c r="AC42" s="723"/>
      <c r="AD42" s="36">
        <f t="shared" si="1"/>
        <v>0</v>
      </c>
      <c r="AE42" s="23">
        <f t="shared" si="6"/>
        <v>0</v>
      </c>
      <c r="AF42" s="367"/>
      <c r="AG42" s="728">
        <f t="shared" si="2"/>
        <v>0</v>
      </c>
      <c r="AH42" s="367"/>
      <c r="AI42" s="375">
        <v>0</v>
      </c>
      <c r="AJ42" s="367"/>
      <c r="AK42" s="367"/>
      <c r="AL42" s="367"/>
      <c r="AM42" s="367"/>
      <c r="AN42" s="367"/>
      <c r="AO42" s="86"/>
      <c r="AP42" s="51">
        <f t="shared" si="3"/>
        <v>0</v>
      </c>
      <c r="AQ42" s="477">
        <f>B!AQ42+B!AP42</f>
        <v>0</v>
      </c>
      <c r="AR42" s="476">
        <f t="shared" si="4"/>
        <v>0</v>
      </c>
      <c r="AS42" s="477">
        <f>AD42+B!AS42</f>
        <v>0</v>
      </c>
      <c r="AT42" s="477">
        <f>AA42+B!AT42</f>
        <v>0</v>
      </c>
      <c r="AU42" s="476"/>
      <c r="AV42" s="477">
        <f>B!AV42-B!AD42+'C'!Z42-B!AP42</f>
        <v>0</v>
      </c>
      <c r="AW42" s="476">
        <f t="shared" si="7"/>
        <v>0</v>
      </c>
      <c r="AX42" s="52">
        <f>IF(Z42=B!Z42,B!AE42-AD42,B!AE42+(Z42-B!Z42)*$AW$16-AD42)</f>
        <v>0</v>
      </c>
      <c r="AZ42" s="726">
        <f t="shared" si="5"/>
        <v>0</v>
      </c>
    </row>
    <row r="43" spans="1:52" ht="15" customHeight="1" thickBot="1">
      <c r="A43" s="367"/>
      <c r="B43" s="1117" t="s">
        <v>351</v>
      </c>
      <c r="C43" s="1117"/>
      <c r="D43" s="367"/>
      <c r="E43" s="367"/>
      <c r="F43" s="367"/>
      <c r="G43" s="367"/>
      <c r="H43" s="543"/>
      <c r="I43" s="854"/>
      <c r="J43" s="6"/>
      <c r="K43" s="541"/>
      <c r="L43" s="860"/>
      <c r="M43" s="20" t="str">
        <f>IF(J43="","",$M$5-SUM($J$7:J43))</f>
        <v/>
      </c>
      <c r="N43" s="367"/>
      <c r="O43" s="7"/>
      <c r="P43" s="871">
        <f>IF(B!Q43&lt;&gt;B!R43,IF(B!Q43&lt;&gt;0,IF(B!S43&lt;&gt;B!T43,B!P43,),),)</f>
        <v>0</v>
      </c>
      <c r="Q43" s="795">
        <f>IF(B!Q43&lt;&gt;B!R43,IF(B!Q43&lt;&gt;0,IF(B!S43&lt;&gt;B!T43,B!Q43,),),)</f>
        <v>0</v>
      </c>
      <c r="R43" s="628">
        <f>IF(B!Q43&lt;&gt;B!R43,IF(B!Q43&lt;&gt;0,IF(B!S43&lt;&gt;B!T43,0,Q43),Q43),Q43)</f>
        <v>0</v>
      </c>
      <c r="S43" s="796">
        <f>IF(B!Q43&lt;&gt;B!R43,IF(B!Q43&lt;&gt;0,IF(B!S43&lt;&gt;B!T43,B!S43+1,),),)</f>
        <v>0</v>
      </c>
      <c r="T43" s="796">
        <f>IF(B!Q43&lt;&gt;B!R43,IF(B!Q43&lt;&gt;0,IF(B!S43&lt;&gt;B!T43,B!T43,),),)</f>
        <v>0</v>
      </c>
      <c r="U43" s="797">
        <f>IF(B!Q43&lt;&gt;B!R43,IF(B!Q43&lt;&gt;0,IF(B!S43&lt;&gt;B!T43,B!U43,),),)</f>
        <v>0</v>
      </c>
      <c r="V43" s="875">
        <f>IF(B!Q43&lt;&gt;B!R43,IF(B!Q43&lt;&gt;0,IF(B!S43&lt;&gt;B!T43,B!V43,),),)</f>
        <v>0</v>
      </c>
      <c r="W43" s="622">
        <f>IF(Q43="","",$W$5-SUM($Q$7:Q43))</f>
        <v>0</v>
      </c>
      <c r="X43" s="395"/>
      <c r="Y43" s="905">
        <f>IF(B!Y43&lt;&gt;"",B!Y43,)</f>
        <v>0</v>
      </c>
      <c r="Z43" s="457">
        <f>B!Z43</f>
        <v>0</v>
      </c>
      <c r="AA43" s="20">
        <f t="shared" si="0"/>
        <v>0</v>
      </c>
      <c r="AB43" s="723"/>
      <c r="AC43" s="723"/>
      <c r="AD43" s="36">
        <f t="shared" si="1"/>
        <v>0</v>
      </c>
      <c r="AE43" s="23">
        <f t="shared" si="6"/>
        <v>0</v>
      </c>
      <c r="AF43" s="367"/>
      <c r="AG43" s="728">
        <f t="shared" si="2"/>
        <v>0</v>
      </c>
      <c r="AH43" s="367"/>
      <c r="AI43" s="375">
        <v>0</v>
      </c>
      <c r="AJ43" s="367"/>
      <c r="AK43" s="367"/>
      <c r="AL43" s="367"/>
      <c r="AM43" s="367"/>
      <c r="AN43" s="367"/>
      <c r="AO43" s="86"/>
      <c r="AP43" s="51">
        <f t="shared" si="3"/>
        <v>0</v>
      </c>
      <c r="AQ43" s="477">
        <f>B!AQ43+B!AP43</f>
        <v>0</v>
      </c>
      <c r="AR43" s="476">
        <f t="shared" si="4"/>
        <v>0</v>
      </c>
      <c r="AS43" s="477">
        <f>AD43+B!AS43</f>
        <v>0</v>
      </c>
      <c r="AT43" s="477">
        <f>AA43+B!AT43</f>
        <v>0</v>
      </c>
      <c r="AU43" s="476"/>
      <c r="AV43" s="477">
        <f>B!AV43-B!AD43+'C'!Z43-B!AP43</f>
        <v>0</v>
      </c>
      <c r="AW43" s="476">
        <f t="shared" si="7"/>
        <v>0</v>
      </c>
      <c r="AX43" s="52">
        <f>IF(Z43=B!Z43,B!AE43-AD43,B!AE43+(Z43-B!Z43)*$AW$16-AD43)</f>
        <v>0</v>
      </c>
      <c r="AZ43" s="726">
        <f t="shared" si="5"/>
        <v>0</v>
      </c>
    </row>
    <row r="44" spans="1:52" ht="15" customHeight="1">
      <c r="A44" s="367"/>
      <c r="B44" s="811" t="s">
        <v>353</v>
      </c>
      <c r="C44" s="100" t="s">
        <v>354</v>
      </c>
      <c r="D44" s="915" t="s">
        <v>494</v>
      </c>
      <c r="E44" s="518"/>
      <c r="F44" s="518"/>
      <c r="G44" s="367"/>
      <c r="H44" s="543"/>
      <c r="I44" s="853"/>
      <c r="J44" s="6"/>
      <c r="K44" s="541"/>
      <c r="L44" s="860"/>
      <c r="M44" s="20" t="str">
        <f>IF(J44="","",$M$5-SUM($J$7:J44))</f>
        <v/>
      </c>
      <c r="N44" s="367"/>
      <c r="O44" s="7"/>
      <c r="P44" s="871">
        <f>IF(B!Q44&lt;&gt;B!R44,IF(B!Q44&lt;&gt;0,IF(B!S44&lt;&gt;B!T44,B!P44,),),)</f>
        <v>0</v>
      </c>
      <c r="Q44" s="795">
        <f>IF(B!Q44&lt;&gt;B!R44,IF(B!Q44&lt;&gt;0,IF(B!S44&lt;&gt;B!T44,B!Q44,),),)</f>
        <v>0</v>
      </c>
      <c r="R44" s="628">
        <f>IF(B!Q44&lt;&gt;B!R44,IF(B!Q44&lt;&gt;0,IF(B!S44&lt;&gt;B!T44,0,Q44),Q44),Q44)</f>
        <v>0</v>
      </c>
      <c r="S44" s="796">
        <f>IF(B!Q44&lt;&gt;B!R44,IF(B!Q44&lt;&gt;0,IF(B!S44&lt;&gt;B!T44,B!S44+1,),),)</f>
        <v>0</v>
      </c>
      <c r="T44" s="796">
        <f>IF(B!Q44&lt;&gt;B!R44,IF(B!Q44&lt;&gt;0,IF(B!S44&lt;&gt;B!T44,B!T44,),),)</f>
        <v>0</v>
      </c>
      <c r="U44" s="797">
        <f>IF(B!Q44&lt;&gt;B!R44,IF(B!Q44&lt;&gt;0,IF(B!S44&lt;&gt;B!T44,B!U44,),),)</f>
        <v>0</v>
      </c>
      <c r="V44" s="875">
        <f>IF(B!Q44&lt;&gt;B!R44,IF(B!Q44&lt;&gt;0,IF(B!S44&lt;&gt;B!T44,B!V44,),),)</f>
        <v>0</v>
      </c>
      <c r="W44" s="622">
        <f>IF(Q44="","",$W$5-SUM($Q$7:Q44))</f>
        <v>0</v>
      </c>
      <c r="X44" s="396"/>
      <c r="Y44" s="905">
        <f>IF(B!Y44&lt;&gt;"",B!Y44,)</f>
        <v>0</v>
      </c>
      <c r="Z44" s="457">
        <f>B!Z44</f>
        <v>0</v>
      </c>
      <c r="AA44" s="20">
        <f t="shared" si="0"/>
        <v>0</v>
      </c>
      <c r="AB44" s="723"/>
      <c r="AC44" s="723"/>
      <c r="AD44" s="36">
        <f t="shared" si="1"/>
        <v>0</v>
      </c>
      <c r="AE44" s="23">
        <f t="shared" si="6"/>
        <v>0</v>
      </c>
      <c r="AF44" s="367"/>
      <c r="AG44" s="728">
        <f t="shared" si="2"/>
        <v>0</v>
      </c>
      <c r="AH44" s="367"/>
      <c r="AI44" s="375">
        <v>0</v>
      </c>
      <c r="AJ44" s="367"/>
      <c r="AK44" s="367"/>
      <c r="AL44" s="367"/>
      <c r="AM44" s="367"/>
      <c r="AN44" s="367"/>
      <c r="AO44" s="86"/>
      <c r="AP44" s="51">
        <f t="shared" si="3"/>
        <v>0</v>
      </c>
      <c r="AQ44" s="477">
        <f>B!AQ44+B!AP44</f>
        <v>0</v>
      </c>
      <c r="AR44" s="476">
        <f t="shared" si="4"/>
        <v>0</v>
      </c>
      <c r="AS44" s="477">
        <f>AD44+B!AS44</f>
        <v>0</v>
      </c>
      <c r="AT44" s="477">
        <f>AA44+B!AT44</f>
        <v>0</v>
      </c>
      <c r="AU44" s="476"/>
      <c r="AV44" s="477">
        <f>B!AV44-B!AD44+'C'!Z44-B!AP44</f>
        <v>0</v>
      </c>
      <c r="AW44" s="476">
        <f t="shared" si="7"/>
        <v>0</v>
      </c>
      <c r="AX44" s="52">
        <f>IF(Z44=B!Z44,B!AE44-AD44,B!AE44+(Z44-B!Z44)*$AW$16-AD44)</f>
        <v>0</v>
      </c>
      <c r="AZ44" s="727">
        <f t="shared" si="5"/>
        <v>0</v>
      </c>
    </row>
    <row r="45" spans="1:52" ht="15.75">
      <c r="A45" s="367"/>
      <c r="B45" s="850" t="str">
        <f>IF(B!B45&lt;&gt;"",B!B45,)</f>
        <v>Food</v>
      </c>
      <c r="C45" s="455">
        <f>B!C45</f>
        <v>0</v>
      </c>
      <c r="D45" s="80">
        <f t="shared" ref="D45:D56" si="8">SUMIF($I$7:$I$110,B45,$J$7:$J$110)</f>
        <v>0</v>
      </c>
      <c r="E45" s="519"/>
      <c r="F45" s="519"/>
      <c r="G45" s="367"/>
      <c r="H45" s="543"/>
      <c r="I45" s="853"/>
      <c r="J45" s="6"/>
      <c r="K45" s="541"/>
      <c r="L45" s="860"/>
      <c r="M45" s="20" t="str">
        <f>IF(J45="","",$M$5-SUM($J$7:J45))</f>
        <v/>
      </c>
      <c r="N45" s="367"/>
      <c r="O45" s="107"/>
      <c r="P45" s="873">
        <f>IF(B!Q45&lt;&gt;B!R45,IF(B!Q45&lt;&gt;0,IF(B!S45&lt;&gt;B!T45,B!P45,),),)</f>
        <v>0</v>
      </c>
      <c r="Q45" s="795">
        <f>IF(B!Q45&lt;&gt;B!R45,IF(B!Q45&lt;&gt;0,IF(B!S45&lt;&gt;B!T45,B!Q45,),),)</f>
        <v>0</v>
      </c>
      <c r="R45" s="628">
        <f>IF(B!Q45&lt;&gt;B!R45,IF(B!Q45&lt;&gt;0,IF(B!S45&lt;&gt;B!T45,0,Q45),Q45),Q45)</f>
        <v>0</v>
      </c>
      <c r="S45" s="796">
        <f>IF(B!Q45&lt;&gt;B!R45,IF(B!Q45&lt;&gt;0,IF(B!S45&lt;&gt;B!T45,B!S45+1,),),)</f>
        <v>0</v>
      </c>
      <c r="T45" s="796">
        <f>IF(B!Q45&lt;&gt;B!R45,IF(B!Q45&lt;&gt;0,IF(B!S45&lt;&gt;B!T45,B!T45,),),)</f>
        <v>0</v>
      </c>
      <c r="U45" s="797">
        <f>IF(B!Q45&lt;&gt;B!R45,IF(B!Q45&lt;&gt;0,IF(B!S45&lt;&gt;B!T45,B!U45,),),)</f>
        <v>0</v>
      </c>
      <c r="V45" s="875">
        <f>IF(B!Q45&lt;&gt;B!R45,IF(B!Q45&lt;&gt;0,IF(B!S45&lt;&gt;B!T45,B!V45,),),)</f>
        <v>0</v>
      </c>
      <c r="W45" s="622">
        <f>IF(Q45="","",$W$5-SUM($Q$7:Q45))</f>
        <v>0</v>
      </c>
      <c r="X45" s="397"/>
      <c r="Y45" s="18" t="s">
        <v>179</v>
      </c>
      <c r="Z45" s="17">
        <f>SUM(Z23:Z44)</f>
        <v>0</v>
      </c>
      <c r="AA45" s="20">
        <f>SUM(AA23:AA44)</f>
        <v>0</v>
      </c>
      <c r="AB45" s="723"/>
      <c r="AC45" s="723"/>
      <c r="AD45" s="36"/>
      <c r="AE45" s="24">
        <f>SUM(AE23:AE44)</f>
        <v>0</v>
      </c>
      <c r="AF45" s="367"/>
      <c r="AG45" s="367"/>
      <c r="AH45" s="367"/>
      <c r="AI45" s="367"/>
      <c r="AJ45" s="367"/>
      <c r="AK45" s="367"/>
      <c r="AL45" s="367"/>
      <c r="AM45" s="367"/>
      <c r="AN45" s="367"/>
      <c r="AO45" s="86"/>
      <c r="AP45" s="52">
        <f>SUM(AP23:AP44)</f>
        <v>0</v>
      </c>
      <c r="AQ45" s="476">
        <f>SUM(AQ23:AQ44)</f>
        <v>0</v>
      </c>
      <c r="AR45" s="476">
        <f>SUM(AR23:AR44)</f>
        <v>0</v>
      </c>
      <c r="AS45" s="476">
        <f>SUM(AS23:AS44)</f>
        <v>0</v>
      </c>
      <c r="AT45" s="476">
        <f>SUM(AT23:AT44)</f>
        <v>0</v>
      </c>
      <c r="AU45" s="476"/>
      <c r="AV45" s="477">
        <f>SUM(AV23:AV44)</f>
        <v>0</v>
      </c>
      <c r="AW45" s="476">
        <f>SUM(AW23:AW44)</f>
        <v>0</v>
      </c>
      <c r="AX45" s="52">
        <f>SUM(AX23:AX44)</f>
        <v>0</v>
      </c>
    </row>
    <row r="46" spans="1:52" ht="15.75" customHeight="1" thickBot="1">
      <c r="A46" s="367"/>
      <c r="B46" s="850" t="str">
        <f>IF(B!B46&lt;&gt;"",B!B46,)</f>
        <v>Public Transportation</v>
      </c>
      <c r="C46" s="455">
        <f>B!C46</f>
        <v>0</v>
      </c>
      <c r="D46" s="80">
        <f t="shared" si="8"/>
        <v>0</v>
      </c>
      <c r="E46" s="519"/>
      <c r="F46" s="519"/>
      <c r="G46" s="367"/>
      <c r="H46" s="543"/>
      <c r="I46" s="853"/>
      <c r="J46" s="6"/>
      <c r="K46" s="541"/>
      <c r="L46" s="860"/>
      <c r="M46" s="20" t="str">
        <f>IF(J46="","",$M$5-SUM($J$7:J46))</f>
        <v/>
      </c>
      <c r="N46" s="367"/>
      <c r="O46" s="652"/>
      <c r="P46" s="865" t="s">
        <v>429</v>
      </c>
      <c r="Q46" s="620"/>
      <c r="R46" s="619"/>
      <c r="S46" s="629"/>
      <c r="T46" s="629"/>
      <c r="U46" s="646"/>
      <c r="V46" s="618"/>
      <c r="W46" s="627">
        <f>W5-AA45</f>
        <v>0</v>
      </c>
      <c r="X46" s="386"/>
      <c r="Y46" s="125" t="s">
        <v>367</v>
      </c>
      <c r="Z46" s="1202">
        <f>Z45-AA45</f>
        <v>0</v>
      </c>
      <c r="AA46" s="1203"/>
      <c r="AB46" s="644"/>
      <c r="AC46" s="644"/>
      <c r="AD46" s="37"/>
      <c r="AF46" s="367"/>
      <c r="AG46" s="367"/>
      <c r="AH46" s="367"/>
      <c r="AI46" s="367"/>
      <c r="AJ46" s="367"/>
      <c r="AK46" s="367"/>
      <c r="AL46" s="367"/>
      <c r="AM46" s="367"/>
      <c r="AN46" s="367"/>
      <c r="AO46" s="86"/>
    </row>
    <row r="47" spans="1:52" ht="15.75" customHeight="1">
      <c r="A47" s="367"/>
      <c r="B47" s="850" t="str">
        <f>IF(B!B47&lt;&gt;"",B!B47,)</f>
        <v>Gas and Parking</v>
      </c>
      <c r="C47" s="455">
        <f>B!C47</f>
        <v>0</v>
      </c>
      <c r="D47" s="80">
        <f t="shared" si="8"/>
        <v>0</v>
      </c>
      <c r="E47" s="519"/>
      <c r="F47" s="519"/>
      <c r="G47" s="367"/>
      <c r="H47" s="543"/>
      <c r="I47" s="853"/>
      <c r="J47" s="6"/>
      <c r="K47" s="541"/>
      <c r="L47" s="860"/>
      <c r="M47" s="20" t="str">
        <f>IF(J47="","",$M$5-SUM($J$7:J47))</f>
        <v/>
      </c>
      <c r="N47" s="367"/>
      <c r="O47" s="385"/>
      <c r="P47" s="393"/>
      <c r="Q47" s="378"/>
      <c r="R47" s="392"/>
      <c r="S47" s="387"/>
      <c r="T47" s="387"/>
      <c r="U47" s="387"/>
      <c r="V47" s="617"/>
      <c r="W47" s="392"/>
      <c r="X47" s="386"/>
      <c r="Y47" s="388"/>
      <c r="Z47" s="389"/>
      <c r="AA47" s="389"/>
      <c r="AB47" s="389"/>
      <c r="AC47" s="389"/>
      <c r="AD47" s="389"/>
      <c r="AE47" s="367"/>
      <c r="AF47" s="367"/>
      <c r="AG47" s="367"/>
      <c r="AH47" s="367"/>
      <c r="AI47" s="367"/>
      <c r="AJ47" s="367"/>
      <c r="AK47" s="367"/>
      <c r="AL47" s="367"/>
      <c r="AM47" s="367"/>
      <c r="AN47" s="367"/>
      <c r="AO47" s="86"/>
    </row>
    <row r="48" spans="1:52" ht="19.5" thickBot="1">
      <c r="A48" s="367"/>
      <c r="B48" s="850" t="str">
        <f>IF(B!B48&lt;&gt;"",B!B48,)</f>
        <v>Telephone-Landline/Long Distance</v>
      </c>
      <c r="C48" s="455">
        <f>B!C48</f>
        <v>0</v>
      </c>
      <c r="D48" s="80">
        <f t="shared" si="8"/>
        <v>0</v>
      </c>
      <c r="E48" s="519"/>
      <c r="F48" s="519"/>
      <c r="G48" s="367"/>
      <c r="H48" s="543"/>
      <c r="I48" s="853"/>
      <c r="J48" s="6"/>
      <c r="K48" s="541"/>
      <c r="L48" s="860"/>
      <c r="M48" s="20" t="str">
        <f>IF(J48="","",$M$5-SUM($J$7:J48))</f>
        <v/>
      </c>
      <c r="N48" s="367"/>
      <c r="P48" s="819" t="s">
        <v>395</v>
      </c>
      <c r="Q48" s="94" t="str">
        <f>M2</f>
        <v/>
      </c>
      <c r="R48" s="94" t="str">
        <f>N2</f>
        <v/>
      </c>
      <c r="S48" s="1215"/>
      <c r="T48" s="1215"/>
      <c r="U48" s="390"/>
      <c r="V48" s="390"/>
      <c r="W48" s="390"/>
      <c r="X48" s="386"/>
      <c r="Y48" s="386"/>
      <c r="Z48" s="386"/>
      <c r="AA48" s="386"/>
      <c r="AB48" s="391"/>
      <c r="AC48" s="391"/>
      <c r="AD48" s="391"/>
      <c r="AE48" s="367"/>
      <c r="AF48" s="367"/>
      <c r="AG48" s="367"/>
      <c r="AH48" s="367"/>
      <c r="AI48" s="367"/>
      <c r="AJ48" s="367"/>
      <c r="AK48" s="367"/>
      <c r="AL48" s="367"/>
      <c r="AM48" s="367"/>
      <c r="AN48" s="367"/>
      <c r="AO48" s="86"/>
    </row>
    <row r="49" spans="1:92" ht="16.5" thickBot="1">
      <c r="A49" s="367"/>
      <c r="B49" s="850" t="str">
        <f>IF(B!B49&lt;&gt;"",B!B49,)</f>
        <v>Cell Phones</v>
      </c>
      <c r="C49" s="455">
        <f>B!C49</f>
        <v>0</v>
      </c>
      <c r="D49" s="80">
        <f t="shared" si="8"/>
        <v>0</v>
      </c>
      <c r="E49" s="519"/>
      <c r="F49" s="519"/>
      <c r="G49" s="367"/>
      <c r="H49" s="543"/>
      <c r="I49" s="853"/>
      <c r="J49" s="6"/>
      <c r="K49" s="541"/>
      <c r="L49" s="860"/>
      <c r="M49" s="20" t="str">
        <f>IF(J49="","",$M$5-SUM($J$7:J49))</f>
        <v/>
      </c>
      <c r="N49" s="367"/>
      <c r="O49" s="377"/>
      <c r="P49" s="653" t="s">
        <v>288</v>
      </c>
      <c r="Q49" s="654" t="s">
        <v>354</v>
      </c>
      <c r="R49" s="654" t="s">
        <v>398</v>
      </c>
      <c r="S49" s="1216" t="s">
        <v>298</v>
      </c>
      <c r="T49" s="1217"/>
      <c r="U49" s="648"/>
      <c r="V49" s="371"/>
      <c r="W49" s="371"/>
      <c r="X49" s="367"/>
      <c r="Y49" s="386"/>
      <c r="Z49" s="386"/>
      <c r="AA49" s="386"/>
      <c r="AB49" s="391"/>
      <c r="AC49" s="391"/>
      <c r="AD49" s="391"/>
      <c r="AE49" s="367"/>
      <c r="AF49" s="367"/>
      <c r="AG49" s="367"/>
      <c r="AH49" s="367"/>
      <c r="AI49" s="367"/>
      <c r="AJ49" s="367"/>
      <c r="AK49" s="367"/>
      <c r="AL49" s="367"/>
      <c r="AM49" s="367"/>
      <c r="AN49" s="367"/>
      <c r="AO49" s="86"/>
    </row>
    <row r="50" spans="1:92" ht="15.75">
      <c r="A50" s="367"/>
      <c r="B50" s="850" t="str">
        <f>IF(B!B50&lt;&gt;"",B!B50,)</f>
        <v>Home</v>
      </c>
      <c r="C50" s="455">
        <f>B!C50</f>
        <v>0</v>
      </c>
      <c r="D50" s="80">
        <f t="shared" si="8"/>
        <v>0</v>
      </c>
      <c r="E50" s="519"/>
      <c r="F50" s="519"/>
      <c r="G50" s="367"/>
      <c r="H50" s="543"/>
      <c r="I50" s="853"/>
      <c r="J50" s="6"/>
      <c r="K50" s="541"/>
      <c r="L50" s="860"/>
      <c r="M50" s="20" t="str">
        <f>IF(J50="","",$M$5-SUM($J$7:J50))</f>
        <v/>
      </c>
      <c r="N50" s="367"/>
      <c r="O50" s="377"/>
      <c r="P50" s="655" t="s">
        <v>151</v>
      </c>
      <c r="Q50" s="22">
        <f>C18</f>
        <v>0</v>
      </c>
      <c r="R50" s="22">
        <f>D18</f>
        <v>0</v>
      </c>
      <c r="S50" s="1096">
        <f>Q50-R50</f>
        <v>0</v>
      </c>
      <c r="T50" s="1097"/>
      <c r="U50" s="647"/>
      <c r="V50" s="371"/>
      <c r="W50" s="371"/>
      <c r="X50" s="367"/>
      <c r="Y50" s="386"/>
      <c r="Z50" s="386"/>
      <c r="AA50" s="386"/>
      <c r="AB50" s="386"/>
      <c r="AC50" s="386"/>
      <c r="AD50" s="386"/>
      <c r="AE50" s="367"/>
      <c r="AF50" s="367"/>
      <c r="AG50" s="367"/>
      <c r="AH50" s="367"/>
      <c r="AI50" s="367"/>
      <c r="AJ50" s="367"/>
      <c r="AK50" s="367"/>
      <c r="AL50" s="367"/>
      <c r="AM50" s="367"/>
      <c r="AN50" s="367"/>
      <c r="AO50" s="86"/>
    </row>
    <row r="51" spans="1:92" ht="15.75">
      <c r="A51" s="367"/>
      <c r="B51" s="850" t="str">
        <f>IF(B!B51&lt;&gt;"",B!B51,)</f>
        <v>Cleaning help / Babysitter</v>
      </c>
      <c r="C51" s="455">
        <f>B!C51</f>
        <v>0</v>
      </c>
      <c r="D51" s="80">
        <f t="shared" si="8"/>
        <v>0</v>
      </c>
      <c r="E51" s="519"/>
      <c r="F51" s="519"/>
      <c r="G51" s="367"/>
      <c r="H51" s="543"/>
      <c r="I51" s="853"/>
      <c r="J51" s="6"/>
      <c r="K51" s="541"/>
      <c r="L51" s="860"/>
      <c r="M51" s="20" t="str">
        <f>IF(J51="","",$M$5-SUM($J$7:J51))</f>
        <v/>
      </c>
      <c r="N51" s="367"/>
      <c r="O51" s="377"/>
      <c r="P51" s="656" t="s">
        <v>396</v>
      </c>
      <c r="Q51" s="22">
        <f>Z45</f>
        <v>0</v>
      </c>
      <c r="R51" s="22">
        <f>AA45</f>
        <v>0</v>
      </c>
      <c r="S51" s="1147">
        <f>Q51-R51</f>
        <v>0</v>
      </c>
      <c r="T51" s="1147"/>
      <c r="U51" s="647"/>
      <c r="V51" s="371"/>
      <c r="W51" s="371"/>
      <c r="X51" s="367"/>
      <c r="Y51" s="367"/>
      <c r="Z51" s="367"/>
      <c r="AA51" s="367"/>
      <c r="AB51" s="367"/>
      <c r="AC51" s="367"/>
      <c r="AD51" s="367"/>
      <c r="AE51" s="367"/>
      <c r="AF51" s="367"/>
      <c r="AG51" s="367"/>
      <c r="AH51" s="367"/>
      <c r="AI51" s="367"/>
      <c r="AJ51" s="367"/>
      <c r="AK51" s="367"/>
      <c r="AL51" s="367"/>
      <c r="AM51" s="367"/>
      <c r="AN51" s="367"/>
      <c r="AO51" s="86"/>
    </row>
    <row r="52" spans="1:92" ht="15.75">
      <c r="A52" s="367"/>
      <c r="B52" s="850" t="str">
        <f>IF(B!B52&lt;&gt;"",B!B52,)</f>
        <v>Cigarettes</v>
      </c>
      <c r="C52" s="455">
        <f>B!C52</f>
        <v>0</v>
      </c>
      <c r="D52" s="80">
        <f t="shared" si="8"/>
        <v>0</v>
      </c>
      <c r="E52" s="519"/>
      <c r="F52" s="519"/>
      <c r="G52" s="367"/>
      <c r="H52" s="543"/>
      <c r="I52" s="853"/>
      <c r="J52" s="6"/>
      <c r="K52" s="541"/>
      <c r="L52" s="860"/>
      <c r="M52" s="20" t="str">
        <f>IF(J52="","",$M$5-SUM($J$7:J52))</f>
        <v/>
      </c>
      <c r="N52" s="367"/>
      <c r="O52" s="377"/>
      <c r="P52" s="657" t="s">
        <v>397</v>
      </c>
      <c r="Q52" s="22">
        <f>C57</f>
        <v>0</v>
      </c>
      <c r="R52" s="22">
        <f>D57</f>
        <v>0</v>
      </c>
      <c r="S52" s="1098">
        <f>Q52-R52</f>
        <v>0</v>
      </c>
      <c r="T52" s="1099"/>
      <c r="U52" s="649"/>
      <c r="V52" s="371"/>
      <c r="W52" s="370"/>
      <c r="X52" s="367"/>
      <c r="Y52" s="367"/>
      <c r="Z52" s="367"/>
      <c r="AA52" s="367"/>
      <c r="AB52" s="367"/>
      <c r="AC52" s="367"/>
      <c r="AD52" s="367"/>
      <c r="AE52" s="367"/>
      <c r="AF52" s="367"/>
      <c r="AG52" s="367"/>
      <c r="AH52" s="367"/>
      <c r="AI52" s="367"/>
      <c r="AJ52" s="367"/>
      <c r="AK52" s="367"/>
      <c r="AL52" s="367"/>
      <c r="AM52" s="367"/>
      <c r="AN52" s="367"/>
      <c r="AO52" s="86"/>
    </row>
    <row r="53" spans="1:92" ht="15.75">
      <c r="A53" s="367"/>
      <c r="B53" s="850" t="str">
        <f>IF(B!B53&lt;&gt;"",B!B53,)</f>
        <v>Other</v>
      </c>
      <c r="C53" s="455">
        <f>B!C53</f>
        <v>0</v>
      </c>
      <c r="D53" s="80">
        <f t="shared" si="8"/>
        <v>0</v>
      </c>
      <c r="E53" s="519"/>
      <c r="F53" s="519"/>
      <c r="G53" s="367"/>
      <c r="H53" s="543"/>
      <c r="I53" s="853"/>
      <c r="J53" s="6"/>
      <c r="K53" s="541"/>
      <c r="L53" s="860"/>
      <c r="M53" s="20" t="str">
        <f>IF(J53="","",$M$5-SUM($J$7:J53))</f>
        <v/>
      </c>
      <c r="N53" s="1110" t="str">
        <f ca="1">IF(D19&lt;=0,IF(C41&lt;=0,"","Pass positive diff?"),"Pass positive diff?")</f>
        <v/>
      </c>
      <c r="O53" s="1233"/>
      <c r="P53" s="658" t="s">
        <v>308</v>
      </c>
      <c r="Q53" s="150">
        <f>SUM(Q50:Q52)</f>
        <v>0</v>
      </c>
      <c r="R53" s="150">
        <f>SUM(R50:R52)</f>
        <v>0</v>
      </c>
      <c r="S53" s="1100">
        <f>Q53-R53</f>
        <v>0</v>
      </c>
      <c r="T53" s="1101"/>
      <c r="U53" s="788"/>
      <c r="V53" s="371"/>
      <c r="W53" s="371"/>
      <c r="X53" s="367"/>
      <c r="Y53" s="367"/>
      <c r="Z53" s="367"/>
      <c r="AA53" s="367"/>
      <c r="AB53" s="367"/>
      <c r="AC53" s="367"/>
      <c r="AD53" s="367"/>
      <c r="AE53" s="367"/>
      <c r="AF53" s="367"/>
      <c r="AG53" s="367"/>
      <c r="AH53" s="367"/>
      <c r="AI53" s="367"/>
      <c r="AJ53" s="367"/>
      <c r="AK53" s="367"/>
      <c r="AL53" s="367"/>
      <c r="AM53" s="367"/>
      <c r="AN53" s="367"/>
      <c r="AO53" s="86"/>
    </row>
    <row r="54" spans="1:92" ht="15.75">
      <c r="A54" s="367"/>
      <c r="B54" s="850">
        <f>IF(B!B54&lt;&gt;"",B!B54,)</f>
        <v>0</v>
      </c>
      <c r="C54" s="455">
        <f>B!C54</f>
        <v>0</v>
      </c>
      <c r="D54" s="80">
        <f t="shared" si="8"/>
        <v>0</v>
      </c>
      <c r="E54" s="519"/>
      <c r="F54" s="519"/>
      <c r="G54" s="367"/>
      <c r="H54" s="1199" t="s">
        <v>392</v>
      </c>
      <c r="I54" s="855" t="s">
        <v>430</v>
      </c>
      <c r="J54" s="816"/>
      <c r="K54" s="589"/>
      <c r="L54" s="590"/>
      <c r="M54" s="102">
        <f ca="1">M5-D57</f>
        <v>0</v>
      </c>
      <c r="N54" s="1110"/>
      <c r="O54" s="1233"/>
      <c r="P54" s="659" t="s">
        <v>296</v>
      </c>
      <c r="Q54" s="22">
        <f>AA4</f>
        <v>0</v>
      </c>
      <c r="R54" s="22">
        <f>AA17</f>
        <v>0</v>
      </c>
      <c r="S54" s="1096">
        <f>R54-Q54</f>
        <v>0</v>
      </c>
      <c r="T54" s="1097"/>
      <c r="U54" s="647"/>
      <c r="V54" s="371"/>
      <c r="W54" s="371"/>
      <c r="X54" s="367"/>
      <c r="Y54" s="367"/>
      <c r="Z54" s="367"/>
      <c r="AA54" s="367"/>
      <c r="AB54" s="367"/>
      <c r="AC54" s="367"/>
      <c r="AD54" s="367"/>
      <c r="AE54" s="367"/>
      <c r="AF54" s="367"/>
      <c r="AG54" s="367"/>
      <c r="AH54" s="367"/>
      <c r="AI54" s="367"/>
      <c r="AJ54" s="367"/>
      <c r="AK54" s="367"/>
      <c r="AL54" s="367"/>
      <c r="AM54" s="367"/>
      <c r="AN54" s="367"/>
      <c r="AO54" s="86"/>
    </row>
    <row r="55" spans="1:92" ht="16.5" thickBot="1">
      <c r="A55" s="367"/>
      <c r="B55" s="850">
        <f>IF(B!B55&lt;&gt;"",B!B55,)</f>
        <v>0</v>
      </c>
      <c r="C55" s="455">
        <f>B!C55</f>
        <v>0</v>
      </c>
      <c r="D55" s="80">
        <f t="shared" si="8"/>
        <v>0</v>
      </c>
      <c r="E55" s="519"/>
      <c r="F55" s="519"/>
      <c r="G55" s="367"/>
      <c r="H55" s="1200"/>
      <c r="I55" s="856" t="s">
        <v>393</v>
      </c>
      <c r="J55" s="821"/>
      <c r="K55" s="592"/>
      <c r="L55" s="591"/>
      <c r="M55" s="99">
        <f>IF(D19&lt;=0,D19,IF(N55="Yes",D19,0))</f>
        <v>0</v>
      </c>
      <c r="N55" s="438" t="str">
        <f>IF(D19&gt;0,"No","")</f>
        <v/>
      </c>
      <c r="O55" s="377"/>
      <c r="P55" s="660" t="s">
        <v>349</v>
      </c>
      <c r="Q55" s="22">
        <f ca="1">C40</f>
        <v>0</v>
      </c>
      <c r="R55" s="22">
        <f>D40</f>
        <v>0</v>
      </c>
      <c r="S55" s="1144">
        <f ca="1">Q55-R55</f>
        <v>0</v>
      </c>
      <c r="T55" s="1146"/>
      <c r="U55" s="649"/>
      <c r="V55" s="370"/>
      <c r="W55" s="371"/>
      <c r="X55" s="367"/>
      <c r="Y55" s="367"/>
      <c r="Z55" s="367"/>
      <c r="AA55" s="367"/>
      <c r="AB55" s="367"/>
      <c r="AC55" s="367"/>
      <c r="AD55" s="367"/>
      <c r="AE55" s="367"/>
      <c r="AF55" s="367"/>
      <c r="AG55" s="367"/>
      <c r="AH55" s="367"/>
      <c r="AI55" s="367"/>
      <c r="AJ55" s="367"/>
      <c r="AK55" s="367"/>
      <c r="AL55" s="367"/>
      <c r="AM55" s="367"/>
      <c r="AN55" s="367"/>
      <c r="AO55" s="86"/>
      <c r="AP55" s="52" t="s">
        <v>408</v>
      </c>
      <c r="AQ55" s="52" t="s">
        <v>410</v>
      </c>
    </row>
    <row r="56" spans="1:92" ht="16.5" thickBot="1">
      <c r="A56" s="367"/>
      <c r="B56" s="850">
        <f>IF(B!B56&lt;&gt;"",B!B56,)</f>
        <v>0</v>
      </c>
      <c r="C56" s="455">
        <f>B!C56</f>
        <v>0</v>
      </c>
      <c r="D56" s="80">
        <f t="shared" si="8"/>
        <v>0</v>
      </c>
      <c r="E56" s="519"/>
      <c r="F56" s="519"/>
      <c r="G56" s="367"/>
      <c r="H56" s="1201"/>
      <c r="I56" s="1115" t="s">
        <v>394</v>
      </c>
      <c r="J56" s="1116"/>
      <c r="K56" s="587"/>
      <c r="L56" s="594"/>
      <c r="M56" s="1">
        <f ca="1">IF(C41&lt;=0,C41,IF(N56="Yes",C41,0))</f>
        <v>0</v>
      </c>
      <c r="N56" s="438" t="str">
        <f ca="1">IF(C41&gt;0,"No","")</f>
        <v/>
      </c>
      <c r="O56" s="377"/>
      <c r="P56" s="661" t="s">
        <v>179</v>
      </c>
      <c r="Q56" s="662">
        <f ca="1">Q54-Q53-Q55</f>
        <v>0</v>
      </c>
      <c r="R56" s="662">
        <f>R54-R53-R55</f>
        <v>0</v>
      </c>
      <c r="S56" s="1144">
        <f ca="1">SUM(S53:S55)</f>
        <v>0</v>
      </c>
      <c r="T56" s="1145"/>
      <c r="U56" s="647"/>
      <c r="V56" s="371"/>
      <c r="W56" s="371"/>
      <c r="X56" s="367"/>
      <c r="Y56" s="367"/>
      <c r="Z56" s="367"/>
      <c r="AA56" s="367"/>
      <c r="AB56" s="367"/>
      <c r="AC56" s="367"/>
      <c r="AD56" s="367"/>
      <c r="AE56" s="367"/>
      <c r="AF56" s="367"/>
      <c r="AG56" s="367"/>
      <c r="AH56" s="367"/>
      <c r="AI56" s="367"/>
      <c r="AJ56" s="367"/>
      <c r="AK56" s="367"/>
      <c r="AL56" s="367"/>
      <c r="AM56" s="367"/>
      <c r="AN56" s="367"/>
      <c r="AO56" s="86"/>
      <c r="AP56" s="52" t="s">
        <v>409</v>
      </c>
      <c r="AQ56" s="52" t="s">
        <v>411</v>
      </c>
    </row>
    <row r="57" spans="1:92" ht="16.5" thickBot="1">
      <c r="A57" s="367"/>
      <c r="B57" s="16" t="s">
        <v>179</v>
      </c>
      <c r="C57" s="77">
        <f>SUM(C45:C56)</f>
        <v>0</v>
      </c>
      <c r="D57" s="76">
        <f>SUM(D45:D56)</f>
        <v>0</v>
      </c>
      <c r="E57" s="520"/>
      <c r="F57" s="520"/>
      <c r="G57" s="367"/>
      <c r="H57" s="12"/>
      <c r="I57" s="13"/>
      <c r="J57" s="14"/>
      <c r="K57" s="593"/>
      <c r="L57" s="14"/>
      <c r="M57" s="14"/>
      <c r="N57" s="367"/>
      <c r="O57" s="377"/>
      <c r="P57" s="438"/>
      <c r="Q57" s="790"/>
      <c r="R57" s="790"/>
      <c r="S57" s="789"/>
      <c r="T57" s="370"/>
      <c r="U57" s="370"/>
      <c r="V57" s="371"/>
      <c r="W57" s="371"/>
      <c r="X57" s="367"/>
      <c r="Y57" s="367"/>
      <c r="Z57" s="367"/>
      <c r="AA57" s="367"/>
      <c r="AB57" s="367"/>
      <c r="AC57" s="367"/>
      <c r="AD57" s="367"/>
      <c r="AE57" s="367"/>
      <c r="AF57" s="367"/>
      <c r="AG57" s="367"/>
      <c r="AH57" s="367"/>
      <c r="AI57" s="367"/>
      <c r="AJ57" s="367"/>
      <c r="AK57" s="367"/>
      <c r="AL57" s="367"/>
      <c r="AM57" s="367"/>
      <c r="AN57" s="367"/>
      <c r="AO57" s="86"/>
    </row>
    <row r="58" spans="1:92" ht="16.5" customHeight="1" thickBot="1">
      <c r="A58" s="367"/>
      <c r="B58" s="101" t="s">
        <v>367</v>
      </c>
      <c r="C58" s="1113">
        <f>C57-D57</f>
        <v>0</v>
      </c>
      <c r="D58" s="1114"/>
      <c r="E58" s="517"/>
      <c r="F58" s="517"/>
      <c r="G58" s="367"/>
      <c r="H58" s="818" t="s">
        <v>431</v>
      </c>
      <c r="I58" s="817"/>
      <c r="J58" s="817"/>
      <c r="K58" s="588"/>
      <c r="L58" s="588"/>
      <c r="M58" s="103">
        <f ca="1">SUM(M54:M56)</f>
        <v>0</v>
      </c>
      <c r="N58" s="729" t="str">
        <f>AQ55</f>
        <v>Pass</v>
      </c>
      <c r="O58" s="377"/>
      <c r="P58" s="663" t="s">
        <v>400</v>
      </c>
      <c r="Q58" s="664" t="str">
        <f>IF(Z56="","","Expected")</f>
        <v/>
      </c>
      <c r="R58" s="664" t="s">
        <v>398</v>
      </c>
      <c r="S58" s="1236" t="str">
        <f>IF(Z56="","","Diff")</f>
        <v/>
      </c>
      <c r="T58" s="1237"/>
      <c r="U58" s="651"/>
      <c r="V58" s="370"/>
      <c r="W58" s="371"/>
      <c r="X58" s="367"/>
      <c r="Y58" s="367"/>
      <c r="Z58" s="367"/>
      <c r="AA58" s="367"/>
      <c r="AB58" s="367"/>
      <c r="AC58" s="367"/>
      <c r="AD58" s="367"/>
      <c r="AE58" s="367"/>
      <c r="AF58" s="367"/>
      <c r="AG58" s="367"/>
      <c r="AH58" s="367"/>
      <c r="AI58" s="367"/>
      <c r="AJ58" s="367"/>
      <c r="AK58" s="367"/>
      <c r="AL58" s="367"/>
      <c r="AM58" s="367"/>
      <c r="AN58" s="367"/>
      <c r="AO58" s="86"/>
    </row>
    <row r="59" spans="1:92" ht="16.5" thickTop="1" thickBot="1">
      <c r="A59" s="367"/>
      <c r="B59" s="880" t="s">
        <v>382</v>
      </c>
      <c r="C59" s="367"/>
      <c r="D59" s="367"/>
      <c r="E59" s="367"/>
      <c r="F59" s="367"/>
      <c r="G59" s="367"/>
      <c r="H59" s="367"/>
      <c r="I59" s="367"/>
      <c r="J59" s="367"/>
      <c r="K59" s="367"/>
      <c r="L59" s="367"/>
      <c r="M59" s="367"/>
      <c r="N59" s="367"/>
      <c r="O59" s="377"/>
      <c r="P59" s="665" t="s">
        <v>399</v>
      </c>
      <c r="Q59" s="666">
        <f>B!R59+'C'!R56</f>
        <v>0</v>
      </c>
      <c r="R59" s="667"/>
      <c r="S59" s="1235">
        <f>Q59-R59</f>
        <v>0</v>
      </c>
      <c r="T59" s="1146"/>
      <c r="U59" s="649"/>
      <c r="V59" s="371"/>
      <c r="W59" s="371"/>
      <c r="X59" s="367"/>
      <c r="Y59" s="367"/>
      <c r="Z59" s="367"/>
      <c r="AA59" s="367"/>
      <c r="AB59" s="367"/>
      <c r="AC59" s="367"/>
      <c r="AD59" s="367"/>
      <c r="AE59" s="367"/>
      <c r="AF59" s="367"/>
      <c r="AG59" s="367"/>
      <c r="AH59" s="367"/>
      <c r="AI59" s="367"/>
      <c r="AJ59" s="367"/>
      <c r="AK59" s="367"/>
      <c r="AL59" s="367"/>
      <c r="AM59" s="367"/>
      <c r="AN59" s="367"/>
      <c r="AO59" s="86"/>
    </row>
    <row r="60" spans="1:92" ht="15">
      <c r="A60" s="367"/>
      <c r="B60" s="807" t="s">
        <v>383</v>
      </c>
      <c r="C60" s="367"/>
      <c r="D60" s="881" t="s">
        <v>384</v>
      </c>
      <c r="E60" s="367"/>
      <c r="F60" s="367"/>
      <c r="G60" s="367"/>
      <c r="I60" s="367"/>
      <c r="J60" s="367"/>
      <c r="K60" s="367"/>
      <c r="L60" s="367"/>
      <c r="M60" s="367"/>
      <c r="N60" s="367"/>
      <c r="O60" s="377"/>
      <c r="P60" s="367"/>
      <c r="Q60" s="367"/>
      <c r="R60" s="367"/>
      <c r="S60" s="371"/>
      <c r="T60" s="371"/>
      <c r="U60" s="371"/>
      <c r="V60" s="371"/>
      <c r="W60" s="367"/>
      <c r="X60" s="367"/>
      <c r="Y60" s="367"/>
      <c r="Z60" s="367"/>
      <c r="AA60" s="367"/>
      <c r="AB60" s="367"/>
      <c r="AC60" s="367"/>
      <c r="AD60" s="367"/>
      <c r="AE60" s="367"/>
      <c r="AF60" s="367"/>
      <c r="AG60" s="367"/>
      <c r="AH60" s="367"/>
      <c r="AI60" s="367"/>
      <c r="AJ60" s="367"/>
      <c r="AK60" s="367"/>
      <c r="AL60" s="367"/>
      <c r="AM60" s="367"/>
      <c r="AN60" s="367"/>
      <c r="AO60" s="86"/>
    </row>
    <row r="61" spans="1:92" ht="15.75" collapsed="1" thickBot="1">
      <c r="A61" s="367"/>
      <c r="B61" s="884" t="s">
        <v>385</v>
      </c>
      <c r="C61" s="367"/>
      <c r="D61" s="367"/>
      <c r="E61" s="367"/>
      <c r="F61" s="367"/>
      <c r="G61" s="367"/>
      <c r="I61" s="367"/>
      <c r="K61" s="510"/>
      <c r="L61" s="510"/>
      <c r="M61" s="510"/>
      <c r="N61" s="367"/>
      <c r="O61" s="511"/>
      <c r="Q61" s="367"/>
      <c r="R61" s="367"/>
      <c r="S61" s="371"/>
      <c r="T61" s="371"/>
      <c r="U61" s="371"/>
      <c r="V61" s="371"/>
      <c r="W61" s="367"/>
      <c r="X61" s="367"/>
      <c r="Y61" s="367"/>
      <c r="Z61" s="367"/>
      <c r="AA61" s="367"/>
      <c r="AB61" s="367"/>
      <c r="AC61" s="367"/>
      <c r="AD61" s="367"/>
      <c r="AE61" s="367"/>
      <c r="AF61" s="367"/>
      <c r="AG61" s="367"/>
      <c r="AH61" s="367"/>
      <c r="AI61" s="367"/>
      <c r="AJ61" s="367"/>
      <c r="AK61" s="367"/>
      <c r="AL61" s="367"/>
      <c r="AM61" s="367"/>
      <c r="AN61" s="367"/>
      <c r="AO61" s="86"/>
    </row>
    <row r="62" spans="1:92" ht="15.75" hidden="1" customHeight="1" outlineLevel="1" thickBot="1">
      <c r="A62" s="367"/>
      <c r="B62" s="367"/>
      <c r="C62" s="367"/>
      <c r="D62" s="367"/>
      <c r="E62" s="367"/>
      <c r="F62" s="367"/>
      <c r="G62" s="367"/>
      <c r="H62" s="505"/>
      <c r="I62" s="367"/>
      <c r="J62" s="367"/>
      <c r="K62" s="581"/>
      <c r="L62" s="367"/>
      <c r="M62" s="367"/>
      <c r="N62" s="367"/>
      <c r="O62" s="511"/>
      <c r="P62" s="505"/>
      <c r="Q62" s="367"/>
      <c r="R62" s="367"/>
      <c r="S62" s="371"/>
      <c r="T62" s="371"/>
      <c r="U62" s="371"/>
      <c r="V62" s="631"/>
      <c r="W62" s="367"/>
      <c r="X62" s="367"/>
      <c r="Y62" s="367"/>
      <c r="Z62" s="367"/>
      <c r="AA62" s="367"/>
      <c r="AB62" s="367"/>
      <c r="AC62" s="367"/>
      <c r="AD62" s="367"/>
      <c r="AE62" s="367"/>
      <c r="AF62" s="367"/>
      <c r="AG62" s="367"/>
      <c r="AH62" s="367"/>
      <c r="AI62" s="367"/>
      <c r="AJ62" s="367"/>
      <c r="AK62" s="367"/>
      <c r="AL62" s="367"/>
      <c r="AM62" s="367"/>
      <c r="AN62" s="367"/>
      <c r="AO62" s="86"/>
    </row>
    <row r="63" spans="1:92" s="367" customFormat="1" ht="33.75" hidden="1" customHeight="1" outlineLevel="1">
      <c r="B63" s="1120" t="s">
        <v>388</v>
      </c>
      <c r="C63" s="1122" t="s">
        <v>354</v>
      </c>
      <c r="D63" s="1124" t="s">
        <v>358</v>
      </c>
      <c r="E63" s="1126" t="s">
        <v>380</v>
      </c>
      <c r="F63" s="1127" t="s">
        <v>335</v>
      </c>
      <c r="H63" s="503" t="s">
        <v>356</v>
      </c>
      <c r="I63" s="682" t="s">
        <v>357</v>
      </c>
      <c r="J63" s="812" t="s">
        <v>358</v>
      </c>
      <c r="K63" s="598" t="s">
        <v>380</v>
      </c>
      <c r="L63" s="600" t="s">
        <v>335</v>
      </c>
      <c r="M63" s="504" t="s">
        <v>389</v>
      </c>
      <c r="O63" s="506" t="s">
        <v>356</v>
      </c>
      <c r="P63" s="507" t="s">
        <v>357</v>
      </c>
      <c r="Q63" s="813" t="s">
        <v>358</v>
      </c>
      <c r="R63" s="507" t="s">
        <v>359</v>
      </c>
      <c r="S63" s="814" t="s">
        <v>390</v>
      </c>
      <c r="T63" s="815" t="s">
        <v>391</v>
      </c>
      <c r="U63" s="637" t="s">
        <v>380</v>
      </c>
      <c r="V63" s="616" t="s">
        <v>335</v>
      </c>
      <c r="W63" s="632" t="s">
        <v>389</v>
      </c>
      <c r="AO63" s="86"/>
      <c r="AP63" s="86"/>
      <c r="AQ63" s="86"/>
      <c r="AR63" s="86"/>
      <c r="AS63" s="86"/>
      <c r="AT63" s="86"/>
      <c r="AU63" s="86"/>
      <c r="AV63" s="86"/>
      <c r="AW63" s="86"/>
      <c r="AX63" s="86"/>
      <c r="AY63" s="86"/>
      <c r="CM63" s="86"/>
      <c r="CN63" s="86"/>
    </row>
    <row r="64" spans="1:92" s="367" customFormat="1" ht="15" hidden="1" customHeight="1" outlineLevel="1">
      <c r="B64" s="1121"/>
      <c r="C64" s="1123"/>
      <c r="D64" s="1125"/>
      <c r="E64" s="1126"/>
      <c r="F64" s="1127"/>
      <c r="H64" s="543"/>
      <c r="I64" s="853"/>
      <c r="J64" s="6"/>
      <c r="K64" s="541"/>
      <c r="L64" s="860"/>
      <c r="M64" s="20" t="str">
        <f>IF(J64="","",$M$5-SUM($J$7:J64))</f>
        <v/>
      </c>
      <c r="O64" s="106"/>
      <c r="P64" s="871">
        <f>IF(B!Q64&lt;&gt;B!R64,IF(B!Q64&lt;&gt;0,IF(B!S64&lt;&gt;B!T64,B!P64,),),)</f>
        <v>0</v>
      </c>
      <c r="Q64" s="795">
        <f>IF(B!Q64&lt;&gt;B!R64,IF(B!Q64&lt;&gt;0,IF(B!S64&lt;&gt;B!T64,B!Q64,),),)</f>
        <v>0</v>
      </c>
      <c r="R64" s="628">
        <f>IF(B!Q64&lt;&gt;B!R64,IF(B!Q64&lt;&gt;0,IF(B!S64&lt;&gt;B!T64,0,Q64),Q64),Q64)</f>
        <v>0</v>
      </c>
      <c r="S64" s="796">
        <f>IF(B!Q64&lt;&gt;B!R64,IF(B!Q64&lt;&gt;0,IF(B!S64&lt;&gt;B!T64,B!S64+1,),),)</f>
        <v>0</v>
      </c>
      <c r="T64" s="796">
        <f>IF(B!Q64&lt;&gt;B!R64,IF(B!Q64&lt;&gt;0,IF(B!S64&lt;&gt;B!T64,B!T64,),),)</f>
        <v>0</v>
      </c>
      <c r="U64" s="797">
        <f>IF(B!Q64&lt;&gt;B!R64,IF(B!Q64&lt;&gt;0,IF(B!S64&lt;&gt;B!T64,B!U64,),),)</f>
        <v>0</v>
      </c>
      <c r="V64" s="875">
        <f>IF(B!Q64&lt;&gt;B!R64,IF(B!Q64&lt;&gt;0,IF(B!S64&lt;&gt;B!T64,B!V64,),),)</f>
        <v>0</v>
      </c>
      <c r="W64" s="633">
        <f>IF(Q64="","",$W$5-SUM($Q$7:$Q$45)-SUM($Q$64:Q64))</f>
        <v>0</v>
      </c>
      <c r="AO64" s="86"/>
      <c r="AP64" s="86"/>
      <c r="AQ64" s="86"/>
      <c r="AR64" s="86"/>
      <c r="AS64" s="86"/>
      <c r="AT64" s="86"/>
      <c r="AU64" s="86"/>
      <c r="AV64" s="86"/>
      <c r="AW64" s="86"/>
      <c r="AX64" s="86"/>
      <c r="AY64" s="86"/>
      <c r="CM64" s="86"/>
      <c r="CN64" s="86"/>
    </row>
    <row r="65" spans="2:92" s="367" customFormat="1" ht="15" hidden="1" customHeight="1" outlineLevel="1">
      <c r="B65" s="852">
        <f ca="1">IF(B!B65&lt;&gt;"",B!B65,)</f>
        <v>0</v>
      </c>
      <c r="C65" s="454">
        <f ca="1">B!C65</f>
        <v>0</v>
      </c>
      <c r="D65" s="74"/>
      <c r="E65" s="521"/>
      <c r="F65" s="858"/>
      <c r="H65" s="543"/>
      <c r="I65" s="853"/>
      <c r="J65" s="6"/>
      <c r="K65" s="541"/>
      <c r="L65" s="860"/>
      <c r="M65" s="20" t="str">
        <f>IF(J65="","",$M$5-SUM($J$7:J65))</f>
        <v/>
      </c>
      <c r="O65" s="7"/>
      <c r="P65" s="872">
        <f>IF(B!Q65&lt;&gt;B!R65,IF(B!Q65&lt;&gt;0,IF(B!S65&lt;&gt;B!T65,B!P65,),),)</f>
        <v>0</v>
      </c>
      <c r="Q65" s="795">
        <f>IF(B!Q65&lt;&gt;B!R65,IF(B!Q65&lt;&gt;0,IF(B!S65&lt;&gt;B!T65,B!Q65,),),)</f>
        <v>0</v>
      </c>
      <c r="R65" s="628">
        <f>IF(B!Q65&lt;&gt;B!R65,IF(B!Q65&lt;&gt;0,IF(B!S65&lt;&gt;B!T65,0,Q65),Q65),Q65)</f>
        <v>0</v>
      </c>
      <c r="S65" s="796">
        <f>IF(B!Q65&lt;&gt;B!R65,IF(B!Q65&lt;&gt;0,IF(B!S65&lt;&gt;B!T65,B!S65+1,),),)</f>
        <v>0</v>
      </c>
      <c r="T65" s="796">
        <f>IF(B!Q65&lt;&gt;B!R65,IF(B!Q65&lt;&gt;0,IF(B!S65&lt;&gt;B!T65,B!T65,),),)</f>
        <v>0</v>
      </c>
      <c r="U65" s="797">
        <f>IF(B!Q65&lt;&gt;B!R65,IF(B!Q65&lt;&gt;0,IF(B!S65&lt;&gt;B!T65,B!U65,),),)</f>
        <v>0</v>
      </c>
      <c r="V65" s="875">
        <f>IF(B!Q65&lt;&gt;B!R65,IF(B!Q65&lt;&gt;0,IF(B!S65&lt;&gt;B!T65,B!V65,),),)</f>
        <v>0</v>
      </c>
      <c r="W65" s="633">
        <f>IF(Q65="","",$W$5-SUM($Q$7:$Q$45)-SUM($Q$64:Q65))</f>
        <v>0</v>
      </c>
      <c r="AO65" s="86"/>
      <c r="AP65" s="86"/>
      <c r="AQ65" s="86"/>
      <c r="AR65" s="86"/>
      <c r="AS65" s="86"/>
      <c r="AT65" s="86"/>
      <c r="AU65" s="86"/>
      <c r="AV65" s="86"/>
      <c r="AW65" s="86"/>
      <c r="AX65" s="86"/>
      <c r="AY65" s="86"/>
      <c r="CM65" s="86"/>
      <c r="CN65" s="86"/>
    </row>
    <row r="66" spans="2:92" s="367" customFormat="1" ht="15.75" hidden="1" customHeight="1" outlineLevel="1">
      <c r="B66" s="852">
        <f ca="1">IF(B!B66&lt;&gt;"",B!B66,)</f>
        <v>0</v>
      </c>
      <c r="C66" s="454">
        <f ca="1">B!C66</f>
        <v>0</v>
      </c>
      <c r="D66" s="74"/>
      <c r="E66" s="521"/>
      <c r="F66" s="858"/>
      <c r="H66" s="543"/>
      <c r="I66" s="853"/>
      <c r="J66" s="6"/>
      <c r="K66" s="541"/>
      <c r="L66" s="860"/>
      <c r="M66" s="20" t="str">
        <f>IF(J66="","",$M$5-SUM($J$7:J66))</f>
        <v/>
      </c>
      <c r="O66" s="7"/>
      <c r="P66" s="871">
        <f>IF(B!Q66&lt;&gt;B!R66,IF(B!Q66&lt;&gt;0,IF(B!S66&lt;&gt;B!T66,B!P66,),),)</f>
        <v>0</v>
      </c>
      <c r="Q66" s="795">
        <f>IF(B!Q66&lt;&gt;B!R66,IF(B!Q66&lt;&gt;0,IF(B!S66&lt;&gt;B!T66,B!Q66,),),)</f>
        <v>0</v>
      </c>
      <c r="R66" s="628">
        <f>IF(B!Q66&lt;&gt;B!R66,IF(B!Q66&lt;&gt;0,IF(B!S66&lt;&gt;B!T66,0,Q66),Q66),Q66)</f>
        <v>0</v>
      </c>
      <c r="S66" s="796">
        <f>IF(B!Q66&lt;&gt;B!R66,IF(B!Q66&lt;&gt;0,IF(B!S66&lt;&gt;B!T66,B!S66+1,),),)</f>
        <v>0</v>
      </c>
      <c r="T66" s="796">
        <f>IF(B!Q66&lt;&gt;B!R66,IF(B!Q66&lt;&gt;0,IF(B!S66&lt;&gt;B!T66,B!T66,),),)</f>
        <v>0</v>
      </c>
      <c r="U66" s="797">
        <f>IF(B!Q66&lt;&gt;B!R66,IF(B!Q66&lt;&gt;0,IF(B!S66&lt;&gt;B!T66,B!U66,),),)</f>
        <v>0</v>
      </c>
      <c r="V66" s="875">
        <f>IF(B!Q66&lt;&gt;B!R66,IF(B!Q66&lt;&gt;0,IF(B!S66&lt;&gt;B!T66,B!V66,),),)</f>
        <v>0</v>
      </c>
      <c r="W66" s="633">
        <f>IF(Q66="","",$W$5-SUM($Q$7:$Q$45)-SUM($Q$64:Q66))</f>
        <v>0</v>
      </c>
      <c r="AO66" s="86"/>
      <c r="AP66" s="86"/>
      <c r="AQ66" s="86"/>
      <c r="AR66" s="86"/>
      <c r="AS66" s="86"/>
      <c r="AT66" s="86"/>
      <c r="AU66" s="86"/>
      <c r="AV66" s="86"/>
      <c r="AW66" s="86"/>
      <c r="AX66" s="86"/>
      <c r="AY66" s="86"/>
      <c r="CM66" s="86"/>
      <c r="CN66" s="86"/>
    </row>
    <row r="67" spans="2:92" s="367" customFormat="1" ht="15.75" hidden="1" customHeight="1" outlineLevel="1">
      <c r="B67" s="852">
        <f ca="1">IF(B!B67&lt;&gt;"",B!B67,)</f>
        <v>0</v>
      </c>
      <c r="C67" s="454">
        <f ca="1">B!C67</f>
        <v>0</v>
      </c>
      <c r="D67" s="74"/>
      <c r="E67" s="521"/>
      <c r="F67" s="858"/>
      <c r="H67" s="543"/>
      <c r="I67" s="853"/>
      <c r="J67" s="6"/>
      <c r="K67" s="541"/>
      <c r="L67" s="860"/>
      <c r="M67" s="20" t="str">
        <f>IF(J67="","",$M$5-SUM($J$7:J67))</f>
        <v/>
      </c>
      <c r="O67" s="7"/>
      <c r="P67" s="871">
        <f>IF(B!Q67&lt;&gt;B!R67,IF(B!Q67&lt;&gt;0,IF(B!S67&lt;&gt;B!T67,B!P67,),),)</f>
        <v>0</v>
      </c>
      <c r="Q67" s="798">
        <f>IF(B!Q67&lt;&gt;B!R67,IF(B!Q67&lt;&gt;0,IF(B!S67&lt;&gt;B!T67,B!Q67,),),)</f>
        <v>0</v>
      </c>
      <c r="R67" s="628">
        <f>IF(B!Q67&lt;&gt;B!R67,IF(B!Q67&lt;&gt;0,IF(B!S67&lt;&gt;B!T67,0,Q67),Q67),Q67)</f>
        <v>0</v>
      </c>
      <c r="S67" s="796">
        <f>IF(B!Q67&lt;&gt;B!R67,IF(B!Q67&lt;&gt;0,IF(B!S67&lt;&gt;B!T67,B!S67+1,),),)</f>
        <v>0</v>
      </c>
      <c r="T67" s="796">
        <f>IF(B!Q67&lt;&gt;B!R67,IF(B!Q67&lt;&gt;0,IF(B!S67&lt;&gt;B!T67,B!T67,),),)</f>
        <v>0</v>
      </c>
      <c r="U67" s="797">
        <f>IF(B!Q67&lt;&gt;B!R67,IF(B!Q67&lt;&gt;0,IF(B!S67&lt;&gt;B!T67,B!U67,),),)</f>
        <v>0</v>
      </c>
      <c r="V67" s="875">
        <f>IF(B!Q67&lt;&gt;B!R67,IF(B!Q67&lt;&gt;0,IF(B!S67&lt;&gt;B!T67,B!V67,),),)</f>
        <v>0</v>
      </c>
      <c r="W67" s="633">
        <f>IF(Q67="","",$W$5-SUM($Q$7:$Q$45)-SUM($Q$64:Q67))</f>
        <v>0</v>
      </c>
      <c r="AO67" s="86"/>
      <c r="AP67" s="86"/>
      <c r="AQ67" s="86"/>
      <c r="AR67" s="86"/>
      <c r="AS67" s="86"/>
      <c r="AT67" s="86"/>
      <c r="AU67" s="86"/>
      <c r="AV67" s="86"/>
      <c r="AW67" s="86"/>
      <c r="AX67" s="86"/>
      <c r="AY67" s="86"/>
      <c r="CM67" s="86"/>
      <c r="CN67" s="86"/>
    </row>
    <row r="68" spans="2:92" s="367" customFormat="1" ht="15.75" hidden="1" customHeight="1" outlineLevel="1">
      <c r="B68" s="852">
        <f ca="1">IF(B!B68&lt;&gt;"",B!B68,)</f>
        <v>0</v>
      </c>
      <c r="C68" s="454">
        <f ca="1">B!C68</f>
        <v>0</v>
      </c>
      <c r="D68" s="74"/>
      <c r="E68" s="521"/>
      <c r="F68" s="858"/>
      <c r="H68" s="543"/>
      <c r="I68" s="853"/>
      <c r="J68" s="6"/>
      <c r="K68" s="541"/>
      <c r="L68" s="860"/>
      <c r="M68" s="20" t="str">
        <f>IF(J68="","",$M$5-SUM($J$7:J68))</f>
        <v/>
      </c>
      <c r="O68" s="7"/>
      <c r="P68" s="871">
        <f>IF(B!Q68&lt;&gt;B!R68,IF(B!Q68&lt;&gt;0,IF(B!S68&lt;&gt;B!T68,B!P68,),),)</f>
        <v>0</v>
      </c>
      <c r="Q68" s="795">
        <f>IF(B!Q68&lt;&gt;B!R68,IF(B!Q68&lt;&gt;0,IF(B!S68&lt;&gt;B!T68,B!Q68,),),)</f>
        <v>0</v>
      </c>
      <c r="R68" s="628">
        <f>IF(B!Q68&lt;&gt;B!R68,IF(B!Q68&lt;&gt;0,IF(B!S68&lt;&gt;B!T68,0,Q68),Q68),Q68)</f>
        <v>0</v>
      </c>
      <c r="S68" s="796">
        <f>IF(B!Q68&lt;&gt;B!R68,IF(B!Q68&lt;&gt;0,IF(B!S68&lt;&gt;B!T68,B!S68+1,),),)</f>
        <v>0</v>
      </c>
      <c r="T68" s="796">
        <f>IF(B!Q68&lt;&gt;B!R68,IF(B!Q68&lt;&gt;0,IF(B!S68&lt;&gt;B!T68,B!T68,),),)</f>
        <v>0</v>
      </c>
      <c r="U68" s="797">
        <f>IF(B!Q68&lt;&gt;B!R68,IF(B!Q68&lt;&gt;0,IF(B!S68&lt;&gt;B!T68,B!U68,),),)</f>
        <v>0</v>
      </c>
      <c r="V68" s="875">
        <f>IF(B!Q68&lt;&gt;B!R68,IF(B!Q68&lt;&gt;0,IF(B!S68&lt;&gt;B!T68,B!V68,),),)</f>
        <v>0</v>
      </c>
      <c r="W68" s="633">
        <f>IF(Q68="","",$W$5-SUM($Q$7:$Q$45)-SUM($Q$64:Q68))</f>
        <v>0</v>
      </c>
      <c r="AO68" s="86"/>
      <c r="AP68" s="86"/>
      <c r="AQ68" s="86"/>
      <c r="AR68" s="86"/>
      <c r="AS68" s="86"/>
      <c r="AT68" s="86"/>
      <c r="AU68" s="86"/>
      <c r="AV68" s="86"/>
      <c r="AW68" s="86"/>
      <c r="AX68" s="86"/>
      <c r="AY68" s="86"/>
      <c r="CM68" s="86"/>
      <c r="CN68" s="86"/>
    </row>
    <row r="69" spans="2:92" s="367" customFormat="1" ht="15.75" hidden="1" customHeight="1" outlineLevel="1">
      <c r="B69" s="852">
        <f ca="1">IF(B!B69&lt;&gt;"",B!B69,)</f>
        <v>0</v>
      </c>
      <c r="C69" s="454">
        <f ca="1">B!C69</f>
        <v>0</v>
      </c>
      <c r="D69" s="74"/>
      <c r="E69" s="521"/>
      <c r="F69" s="858"/>
      <c r="H69" s="543"/>
      <c r="I69" s="853"/>
      <c r="J69" s="6"/>
      <c r="K69" s="541"/>
      <c r="L69" s="860"/>
      <c r="M69" s="20" t="str">
        <f>IF(J69="","",$M$5-SUM($J$7:J69))</f>
        <v/>
      </c>
      <c r="O69" s="7"/>
      <c r="P69" s="871">
        <f>IF(B!Q69&lt;&gt;B!R69,IF(B!Q69&lt;&gt;0,IF(B!S69&lt;&gt;B!T69,B!P69,),),)</f>
        <v>0</v>
      </c>
      <c r="Q69" s="795">
        <f>IF(B!Q69&lt;&gt;B!R69,IF(B!Q69&lt;&gt;0,IF(B!S69&lt;&gt;B!T69,B!Q69,),),)</f>
        <v>0</v>
      </c>
      <c r="R69" s="628">
        <f>IF(B!Q69&lt;&gt;B!R69,IF(B!Q69&lt;&gt;0,IF(B!S69&lt;&gt;B!T69,0,Q69),Q69),Q69)</f>
        <v>0</v>
      </c>
      <c r="S69" s="796">
        <f>IF(B!Q69&lt;&gt;B!R69,IF(B!Q69&lt;&gt;0,IF(B!S69&lt;&gt;B!T69,B!S69+1,),),)</f>
        <v>0</v>
      </c>
      <c r="T69" s="796">
        <f>IF(B!Q69&lt;&gt;B!R69,IF(B!Q69&lt;&gt;0,IF(B!S69&lt;&gt;B!T69,B!T69,),),)</f>
        <v>0</v>
      </c>
      <c r="U69" s="797">
        <f>IF(B!Q69&lt;&gt;B!R69,IF(B!Q69&lt;&gt;0,IF(B!S69&lt;&gt;B!T69,B!U69,),),)</f>
        <v>0</v>
      </c>
      <c r="V69" s="875">
        <f>IF(B!Q69&lt;&gt;B!R69,IF(B!Q69&lt;&gt;0,IF(B!S69&lt;&gt;B!T69,B!V69,),),)</f>
        <v>0</v>
      </c>
      <c r="W69" s="633">
        <f>IF(Q69="","",$W$5-SUM($Q$7:$Q$45)-SUM($Q$64:Q69))</f>
        <v>0</v>
      </c>
      <c r="AO69" s="86"/>
      <c r="AP69" s="86"/>
      <c r="AQ69" s="86"/>
      <c r="AR69" s="86"/>
      <c r="AS69" s="86"/>
      <c r="AT69" s="86"/>
      <c r="AU69" s="86"/>
      <c r="AV69" s="86"/>
      <c r="AW69" s="86"/>
      <c r="AX69" s="86"/>
      <c r="AY69" s="86"/>
      <c r="CM69" s="86"/>
      <c r="CN69" s="86"/>
    </row>
    <row r="70" spans="2:92" s="367" customFormat="1" ht="15.75" hidden="1" customHeight="1" outlineLevel="1">
      <c r="B70" s="852">
        <f ca="1">IF(B!B70&lt;&gt;"",B!B70,)</f>
        <v>0</v>
      </c>
      <c r="C70" s="454">
        <f ca="1">B!C70</f>
        <v>0</v>
      </c>
      <c r="D70" s="74"/>
      <c r="E70" s="521"/>
      <c r="F70" s="858"/>
      <c r="H70" s="543"/>
      <c r="I70" s="853"/>
      <c r="J70" s="6"/>
      <c r="K70" s="541"/>
      <c r="L70" s="860"/>
      <c r="M70" s="20" t="str">
        <f>IF(J70="","",$M$5-SUM($J$7:J70))</f>
        <v/>
      </c>
      <c r="O70" s="7"/>
      <c r="P70" s="871">
        <f>IF(B!Q70&lt;&gt;B!R70,IF(B!Q70&lt;&gt;0,IF(B!S70&lt;&gt;B!T70,B!P70,),),)</f>
        <v>0</v>
      </c>
      <c r="Q70" s="795">
        <f>IF(B!Q70&lt;&gt;B!R70,IF(B!Q70&lt;&gt;0,IF(B!S70&lt;&gt;B!T70,B!Q70,),),)</f>
        <v>0</v>
      </c>
      <c r="R70" s="628">
        <f>IF(B!Q70&lt;&gt;B!R70,IF(B!Q70&lt;&gt;0,IF(B!S70&lt;&gt;B!T70,0,Q70),Q70),Q70)</f>
        <v>0</v>
      </c>
      <c r="S70" s="796">
        <f>IF(B!Q70&lt;&gt;B!R70,IF(B!Q70&lt;&gt;0,IF(B!S70&lt;&gt;B!T70,B!S70+1,),),)</f>
        <v>0</v>
      </c>
      <c r="T70" s="796">
        <f>IF(B!Q70&lt;&gt;B!R70,IF(B!Q70&lt;&gt;0,IF(B!S70&lt;&gt;B!T70,B!T70,),),)</f>
        <v>0</v>
      </c>
      <c r="U70" s="797">
        <f>IF(B!Q70&lt;&gt;B!R70,IF(B!Q70&lt;&gt;0,IF(B!S70&lt;&gt;B!T70,B!U70,),),)</f>
        <v>0</v>
      </c>
      <c r="V70" s="875">
        <f>IF(B!Q70&lt;&gt;B!R70,IF(B!Q70&lt;&gt;0,IF(B!S70&lt;&gt;B!T70,B!V70,),),)</f>
        <v>0</v>
      </c>
      <c r="W70" s="633">
        <f>IF(Q70="","",$W$5-SUM($Q$7:$Q$45)-SUM($Q$64:Q70))</f>
        <v>0</v>
      </c>
      <c r="AO70" s="86"/>
      <c r="AP70" s="86"/>
      <c r="AQ70" s="86"/>
      <c r="AR70" s="86"/>
      <c r="AS70" s="86"/>
      <c r="AT70" s="86"/>
      <c r="AU70" s="86"/>
      <c r="AV70" s="86"/>
      <c r="AW70" s="86"/>
      <c r="AX70" s="86"/>
      <c r="AY70" s="86"/>
      <c r="CM70" s="86"/>
      <c r="CN70" s="86"/>
    </row>
    <row r="71" spans="2:92" s="367" customFormat="1" ht="15.75" hidden="1" customHeight="1" outlineLevel="1">
      <c r="B71" s="852">
        <f ca="1">IF(B!B71&lt;&gt;"",B!B71,)</f>
        <v>0</v>
      </c>
      <c r="C71" s="454">
        <f ca="1">B!C71</f>
        <v>0</v>
      </c>
      <c r="D71" s="74"/>
      <c r="E71" s="521"/>
      <c r="F71" s="858"/>
      <c r="H71" s="543"/>
      <c r="I71" s="853"/>
      <c r="J71" s="6"/>
      <c r="K71" s="541"/>
      <c r="L71" s="860"/>
      <c r="M71" s="20" t="str">
        <f>IF(J71="","",$M$5-SUM($J$7:J71))</f>
        <v/>
      </c>
      <c r="O71" s="7"/>
      <c r="P71" s="871">
        <f>IF(B!Q71&lt;&gt;B!R71,IF(B!Q71&lt;&gt;0,IF(B!S71&lt;&gt;B!T71,B!P71,),),)</f>
        <v>0</v>
      </c>
      <c r="Q71" s="795">
        <f>IF(B!Q71&lt;&gt;B!R71,IF(B!Q71&lt;&gt;0,IF(B!S71&lt;&gt;B!T71,B!Q71,),),)</f>
        <v>0</v>
      </c>
      <c r="R71" s="628">
        <f>IF(B!Q71&lt;&gt;B!R71,IF(B!Q71&lt;&gt;0,IF(B!S71&lt;&gt;B!T71,0,Q71),Q71),Q71)</f>
        <v>0</v>
      </c>
      <c r="S71" s="796">
        <f>IF(B!Q71&lt;&gt;B!R71,IF(B!Q71&lt;&gt;0,IF(B!S71&lt;&gt;B!T71,B!S71+1,),),)</f>
        <v>0</v>
      </c>
      <c r="T71" s="796">
        <f>IF(B!Q71&lt;&gt;B!R71,IF(B!Q71&lt;&gt;0,IF(B!S71&lt;&gt;B!T71,B!T71,),),)</f>
        <v>0</v>
      </c>
      <c r="U71" s="797">
        <f>IF(B!Q71&lt;&gt;B!R71,IF(B!Q71&lt;&gt;0,IF(B!S71&lt;&gt;B!T71,B!U71,),),)</f>
        <v>0</v>
      </c>
      <c r="V71" s="875">
        <f>IF(B!Q71&lt;&gt;B!R71,IF(B!Q71&lt;&gt;0,IF(B!S71&lt;&gt;B!T71,B!V71,),),)</f>
        <v>0</v>
      </c>
      <c r="W71" s="633">
        <f>IF(Q71="","",$W$5-SUM($Q$7:$Q$45)-SUM($Q$64:Q71))</f>
        <v>0</v>
      </c>
      <c r="AO71" s="86"/>
      <c r="AP71" s="86"/>
      <c r="AQ71" s="86"/>
      <c r="AR71" s="86"/>
      <c r="AS71" s="86"/>
      <c r="AT71" s="86"/>
      <c r="AU71" s="86"/>
      <c r="AV71" s="86"/>
      <c r="AW71" s="86"/>
      <c r="AX71" s="86"/>
      <c r="AY71" s="86"/>
      <c r="CM71" s="86"/>
      <c r="CN71" s="86"/>
    </row>
    <row r="72" spans="2:92" s="367" customFormat="1" ht="15.75" hidden="1" customHeight="1" outlineLevel="1">
      <c r="B72" s="852">
        <f ca="1">IF(B!B72&lt;&gt;"",B!B72,)</f>
        <v>0</v>
      </c>
      <c r="C72" s="454">
        <f ca="1">B!C72</f>
        <v>0</v>
      </c>
      <c r="D72" s="74"/>
      <c r="E72" s="521"/>
      <c r="F72" s="858"/>
      <c r="H72" s="543"/>
      <c r="I72" s="853"/>
      <c r="J72" s="6"/>
      <c r="K72" s="541"/>
      <c r="L72" s="860"/>
      <c r="M72" s="20" t="str">
        <f>IF(J72="","",$M$5-SUM($J$7:J72))</f>
        <v/>
      </c>
      <c r="O72" s="7"/>
      <c r="P72" s="871">
        <f>IF(B!Q72&lt;&gt;B!R72,IF(B!Q72&lt;&gt;0,IF(B!S72&lt;&gt;B!T72,B!P72,),),)</f>
        <v>0</v>
      </c>
      <c r="Q72" s="795">
        <f>IF(B!Q72&lt;&gt;B!R72,IF(B!Q72&lt;&gt;0,IF(B!S72&lt;&gt;B!T72,B!Q72,),),)</f>
        <v>0</v>
      </c>
      <c r="R72" s="628">
        <f>IF(B!Q72&lt;&gt;B!R72,IF(B!Q72&lt;&gt;0,IF(B!S72&lt;&gt;B!T72,0,Q72),Q72),Q72)</f>
        <v>0</v>
      </c>
      <c r="S72" s="796">
        <f>IF(B!Q72&lt;&gt;B!R72,IF(B!Q72&lt;&gt;0,IF(B!S72&lt;&gt;B!T72,B!S72+1,),),)</f>
        <v>0</v>
      </c>
      <c r="T72" s="796">
        <f>IF(B!Q72&lt;&gt;B!R72,IF(B!Q72&lt;&gt;0,IF(B!S72&lt;&gt;B!T72,B!T72,),),)</f>
        <v>0</v>
      </c>
      <c r="U72" s="797">
        <f>IF(B!Q72&lt;&gt;B!R72,IF(B!Q72&lt;&gt;0,IF(B!S72&lt;&gt;B!T72,B!U72,),),)</f>
        <v>0</v>
      </c>
      <c r="V72" s="875">
        <f>IF(B!Q72&lt;&gt;B!R72,IF(B!Q72&lt;&gt;0,IF(B!S72&lt;&gt;B!T72,B!V72,),),)</f>
        <v>0</v>
      </c>
      <c r="W72" s="633">
        <f>IF(Q72="","",$W$5-SUM($Q$7:$Q$45)-SUM($Q$64:Q72))</f>
        <v>0</v>
      </c>
      <c r="AO72" s="86"/>
      <c r="AP72" s="86"/>
      <c r="AQ72" s="86"/>
      <c r="AR72" s="86"/>
      <c r="AS72" s="86"/>
      <c r="AT72" s="86"/>
      <c r="AU72" s="86"/>
      <c r="AV72" s="86"/>
      <c r="AW72" s="86"/>
      <c r="AX72" s="86"/>
      <c r="AY72" s="86"/>
      <c r="CM72" s="86"/>
      <c r="CN72" s="86"/>
    </row>
    <row r="73" spans="2:92" s="367" customFormat="1" ht="15.75" hidden="1" customHeight="1" outlineLevel="1">
      <c r="B73" s="852">
        <f ca="1">IF(B!B73&lt;&gt;"",B!B73,)</f>
        <v>0</v>
      </c>
      <c r="C73" s="454">
        <f ca="1">B!C73</f>
        <v>0</v>
      </c>
      <c r="D73" s="74"/>
      <c r="E73" s="521"/>
      <c r="F73" s="858"/>
      <c r="H73" s="543"/>
      <c r="I73" s="853"/>
      <c r="J73" s="6"/>
      <c r="K73" s="541"/>
      <c r="L73" s="860"/>
      <c r="M73" s="20" t="str">
        <f>IF(J73="","",$M$5-SUM($J$7:J73))</f>
        <v/>
      </c>
      <c r="O73" s="7"/>
      <c r="P73" s="873">
        <f>IF(B!Q73&lt;&gt;B!R73,IF(B!Q73&lt;&gt;0,IF(B!S73&lt;&gt;B!T73,B!P73,),),)</f>
        <v>0</v>
      </c>
      <c r="Q73" s="795">
        <f>IF(B!Q73&lt;&gt;B!R73,IF(B!Q73&lt;&gt;0,IF(B!S73&lt;&gt;B!T73,B!Q73,),),)</f>
        <v>0</v>
      </c>
      <c r="R73" s="628">
        <f>IF(B!Q73&lt;&gt;B!R73,IF(B!Q73&lt;&gt;0,IF(B!S73&lt;&gt;B!T73,0,Q73),Q73),Q73)</f>
        <v>0</v>
      </c>
      <c r="S73" s="796">
        <f>IF(B!Q73&lt;&gt;B!R73,IF(B!Q73&lt;&gt;0,IF(B!S73&lt;&gt;B!T73,B!S73+1,),),)</f>
        <v>0</v>
      </c>
      <c r="T73" s="796">
        <f>IF(B!Q73&lt;&gt;B!R73,IF(B!Q73&lt;&gt;0,IF(B!S73&lt;&gt;B!T73,B!T73,),),)</f>
        <v>0</v>
      </c>
      <c r="U73" s="797">
        <f>IF(B!Q73&lt;&gt;B!R73,IF(B!Q73&lt;&gt;0,IF(B!S73&lt;&gt;B!T73,B!U73,),),)</f>
        <v>0</v>
      </c>
      <c r="V73" s="875">
        <f>IF(B!Q73&lt;&gt;B!R73,IF(B!Q73&lt;&gt;0,IF(B!S73&lt;&gt;B!T73,B!V73,),),)</f>
        <v>0</v>
      </c>
      <c r="W73" s="633">
        <f>IF(Q73="","",$W$5-SUM($Q$7:$Q$45)-SUM($Q$64:Q73))</f>
        <v>0</v>
      </c>
      <c r="AO73" s="86"/>
      <c r="AP73" s="86"/>
      <c r="AQ73" s="86"/>
      <c r="AR73" s="86"/>
      <c r="AS73" s="86"/>
      <c r="AT73" s="86"/>
      <c r="AU73" s="86"/>
      <c r="AV73" s="86"/>
      <c r="AW73" s="86"/>
      <c r="AX73" s="86"/>
      <c r="AY73" s="86"/>
      <c r="CM73" s="86"/>
      <c r="CN73" s="86"/>
    </row>
    <row r="74" spans="2:92" s="367" customFormat="1" ht="15.75" hidden="1" customHeight="1" outlineLevel="1">
      <c r="B74" s="852">
        <f ca="1">IF(B!B74&lt;&gt;"",B!B74,)</f>
        <v>0</v>
      </c>
      <c r="C74" s="454">
        <f ca="1">B!C74</f>
        <v>0</v>
      </c>
      <c r="D74" s="74"/>
      <c r="E74" s="521"/>
      <c r="F74" s="858"/>
      <c r="H74" s="543"/>
      <c r="I74" s="853"/>
      <c r="J74" s="6"/>
      <c r="K74" s="541"/>
      <c r="L74" s="860"/>
      <c r="M74" s="20" t="str">
        <f>IF(J74="","",$M$5-SUM($J$7:J74))</f>
        <v/>
      </c>
      <c r="O74" s="7"/>
      <c r="P74" s="871">
        <f>IF(B!Q74&lt;&gt;B!R74,IF(B!Q74&lt;&gt;0,IF(B!S74&lt;&gt;B!T74,B!P74,),),)</f>
        <v>0</v>
      </c>
      <c r="Q74" s="795">
        <f>IF(B!Q74&lt;&gt;B!R74,IF(B!Q74&lt;&gt;0,IF(B!S74&lt;&gt;B!T74,B!Q74,),),)</f>
        <v>0</v>
      </c>
      <c r="R74" s="628">
        <f>IF(B!Q74&lt;&gt;B!R74,IF(B!Q74&lt;&gt;0,IF(B!S74&lt;&gt;B!T74,0,Q74),Q74),Q74)</f>
        <v>0</v>
      </c>
      <c r="S74" s="796">
        <f>IF(B!Q74&lt;&gt;B!R74,IF(B!Q74&lt;&gt;0,IF(B!S74&lt;&gt;B!T74,B!S74+1,),),)</f>
        <v>0</v>
      </c>
      <c r="T74" s="796">
        <f>IF(B!Q74&lt;&gt;B!R74,IF(B!Q74&lt;&gt;0,IF(B!S74&lt;&gt;B!T74,B!T74,),),)</f>
        <v>0</v>
      </c>
      <c r="U74" s="797">
        <f>IF(B!Q74&lt;&gt;B!R74,IF(B!Q74&lt;&gt;0,IF(B!S74&lt;&gt;B!T74,B!U74,),),)</f>
        <v>0</v>
      </c>
      <c r="V74" s="875">
        <f>IF(B!Q74&lt;&gt;B!R74,IF(B!Q74&lt;&gt;0,IF(B!S74&lt;&gt;B!T74,B!V74,),),)</f>
        <v>0</v>
      </c>
      <c r="W74" s="633">
        <f>IF(Q74="","",$W$5-SUM($Q$7:$Q$45)-SUM($Q$64:Q74))</f>
        <v>0</v>
      </c>
      <c r="AO74" s="86"/>
      <c r="AP74" s="86"/>
      <c r="AQ74" s="86"/>
      <c r="AR74" s="86"/>
      <c r="AS74" s="86"/>
      <c r="AT74" s="86"/>
      <c r="AU74" s="86"/>
      <c r="AV74" s="86"/>
      <c r="AW74" s="86"/>
      <c r="AX74" s="86"/>
      <c r="AY74" s="86"/>
      <c r="CM74" s="86"/>
      <c r="CN74" s="86"/>
    </row>
    <row r="75" spans="2:92" s="367" customFormat="1" ht="15.75" hidden="1" customHeight="1" outlineLevel="1">
      <c r="B75" s="852">
        <f ca="1">IF(B!B75&lt;&gt;"",B!B75,)</f>
        <v>0</v>
      </c>
      <c r="C75" s="454">
        <f ca="1">B!C75</f>
        <v>0</v>
      </c>
      <c r="D75" s="74"/>
      <c r="E75" s="521"/>
      <c r="F75" s="858"/>
      <c r="H75" s="543"/>
      <c r="I75" s="853"/>
      <c r="J75" s="6"/>
      <c r="K75" s="541"/>
      <c r="L75" s="860"/>
      <c r="M75" s="20" t="str">
        <f>IF(J75="","",$M$5-SUM($J$7:J75))</f>
        <v/>
      </c>
      <c r="O75" s="7"/>
      <c r="P75" s="873">
        <f>IF(B!Q75&lt;&gt;B!R75,IF(B!Q75&lt;&gt;0,IF(B!S75&lt;&gt;B!T75,B!P75,),),)</f>
        <v>0</v>
      </c>
      <c r="Q75" s="795">
        <f>IF(B!Q75&lt;&gt;B!R75,IF(B!Q75&lt;&gt;0,IF(B!S75&lt;&gt;B!T75,B!Q75,),),)</f>
        <v>0</v>
      </c>
      <c r="R75" s="628">
        <f>IF(B!Q75&lt;&gt;B!R75,IF(B!Q75&lt;&gt;0,IF(B!S75&lt;&gt;B!T75,0,Q75),Q75),Q75)</f>
        <v>0</v>
      </c>
      <c r="S75" s="796">
        <f>IF(B!Q75&lt;&gt;B!R75,IF(B!Q75&lt;&gt;0,IF(B!S75&lt;&gt;B!T75,B!S75+1,),),)</f>
        <v>0</v>
      </c>
      <c r="T75" s="796">
        <f>IF(B!Q75&lt;&gt;B!R75,IF(B!Q75&lt;&gt;0,IF(B!S75&lt;&gt;B!T75,B!T75,),),)</f>
        <v>0</v>
      </c>
      <c r="U75" s="797">
        <f>IF(B!Q75&lt;&gt;B!R75,IF(B!Q75&lt;&gt;0,IF(B!S75&lt;&gt;B!T75,B!U75,),),)</f>
        <v>0</v>
      </c>
      <c r="V75" s="875">
        <f>IF(B!Q75&lt;&gt;B!R75,IF(B!Q75&lt;&gt;0,IF(B!S75&lt;&gt;B!T75,B!V75,),),)</f>
        <v>0</v>
      </c>
      <c r="W75" s="633">
        <f>IF(Q75="","",$W$5-SUM($Q$7:$Q$45)-SUM($Q$64:Q75))</f>
        <v>0</v>
      </c>
      <c r="AO75" s="86"/>
      <c r="AP75" s="86"/>
      <c r="AQ75" s="86"/>
      <c r="AR75" s="86"/>
      <c r="AS75" s="86"/>
      <c r="AT75" s="86"/>
      <c r="AU75" s="86"/>
      <c r="AV75" s="86"/>
      <c r="AW75" s="86"/>
      <c r="AX75" s="86"/>
      <c r="AY75" s="86"/>
      <c r="CM75" s="86"/>
      <c r="CN75" s="86"/>
    </row>
    <row r="76" spans="2:92" s="367" customFormat="1" ht="15.75" hidden="1" customHeight="1" outlineLevel="1">
      <c r="B76" s="852">
        <f ca="1">IF(B!B76&lt;&gt;"",B!B76,)</f>
        <v>0</v>
      </c>
      <c r="C76" s="454">
        <f ca="1">B!C76</f>
        <v>0</v>
      </c>
      <c r="D76" s="74"/>
      <c r="E76" s="521"/>
      <c r="F76" s="858"/>
      <c r="H76" s="543"/>
      <c r="I76" s="853"/>
      <c r="J76" s="6"/>
      <c r="K76" s="541"/>
      <c r="L76" s="860"/>
      <c r="M76" s="20" t="str">
        <f>IF(J76="","",$M$5-SUM($J$7:J76))</f>
        <v/>
      </c>
      <c r="O76" s="7"/>
      <c r="P76" s="871">
        <f>IF(B!Q76&lt;&gt;B!R76,IF(B!Q76&lt;&gt;0,IF(B!S76&lt;&gt;B!T76,B!P76,),),)</f>
        <v>0</v>
      </c>
      <c r="Q76" s="795">
        <f>IF(B!Q76&lt;&gt;B!R76,IF(B!Q76&lt;&gt;0,IF(B!S76&lt;&gt;B!T76,B!Q76,),),)</f>
        <v>0</v>
      </c>
      <c r="R76" s="628">
        <f>IF(B!Q76&lt;&gt;B!R76,IF(B!Q76&lt;&gt;0,IF(B!S76&lt;&gt;B!T76,0,Q76),Q76),Q76)</f>
        <v>0</v>
      </c>
      <c r="S76" s="796">
        <f>IF(B!Q76&lt;&gt;B!R76,IF(B!Q76&lt;&gt;0,IF(B!S76&lt;&gt;B!T76,B!S76+1,),),)</f>
        <v>0</v>
      </c>
      <c r="T76" s="796">
        <f>IF(B!Q76&lt;&gt;B!R76,IF(B!Q76&lt;&gt;0,IF(B!S76&lt;&gt;B!T76,B!T76,),),)</f>
        <v>0</v>
      </c>
      <c r="U76" s="797">
        <f>IF(B!Q76&lt;&gt;B!R76,IF(B!Q76&lt;&gt;0,IF(B!S76&lt;&gt;B!T76,B!U76,),),)</f>
        <v>0</v>
      </c>
      <c r="V76" s="875">
        <f>IF(B!Q76&lt;&gt;B!R76,IF(B!Q76&lt;&gt;0,IF(B!S76&lt;&gt;B!T76,B!V76,),),)</f>
        <v>0</v>
      </c>
      <c r="W76" s="633">
        <f>IF(Q76="","",$W$5-SUM($Q$7:$Q$45)-SUM($Q$64:Q76))</f>
        <v>0</v>
      </c>
      <c r="AO76" s="86"/>
      <c r="AP76" s="86"/>
      <c r="AQ76" s="86"/>
      <c r="AR76" s="86"/>
      <c r="AS76" s="86"/>
      <c r="AT76" s="86"/>
      <c r="AU76" s="86"/>
      <c r="AV76" s="86"/>
      <c r="AW76" s="86"/>
      <c r="AX76" s="86"/>
      <c r="AY76" s="86"/>
      <c r="CM76" s="86"/>
      <c r="CN76" s="86"/>
    </row>
    <row r="77" spans="2:92" s="367" customFormat="1" ht="15.75" hidden="1" customHeight="1" outlineLevel="1">
      <c r="B77" s="852">
        <f ca="1">IF(B!B77&lt;&gt;"",B!B77,)</f>
        <v>0</v>
      </c>
      <c r="C77" s="454">
        <f ca="1">B!C77</f>
        <v>0</v>
      </c>
      <c r="D77" s="74"/>
      <c r="E77" s="521"/>
      <c r="F77" s="858"/>
      <c r="H77" s="543"/>
      <c r="I77" s="853"/>
      <c r="J77" s="6"/>
      <c r="K77" s="541"/>
      <c r="L77" s="860"/>
      <c r="M77" s="20" t="str">
        <f>IF(J77="","",$M$5-SUM($J$7:J77))</f>
        <v/>
      </c>
      <c r="O77" s="7"/>
      <c r="P77" s="871">
        <f>IF(B!Q77&lt;&gt;B!R77,IF(B!Q77&lt;&gt;0,IF(B!S77&lt;&gt;B!T77,B!P77,),),)</f>
        <v>0</v>
      </c>
      <c r="Q77" s="795">
        <f>IF(B!Q77&lt;&gt;B!R77,IF(B!Q77&lt;&gt;0,IF(B!S77&lt;&gt;B!T77,B!Q77,),),)</f>
        <v>0</v>
      </c>
      <c r="R77" s="628">
        <f>IF(B!Q77&lt;&gt;B!R77,IF(B!Q77&lt;&gt;0,IF(B!S77&lt;&gt;B!T77,0,Q77),Q77),Q77)</f>
        <v>0</v>
      </c>
      <c r="S77" s="796">
        <f>IF(B!Q77&lt;&gt;B!R77,IF(B!Q77&lt;&gt;0,IF(B!S77&lt;&gt;B!T77,B!S77+1,),),)</f>
        <v>0</v>
      </c>
      <c r="T77" s="796">
        <f>IF(B!Q77&lt;&gt;B!R77,IF(B!Q77&lt;&gt;0,IF(B!S77&lt;&gt;B!T77,B!T77,),),)</f>
        <v>0</v>
      </c>
      <c r="U77" s="797">
        <f>IF(B!Q77&lt;&gt;B!R77,IF(B!Q77&lt;&gt;0,IF(B!S77&lt;&gt;B!T77,B!U77,),),)</f>
        <v>0</v>
      </c>
      <c r="V77" s="875">
        <f>IF(B!Q77&lt;&gt;B!R77,IF(B!Q77&lt;&gt;0,IF(B!S77&lt;&gt;B!T77,B!V77,),),)</f>
        <v>0</v>
      </c>
      <c r="W77" s="633">
        <f>IF(Q77="","",$W$5-SUM($Q$7:$Q$45)-SUM($Q$64:Q77))</f>
        <v>0</v>
      </c>
      <c r="AO77" s="86"/>
      <c r="AP77" s="86"/>
      <c r="AQ77" s="86"/>
      <c r="AR77" s="86"/>
      <c r="AS77" s="86"/>
      <c r="AT77" s="86"/>
      <c r="AU77" s="86"/>
      <c r="AV77" s="86"/>
      <c r="AW77" s="86"/>
      <c r="AX77" s="86"/>
      <c r="AY77" s="86"/>
      <c r="CM77" s="86"/>
      <c r="CN77" s="86"/>
    </row>
    <row r="78" spans="2:92" s="367" customFormat="1" ht="15.75" hidden="1" customHeight="1" outlineLevel="1">
      <c r="B78" s="852">
        <f ca="1">IF(B!B78&lt;&gt;"",B!B78,)</f>
        <v>0</v>
      </c>
      <c r="C78" s="454">
        <f ca="1">B!C78</f>
        <v>0</v>
      </c>
      <c r="D78" s="74"/>
      <c r="E78" s="521"/>
      <c r="F78" s="858"/>
      <c r="H78" s="543"/>
      <c r="I78" s="853"/>
      <c r="J78" s="6"/>
      <c r="K78" s="541"/>
      <c r="L78" s="860"/>
      <c r="M78" s="20" t="str">
        <f>IF(J78="","",$M$5-SUM($J$7:J78))</f>
        <v/>
      </c>
      <c r="O78" s="7"/>
      <c r="P78" s="873">
        <f>IF(B!Q78&lt;&gt;B!R78,IF(B!Q78&lt;&gt;0,IF(B!S78&lt;&gt;B!T78,B!P78,),),)</f>
        <v>0</v>
      </c>
      <c r="Q78" s="795">
        <f>IF(B!Q78&lt;&gt;B!R78,IF(B!Q78&lt;&gt;0,IF(B!S78&lt;&gt;B!T78,B!Q78,),),)</f>
        <v>0</v>
      </c>
      <c r="R78" s="628">
        <f>IF(B!Q78&lt;&gt;B!R78,IF(B!Q78&lt;&gt;0,IF(B!S78&lt;&gt;B!T78,0,Q78),Q78),Q78)</f>
        <v>0</v>
      </c>
      <c r="S78" s="796">
        <f>IF(B!Q78&lt;&gt;B!R78,IF(B!Q78&lt;&gt;0,IF(B!S78&lt;&gt;B!T78,B!S78+1,),),)</f>
        <v>0</v>
      </c>
      <c r="T78" s="796">
        <f>IF(B!Q78&lt;&gt;B!R78,IF(B!Q78&lt;&gt;0,IF(B!S78&lt;&gt;B!T78,B!T78,),),)</f>
        <v>0</v>
      </c>
      <c r="U78" s="797">
        <f>IF(B!Q78&lt;&gt;B!R78,IF(B!Q78&lt;&gt;0,IF(B!S78&lt;&gt;B!T78,B!U78,),),)</f>
        <v>0</v>
      </c>
      <c r="V78" s="875">
        <f>IF(B!Q78&lt;&gt;B!R78,IF(B!Q78&lt;&gt;0,IF(B!S78&lt;&gt;B!T78,B!V78,),),)</f>
        <v>0</v>
      </c>
      <c r="W78" s="633">
        <f>IF(Q78="","",$W$5-SUM($Q$7:$Q$45)-SUM($Q$64:Q78))</f>
        <v>0</v>
      </c>
      <c r="AO78" s="86"/>
      <c r="AP78" s="86"/>
      <c r="AQ78" s="86"/>
      <c r="AR78" s="86"/>
      <c r="AS78" s="86"/>
      <c r="AT78" s="86"/>
      <c r="AU78" s="86"/>
      <c r="AV78" s="86"/>
      <c r="AW78" s="86"/>
      <c r="AX78" s="86"/>
      <c r="AY78" s="86"/>
      <c r="CM78" s="86"/>
      <c r="CN78" s="86"/>
    </row>
    <row r="79" spans="2:92" s="367" customFormat="1" ht="15.75" hidden="1" customHeight="1" outlineLevel="1">
      <c r="B79" s="852">
        <f ca="1">IF(B!B79&lt;&gt;"",B!B79,)</f>
        <v>0</v>
      </c>
      <c r="C79" s="454">
        <f ca="1">B!C79</f>
        <v>0</v>
      </c>
      <c r="D79" s="74"/>
      <c r="E79" s="521"/>
      <c r="F79" s="858"/>
      <c r="H79" s="543"/>
      <c r="I79" s="853"/>
      <c r="J79" s="6"/>
      <c r="K79" s="541"/>
      <c r="L79" s="860"/>
      <c r="M79" s="20" t="str">
        <f>IF(J79="","",$M$5-SUM($J$7:J79))</f>
        <v/>
      </c>
      <c r="O79" s="7"/>
      <c r="P79" s="871">
        <f>IF(B!Q79&lt;&gt;B!R79,IF(B!Q79&lt;&gt;0,IF(B!S79&lt;&gt;B!T79,B!P79,),),)</f>
        <v>0</v>
      </c>
      <c r="Q79" s="795">
        <f>IF(B!Q79&lt;&gt;B!R79,IF(B!Q79&lt;&gt;0,IF(B!S79&lt;&gt;B!T79,B!Q79,),),)</f>
        <v>0</v>
      </c>
      <c r="R79" s="628">
        <f>IF(B!Q79&lt;&gt;B!R79,IF(B!Q79&lt;&gt;0,IF(B!S79&lt;&gt;B!T79,0,Q79),Q79),Q79)</f>
        <v>0</v>
      </c>
      <c r="S79" s="796">
        <f>IF(B!Q79&lt;&gt;B!R79,IF(B!Q79&lt;&gt;0,IF(B!S79&lt;&gt;B!T79,B!S79+1,),),)</f>
        <v>0</v>
      </c>
      <c r="T79" s="796">
        <f>IF(B!Q79&lt;&gt;B!R79,IF(B!Q79&lt;&gt;0,IF(B!S79&lt;&gt;B!T79,B!T79,),),)</f>
        <v>0</v>
      </c>
      <c r="U79" s="797">
        <f>IF(B!Q79&lt;&gt;B!R79,IF(B!Q79&lt;&gt;0,IF(B!S79&lt;&gt;B!T79,B!U79,),),)</f>
        <v>0</v>
      </c>
      <c r="V79" s="875">
        <f>IF(B!Q79&lt;&gt;B!R79,IF(B!Q79&lt;&gt;0,IF(B!S79&lt;&gt;B!T79,B!V79,),),)</f>
        <v>0</v>
      </c>
      <c r="W79" s="633">
        <f>IF(Q79="","",$W$5-SUM($Q$7:$Q$45)-SUM($Q$64:Q79))</f>
        <v>0</v>
      </c>
      <c r="AO79" s="86"/>
      <c r="AP79" s="86"/>
      <c r="AQ79" s="86"/>
      <c r="AR79" s="86"/>
      <c r="AS79" s="86"/>
      <c r="AT79" s="86"/>
      <c r="AU79" s="86"/>
      <c r="AV79" s="86"/>
      <c r="AW79" s="86"/>
      <c r="AX79" s="86"/>
      <c r="AY79" s="86"/>
      <c r="CM79" s="86"/>
      <c r="CN79" s="86"/>
    </row>
    <row r="80" spans="2:92" s="367" customFormat="1" ht="15.75" hidden="1" customHeight="1" outlineLevel="1">
      <c r="B80" s="852">
        <f ca="1">IF(B!B80&lt;&gt;"",B!B80,)</f>
        <v>0</v>
      </c>
      <c r="C80" s="454">
        <f ca="1">B!C80</f>
        <v>0</v>
      </c>
      <c r="D80" s="74"/>
      <c r="E80" s="521"/>
      <c r="F80" s="858"/>
      <c r="H80" s="543"/>
      <c r="I80" s="853"/>
      <c r="J80" s="6"/>
      <c r="K80" s="541"/>
      <c r="L80" s="860"/>
      <c r="M80" s="20" t="str">
        <f>IF(J80="","",$M$5-SUM($J$7:J80))</f>
        <v/>
      </c>
      <c r="O80" s="7"/>
      <c r="P80" s="873">
        <f>IF(B!Q80&lt;&gt;B!R80,IF(B!Q80&lt;&gt;0,IF(B!S80&lt;&gt;B!T80,B!P80,),),)</f>
        <v>0</v>
      </c>
      <c r="Q80" s="795">
        <f>IF(B!Q80&lt;&gt;B!R80,IF(B!Q80&lt;&gt;0,IF(B!S80&lt;&gt;B!T80,B!Q80,),),)</f>
        <v>0</v>
      </c>
      <c r="R80" s="628">
        <f>IF(B!Q80&lt;&gt;B!R80,IF(B!Q80&lt;&gt;0,IF(B!S80&lt;&gt;B!T80,0,Q80),Q80),Q80)</f>
        <v>0</v>
      </c>
      <c r="S80" s="796">
        <f>IF(B!Q80&lt;&gt;B!R80,IF(B!Q80&lt;&gt;0,IF(B!S80&lt;&gt;B!T80,B!S80+1,),),)</f>
        <v>0</v>
      </c>
      <c r="T80" s="796">
        <f>IF(B!Q80&lt;&gt;B!R80,IF(B!Q80&lt;&gt;0,IF(B!S80&lt;&gt;B!T80,B!T80,),),)</f>
        <v>0</v>
      </c>
      <c r="U80" s="797">
        <f>IF(B!Q80&lt;&gt;B!R80,IF(B!Q80&lt;&gt;0,IF(B!S80&lt;&gt;B!T80,B!U80,),),)</f>
        <v>0</v>
      </c>
      <c r="V80" s="875">
        <f>IF(B!Q80&lt;&gt;B!R80,IF(B!Q80&lt;&gt;0,IF(B!S80&lt;&gt;B!T80,B!V80,),),)</f>
        <v>0</v>
      </c>
      <c r="W80" s="633">
        <f>IF(Q80="","",$W$5-SUM($Q$7:$Q$45)-SUM($Q$64:Q80))</f>
        <v>0</v>
      </c>
      <c r="AO80" s="86"/>
      <c r="AP80" s="86"/>
      <c r="AQ80" s="86"/>
      <c r="AR80" s="86"/>
      <c r="AS80" s="86"/>
      <c r="AT80" s="86"/>
      <c r="AU80" s="86"/>
      <c r="AV80" s="86"/>
      <c r="AW80" s="86"/>
      <c r="AX80" s="86"/>
      <c r="AY80" s="86"/>
      <c r="CM80" s="86"/>
      <c r="CN80" s="86"/>
    </row>
    <row r="81" spans="2:92" s="367" customFormat="1" ht="15.75" hidden="1" customHeight="1" outlineLevel="1">
      <c r="B81" s="852">
        <f ca="1">IF(B!B81&lt;&gt;"",B!B81,)</f>
        <v>0</v>
      </c>
      <c r="C81" s="454">
        <f ca="1">B!C81</f>
        <v>0</v>
      </c>
      <c r="D81" s="74"/>
      <c r="E81" s="521"/>
      <c r="F81" s="858"/>
      <c r="H81" s="543"/>
      <c r="I81" s="853"/>
      <c r="J81" s="6"/>
      <c r="K81" s="541"/>
      <c r="L81" s="860"/>
      <c r="M81" s="20" t="str">
        <f>IF(J81="","",$M$5-SUM($J$7:J81))</f>
        <v/>
      </c>
      <c r="O81" s="7"/>
      <c r="P81" s="873">
        <f>IF(B!Q81&lt;&gt;B!R81,IF(B!Q81&lt;&gt;0,IF(B!S81&lt;&gt;B!T81,B!P81,),),)</f>
        <v>0</v>
      </c>
      <c r="Q81" s="795">
        <f>IF(B!Q81&lt;&gt;B!R81,IF(B!Q81&lt;&gt;0,IF(B!S81&lt;&gt;B!T81,B!Q81,),),)</f>
        <v>0</v>
      </c>
      <c r="R81" s="628">
        <f>IF(B!Q81&lt;&gt;B!R81,IF(B!Q81&lt;&gt;0,IF(B!S81&lt;&gt;B!T81,0,Q81),Q81),Q81)</f>
        <v>0</v>
      </c>
      <c r="S81" s="796">
        <f>IF(B!Q81&lt;&gt;B!R81,IF(B!Q81&lt;&gt;0,IF(B!S81&lt;&gt;B!T81,B!S81+1,),),)</f>
        <v>0</v>
      </c>
      <c r="T81" s="796">
        <f>IF(B!Q81&lt;&gt;B!R81,IF(B!Q81&lt;&gt;0,IF(B!S81&lt;&gt;B!T81,B!T81,),),)</f>
        <v>0</v>
      </c>
      <c r="U81" s="797">
        <f>IF(B!Q81&lt;&gt;B!R81,IF(B!Q81&lt;&gt;0,IF(B!S81&lt;&gt;B!T81,B!U81,),),)</f>
        <v>0</v>
      </c>
      <c r="V81" s="875">
        <f>IF(B!Q81&lt;&gt;B!R81,IF(B!Q81&lt;&gt;0,IF(B!S81&lt;&gt;B!T81,B!V81,),),)</f>
        <v>0</v>
      </c>
      <c r="W81" s="633">
        <f>IF(Q81="","",$W$5-SUM($Q$7:$Q$45)-SUM($Q$64:Q81))</f>
        <v>0</v>
      </c>
      <c r="AO81" s="86"/>
      <c r="AP81" s="86"/>
      <c r="AQ81" s="86"/>
      <c r="AR81" s="86"/>
      <c r="AS81" s="86"/>
      <c r="AT81" s="86"/>
      <c r="AU81" s="86"/>
      <c r="AV81" s="86"/>
      <c r="AW81" s="86"/>
      <c r="AX81" s="86"/>
      <c r="AY81" s="86"/>
      <c r="CM81" s="86"/>
      <c r="CN81" s="86"/>
    </row>
    <row r="82" spans="2:92" s="367" customFormat="1" ht="15.75" hidden="1" customHeight="1" outlineLevel="1">
      <c r="B82" s="852">
        <f ca="1">IF(B!B82&lt;&gt;"",B!B82,)</f>
        <v>0</v>
      </c>
      <c r="C82" s="454">
        <f ca="1">B!C82</f>
        <v>0</v>
      </c>
      <c r="D82" s="74"/>
      <c r="E82" s="521"/>
      <c r="F82" s="858"/>
      <c r="H82" s="543"/>
      <c r="I82" s="853"/>
      <c r="J82" s="6"/>
      <c r="K82" s="541"/>
      <c r="L82" s="860"/>
      <c r="M82" s="20" t="str">
        <f>IF(J82="","",$M$5-SUM($J$7:J82))</f>
        <v/>
      </c>
      <c r="O82" s="7"/>
      <c r="P82" s="873">
        <f>IF(B!Q82&lt;&gt;B!R82,IF(B!Q82&lt;&gt;0,IF(B!S82&lt;&gt;B!T82,B!P82,),),)</f>
        <v>0</v>
      </c>
      <c r="Q82" s="795">
        <f>IF(B!Q82&lt;&gt;B!R82,IF(B!Q82&lt;&gt;0,IF(B!S82&lt;&gt;B!T82,B!Q82,),),)</f>
        <v>0</v>
      </c>
      <c r="R82" s="628">
        <f>IF(B!Q82&lt;&gt;B!R82,IF(B!Q82&lt;&gt;0,IF(B!S82&lt;&gt;B!T82,0,Q82),Q82),Q82)</f>
        <v>0</v>
      </c>
      <c r="S82" s="796">
        <f>IF(B!Q82&lt;&gt;B!R82,IF(B!Q82&lt;&gt;0,IF(B!S82&lt;&gt;B!T82,B!S82+1,),),)</f>
        <v>0</v>
      </c>
      <c r="T82" s="796">
        <f>IF(B!Q82&lt;&gt;B!R82,IF(B!Q82&lt;&gt;0,IF(B!S82&lt;&gt;B!T82,B!T82,),),)</f>
        <v>0</v>
      </c>
      <c r="U82" s="797">
        <f>IF(B!Q82&lt;&gt;B!R82,IF(B!Q82&lt;&gt;0,IF(B!S82&lt;&gt;B!T82,B!U82,),),)</f>
        <v>0</v>
      </c>
      <c r="V82" s="875">
        <f>IF(B!Q82&lt;&gt;B!R82,IF(B!Q82&lt;&gt;0,IF(B!S82&lt;&gt;B!T82,B!V82,),),)</f>
        <v>0</v>
      </c>
      <c r="W82" s="633">
        <f>IF(Q82="","",$W$5-SUM($Q$7:$Q$45)-SUM($Q$64:Q82))</f>
        <v>0</v>
      </c>
      <c r="AO82" s="86"/>
      <c r="AP82" s="86"/>
      <c r="AQ82" s="86"/>
      <c r="AR82" s="86"/>
      <c r="AS82" s="86"/>
      <c r="AT82" s="86"/>
      <c r="AU82" s="86"/>
      <c r="AV82" s="86"/>
      <c r="AW82" s="86"/>
      <c r="AX82" s="86"/>
      <c r="AY82" s="86"/>
      <c r="CM82" s="86"/>
      <c r="CN82" s="86"/>
    </row>
    <row r="83" spans="2:92" s="367" customFormat="1" ht="15.75" hidden="1" customHeight="1" outlineLevel="1">
      <c r="B83" s="852">
        <f ca="1">IF(B!B83&lt;&gt;"",B!B83,)</f>
        <v>0</v>
      </c>
      <c r="C83" s="454">
        <f ca="1">B!C83</f>
        <v>0</v>
      </c>
      <c r="D83" s="74"/>
      <c r="E83" s="521"/>
      <c r="F83" s="858"/>
      <c r="H83" s="543"/>
      <c r="I83" s="853"/>
      <c r="J83" s="6"/>
      <c r="K83" s="541"/>
      <c r="L83" s="860"/>
      <c r="M83" s="20" t="str">
        <f>IF(J83="","",$M$5-SUM($J$7:J83))</f>
        <v/>
      </c>
      <c r="O83" s="7"/>
      <c r="P83" s="873">
        <f>IF(B!Q83&lt;&gt;B!R83,IF(B!Q83&lt;&gt;0,IF(B!S83&lt;&gt;B!T83,B!P83,),),)</f>
        <v>0</v>
      </c>
      <c r="Q83" s="795">
        <f>IF(B!Q83&lt;&gt;B!R83,IF(B!Q83&lt;&gt;0,IF(B!S83&lt;&gt;B!T83,B!Q83,),),)</f>
        <v>0</v>
      </c>
      <c r="R83" s="628">
        <f>IF(B!Q83&lt;&gt;B!R83,IF(B!Q83&lt;&gt;0,IF(B!S83&lt;&gt;B!T83,0,Q83),Q83),Q83)</f>
        <v>0</v>
      </c>
      <c r="S83" s="796">
        <f>IF(B!Q83&lt;&gt;B!R83,IF(B!Q83&lt;&gt;0,IF(B!S83&lt;&gt;B!T83,B!S83+1,),),)</f>
        <v>0</v>
      </c>
      <c r="T83" s="796">
        <f>IF(B!Q83&lt;&gt;B!R83,IF(B!Q83&lt;&gt;0,IF(B!S83&lt;&gt;B!T83,B!T83,),),)</f>
        <v>0</v>
      </c>
      <c r="U83" s="797">
        <f>IF(B!Q83&lt;&gt;B!R83,IF(B!Q83&lt;&gt;0,IF(B!S83&lt;&gt;B!T83,B!U83,),),)</f>
        <v>0</v>
      </c>
      <c r="V83" s="875">
        <f>IF(B!Q83&lt;&gt;B!R83,IF(B!Q83&lt;&gt;0,IF(B!S83&lt;&gt;B!T83,B!V83,),),)</f>
        <v>0</v>
      </c>
      <c r="W83" s="633">
        <f>IF(Q83="","",$W$5-SUM($Q$7:$Q$45)-SUM($Q$64:Q83))</f>
        <v>0</v>
      </c>
      <c r="AO83" s="86"/>
      <c r="AP83" s="86"/>
      <c r="AQ83" s="86"/>
      <c r="AR83" s="86"/>
      <c r="AS83" s="86"/>
      <c r="AT83" s="86"/>
      <c r="AU83" s="86"/>
      <c r="AV83" s="86"/>
      <c r="AW83" s="86"/>
      <c r="AX83" s="86"/>
      <c r="AY83" s="86"/>
      <c r="CM83" s="86"/>
      <c r="CN83" s="86"/>
    </row>
    <row r="84" spans="2:92" s="367" customFormat="1" ht="15.75" hidden="1" customHeight="1" outlineLevel="1">
      <c r="B84" s="852">
        <f ca="1">IF(B!B84&lt;&gt;"",B!B84,)</f>
        <v>0</v>
      </c>
      <c r="C84" s="454">
        <f ca="1">B!C84</f>
        <v>0</v>
      </c>
      <c r="D84" s="74"/>
      <c r="E84" s="521"/>
      <c r="F84" s="858"/>
      <c r="H84" s="543"/>
      <c r="I84" s="853"/>
      <c r="J84" s="6"/>
      <c r="K84" s="541"/>
      <c r="L84" s="860"/>
      <c r="M84" s="20" t="str">
        <f>IF(J84="","",$M$5-SUM($J$7:J84))</f>
        <v/>
      </c>
      <c r="O84" s="7"/>
      <c r="P84" s="873">
        <f>IF(B!Q84&lt;&gt;B!R84,IF(B!Q84&lt;&gt;0,IF(B!S84&lt;&gt;B!T84,B!P84,),),)</f>
        <v>0</v>
      </c>
      <c r="Q84" s="795">
        <f>IF(B!Q84&lt;&gt;B!R84,IF(B!Q84&lt;&gt;0,IF(B!S84&lt;&gt;B!T84,B!Q84,),),)</f>
        <v>0</v>
      </c>
      <c r="R84" s="628">
        <f>IF(B!Q84&lt;&gt;B!R84,IF(B!Q84&lt;&gt;0,IF(B!S84&lt;&gt;B!T84,0,Q84),Q84),Q84)</f>
        <v>0</v>
      </c>
      <c r="S84" s="796">
        <f>IF(B!Q84&lt;&gt;B!R84,IF(B!Q84&lt;&gt;0,IF(B!S84&lt;&gt;B!T84,B!S84+1,),),)</f>
        <v>0</v>
      </c>
      <c r="T84" s="796">
        <f>IF(B!Q84&lt;&gt;B!R84,IF(B!Q84&lt;&gt;0,IF(B!S84&lt;&gt;B!T84,B!T84,),),)</f>
        <v>0</v>
      </c>
      <c r="U84" s="797">
        <f>IF(B!Q84&lt;&gt;B!R84,IF(B!Q84&lt;&gt;0,IF(B!S84&lt;&gt;B!T84,B!U84,),),)</f>
        <v>0</v>
      </c>
      <c r="V84" s="875">
        <f>IF(B!Q84&lt;&gt;B!R84,IF(B!Q84&lt;&gt;0,IF(B!S84&lt;&gt;B!T84,B!V84,),),)</f>
        <v>0</v>
      </c>
      <c r="W84" s="633">
        <f>IF(Q84="","",$W$5-SUM($Q$7:$Q$45)-SUM($Q$64:Q84))</f>
        <v>0</v>
      </c>
      <c r="AO84" s="86"/>
      <c r="AP84" s="86"/>
      <c r="AQ84" s="86"/>
      <c r="AR84" s="86"/>
      <c r="AS84" s="86"/>
      <c r="AT84" s="86"/>
      <c r="AU84" s="86"/>
      <c r="AV84" s="86"/>
      <c r="AW84" s="86"/>
      <c r="AX84" s="86"/>
      <c r="AY84" s="86"/>
      <c r="CM84" s="86"/>
      <c r="CN84" s="86"/>
    </row>
    <row r="85" spans="2:92" s="367" customFormat="1" ht="15.75" hidden="1" customHeight="1" outlineLevel="1">
      <c r="B85" s="852">
        <f ca="1">IF(B!B85&lt;&gt;"",B!B85,)</f>
        <v>0</v>
      </c>
      <c r="C85" s="454">
        <f ca="1">B!C85</f>
        <v>0</v>
      </c>
      <c r="D85" s="74"/>
      <c r="E85" s="521"/>
      <c r="F85" s="858"/>
      <c r="H85" s="543"/>
      <c r="I85" s="853"/>
      <c r="J85" s="6"/>
      <c r="K85" s="541"/>
      <c r="L85" s="860"/>
      <c r="M85" s="20" t="str">
        <f>IF(J85="","",$M$5-SUM($J$7:J85))</f>
        <v/>
      </c>
      <c r="O85" s="7"/>
      <c r="P85" s="873">
        <f>IF(B!Q85&lt;&gt;B!R85,IF(B!Q85&lt;&gt;0,IF(B!S85&lt;&gt;B!T85,B!P85,),),)</f>
        <v>0</v>
      </c>
      <c r="Q85" s="795">
        <f>IF(B!Q85&lt;&gt;B!R85,IF(B!Q85&lt;&gt;0,IF(B!S85&lt;&gt;B!T85,B!Q85,),),)</f>
        <v>0</v>
      </c>
      <c r="R85" s="628">
        <f>IF(B!Q85&lt;&gt;B!R85,IF(B!Q85&lt;&gt;0,IF(B!S85&lt;&gt;B!T85,0,Q85),Q85),Q85)</f>
        <v>0</v>
      </c>
      <c r="S85" s="796">
        <f>IF(B!Q85&lt;&gt;B!R85,IF(B!Q85&lt;&gt;0,IF(B!S85&lt;&gt;B!T85,B!S85+1,),),)</f>
        <v>0</v>
      </c>
      <c r="T85" s="796">
        <f>IF(B!Q85&lt;&gt;B!R85,IF(B!Q85&lt;&gt;0,IF(B!S85&lt;&gt;B!T85,B!T85,),),)</f>
        <v>0</v>
      </c>
      <c r="U85" s="797">
        <f>IF(B!Q85&lt;&gt;B!R85,IF(B!Q85&lt;&gt;0,IF(B!S85&lt;&gt;B!T85,B!U85,),),)</f>
        <v>0</v>
      </c>
      <c r="V85" s="875">
        <f>IF(B!Q85&lt;&gt;B!R85,IF(B!Q85&lt;&gt;0,IF(B!S85&lt;&gt;B!T85,B!V85,),),)</f>
        <v>0</v>
      </c>
      <c r="W85" s="633">
        <f>IF(Q85="","",$W$5-SUM($Q$7:$Q$45)-SUM($Q$64:Q85))</f>
        <v>0</v>
      </c>
      <c r="AO85" s="86"/>
      <c r="AP85" s="86"/>
      <c r="AQ85" s="86"/>
      <c r="AR85" s="86"/>
      <c r="AS85" s="86"/>
      <c r="AT85" s="86"/>
      <c r="AU85" s="86"/>
      <c r="AV85" s="86"/>
      <c r="AW85" s="86"/>
      <c r="AX85" s="86"/>
      <c r="AY85" s="86"/>
      <c r="CM85" s="86"/>
      <c r="CN85" s="86"/>
    </row>
    <row r="86" spans="2:92" s="367" customFormat="1" ht="15.75" hidden="1" customHeight="1" outlineLevel="1">
      <c r="B86" s="852">
        <f ca="1">IF(B!B86&lt;&gt;"",B!B86,)</f>
        <v>0</v>
      </c>
      <c r="C86" s="454">
        <f ca="1">B!C86</f>
        <v>0</v>
      </c>
      <c r="D86" s="74"/>
      <c r="E86" s="521"/>
      <c r="F86" s="858"/>
      <c r="H86" s="543"/>
      <c r="I86" s="854"/>
      <c r="J86" s="6"/>
      <c r="K86" s="541"/>
      <c r="L86" s="860"/>
      <c r="M86" s="20" t="str">
        <f>IF(J86="","",$M$5-SUM($J$7:J86))</f>
        <v/>
      </c>
      <c r="O86" s="7"/>
      <c r="P86" s="873">
        <f>IF(B!Q86&lt;&gt;B!R86,IF(B!Q86&lt;&gt;0,IF(B!S86&lt;&gt;B!T86,B!P86,),),)</f>
        <v>0</v>
      </c>
      <c r="Q86" s="795">
        <f>IF(B!Q86&lt;&gt;B!R86,IF(B!Q86&lt;&gt;0,IF(B!S86&lt;&gt;B!T86,B!Q86,),),)</f>
        <v>0</v>
      </c>
      <c r="R86" s="628">
        <f>IF(B!Q86&lt;&gt;B!R86,IF(B!Q86&lt;&gt;0,IF(B!S86&lt;&gt;B!T86,0,Q86),Q86),Q86)</f>
        <v>0</v>
      </c>
      <c r="S86" s="796">
        <f>IF(B!Q86&lt;&gt;B!R86,IF(B!Q86&lt;&gt;0,IF(B!S86&lt;&gt;B!T86,B!S86+1,),),)</f>
        <v>0</v>
      </c>
      <c r="T86" s="796">
        <f>IF(B!Q86&lt;&gt;B!R86,IF(B!Q86&lt;&gt;0,IF(B!S86&lt;&gt;B!T86,B!T86,),),)</f>
        <v>0</v>
      </c>
      <c r="U86" s="797">
        <f>IF(B!Q86&lt;&gt;B!R86,IF(B!Q86&lt;&gt;0,IF(B!S86&lt;&gt;B!T86,B!U86,),),)</f>
        <v>0</v>
      </c>
      <c r="V86" s="875">
        <f>IF(B!Q86&lt;&gt;B!R86,IF(B!Q86&lt;&gt;0,IF(B!S86&lt;&gt;B!T86,B!V86,),),)</f>
        <v>0</v>
      </c>
      <c r="W86" s="633">
        <f>IF(Q86="","",$W$5-SUM($Q$7:$Q$45)-SUM($Q$64:Q86))</f>
        <v>0</v>
      </c>
      <c r="AO86" s="86"/>
      <c r="AP86" s="86"/>
      <c r="AQ86" s="86"/>
      <c r="AR86" s="86"/>
      <c r="AS86" s="86"/>
      <c r="AT86" s="86"/>
      <c r="AU86" s="86"/>
      <c r="AV86" s="86"/>
      <c r="AW86" s="86"/>
      <c r="AX86" s="86"/>
      <c r="AY86" s="86"/>
      <c r="CM86" s="86"/>
      <c r="CN86" s="86"/>
    </row>
    <row r="87" spans="2:92" s="367" customFormat="1" ht="15.75" hidden="1" customHeight="1" outlineLevel="1">
      <c r="H87" s="543"/>
      <c r="I87" s="853"/>
      <c r="J87" s="6"/>
      <c r="K87" s="541"/>
      <c r="L87" s="860"/>
      <c r="M87" s="20" t="str">
        <f>IF(J87="","",$M$5-SUM($J$7:J87))</f>
        <v/>
      </c>
      <c r="O87" s="7"/>
      <c r="P87" s="873">
        <f>IF(B!Q87&lt;&gt;B!R87,IF(B!Q87&lt;&gt;0,IF(B!S87&lt;&gt;B!T87,B!P87,),),)</f>
        <v>0</v>
      </c>
      <c r="Q87" s="795">
        <f>IF(B!Q87&lt;&gt;B!R87,IF(B!Q87&lt;&gt;0,IF(B!S87&lt;&gt;B!T87,B!Q87,),),)</f>
        <v>0</v>
      </c>
      <c r="R87" s="628">
        <f>IF(B!Q87&lt;&gt;B!R87,IF(B!Q87&lt;&gt;0,IF(B!S87&lt;&gt;B!T87,0,Q87),Q87),Q87)</f>
        <v>0</v>
      </c>
      <c r="S87" s="796">
        <f>IF(B!Q87&lt;&gt;B!R87,IF(B!Q87&lt;&gt;0,IF(B!S87&lt;&gt;B!T87,B!S87+1,),),)</f>
        <v>0</v>
      </c>
      <c r="T87" s="796">
        <f>IF(B!Q87&lt;&gt;B!R87,IF(B!Q87&lt;&gt;0,IF(B!S87&lt;&gt;B!T87,B!T87,),),)</f>
        <v>0</v>
      </c>
      <c r="U87" s="797">
        <f>IF(B!Q87&lt;&gt;B!R87,IF(B!Q87&lt;&gt;0,IF(B!S87&lt;&gt;B!T87,B!U87,),),)</f>
        <v>0</v>
      </c>
      <c r="V87" s="875">
        <f>IF(B!Q87&lt;&gt;B!R87,IF(B!Q87&lt;&gt;0,IF(B!S87&lt;&gt;B!T87,B!V87,),),)</f>
        <v>0</v>
      </c>
      <c r="W87" s="633">
        <f>IF(Q87="","",$W$5-SUM($Q$7:$Q$45)-SUM($Q$64:Q87))</f>
        <v>0</v>
      </c>
      <c r="AO87" s="86"/>
      <c r="AP87" s="86"/>
      <c r="AQ87" s="86"/>
      <c r="AR87" s="86"/>
      <c r="AS87" s="86"/>
      <c r="AT87" s="86"/>
      <c r="AU87" s="86"/>
      <c r="AV87" s="86"/>
      <c r="AW87" s="86"/>
      <c r="AX87" s="86"/>
      <c r="AY87" s="86"/>
      <c r="CM87" s="86"/>
      <c r="CN87" s="86"/>
    </row>
    <row r="88" spans="2:92" s="367" customFormat="1" ht="15.75" hidden="1" customHeight="1" outlineLevel="1">
      <c r="H88" s="543"/>
      <c r="I88" s="853"/>
      <c r="J88" s="6"/>
      <c r="K88" s="541"/>
      <c r="L88" s="860"/>
      <c r="M88" s="20" t="str">
        <f>IF(J88="","",$M$5-SUM($J$7:J88))</f>
        <v/>
      </c>
      <c r="O88" s="7"/>
      <c r="P88" s="871">
        <f>IF(B!Q88&lt;&gt;B!R88,IF(B!Q88&lt;&gt;0,IF(B!S88&lt;&gt;B!T88,B!P88,),),)</f>
        <v>0</v>
      </c>
      <c r="Q88" s="795">
        <f>IF(B!Q88&lt;&gt;B!R88,IF(B!Q88&lt;&gt;0,IF(B!S88&lt;&gt;B!T88,B!Q88,),),)</f>
        <v>0</v>
      </c>
      <c r="R88" s="628">
        <f>IF(B!Q88&lt;&gt;B!R88,IF(B!Q88&lt;&gt;0,IF(B!S88&lt;&gt;B!T88,0,Q88),Q88),Q88)</f>
        <v>0</v>
      </c>
      <c r="S88" s="796">
        <f>IF(B!Q88&lt;&gt;B!R88,IF(B!Q88&lt;&gt;0,IF(B!S88&lt;&gt;B!T88,B!S88+1,),),)</f>
        <v>0</v>
      </c>
      <c r="T88" s="796">
        <f>IF(B!Q88&lt;&gt;B!R88,IF(B!Q88&lt;&gt;0,IF(B!S88&lt;&gt;B!T88,B!T88,),),)</f>
        <v>0</v>
      </c>
      <c r="U88" s="797">
        <f>IF(B!Q88&lt;&gt;B!R88,IF(B!Q88&lt;&gt;0,IF(B!S88&lt;&gt;B!T88,B!U88,),),)</f>
        <v>0</v>
      </c>
      <c r="V88" s="875">
        <f>IF(B!Q88&lt;&gt;B!R88,IF(B!Q88&lt;&gt;0,IF(B!S88&lt;&gt;B!T88,B!V88,),),)</f>
        <v>0</v>
      </c>
      <c r="W88" s="633">
        <f>IF(Q88="","",$W$5-SUM($Q$7:$Q$45)-SUM($Q$64:Q88))</f>
        <v>0</v>
      </c>
      <c r="AO88" s="86"/>
      <c r="AP88" s="86"/>
      <c r="AQ88" s="86"/>
      <c r="AR88" s="86"/>
      <c r="AS88" s="86"/>
      <c r="AT88" s="86"/>
      <c r="AU88" s="86"/>
      <c r="AV88" s="86"/>
      <c r="AW88" s="86"/>
      <c r="AX88" s="86"/>
      <c r="AY88" s="86"/>
      <c r="CM88" s="86"/>
      <c r="CN88" s="86"/>
    </row>
    <row r="89" spans="2:92" s="367" customFormat="1" ht="15.75" hidden="1" customHeight="1" outlineLevel="1">
      <c r="H89" s="543"/>
      <c r="I89" s="853"/>
      <c r="J89" s="6"/>
      <c r="K89" s="541"/>
      <c r="L89" s="860"/>
      <c r="M89" s="20" t="str">
        <f>IF(J89="","",$M$5-SUM($J$7:J89))</f>
        <v/>
      </c>
      <c r="O89" s="7"/>
      <c r="P89" s="873">
        <f>IF(B!Q89&lt;&gt;B!R89,IF(B!Q89&lt;&gt;0,IF(B!S89&lt;&gt;B!T89,B!P89,),),)</f>
        <v>0</v>
      </c>
      <c r="Q89" s="795">
        <f>IF(B!Q89&lt;&gt;B!R89,IF(B!Q89&lt;&gt;0,IF(B!S89&lt;&gt;B!T89,B!Q89,),),)</f>
        <v>0</v>
      </c>
      <c r="R89" s="628">
        <f>IF(B!Q89&lt;&gt;B!R89,IF(B!Q89&lt;&gt;0,IF(B!S89&lt;&gt;B!T89,0,Q89),Q89),Q89)</f>
        <v>0</v>
      </c>
      <c r="S89" s="796">
        <f>IF(B!Q89&lt;&gt;B!R89,IF(B!Q89&lt;&gt;0,IF(B!S89&lt;&gt;B!T89,B!S89+1,),),)</f>
        <v>0</v>
      </c>
      <c r="T89" s="796">
        <f>IF(B!Q89&lt;&gt;B!R89,IF(B!Q89&lt;&gt;0,IF(B!S89&lt;&gt;B!T89,B!T89,),),)</f>
        <v>0</v>
      </c>
      <c r="U89" s="797">
        <f>IF(B!Q89&lt;&gt;B!R89,IF(B!Q89&lt;&gt;0,IF(B!S89&lt;&gt;B!T89,B!U89,),),)</f>
        <v>0</v>
      </c>
      <c r="V89" s="875">
        <f>IF(B!Q89&lt;&gt;B!R89,IF(B!Q89&lt;&gt;0,IF(B!S89&lt;&gt;B!T89,B!V89,),),)</f>
        <v>0</v>
      </c>
      <c r="W89" s="633">
        <f>IF(Q89="","",$W$5-SUM($Q$7:$Q$45)-SUM($Q$64:Q89))</f>
        <v>0</v>
      </c>
      <c r="AO89" s="86"/>
      <c r="AP89" s="86"/>
      <c r="AQ89" s="86"/>
      <c r="AR89" s="86"/>
      <c r="AS89" s="86"/>
      <c r="AT89" s="86"/>
      <c r="AU89" s="86"/>
      <c r="AV89" s="86"/>
      <c r="AW89" s="86"/>
      <c r="AX89" s="86"/>
      <c r="AY89" s="86"/>
      <c r="CM89" s="86"/>
      <c r="CN89" s="86"/>
    </row>
    <row r="90" spans="2:92" s="367" customFormat="1" ht="15.75" hidden="1" customHeight="1" outlineLevel="1">
      <c r="H90" s="543"/>
      <c r="I90" s="853"/>
      <c r="J90" s="6"/>
      <c r="K90" s="541"/>
      <c r="L90" s="860"/>
      <c r="M90" s="20" t="str">
        <f>IF(J90="","",$M$5-SUM($J$7:J90))</f>
        <v/>
      </c>
      <c r="O90" s="7"/>
      <c r="P90" s="871">
        <f>IF(B!Q90&lt;&gt;B!R90,IF(B!Q90&lt;&gt;0,IF(B!S90&lt;&gt;B!T90,B!P90,),),)</f>
        <v>0</v>
      </c>
      <c r="Q90" s="795">
        <f>IF(B!Q90&lt;&gt;B!R90,IF(B!Q90&lt;&gt;0,IF(B!S90&lt;&gt;B!T90,B!Q90,),),)</f>
        <v>0</v>
      </c>
      <c r="R90" s="628">
        <f>IF(B!Q90&lt;&gt;B!R90,IF(B!Q90&lt;&gt;0,IF(B!S90&lt;&gt;B!T90,0,Q90),Q90),Q90)</f>
        <v>0</v>
      </c>
      <c r="S90" s="796">
        <f>IF(B!Q90&lt;&gt;B!R90,IF(B!Q90&lt;&gt;0,IF(B!S90&lt;&gt;B!T90,B!S90+1,),),)</f>
        <v>0</v>
      </c>
      <c r="T90" s="796">
        <f>IF(B!Q90&lt;&gt;B!R90,IF(B!Q90&lt;&gt;0,IF(B!S90&lt;&gt;B!T90,B!T90,),),)</f>
        <v>0</v>
      </c>
      <c r="U90" s="797">
        <f>IF(B!Q90&lt;&gt;B!R90,IF(B!Q90&lt;&gt;0,IF(B!S90&lt;&gt;B!T90,B!U90,),),)</f>
        <v>0</v>
      </c>
      <c r="V90" s="875">
        <f>IF(B!Q90&lt;&gt;B!R90,IF(B!Q90&lt;&gt;0,IF(B!S90&lt;&gt;B!T90,B!V90,),),)</f>
        <v>0</v>
      </c>
      <c r="W90" s="633">
        <f>IF(Q90="","",$W$5-SUM($Q$7:$Q$45)-SUM($Q$64:Q90))</f>
        <v>0</v>
      </c>
      <c r="AO90" s="86"/>
      <c r="AP90" s="86"/>
      <c r="AQ90" s="86"/>
      <c r="AR90" s="86"/>
      <c r="AS90" s="86"/>
      <c r="AT90" s="86"/>
      <c r="AU90" s="86"/>
      <c r="AV90" s="86"/>
      <c r="AW90" s="86"/>
      <c r="AX90" s="86"/>
      <c r="AY90" s="86"/>
      <c r="CM90" s="86"/>
      <c r="CN90" s="86"/>
    </row>
    <row r="91" spans="2:92" s="367" customFormat="1" ht="15.75" hidden="1" customHeight="1" outlineLevel="1">
      <c r="H91" s="543"/>
      <c r="I91" s="853"/>
      <c r="J91" s="6"/>
      <c r="K91" s="541"/>
      <c r="L91" s="860"/>
      <c r="M91" s="20" t="str">
        <f>IF(J91="","",$M$5-SUM($J$7:J91))</f>
        <v/>
      </c>
      <c r="O91" s="7"/>
      <c r="P91" s="873">
        <f>IF(B!Q91&lt;&gt;B!R91,IF(B!Q91&lt;&gt;0,IF(B!S91&lt;&gt;B!T91,B!P91,),),)</f>
        <v>0</v>
      </c>
      <c r="Q91" s="795">
        <f>IF(B!Q91&lt;&gt;B!R91,IF(B!Q91&lt;&gt;0,IF(B!S91&lt;&gt;B!T91,B!Q91,),),)</f>
        <v>0</v>
      </c>
      <c r="R91" s="628">
        <f>IF(B!Q91&lt;&gt;B!R91,IF(B!Q91&lt;&gt;0,IF(B!S91&lt;&gt;B!T91,0,Q91),Q91),Q91)</f>
        <v>0</v>
      </c>
      <c r="S91" s="796">
        <f>IF(B!Q91&lt;&gt;B!R91,IF(B!Q91&lt;&gt;0,IF(B!S91&lt;&gt;B!T91,B!S91+1,),),)</f>
        <v>0</v>
      </c>
      <c r="T91" s="796">
        <f>IF(B!Q91&lt;&gt;B!R91,IF(B!Q91&lt;&gt;0,IF(B!S91&lt;&gt;B!T91,B!T91,),),)</f>
        <v>0</v>
      </c>
      <c r="U91" s="797">
        <f>IF(B!Q91&lt;&gt;B!R91,IF(B!Q91&lt;&gt;0,IF(B!S91&lt;&gt;B!T91,B!U91,),),)</f>
        <v>0</v>
      </c>
      <c r="V91" s="875">
        <f>IF(B!Q91&lt;&gt;B!R91,IF(B!Q91&lt;&gt;0,IF(B!S91&lt;&gt;B!T91,B!V91,),),)</f>
        <v>0</v>
      </c>
      <c r="W91" s="633">
        <f>IF(Q91="","",$W$5-SUM($Q$7:$Q$45)-SUM($Q$64:Q91))</f>
        <v>0</v>
      </c>
      <c r="AO91" s="86"/>
      <c r="AP91" s="86"/>
      <c r="AQ91" s="86"/>
      <c r="AR91" s="86"/>
      <c r="AS91" s="86"/>
      <c r="AT91" s="86"/>
      <c r="AU91" s="86"/>
      <c r="AV91" s="86"/>
      <c r="AW91" s="86"/>
      <c r="AX91" s="86"/>
      <c r="AY91" s="86"/>
      <c r="CM91" s="86"/>
      <c r="CN91" s="86"/>
    </row>
    <row r="92" spans="2:92" s="367" customFormat="1" ht="15.75" hidden="1" customHeight="1" outlineLevel="1">
      <c r="H92" s="543"/>
      <c r="I92" s="853"/>
      <c r="J92" s="6"/>
      <c r="K92" s="541"/>
      <c r="L92" s="860"/>
      <c r="M92" s="20" t="str">
        <f>IF(J92="","",$M$5-SUM($J$7:J92))</f>
        <v/>
      </c>
      <c r="O92" s="7"/>
      <c r="P92" s="871">
        <f>IF(B!Q92&lt;&gt;B!R92,IF(B!Q92&lt;&gt;0,IF(B!S92&lt;&gt;B!T92,B!P92,),),)</f>
        <v>0</v>
      </c>
      <c r="Q92" s="799">
        <f>IF(B!Q92&lt;&gt;B!R92,IF(B!Q92&lt;&gt;0,IF(B!S92&lt;&gt;B!T92,B!Q92,),),)</f>
        <v>0</v>
      </c>
      <c r="R92" s="628">
        <f>IF(B!Q92&lt;&gt;B!R92,IF(B!Q92&lt;&gt;0,IF(B!S92&lt;&gt;B!T92,0,Q92),Q92),Q92)</f>
        <v>0</v>
      </c>
      <c r="S92" s="796">
        <f>IF(B!Q92&lt;&gt;B!R92,IF(B!Q92&lt;&gt;0,IF(B!S92&lt;&gt;B!T92,B!S92+1,),),)</f>
        <v>0</v>
      </c>
      <c r="T92" s="796">
        <f>IF(B!Q92&lt;&gt;B!R92,IF(B!Q92&lt;&gt;0,IF(B!S92&lt;&gt;B!T92,B!T92,),),)</f>
        <v>0</v>
      </c>
      <c r="U92" s="797">
        <f>IF(B!Q92&lt;&gt;B!R92,IF(B!Q92&lt;&gt;0,IF(B!S92&lt;&gt;B!T92,B!U92,),),)</f>
        <v>0</v>
      </c>
      <c r="V92" s="875">
        <f>IF(B!Q92&lt;&gt;B!R92,IF(B!Q92&lt;&gt;0,IF(B!S92&lt;&gt;B!T92,B!V92,),),)</f>
        <v>0</v>
      </c>
      <c r="W92" s="634">
        <f>IF(Q92="","",$W$5-SUM($Q$7:$Q$45)-SUM($Q$64:Q92))</f>
        <v>0</v>
      </c>
      <c r="AO92" s="86"/>
      <c r="AP92" s="86"/>
      <c r="AQ92" s="86"/>
      <c r="AR92" s="86"/>
      <c r="AS92" s="86"/>
      <c r="AT92" s="86"/>
      <c r="AU92" s="86"/>
      <c r="AV92" s="86"/>
      <c r="AW92" s="86"/>
      <c r="AX92" s="86"/>
      <c r="AY92" s="86"/>
      <c r="CM92" s="86"/>
      <c r="CN92" s="86"/>
    </row>
    <row r="93" spans="2:92" s="367" customFormat="1" ht="15.75" hidden="1" customHeight="1" outlineLevel="1">
      <c r="H93" s="543"/>
      <c r="I93" s="853"/>
      <c r="J93" s="6"/>
      <c r="K93" s="541"/>
      <c r="L93" s="860"/>
      <c r="M93" s="20" t="str">
        <f>IF(J93="","",$M$5-SUM($J$7:J93))</f>
        <v/>
      </c>
      <c r="O93" s="7"/>
      <c r="P93" s="873">
        <f>IF(B!Q93&lt;&gt;B!R93,IF(B!Q93&lt;&gt;0,IF(B!S93&lt;&gt;B!T93,B!P93,),),)</f>
        <v>0</v>
      </c>
      <c r="Q93" s="795">
        <f>IF(B!Q93&lt;&gt;B!R93,IF(B!Q93&lt;&gt;0,IF(B!S93&lt;&gt;B!T93,B!Q93,),),)</f>
        <v>0</v>
      </c>
      <c r="R93" s="628">
        <f>IF(B!Q93&lt;&gt;B!R93,IF(B!Q93&lt;&gt;0,IF(B!S93&lt;&gt;B!T93,0,Q93),Q93),Q93)</f>
        <v>0</v>
      </c>
      <c r="S93" s="796">
        <f>IF(B!Q93&lt;&gt;B!R93,IF(B!Q93&lt;&gt;0,IF(B!S93&lt;&gt;B!T93,B!S93+1,),),)</f>
        <v>0</v>
      </c>
      <c r="T93" s="796">
        <f>IF(B!Q93&lt;&gt;B!R93,IF(B!Q93&lt;&gt;0,IF(B!S93&lt;&gt;B!T93,B!T93,),),)</f>
        <v>0</v>
      </c>
      <c r="U93" s="797">
        <f>IF(B!Q93&lt;&gt;B!R93,IF(B!Q93&lt;&gt;0,IF(B!S93&lt;&gt;B!T93,B!U93,),),)</f>
        <v>0</v>
      </c>
      <c r="V93" s="875">
        <f>IF(B!Q93&lt;&gt;B!R93,IF(B!Q93&lt;&gt;0,IF(B!S93&lt;&gt;B!T93,B!V93,),),)</f>
        <v>0</v>
      </c>
      <c r="W93" s="633">
        <f>IF(Q93="","",$W$5-SUM($Q$7:$Q$45)-SUM($Q$64:Q93))</f>
        <v>0</v>
      </c>
      <c r="AO93" s="86"/>
      <c r="AP93" s="86"/>
      <c r="AQ93" s="86"/>
      <c r="AR93" s="86"/>
      <c r="AS93" s="86"/>
      <c r="AT93" s="86"/>
      <c r="AU93" s="86"/>
      <c r="AV93" s="86"/>
      <c r="AW93" s="86"/>
      <c r="AX93" s="86"/>
      <c r="AY93" s="86"/>
      <c r="CM93" s="86"/>
      <c r="CN93" s="86"/>
    </row>
    <row r="94" spans="2:92" s="367" customFormat="1" ht="15.75" hidden="1" customHeight="1" outlineLevel="1">
      <c r="H94" s="543"/>
      <c r="I94" s="853"/>
      <c r="J94" s="6"/>
      <c r="K94" s="541"/>
      <c r="L94" s="860"/>
      <c r="M94" s="20" t="str">
        <f>IF(J94="","",$M$5-SUM($J$7:J94))</f>
        <v/>
      </c>
      <c r="O94" s="7"/>
      <c r="P94" s="871">
        <f>IF(B!Q94&lt;&gt;B!R94,IF(B!Q94&lt;&gt;0,IF(B!S94&lt;&gt;B!T94,B!P94,),),)</f>
        <v>0</v>
      </c>
      <c r="Q94" s="795">
        <f>IF(B!Q94&lt;&gt;B!R94,IF(B!Q94&lt;&gt;0,IF(B!S94&lt;&gt;B!T94,B!Q94,),),)</f>
        <v>0</v>
      </c>
      <c r="R94" s="628">
        <f>IF(B!Q94&lt;&gt;B!R94,IF(B!Q94&lt;&gt;0,IF(B!S94&lt;&gt;B!T94,0,Q94),Q94),Q94)</f>
        <v>0</v>
      </c>
      <c r="S94" s="796">
        <f>IF(B!Q94&lt;&gt;B!R94,IF(B!Q94&lt;&gt;0,IF(B!S94&lt;&gt;B!T94,B!S94+1,),),)</f>
        <v>0</v>
      </c>
      <c r="T94" s="796">
        <f>IF(B!Q94&lt;&gt;B!R94,IF(B!Q94&lt;&gt;0,IF(B!S94&lt;&gt;B!T94,B!T94,),),)</f>
        <v>0</v>
      </c>
      <c r="U94" s="797">
        <f>IF(B!Q94&lt;&gt;B!R94,IF(B!Q94&lt;&gt;0,IF(B!S94&lt;&gt;B!T94,B!U94,),),)</f>
        <v>0</v>
      </c>
      <c r="V94" s="875">
        <f>IF(B!Q94&lt;&gt;B!R94,IF(B!Q94&lt;&gt;0,IF(B!S94&lt;&gt;B!T94,B!V94,),),)</f>
        <v>0</v>
      </c>
      <c r="W94" s="633">
        <f>IF(Q94="","",$W$5-SUM($Q$7:$Q$45)-SUM($Q$64:Q94))</f>
        <v>0</v>
      </c>
      <c r="AO94" s="86"/>
      <c r="AP94" s="86"/>
      <c r="AQ94" s="86"/>
      <c r="AR94" s="86"/>
      <c r="AS94" s="86"/>
      <c r="AT94" s="86"/>
      <c r="AU94" s="86"/>
      <c r="AV94" s="86"/>
      <c r="AW94" s="86"/>
      <c r="AX94" s="86"/>
      <c r="AY94" s="86"/>
      <c r="CM94" s="86"/>
      <c r="CN94" s="86"/>
    </row>
    <row r="95" spans="2:92" s="367" customFormat="1" ht="15.75" hidden="1" customHeight="1" outlineLevel="1">
      <c r="H95" s="543"/>
      <c r="I95" s="853"/>
      <c r="J95" s="6"/>
      <c r="K95" s="541"/>
      <c r="L95" s="860"/>
      <c r="M95" s="20" t="str">
        <f>IF(J95="","",$M$5-SUM($J$7:J95))</f>
        <v/>
      </c>
      <c r="O95" s="7"/>
      <c r="P95" s="873">
        <f>IF(B!Q95&lt;&gt;B!R95,IF(B!Q95&lt;&gt;0,IF(B!S95&lt;&gt;B!T95,B!P95,),),)</f>
        <v>0</v>
      </c>
      <c r="Q95" s="795">
        <f>IF(B!Q95&lt;&gt;B!R95,IF(B!Q95&lt;&gt;0,IF(B!S95&lt;&gt;B!T95,B!Q95,),),)</f>
        <v>0</v>
      </c>
      <c r="R95" s="628">
        <f>IF(B!Q95&lt;&gt;B!R95,IF(B!Q95&lt;&gt;0,IF(B!S95&lt;&gt;B!T95,0,Q95),Q95),Q95)</f>
        <v>0</v>
      </c>
      <c r="S95" s="796">
        <f>IF(B!Q95&lt;&gt;B!R95,IF(B!Q95&lt;&gt;0,IF(B!S95&lt;&gt;B!T95,B!S95+1,),),)</f>
        <v>0</v>
      </c>
      <c r="T95" s="796">
        <f>IF(B!Q95&lt;&gt;B!R95,IF(B!Q95&lt;&gt;0,IF(B!S95&lt;&gt;B!T95,B!T95,),),)</f>
        <v>0</v>
      </c>
      <c r="U95" s="797">
        <f>IF(B!Q95&lt;&gt;B!R95,IF(B!Q95&lt;&gt;0,IF(B!S95&lt;&gt;B!T95,B!U95,),),)</f>
        <v>0</v>
      </c>
      <c r="V95" s="875">
        <f>IF(B!Q95&lt;&gt;B!R95,IF(B!Q95&lt;&gt;0,IF(B!S95&lt;&gt;B!T95,B!V95,),),)</f>
        <v>0</v>
      </c>
      <c r="W95" s="633">
        <f>IF(Q95="","",$W$5-SUM($Q$7:$Q$45)-SUM($Q$64:Q95))</f>
        <v>0</v>
      </c>
      <c r="AO95" s="86"/>
      <c r="AP95" s="86"/>
      <c r="AQ95" s="86"/>
      <c r="AR95" s="86"/>
      <c r="AS95" s="86"/>
      <c r="AT95" s="86"/>
      <c r="AU95" s="86"/>
      <c r="AV95" s="86"/>
      <c r="AW95" s="86"/>
      <c r="AX95" s="86"/>
      <c r="AY95" s="86"/>
      <c r="CM95" s="86"/>
      <c r="CN95" s="86"/>
    </row>
    <row r="96" spans="2:92" s="367" customFormat="1" ht="15.75" hidden="1" customHeight="1" outlineLevel="1">
      <c r="H96" s="543"/>
      <c r="I96" s="853"/>
      <c r="J96" s="6"/>
      <c r="K96" s="541"/>
      <c r="L96" s="860"/>
      <c r="M96" s="20" t="str">
        <f>IF(J96="","",$M$5-SUM($J$7:J96))</f>
        <v/>
      </c>
      <c r="O96" s="7"/>
      <c r="P96" s="872">
        <f>IF(B!Q96&lt;&gt;B!R96,IF(B!Q96&lt;&gt;0,IF(B!S96&lt;&gt;B!T96,B!P96,),),)</f>
        <v>0</v>
      </c>
      <c r="Q96" s="795">
        <f>IF(B!Q96&lt;&gt;B!R96,IF(B!Q96&lt;&gt;0,IF(B!S96&lt;&gt;B!T96,B!Q96,),),)</f>
        <v>0</v>
      </c>
      <c r="R96" s="628">
        <f>IF(B!Q96&lt;&gt;B!R96,IF(B!Q96&lt;&gt;0,IF(B!S96&lt;&gt;B!T96,0,Q96),Q96),Q96)</f>
        <v>0</v>
      </c>
      <c r="S96" s="796">
        <f>IF(B!Q96&lt;&gt;B!R96,IF(B!Q96&lt;&gt;0,IF(B!S96&lt;&gt;B!T96,B!S96+1,),),)</f>
        <v>0</v>
      </c>
      <c r="T96" s="796">
        <f>IF(B!Q96&lt;&gt;B!R96,IF(B!Q96&lt;&gt;0,IF(B!S96&lt;&gt;B!T96,B!T96,),),)</f>
        <v>0</v>
      </c>
      <c r="U96" s="797">
        <f>IF(B!Q96&lt;&gt;B!R96,IF(B!Q96&lt;&gt;0,IF(B!S96&lt;&gt;B!T96,B!U96,),),)</f>
        <v>0</v>
      </c>
      <c r="V96" s="875">
        <f>IF(B!Q96&lt;&gt;B!R96,IF(B!Q96&lt;&gt;0,IF(B!S96&lt;&gt;B!T96,B!V96,),),)</f>
        <v>0</v>
      </c>
      <c r="W96" s="633">
        <f>IF(Q96="","",$W$5-SUM($Q$7:$Q$45)-SUM($Q$64:Q96))</f>
        <v>0</v>
      </c>
      <c r="AO96" s="86"/>
      <c r="AP96" s="86"/>
      <c r="AQ96" s="86"/>
      <c r="AR96" s="86"/>
      <c r="AS96" s="86"/>
      <c r="AT96" s="86"/>
      <c r="AU96" s="86"/>
      <c r="AV96" s="86"/>
      <c r="AW96" s="86"/>
      <c r="AX96" s="86"/>
      <c r="AY96" s="86"/>
      <c r="CM96" s="86"/>
      <c r="CN96" s="86"/>
    </row>
    <row r="97" spans="8:92" s="367" customFormat="1" ht="15.75" hidden="1" customHeight="1" outlineLevel="1">
      <c r="H97" s="543"/>
      <c r="I97" s="853"/>
      <c r="J97" s="6"/>
      <c r="K97" s="541"/>
      <c r="L97" s="860"/>
      <c r="M97" s="20" t="str">
        <f>IF(J97="","",$M$5-SUM($J$7:J97))</f>
        <v/>
      </c>
      <c r="O97" s="7"/>
      <c r="P97" s="871">
        <f>IF(B!Q97&lt;&gt;B!R97,IF(B!Q97&lt;&gt;0,IF(B!S97&lt;&gt;B!T97,B!P97,),),)</f>
        <v>0</v>
      </c>
      <c r="Q97" s="795">
        <f>IF(B!Q97&lt;&gt;B!R97,IF(B!Q97&lt;&gt;0,IF(B!S97&lt;&gt;B!T97,B!Q97,),),)</f>
        <v>0</v>
      </c>
      <c r="R97" s="628">
        <f>IF(B!Q97&lt;&gt;B!R97,IF(B!Q97&lt;&gt;0,IF(B!S97&lt;&gt;B!T97,0,Q97),Q97),Q97)</f>
        <v>0</v>
      </c>
      <c r="S97" s="796">
        <f>IF(B!Q97&lt;&gt;B!R97,IF(B!Q97&lt;&gt;0,IF(B!S97&lt;&gt;B!T97,B!S97+1,),),)</f>
        <v>0</v>
      </c>
      <c r="T97" s="796">
        <f>IF(B!Q97&lt;&gt;B!R97,IF(B!Q97&lt;&gt;0,IF(B!S97&lt;&gt;B!T97,B!T97,),),)</f>
        <v>0</v>
      </c>
      <c r="U97" s="797">
        <f>IF(B!Q97&lt;&gt;B!R97,IF(B!Q97&lt;&gt;0,IF(B!S97&lt;&gt;B!T97,B!U97,),),)</f>
        <v>0</v>
      </c>
      <c r="V97" s="875">
        <f>IF(B!Q97&lt;&gt;B!R97,IF(B!Q97&lt;&gt;0,IF(B!S97&lt;&gt;B!T97,B!V97,),),)</f>
        <v>0</v>
      </c>
      <c r="W97" s="633">
        <f>IF(Q97="","",$W$5-SUM($Q$7:$Q$45)-SUM($Q$64:Q97))</f>
        <v>0</v>
      </c>
      <c r="AO97" s="86"/>
      <c r="AP97" s="86"/>
      <c r="AQ97" s="86"/>
      <c r="AR97" s="86"/>
      <c r="AS97" s="86"/>
      <c r="AT97" s="86"/>
      <c r="AU97" s="86"/>
      <c r="AV97" s="86"/>
      <c r="AW97" s="86"/>
      <c r="AX97" s="86"/>
      <c r="AY97" s="86"/>
      <c r="CM97" s="86"/>
      <c r="CN97" s="86"/>
    </row>
    <row r="98" spans="8:92" s="367" customFormat="1" ht="15.75" hidden="1" customHeight="1" outlineLevel="1">
      <c r="H98" s="543"/>
      <c r="I98" s="853"/>
      <c r="J98" s="6"/>
      <c r="K98" s="541"/>
      <c r="L98" s="860"/>
      <c r="M98" s="20" t="str">
        <f>IF(J98="","",$M$5-SUM($J$7:J98))</f>
        <v/>
      </c>
      <c r="O98" s="7"/>
      <c r="P98" s="871">
        <f>IF(B!Q98&lt;&gt;B!R98,IF(B!Q98&lt;&gt;0,IF(B!S98&lt;&gt;B!T98,B!P98,),),)</f>
        <v>0</v>
      </c>
      <c r="Q98" s="795">
        <f>IF(B!Q98&lt;&gt;B!R98,IF(B!Q98&lt;&gt;0,IF(B!S98&lt;&gt;B!T98,B!Q98,),),)</f>
        <v>0</v>
      </c>
      <c r="R98" s="628">
        <f>IF(B!Q98&lt;&gt;B!R98,IF(B!Q98&lt;&gt;0,IF(B!S98&lt;&gt;B!T98,0,Q98),Q98),Q98)</f>
        <v>0</v>
      </c>
      <c r="S98" s="796">
        <f>IF(B!Q98&lt;&gt;B!R98,IF(B!Q98&lt;&gt;0,IF(B!S98&lt;&gt;B!T98,B!S98+1,),),)</f>
        <v>0</v>
      </c>
      <c r="T98" s="796">
        <f>IF(B!Q98&lt;&gt;B!R98,IF(B!Q98&lt;&gt;0,IF(B!S98&lt;&gt;B!T98,B!T98,),),)</f>
        <v>0</v>
      </c>
      <c r="U98" s="797">
        <f>IF(B!Q98&lt;&gt;B!R98,IF(B!Q98&lt;&gt;0,IF(B!S98&lt;&gt;B!T98,B!U98,),),)</f>
        <v>0</v>
      </c>
      <c r="V98" s="875">
        <f>IF(B!Q98&lt;&gt;B!R98,IF(B!Q98&lt;&gt;0,IF(B!S98&lt;&gt;B!T98,B!V98,),),)</f>
        <v>0</v>
      </c>
      <c r="W98" s="633">
        <f>IF(Q98="","",$W$5-SUM($Q$7:$Q$45)-SUM($Q$64:Q98))</f>
        <v>0</v>
      </c>
      <c r="AO98" s="86"/>
      <c r="AP98" s="86"/>
      <c r="AQ98" s="86"/>
      <c r="AR98" s="86"/>
      <c r="AS98" s="86"/>
      <c r="AT98" s="86"/>
      <c r="AU98" s="86"/>
      <c r="AV98" s="86"/>
      <c r="AW98" s="86"/>
      <c r="AX98" s="86"/>
      <c r="AY98" s="86"/>
      <c r="CM98" s="86"/>
      <c r="CN98" s="86"/>
    </row>
    <row r="99" spans="8:92" s="367" customFormat="1" ht="15.75" hidden="1" customHeight="1" outlineLevel="1">
      <c r="H99" s="543"/>
      <c r="I99" s="853"/>
      <c r="J99" s="6"/>
      <c r="K99" s="541"/>
      <c r="L99" s="860"/>
      <c r="M99" s="20" t="str">
        <f>IF(J99="","",$M$5-SUM($J$7:J99))</f>
        <v/>
      </c>
      <c r="O99" s="7"/>
      <c r="P99" s="873">
        <f>IF(B!Q99&lt;&gt;B!R99,IF(B!Q99&lt;&gt;0,IF(B!S99&lt;&gt;B!T99,B!P99,),),)</f>
        <v>0</v>
      </c>
      <c r="Q99" s="795">
        <f>IF(B!Q99&lt;&gt;B!R99,IF(B!Q99&lt;&gt;0,IF(B!S99&lt;&gt;B!T99,B!Q99,),),)</f>
        <v>0</v>
      </c>
      <c r="R99" s="628">
        <f>IF(B!Q99&lt;&gt;B!R99,IF(B!Q99&lt;&gt;0,IF(B!S99&lt;&gt;B!T99,0,Q99),Q99),Q99)</f>
        <v>0</v>
      </c>
      <c r="S99" s="796">
        <f>IF(B!Q99&lt;&gt;B!R99,IF(B!Q99&lt;&gt;0,IF(B!S99&lt;&gt;B!T99,B!S99+1,),),)</f>
        <v>0</v>
      </c>
      <c r="T99" s="796">
        <f>IF(B!Q99&lt;&gt;B!R99,IF(B!Q99&lt;&gt;0,IF(B!S99&lt;&gt;B!T99,B!T99,),),)</f>
        <v>0</v>
      </c>
      <c r="U99" s="797">
        <f>IF(B!Q99&lt;&gt;B!R99,IF(B!Q99&lt;&gt;0,IF(B!S99&lt;&gt;B!T99,B!U99,),),)</f>
        <v>0</v>
      </c>
      <c r="V99" s="875">
        <f>IF(B!Q99&lt;&gt;B!R99,IF(B!Q99&lt;&gt;0,IF(B!S99&lt;&gt;B!T99,B!V99,),),)</f>
        <v>0</v>
      </c>
      <c r="W99" s="633">
        <f>IF(Q99="","",$W$5-SUM($Q$7:$Q$45)-SUM($Q$64:Q99))</f>
        <v>0</v>
      </c>
      <c r="AO99" s="86"/>
      <c r="AP99" s="86"/>
      <c r="AQ99" s="86"/>
      <c r="AR99" s="86"/>
      <c r="AS99" s="86"/>
      <c r="AT99" s="86"/>
      <c r="AU99" s="86"/>
      <c r="AV99" s="86"/>
      <c r="AW99" s="86"/>
      <c r="AX99" s="86"/>
      <c r="AY99" s="86"/>
      <c r="CM99" s="86"/>
      <c r="CN99" s="86"/>
    </row>
    <row r="100" spans="8:92" s="367" customFormat="1" ht="15.75" hidden="1" customHeight="1" outlineLevel="1">
      <c r="H100" s="543"/>
      <c r="I100" s="854"/>
      <c r="J100" s="6"/>
      <c r="K100" s="541"/>
      <c r="L100" s="860"/>
      <c r="M100" s="20" t="str">
        <f>IF(J100="","",$M$5-SUM($J$7:J100))</f>
        <v/>
      </c>
      <c r="O100" s="7"/>
      <c r="P100" s="871">
        <f>IF(B!Q100&lt;&gt;B!R100,IF(B!Q100&lt;&gt;0,IF(B!S100&lt;&gt;B!T100,B!P100,),),)</f>
        <v>0</v>
      </c>
      <c r="Q100" s="795">
        <f>IF(B!Q100&lt;&gt;B!R100,IF(B!Q100&lt;&gt;0,IF(B!S100&lt;&gt;B!T100,B!Q100,),),)</f>
        <v>0</v>
      </c>
      <c r="R100" s="628">
        <f>IF(B!Q100&lt;&gt;B!R100,IF(B!Q100&lt;&gt;0,IF(B!S100&lt;&gt;B!T100,0,Q100),Q100),Q100)</f>
        <v>0</v>
      </c>
      <c r="S100" s="796">
        <f>IF(B!Q100&lt;&gt;B!R100,IF(B!Q100&lt;&gt;0,IF(B!S100&lt;&gt;B!T100,B!S100+1,),),)</f>
        <v>0</v>
      </c>
      <c r="T100" s="796">
        <f>IF(B!Q100&lt;&gt;B!R100,IF(B!Q100&lt;&gt;0,IF(B!S100&lt;&gt;B!T100,B!T100,),),)</f>
        <v>0</v>
      </c>
      <c r="U100" s="797">
        <f>IF(B!Q100&lt;&gt;B!R100,IF(B!Q100&lt;&gt;0,IF(B!S100&lt;&gt;B!T100,B!U100,),),)</f>
        <v>0</v>
      </c>
      <c r="V100" s="875">
        <f>IF(B!Q100&lt;&gt;B!R100,IF(B!Q100&lt;&gt;0,IF(B!S100&lt;&gt;B!T100,B!V100,),),)</f>
        <v>0</v>
      </c>
      <c r="W100" s="633">
        <f>IF(Q100="","",$W$5-SUM($Q$7:$Q$45)-SUM($Q$64:Q100))</f>
        <v>0</v>
      </c>
      <c r="AO100" s="86"/>
      <c r="AP100" s="86"/>
      <c r="AQ100" s="86"/>
      <c r="AR100" s="86"/>
      <c r="AS100" s="86"/>
      <c r="AT100" s="86"/>
      <c r="AU100" s="86"/>
      <c r="AV100" s="86"/>
      <c r="AW100" s="86"/>
      <c r="AX100" s="86"/>
      <c r="AY100" s="86"/>
      <c r="CM100" s="86"/>
      <c r="CN100" s="86"/>
    </row>
    <row r="101" spans="8:92" s="367" customFormat="1" ht="15.75" hidden="1" customHeight="1" outlineLevel="1">
      <c r="H101" s="543"/>
      <c r="I101" s="853"/>
      <c r="J101" s="6"/>
      <c r="K101" s="541"/>
      <c r="L101" s="860"/>
      <c r="M101" s="20" t="str">
        <f>IF(J101="","",$M$5-SUM($J$7:J101))</f>
        <v/>
      </c>
      <c r="O101" s="7"/>
      <c r="P101" s="871">
        <f>IF(B!Q101&lt;&gt;B!R101,IF(B!Q101&lt;&gt;0,IF(B!S101&lt;&gt;B!T101,B!P101,),),)</f>
        <v>0</v>
      </c>
      <c r="Q101" s="795">
        <f>IF(B!Q101&lt;&gt;B!R101,IF(B!Q101&lt;&gt;0,IF(B!S101&lt;&gt;B!T101,B!Q101,),),)</f>
        <v>0</v>
      </c>
      <c r="R101" s="628">
        <f>IF(B!Q101&lt;&gt;B!R101,IF(B!Q101&lt;&gt;0,IF(B!S101&lt;&gt;B!T101,0,Q101),Q101),Q101)</f>
        <v>0</v>
      </c>
      <c r="S101" s="796">
        <f>IF(B!Q101&lt;&gt;B!R101,IF(B!Q101&lt;&gt;0,IF(B!S101&lt;&gt;B!T101,B!S101+1,),),)</f>
        <v>0</v>
      </c>
      <c r="T101" s="796">
        <f>IF(B!Q101&lt;&gt;B!R101,IF(B!Q101&lt;&gt;0,IF(B!S101&lt;&gt;B!T101,B!T101,),),)</f>
        <v>0</v>
      </c>
      <c r="U101" s="797">
        <f>IF(B!Q101&lt;&gt;B!R101,IF(B!Q101&lt;&gt;0,IF(B!S101&lt;&gt;B!T101,B!U101,),),)</f>
        <v>0</v>
      </c>
      <c r="V101" s="875">
        <f>IF(B!Q101&lt;&gt;B!R101,IF(B!Q101&lt;&gt;0,IF(B!S101&lt;&gt;B!T101,B!V101,),),)</f>
        <v>0</v>
      </c>
      <c r="W101" s="633">
        <f>IF(Q101="","",$W$5-SUM($Q$7:$Q$45)-SUM($Q$64:Q101))</f>
        <v>0</v>
      </c>
      <c r="AO101" s="86"/>
      <c r="AP101" s="86"/>
      <c r="AQ101" s="86"/>
      <c r="AR101" s="86"/>
      <c r="AS101" s="86"/>
      <c r="AT101" s="86"/>
      <c r="AU101" s="86"/>
      <c r="AV101" s="86"/>
      <c r="AW101" s="86"/>
      <c r="AX101" s="86"/>
      <c r="AY101" s="86"/>
      <c r="CM101" s="86"/>
      <c r="CN101" s="86"/>
    </row>
    <row r="102" spans="8:92" s="367" customFormat="1" ht="15.75" hidden="1" customHeight="1" outlineLevel="1">
      <c r="H102" s="543"/>
      <c r="I102" s="853"/>
      <c r="J102" s="6"/>
      <c r="K102" s="541"/>
      <c r="L102" s="860"/>
      <c r="M102" s="20" t="str">
        <f>IF(J102="","",$M$5-SUM($J$7:J102))</f>
        <v/>
      </c>
      <c r="O102" s="7"/>
      <c r="P102" s="873">
        <f>IF(B!Q102&lt;&gt;B!R102,IF(B!Q102&lt;&gt;0,IF(B!S102&lt;&gt;B!T102,B!P102,),),)</f>
        <v>0</v>
      </c>
      <c r="Q102" s="795">
        <f>IF(B!Q102&lt;&gt;B!R102,IF(B!Q102&lt;&gt;0,IF(B!S102&lt;&gt;B!T102,B!Q102,),),)</f>
        <v>0</v>
      </c>
      <c r="R102" s="628">
        <f>IF(B!Q102&lt;&gt;B!R102,IF(B!Q102&lt;&gt;0,IF(B!S102&lt;&gt;B!T102,0,Q102),Q102),Q102)</f>
        <v>0</v>
      </c>
      <c r="S102" s="796">
        <f>IF(B!Q102&lt;&gt;B!R102,IF(B!Q102&lt;&gt;0,IF(B!S102&lt;&gt;B!T102,B!S102+1,),),)</f>
        <v>0</v>
      </c>
      <c r="T102" s="796">
        <f>IF(B!Q102&lt;&gt;B!R102,IF(B!Q102&lt;&gt;0,IF(B!S102&lt;&gt;B!T102,B!T102,),),)</f>
        <v>0</v>
      </c>
      <c r="U102" s="797">
        <f>IF(B!Q102&lt;&gt;B!R102,IF(B!Q102&lt;&gt;0,IF(B!S102&lt;&gt;B!T102,B!U102,),),)</f>
        <v>0</v>
      </c>
      <c r="V102" s="875">
        <f>IF(B!Q102&lt;&gt;B!R102,IF(B!Q102&lt;&gt;0,IF(B!S102&lt;&gt;B!T102,B!V102,),),)</f>
        <v>0</v>
      </c>
      <c r="W102" s="633">
        <f>IF(Q102="","",$W$5-SUM($Q$7:$Q$45)-SUM($Q$64:Q102))</f>
        <v>0</v>
      </c>
      <c r="AO102" s="86"/>
      <c r="AP102" s="86"/>
      <c r="AQ102" s="86"/>
      <c r="AR102" s="86"/>
      <c r="AS102" s="86"/>
      <c r="AT102" s="86"/>
      <c r="AU102" s="86"/>
      <c r="AV102" s="86"/>
      <c r="AW102" s="86"/>
      <c r="AX102" s="86"/>
      <c r="AY102" s="86"/>
      <c r="CM102" s="86"/>
      <c r="CN102" s="86"/>
    </row>
    <row r="103" spans="8:92" s="367" customFormat="1" ht="15.75" hidden="1" customHeight="1" outlineLevel="1">
      <c r="H103" s="543"/>
      <c r="I103" s="853"/>
      <c r="J103" s="6"/>
      <c r="K103" s="541"/>
      <c r="L103" s="860"/>
      <c r="M103" s="20" t="str">
        <f>IF(J103="","",$M$5-SUM($J$7:J103))</f>
        <v/>
      </c>
      <c r="O103" s="7"/>
      <c r="P103" s="871">
        <f>IF(B!Q103&lt;&gt;B!R103,IF(B!Q103&lt;&gt;0,IF(B!S103&lt;&gt;B!T103,B!P103,),),)</f>
        <v>0</v>
      </c>
      <c r="Q103" s="795">
        <f>IF(B!Q103&lt;&gt;B!R103,IF(B!Q103&lt;&gt;0,IF(B!S103&lt;&gt;B!T103,B!Q103,),),)</f>
        <v>0</v>
      </c>
      <c r="R103" s="628">
        <f>IF(B!Q103&lt;&gt;B!R103,IF(B!Q103&lt;&gt;0,IF(B!S103&lt;&gt;B!T103,0,Q103),Q103),Q103)</f>
        <v>0</v>
      </c>
      <c r="S103" s="796">
        <f>IF(B!Q103&lt;&gt;B!R103,IF(B!Q103&lt;&gt;0,IF(B!S103&lt;&gt;B!T103,B!S103+1,),),)</f>
        <v>0</v>
      </c>
      <c r="T103" s="796">
        <f>IF(B!Q103&lt;&gt;B!R103,IF(B!Q103&lt;&gt;0,IF(B!S103&lt;&gt;B!T103,B!T103,),),)</f>
        <v>0</v>
      </c>
      <c r="U103" s="797">
        <f>IF(B!Q103&lt;&gt;B!R103,IF(B!Q103&lt;&gt;0,IF(B!S103&lt;&gt;B!T103,B!U103,),),)</f>
        <v>0</v>
      </c>
      <c r="V103" s="875">
        <f>IF(B!Q103&lt;&gt;B!R103,IF(B!Q103&lt;&gt;0,IF(B!S103&lt;&gt;B!T103,B!V103,),),)</f>
        <v>0</v>
      </c>
      <c r="W103" s="633">
        <f>IF(Q103="","",$W$5-SUM($Q$7:$Q$45)-SUM($Q$64:Q103))</f>
        <v>0</v>
      </c>
      <c r="AO103" s="86"/>
      <c r="AP103" s="86"/>
      <c r="AQ103" s="86"/>
      <c r="AR103" s="86"/>
      <c r="AS103" s="86"/>
      <c r="AT103" s="86"/>
      <c r="AU103" s="86"/>
      <c r="AV103" s="86"/>
      <c r="AW103" s="86"/>
      <c r="AX103" s="86"/>
      <c r="AY103" s="86"/>
      <c r="CM103" s="86"/>
      <c r="CN103" s="86"/>
    </row>
    <row r="104" spans="8:92" s="367" customFormat="1" ht="15.75" hidden="1" customHeight="1" outlineLevel="1">
      <c r="H104" s="543"/>
      <c r="I104" s="853"/>
      <c r="J104" s="6"/>
      <c r="K104" s="541"/>
      <c r="L104" s="860"/>
      <c r="M104" s="20" t="str">
        <f>IF(J104="","",$M$5-SUM($J$7:J104))</f>
        <v/>
      </c>
      <c r="O104" s="7"/>
      <c r="P104" s="873">
        <f>IF(B!Q104&lt;&gt;B!R104,IF(B!Q104&lt;&gt;0,IF(B!S104&lt;&gt;B!T104,B!P104,),),)</f>
        <v>0</v>
      </c>
      <c r="Q104" s="795">
        <f>IF(B!Q104&lt;&gt;B!R104,IF(B!Q104&lt;&gt;0,IF(B!S104&lt;&gt;B!T104,B!Q104,),),)</f>
        <v>0</v>
      </c>
      <c r="R104" s="628">
        <f>IF(B!Q104&lt;&gt;B!R104,IF(B!Q104&lt;&gt;0,IF(B!S104&lt;&gt;B!T104,0,Q104),Q104),Q104)</f>
        <v>0</v>
      </c>
      <c r="S104" s="796">
        <f>IF(B!Q104&lt;&gt;B!R104,IF(B!Q104&lt;&gt;0,IF(B!S104&lt;&gt;B!T104,B!S104+1,),),)</f>
        <v>0</v>
      </c>
      <c r="T104" s="796">
        <f>IF(B!Q104&lt;&gt;B!R104,IF(B!Q104&lt;&gt;0,IF(B!S104&lt;&gt;B!T104,B!T104,),),)</f>
        <v>0</v>
      </c>
      <c r="U104" s="797">
        <f>IF(B!Q104&lt;&gt;B!R104,IF(B!Q104&lt;&gt;0,IF(B!S104&lt;&gt;B!T104,B!U104,),),)</f>
        <v>0</v>
      </c>
      <c r="V104" s="875">
        <f>IF(B!Q104&lt;&gt;B!R104,IF(B!Q104&lt;&gt;0,IF(B!S104&lt;&gt;B!T104,B!V104,),),)</f>
        <v>0</v>
      </c>
      <c r="W104" s="633">
        <f>IF(Q104="","",$W$5-SUM($Q$7:$Q$45)-SUM($Q$64:Q104))</f>
        <v>0</v>
      </c>
      <c r="AO104" s="86"/>
      <c r="AP104" s="86"/>
      <c r="AQ104" s="86"/>
      <c r="AR104" s="86"/>
      <c r="AS104" s="86"/>
      <c r="AT104" s="86"/>
      <c r="AU104" s="86"/>
      <c r="AV104" s="86"/>
      <c r="AW104" s="86"/>
      <c r="AX104" s="86"/>
      <c r="AY104" s="86"/>
      <c r="CM104" s="86"/>
      <c r="CN104" s="86"/>
    </row>
    <row r="105" spans="8:92" s="367" customFormat="1" ht="15.75" hidden="1" customHeight="1" outlineLevel="1">
      <c r="H105" s="543"/>
      <c r="I105" s="853"/>
      <c r="J105" s="6"/>
      <c r="K105" s="541"/>
      <c r="L105" s="860"/>
      <c r="M105" s="20" t="str">
        <f>IF(J105="","",$M$5-SUM($J$7:J105))</f>
        <v/>
      </c>
      <c r="O105" s="7"/>
      <c r="P105" s="872">
        <f>IF(B!Q105&lt;&gt;B!R105,IF(B!Q105&lt;&gt;0,IF(B!S105&lt;&gt;B!T105,B!P105,),),)</f>
        <v>0</v>
      </c>
      <c r="Q105" s="795">
        <f>IF(B!Q105&lt;&gt;B!R105,IF(B!Q105&lt;&gt;0,IF(B!S105&lt;&gt;B!T105,B!Q105,),),)</f>
        <v>0</v>
      </c>
      <c r="R105" s="628">
        <f>IF(B!Q105&lt;&gt;B!R105,IF(B!Q105&lt;&gt;0,IF(B!S105&lt;&gt;B!T105,0,Q105),Q105),Q105)</f>
        <v>0</v>
      </c>
      <c r="S105" s="796">
        <f>IF(B!Q105&lt;&gt;B!R105,IF(B!Q105&lt;&gt;0,IF(B!S105&lt;&gt;B!T105,B!S105+1,),),)</f>
        <v>0</v>
      </c>
      <c r="T105" s="796">
        <f>IF(B!Q105&lt;&gt;B!R105,IF(B!Q105&lt;&gt;0,IF(B!S105&lt;&gt;B!T105,B!T105,),),)</f>
        <v>0</v>
      </c>
      <c r="U105" s="797">
        <f>IF(B!Q105&lt;&gt;B!R105,IF(B!Q105&lt;&gt;0,IF(B!S105&lt;&gt;B!T105,B!U105,),),)</f>
        <v>0</v>
      </c>
      <c r="V105" s="875">
        <f>IF(B!Q105&lt;&gt;B!R105,IF(B!Q105&lt;&gt;0,IF(B!S105&lt;&gt;B!T105,B!V105,),),)</f>
        <v>0</v>
      </c>
      <c r="W105" s="633">
        <f>IF(Q105="","",$W$5-SUM($Q$7:$Q$45)-SUM($Q$64:Q105))</f>
        <v>0</v>
      </c>
      <c r="AO105" s="86"/>
      <c r="AP105" s="86"/>
      <c r="AQ105" s="86"/>
      <c r="AR105" s="86"/>
      <c r="AS105" s="86"/>
      <c r="AT105" s="86"/>
      <c r="AU105" s="86"/>
      <c r="AV105" s="86"/>
      <c r="AW105" s="86"/>
      <c r="AX105" s="86"/>
      <c r="AY105" s="86"/>
      <c r="CM105" s="86"/>
      <c r="CN105" s="86"/>
    </row>
    <row r="106" spans="8:92" s="367" customFormat="1" ht="15.75" hidden="1" customHeight="1" outlineLevel="1">
      <c r="H106" s="543"/>
      <c r="I106" s="853"/>
      <c r="J106" s="6"/>
      <c r="K106" s="541"/>
      <c r="L106" s="860"/>
      <c r="M106" s="20" t="str">
        <f>IF(J106="","",$M$5-SUM($J$7:J106))</f>
        <v/>
      </c>
      <c r="O106" s="7"/>
      <c r="P106" s="871">
        <f>IF(B!Q106&lt;&gt;B!R106,IF(B!Q106&lt;&gt;0,IF(B!S106&lt;&gt;B!T106,B!P106,),),)</f>
        <v>0</v>
      </c>
      <c r="Q106" s="795">
        <f>IF(B!Q106&lt;&gt;B!R106,IF(B!Q106&lt;&gt;0,IF(B!S106&lt;&gt;B!T106,B!Q106,),),)</f>
        <v>0</v>
      </c>
      <c r="R106" s="628">
        <f>IF(B!Q106&lt;&gt;B!R106,IF(B!Q106&lt;&gt;0,IF(B!S106&lt;&gt;B!T106,0,Q106),Q106),Q106)</f>
        <v>0</v>
      </c>
      <c r="S106" s="796">
        <f>IF(B!Q106&lt;&gt;B!R106,IF(B!Q106&lt;&gt;0,IF(B!S106&lt;&gt;B!T106,B!S106+1,),),)</f>
        <v>0</v>
      </c>
      <c r="T106" s="796">
        <f>IF(B!Q106&lt;&gt;B!R106,IF(B!Q106&lt;&gt;0,IF(B!S106&lt;&gt;B!T106,B!T106,),),)</f>
        <v>0</v>
      </c>
      <c r="U106" s="797">
        <f>IF(B!Q106&lt;&gt;B!R106,IF(B!Q106&lt;&gt;0,IF(B!S106&lt;&gt;B!T106,B!U106,),),)</f>
        <v>0</v>
      </c>
      <c r="V106" s="875">
        <f>IF(B!Q106&lt;&gt;B!R106,IF(B!Q106&lt;&gt;0,IF(B!S106&lt;&gt;B!T106,B!V106,),),)</f>
        <v>0</v>
      </c>
      <c r="W106" s="633">
        <f>IF(Q106="","",$W$5-SUM($Q$7:$Q$45)-SUM($Q$64:Q106))</f>
        <v>0</v>
      </c>
      <c r="AO106" s="86"/>
      <c r="AP106" s="86"/>
      <c r="AQ106" s="86"/>
      <c r="AR106" s="86"/>
      <c r="AS106" s="86"/>
      <c r="AT106" s="86"/>
      <c r="AU106" s="86"/>
      <c r="AV106" s="86"/>
      <c r="AW106" s="86"/>
      <c r="AX106" s="86"/>
      <c r="AY106" s="86"/>
      <c r="CM106" s="86"/>
      <c r="CN106" s="86"/>
    </row>
    <row r="107" spans="8:92" s="367" customFormat="1" ht="15.75" hidden="1" customHeight="1" outlineLevel="1">
      <c r="H107" s="543"/>
      <c r="I107" s="853"/>
      <c r="J107" s="6"/>
      <c r="K107" s="541"/>
      <c r="L107" s="860"/>
      <c r="M107" s="20" t="str">
        <f>IF(J107="","",$M$5-SUM($J$7:J107))</f>
        <v/>
      </c>
      <c r="O107" s="7"/>
      <c r="P107" s="871">
        <f>IF(B!Q107&lt;&gt;B!R107,IF(B!Q107&lt;&gt;0,IF(B!S107&lt;&gt;B!T107,B!P107,),),)</f>
        <v>0</v>
      </c>
      <c r="Q107" s="795">
        <f>IF(B!Q107&lt;&gt;B!R107,IF(B!Q107&lt;&gt;0,IF(B!S107&lt;&gt;B!T107,B!Q107,),),)</f>
        <v>0</v>
      </c>
      <c r="R107" s="628">
        <f>IF(B!Q107&lt;&gt;B!R107,IF(B!Q107&lt;&gt;0,IF(B!S107&lt;&gt;B!T107,0,Q107),Q107),Q107)</f>
        <v>0</v>
      </c>
      <c r="S107" s="796">
        <f>IF(B!Q107&lt;&gt;B!R107,IF(B!Q107&lt;&gt;0,IF(B!S107&lt;&gt;B!T107,B!S107+1,),),)</f>
        <v>0</v>
      </c>
      <c r="T107" s="796">
        <f>IF(B!Q107&lt;&gt;B!R107,IF(B!Q107&lt;&gt;0,IF(B!S107&lt;&gt;B!T107,B!T107,),),)</f>
        <v>0</v>
      </c>
      <c r="U107" s="797">
        <f>IF(B!Q107&lt;&gt;B!R107,IF(B!Q107&lt;&gt;0,IF(B!S107&lt;&gt;B!T107,B!U107,),),)</f>
        <v>0</v>
      </c>
      <c r="V107" s="875">
        <f>IF(B!Q107&lt;&gt;B!R107,IF(B!Q107&lt;&gt;0,IF(B!S107&lt;&gt;B!T107,B!V107,),),)</f>
        <v>0</v>
      </c>
      <c r="W107" s="633">
        <f>IF(Q107="","",$W$5-SUM($Q$7:$Q$45)-SUM($Q$64:Q107))</f>
        <v>0</v>
      </c>
      <c r="AO107" s="86"/>
      <c r="AP107" s="86"/>
      <c r="AQ107" s="86"/>
      <c r="AR107" s="86"/>
      <c r="AS107" s="86"/>
      <c r="AT107" s="86"/>
      <c r="AU107" s="86"/>
      <c r="AV107" s="86"/>
      <c r="AW107" s="86"/>
      <c r="AX107" s="86"/>
      <c r="AY107" s="86"/>
      <c r="CM107" s="86"/>
      <c r="CN107" s="86"/>
    </row>
    <row r="108" spans="8:92" s="367" customFormat="1" ht="15.75" hidden="1" customHeight="1" outlineLevel="1">
      <c r="H108" s="543"/>
      <c r="I108" s="853"/>
      <c r="J108" s="6"/>
      <c r="K108" s="541"/>
      <c r="L108" s="860"/>
      <c r="M108" s="20" t="str">
        <f>IF(J108="","",$M$5-SUM($J$7:J108))</f>
        <v/>
      </c>
      <c r="O108" s="7"/>
      <c r="P108" s="873">
        <f>IF(B!Q108&lt;&gt;B!R108,IF(B!Q108&lt;&gt;0,IF(B!S108&lt;&gt;B!T108,B!P108,),),)</f>
        <v>0</v>
      </c>
      <c r="Q108" s="795">
        <f>IF(B!Q108&lt;&gt;B!R108,IF(B!Q108&lt;&gt;0,IF(B!S108&lt;&gt;B!T108,B!Q108,),),)</f>
        <v>0</v>
      </c>
      <c r="R108" s="628">
        <f>IF(B!Q108&lt;&gt;B!R108,IF(B!Q108&lt;&gt;0,IF(B!S108&lt;&gt;B!T108,0,Q108),Q108),Q108)</f>
        <v>0</v>
      </c>
      <c r="S108" s="796">
        <f>IF(B!Q108&lt;&gt;B!R108,IF(B!Q108&lt;&gt;0,IF(B!S108&lt;&gt;B!T108,B!S108+1,),),)</f>
        <v>0</v>
      </c>
      <c r="T108" s="796">
        <f>IF(B!Q108&lt;&gt;B!R108,IF(B!Q108&lt;&gt;0,IF(B!S108&lt;&gt;B!T108,B!T108,),),)</f>
        <v>0</v>
      </c>
      <c r="U108" s="797">
        <f>IF(B!Q108&lt;&gt;B!R108,IF(B!Q108&lt;&gt;0,IF(B!S108&lt;&gt;B!T108,B!U108,),),)</f>
        <v>0</v>
      </c>
      <c r="V108" s="875">
        <f>IF(B!Q108&lt;&gt;B!R108,IF(B!Q108&lt;&gt;0,IF(B!S108&lt;&gt;B!T108,B!V108,),),)</f>
        <v>0</v>
      </c>
      <c r="W108" s="633">
        <f>IF(Q108="","",$W$5-SUM($Q$7:$Q$45)-SUM($Q$64:Q108))</f>
        <v>0</v>
      </c>
      <c r="AO108" s="86"/>
      <c r="AP108" s="86"/>
      <c r="AQ108" s="86"/>
      <c r="AR108" s="86"/>
      <c r="AS108" s="86"/>
      <c r="AT108" s="86"/>
      <c r="AU108" s="86"/>
      <c r="AV108" s="86"/>
      <c r="AW108" s="86"/>
      <c r="AX108" s="86"/>
      <c r="AY108" s="86"/>
      <c r="CM108" s="86"/>
      <c r="CN108" s="86"/>
    </row>
    <row r="109" spans="8:92" s="367" customFormat="1" ht="15.75" hidden="1" customHeight="1" outlineLevel="1">
      <c r="H109" s="543"/>
      <c r="I109" s="853"/>
      <c r="J109" s="6"/>
      <c r="K109" s="541"/>
      <c r="L109" s="860"/>
      <c r="M109" s="20" t="str">
        <f>IF(J109="","",$M$5-SUM($J$7:J109))</f>
        <v/>
      </c>
      <c r="O109" s="7"/>
      <c r="P109" s="871">
        <f>IF(B!Q109&lt;&gt;B!R109,IF(B!Q109&lt;&gt;0,IF(B!S109&lt;&gt;B!T109,B!P109,),),)</f>
        <v>0</v>
      </c>
      <c r="Q109" s="795">
        <f>IF(B!Q109&lt;&gt;B!R109,IF(B!Q109&lt;&gt;0,IF(B!S109&lt;&gt;B!T109,B!Q109,),),)</f>
        <v>0</v>
      </c>
      <c r="R109" s="628">
        <f>IF(B!Q109&lt;&gt;B!R109,IF(B!Q109&lt;&gt;0,IF(B!S109&lt;&gt;B!T109,0,Q109),Q109),Q109)</f>
        <v>0</v>
      </c>
      <c r="S109" s="796">
        <f>IF(B!Q109&lt;&gt;B!R109,IF(B!Q109&lt;&gt;0,IF(B!S109&lt;&gt;B!T109,B!S109+1,),),)</f>
        <v>0</v>
      </c>
      <c r="T109" s="796">
        <f>IF(B!Q109&lt;&gt;B!R109,IF(B!Q109&lt;&gt;0,IF(B!S109&lt;&gt;B!T109,B!T109,),),)</f>
        <v>0</v>
      </c>
      <c r="U109" s="797">
        <f>IF(B!Q109&lt;&gt;B!R109,IF(B!Q109&lt;&gt;0,IF(B!S109&lt;&gt;B!T109,B!U109,),),)</f>
        <v>0</v>
      </c>
      <c r="V109" s="875">
        <f>IF(B!Q109&lt;&gt;B!R109,IF(B!Q109&lt;&gt;0,IF(B!S109&lt;&gt;B!T109,B!V109,),),)</f>
        <v>0</v>
      </c>
      <c r="W109" s="633">
        <f>IF(Q109="","",$W$5-SUM($Q$7:$Q$45)-SUM($Q$64:Q109))</f>
        <v>0</v>
      </c>
      <c r="AO109" s="86"/>
      <c r="AP109" s="86"/>
      <c r="AQ109" s="86"/>
      <c r="AR109" s="86"/>
      <c r="AS109" s="86"/>
      <c r="AT109" s="86"/>
      <c r="AU109" s="86"/>
      <c r="AV109" s="86"/>
      <c r="AW109" s="86"/>
      <c r="AX109" s="86"/>
      <c r="AY109" s="86"/>
      <c r="CM109" s="86"/>
      <c r="CN109" s="86"/>
    </row>
    <row r="110" spans="8:92" s="367" customFormat="1" ht="16.5" hidden="1" customHeight="1" outlineLevel="1" thickBot="1">
      <c r="H110" s="544"/>
      <c r="I110" s="857"/>
      <c r="J110" s="545"/>
      <c r="K110" s="601"/>
      <c r="L110" s="861"/>
      <c r="M110" s="546" t="str">
        <f>IF(J110="","",$M$5-SUM($J$7:J110))</f>
        <v/>
      </c>
      <c r="O110" s="523"/>
      <c r="P110" s="874">
        <f>IF(B!Q110&lt;&gt;B!R110,IF(B!Q110&lt;&gt;0,IF(B!S110&lt;&gt;B!T110,B!P110,),),)</f>
        <v>0</v>
      </c>
      <c r="Q110" s="800">
        <f>IF(B!Q110&lt;&gt;B!R110,IF(B!Q110&lt;&gt;0,IF(B!S110&lt;&gt;B!T110,B!Q110,),),)</f>
        <v>0</v>
      </c>
      <c r="R110" s="630">
        <f>IF(B!Q110&lt;&gt;B!R110,IF(B!Q110&lt;&gt;0,IF(B!S110&lt;&gt;B!T110,0,Q110),Q110),Q110)</f>
        <v>0</v>
      </c>
      <c r="S110" s="801">
        <f>IF(B!Q110&lt;&gt;B!R110,IF(B!Q110&lt;&gt;0,IF(B!S110&lt;&gt;B!T110,B!S110+1,),),)</f>
        <v>0</v>
      </c>
      <c r="T110" s="801">
        <f>IF(B!Q110&lt;&gt;B!R110,IF(B!Q110&lt;&gt;0,IF(B!S110&lt;&gt;B!T110,B!T110,),),)</f>
        <v>0</v>
      </c>
      <c r="U110" s="802">
        <f>IF(B!Q110&lt;&gt;B!R110,IF(B!Q110&lt;&gt;0,IF(B!S110&lt;&gt;B!T110,B!U110,),),)</f>
        <v>0</v>
      </c>
      <c r="V110" s="876">
        <f>IF(B!Q110&lt;&gt;B!R110,IF(B!Q110&lt;&gt;0,IF(B!S110&lt;&gt;B!T110,B!V110,),),)</f>
        <v>0</v>
      </c>
      <c r="W110" s="635">
        <f>IF(Q110="","",$W$5-SUM($Q$7:$Q$45)-SUM($Q$64:Q110))</f>
        <v>0</v>
      </c>
      <c r="AO110" s="86"/>
      <c r="AP110" s="86"/>
      <c r="AQ110" s="86"/>
      <c r="AR110" s="86"/>
      <c r="AS110" s="86"/>
      <c r="AT110" s="86"/>
      <c r="AU110" s="86"/>
      <c r="AV110" s="86"/>
      <c r="AW110" s="86"/>
      <c r="AX110" s="86"/>
      <c r="AY110" s="86"/>
      <c r="CM110" s="86"/>
      <c r="CN110" s="86"/>
    </row>
    <row r="111" spans="8:92" s="367" customFormat="1">
      <c r="K111" s="593"/>
      <c r="L111" s="593"/>
      <c r="O111" s="511"/>
      <c r="S111" s="371"/>
      <c r="T111" s="371"/>
      <c r="U111" s="371"/>
      <c r="V111" s="371"/>
      <c r="AO111" s="86"/>
      <c r="AP111" s="86"/>
      <c r="AQ111" s="86"/>
      <c r="AR111" s="86"/>
      <c r="AS111" s="86"/>
      <c r="AT111" s="86"/>
      <c r="AU111" s="86"/>
      <c r="AV111" s="86"/>
      <c r="AW111" s="86"/>
      <c r="AX111" s="86"/>
      <c r="AY111" s="86"/>
      <c r="CM111" s="86"/>
      <c r="CN111" s="86"/>
    </row>
    <row r="112" spans="8:92" s="367" customFormat="1">
      <c r="O112" s="511"/>
      <c r="S112" s="371"/>
      <c r="T112" s="371"/>
      <c r="U112" s="371"/>
      <c r="V112" s="371"/>
      <c r="AO112" s="86"/>
      <c r="AP112" s="86"/>
      <c r="AQ112" s="86"/>
      <c r="AR112" s="86"/>
      <c r="AS112" s="86"/>
      <c r="AT112" s="86"/>
      <c r="AU112" s="86"/>
      <c r="AV112" s="86"/>
      <c r="AW112" s="86"/>
      <c r="AX112" s="86"/>
      <c r="AY112" s="86"/>
      <c r="CM112" s="86"/>
      <c r="CN112" s="86"/>
    </row>
    <row r="113" spans="15:92" s="367" customFormat="1">
      <c r="O113" s="511"/>
      <c r="S113" s="371"/>
      <c r="T113" s="371"/>
      <c r="U113" s="371"/>
      <c r="V113" s="371"/>
      <c r="AO113" s="86"/>
      <c r="AP113" s="86"/>
      <c r="AQ113" s="86"/>
      <c r="AR113" s="86"/>
      <c r="AS113" s="86"/>
      <c r="AT113" s="86"/>
      <c r="AU113" s="86"/>
      <c r="AV113" s="86"/>
      <c r="AW113" s="86"/>
      <c r="AX113" s="86"/>
      <c r="AY113" s="86"/>
      <c r="CM113" s="86"/>
      <c r="CN113" s="86"/>
    </row>
    <row r="114" spans="15:92" s="367" customFormat="1">
      <c r="O114" s="511"/>
      <c r="S114" s="371"/>
      <c r="T114" s="371"/>
      <c r="U114" s="371"/>
      <c r="V114" s="371"/>
      <c r="AO114" s="86"/>
      <c r="AP114" s="86"/>
      <c r="AQ114" s="86"/>
      <c r="AR114" s="86"/>
      <c r="AS114" s="86"/>
      <c r="AT114" s="86"/>
      <c r="AU114" s="86"/>
      <c r="AV114" s="86"/>
      <c r="AW114" s="86"/>
      <c r="AX114" s="86"/>
      <c r="AY114" s="86"/>
      <c r="CM114" s="86"/>
      <c r="CN114" s="86"/>
    </row>
    <row r="115" spans="15:92" s="367" customFormat="1">
      <c r="O115" s="511"/>
      <c r="S115" s="371"/>
      <c r="T115" s="371"/>
      <c r="U115" s="371"/>
      <c r="V115" s="371"/>
      <c r="AO115" s="86"/>
      <c r="AP115" s="86"/>
      <c r="AQ115" s="86"/>
      <c r="AR115" s="86"/>
      <c r="AS115" s="86"/>
      <c r="AT115" s="86"/>
      <c r="AU115" s="86"/>
      <c r="AV115" s="86"/>
      <c r="AW115" s="86"/>
      <c r="AX115" s="86"/>
      <c r="AY115" s="86"/>
      <c r="CM115" s="86"/>
      <c r="CN115" s="86"/>
    </row>
    <row r="116" spans="15:92" s="367" customFormat="1">
      <c r="O116" s="511"/>
      <c r="S116" s="371"/>
      <c r="T116" s="371"/>
      <c r="U116" s="371"/>
      <c r="V116" s="371"/>
      <c r="AO116" s="86"/>
      <c r="AP116" s="86"/>
      <c r="AQ116" s="86"/>
      <c r="AR116" s="86"/>
      <c r="AS116" s="86"/>
      <c r="AT116" s="86"/>
      <c r="AU116" s="86"/>
      <c r="AV116" s="86"/>
      <c r="AW116" s="86"/>
      <c r="AX116" s="86"/>
      <c r="AY116" s="86"/>
      <c r="CM116" s="86"/>
      <c r="CN116" s="86"/>
    </row>
    <row r="117" spans="15:92" s="367" customFormat="1">
      <c r="O117" s="511"/>
      <c r="S117" s="371"/>
      <c r="T117" s="371"/>
      <c r="U117" s="371"/>
      <c r="V117" s="371"/>
      <c r="AO117" s="86"/>
      <c r="AP117" s="86"/>
      <c r="AQ117" s="86"/>
      <c r="AR117" s="86"/>
      <c r="AS117" s="86"/>
      <c r="AT117" s="86"/>
      <c r="AU117" s="86"/>
      <c r="AV117" s="86"/>
      <c r="AW117" s="86"/>
      <c r="AX117" s="86"/>
      <c r="AY117" s="86"/>
      <c r="CM117" s="86"/>
      <c r="CN117" s="86"/>
    </row>
    <row r="118" spans="15:92" s="367" customFormat="1">
      <c r="O118" s="511"/>
      <c r="S118" s="371"/>
      <c r="T118" s="371"/>
      <c r="U118" s="371"/>
      <c r="V118" s="371"/>
      <c r="AO118" s="86"/>
      <c r="AP118" s="86"/>
      <c r="AQ118" s="86"/>
      <c r="AR118" s="86"/>
      <c r="AS118" s="86"/>
      <c r="AT118" s="86"/>
      <c r="AU118" s="86"/>
      <c r="AV118" s="86"/>
      <c r="AW118" s="86"/>
      <c r="AX118" s="86"/>
      <c r="AY118" s="86"/>
      <c r="CM118" s="86"/>
      <c r="CN118" s="86"/>
    </row>
    <row r="119" spans="15:92" s="367" customFormat="1">
      <c r="O119" s="511"/>
      <c r="S119" s="371"/>
      <c r="T119" s="371"/>
      <c r="U119" s="371"/>
      <c r="V119" s="371"/>
      <c r="AO119" s="86"/>
      <c r="AP119" s="86"/>
      <c r="AQ119" s="86"/>
      <c r="AR119" s="86"/>
      <c r="AS119" s="86"/>
      <c r="AT119" s="86"/>
      <c r="AU119" s="86"/>
      <c r="AV119" s="86"/>
      <c r="AW119" s="86"/>
      <c r="AX119" s="86"/>
      <c r="AY119" s="86"/>
      <c r="CM119" s="86"/>
      <c r="CN119" s="86"/>
    </row>
    <row r="120" spans="15:92" s="367" customFormat="1">
      <c r="O120" s="511"/>
      <c r="S120" s="371"/>
      <c r="T120" s="371"/>
      <c r="U120" s="371"/>
      <c r="V120" s="371"/>
      <c r="AO120" s="86"/>
      <c r="AP120" s="86"/>
      <c r="AQ120" s="86"/>
      <c r="AR120" s="86"/>
      <c r="AS120" s="86"/>
      <c r="AT120" s="86"/>
      <c r="AU120" s="86"/>
      <c r="AV120" s="86"/>
      <c r="AW120" s="86"/>
      <c r="AX120" s="86"/>
      <c r="AY120" s="86"/>
      <c r="CM120" s="86"/>
      <c r="CN120" s="86"/>
    </row>
    <row r="121" spans="15:92" s="367" customFormat="1">
      <c r="O121" s="511"/>
      <c r="S121" s="371"/>
      <c r="T121" s="371"/>
      <c r="U121" s="371"/>
      <c r="V121" s="371"/>
      <c r="AO121" s="86"/>
      <c r="AP121" s="86"/>
      <c r="AQ121" s="86"/>
      <c r="AR121" s="86"/>
      <c r="AS121" s="86"/>
      <c r="AT121" s="86"/>
      <c r="AU121" s="86"/>
      <c r="AV121" s="86"/>
      <c r="AW121" s="86"/>
      <c r="AX121" s="86"/>
      <c r="AY121" s="86"/>
      <c r="CM121" s="86"/>
      <c r="CN121" s="86"/>
    </row>
    <row r="122" spans="15:92" s="367" customFormat="1">
      <c r="O122" s="511"/>
      <c r="S122" s="371"/>
      <c r="T122" s="371"/>
      <c r="U122" s="371"/>
      <c r="V122" s="371"/>
      <c r="AO122" s="86"/>
      <c r="AP122" s="86"/>
      <c r="AQ122" s="86"/>
      <c r="AR122" s="86"/>
      <c r="AS122" s="86"/>
      <c r="AT122" s="86"/>
      <c r="AU122" s="86"/>
      <c r="AV122" s="86"/>
      <c r="AW122" s="86"/>
      <c r="AX122" s="86"/>
      <c r="AY122" s="86"/>
      <c r="CM122" s="86"/>
      <c r="CN122" s="86"/>
    </row>
    <row r="123" spans="15:92" s="367" customFormat="1">
      <c r="O123" s="511"/>
      <c r="S123" s="371"/>
      <c r="T123" s="371"/>
      <c r="U123" s="371"/>
      <c r="V123" s="371"/>
      <c r="AO123" s="86"/>
      <c r="AP123" s="86"/>
      <c r="AQ123" s="86"/>
      <c r="AR123" s="86"/>
      <c r="AS123" s="86"/>
      <c r="AT123" s="86"/>
      <c r="AU123" s="86"/>
      <c r="AV123" s="86"/>
      <c r="AW123" s="86"/>
      <c r="AX123" s="86"/>
      <c r="AY123" s="86"/>
      <c r="CM123" s="86"/>
      <c r="CN123" s="86"/>
    </row>
    <row r="124" spans="15:92" s="367" customFormat="1">
      <c r="O124" s="511"/>
      <c r="S124" s="371"/>
      <c r="T124" s="371"/>
      <c r="U124" s="371"/>
      <c r="V124" s="371"/>
      <c r="AO124" s="86"/>
      <c r="AP124" s="86"/>
      <c r="AQ124" s="86"/>
      <c r="AR124" s="86"/>
      <c r="AS124" s="86"/>
      <c r="AT124" s="86"/>
      <c r="AU124" s="86"/>
      <c r="AV124" s="86"/>
      <c r="AW124" s="86"/>
      <c r="AX124" s="86"/>
      <c r="AY124" s="86"/>
      <c r="CM124" s="86"/>
      <c r="CN124" s="86"/>
    </row>
    <row r="125" spans="15:92" s="367" customFormat="1">
      <c r="O125" s="511"/>
      <c r="S125" s="371"/>
      <c r="T125" s="371"/>
      <c r="U125" s="371"/>
      <c r="V125" s="371"/>
      <c r="AO125" s="86"/>
      <c r="AP125" s="86"/>
      <c r="AQ125" s="86"/>
      <c r="AR125" s="86"/>
      <c r="AS125" s="86"/>
      <c r="AT125" s="86"/>
      <c r="AU125" s="86"/>
      <c r="AV125" s="86"/>
      <c r="AW125" s="86"/>
      <c r="AX125" s="86"/>
      <c r="AY125" s="86"/>
      <c r="CM125" s="86"/>
      <c r="CN125" s="86"/>
    </row>
    <row r="126" spans="15:92" s="367" customFormat="1">
      <c r="O126" s="511"/>
      <c r="S126" s="371"/>
      <c r="T126" s="371"/>
      <c r="U126" s="371"/>
      <c r="V126" s="371"/>
      <c r="AO126" s="86"/>
      <c r="AP126" s="86"/>
      <c r="AQ126" s="86"/>
      <c r="AR126" s="86"/>
      <c r="AS126" s="86"/>
      <c r="AT126" s="86"/>
      <c r="AU126" s="86"/>
      <c r="AV126" s="86"/>
      <c r="AW126" s="86"/>
      <c r="AX126" s="86"/>
      <c r="AY126" s="86"/>
      <c r="CM126" s="86"/>
      <c r="CN126" s="86"/>
    </row>
    <row r="127" spans="15:92" s="367" customFormat="1">
      <c r="O127" s="511"/>
      <c r="S127" s="371"/>
      <c r="T127" s="371"/>
      <c r="U127" s="371"/>
      <c r="V127" s="371"/>
      <c r="AO127" s="86"/>
      <c r="AP127" s="86"/>
      <c r="AQ127" s="86"/>
      <c r="AR127" s="86"/>
      <c r="AS127" s="86"/>
      <c r="AT127" s="86"/>
      <c r="AU127" s="86"/>
      <c r="AV127" s="86"/>
      <c r="AW127" s="86"/>
      <c r="AX127" s="86"/>
      <c r="AY127" s="86"/>
      <c r="CM127" s="86"/>
      <c r="CN127" s="86"/>
    </row>
    <row r="128" spans="15:92" s="367" customFormat="1">
      <c r="O128" s="511"/>
      <c r="S128" s="371"/>
      <c r="T128" s="371"/>
      <c r="U128" s="371"/>
      <c r="V128" s="371"/>
      <c r="AO128" s="86"/>
      <c r="AP128" s="86"/>
      <c r="AQ128" s="86"/>
      <c r="AR128" s="86"/>
      <c r="AS128" s="86"/>
      <c r="AT128" s="86"/>
      <c r="AU128" s="86"/>
      <c r="AV128" s="86"/>
      <c r="AW128" s="86"/>
      <c r="AX128" s="86"/>
      <c r="AY128" s="86"/>
      <c r="CM128" s="86"/>
      <c r="CN128" s="86"/>
    </row>
    <row r="129" spans="15:92" s="367" customFormat="1">
      <c r="O129" s="511"/>
      <c r="S129" s="371"/>
      <c r="T129" s="371"/>
      <c r="U129" s="371"/>
      <c r="V129" s="371"/>
      <c r="AO129" s="86"/>
      <c r="AP129" s="86"/>
      <c r="AQ129" s="86"/>
      <c r="AR129" s="86"/>
      <c r="AS129" s="86"/>
      <c r="AT129" s="86"/>
      <c r="AU129" s="86"/>
      <c r="AV129" s="86"/>
      <c r="AW129" s="86"/>
      <c r="AX129" s="86"/>
      <c r="AY129" s="86"/>
      <c r="CM129" s="86"/>
      <c r="CN129" s="86"/>
    </row>
    <row r="130" spans="15:92" s="367" customFormat="1">
      <c r="O130" s="511"/>
      <c r="S130" s="371"/>
      <c r="T130" s="371"/>
      <c r="U130" s="371"/>
      <c r="V130" s="371"/>
      <c r="AO130" s="86"/>
      <c r="AP130" s="86"/>
      <c r="AQ130" s="86"/>
      <c r="AR130" s="86"/>
      <c r="AS130" s="86"/>
      <c r="AT130" s="86"/>
      <c r="AU130" s="86"/>
      <c r="AV130" s="86"/>
      <c r="AW130" s="86"/>
      <c r="AX130" s="86"/>
      <c r="AY130" s="86"/>
      <c r="CM130" s="86"/>
      <c r="CN130" s="86"/>
    </row>
    <row r="131" spans="15:92" s="367" customFormat="1">
      <c r="O131" s="511"/>
      <c r="S131" s="371"/>
      <c r="T131" s="371"/>
      <c r="U131" s="371"/>
      <c r="V131" s="371"/>
      <c r="AO131" s="86"/>
      <c r="AP131" s="86"/>
      <c r="AQ131" s="86"/>
      <c r="AR131" s="86"/>
      <c r="AS131" s="86"/>
      <c r="AT131" s="86"/>
      <c r="AU131" s="86"/>
      <c r="AV131" s="86"/>
      <c r="AW131" s="86"/>
      <c r="AX131" s="86"/>
      <c r="AY131" s="86"/>
      <c r="CM131" s="86"/>
      <c r="CN131" s="86"/>
    </row>
    <row r="132" spans="15:92" s="367" customFormat="1">
      <c r="O132" s="511"/>
      <c r="S132" s="371"/>
      <c r="T132" s="371"/>
      <c r="U132" s="371"/>
      <c r="V132" s="371"/>
      <c r="AO132" s="86"/>
      <c r="AP132" s="86"/>
      <c r="AQ132" s="86"/>
      <c r="AR132" s="86"/>
      <c r="AS132" s="86"/>
      <c r="AT132" s="86"/>
      <c r="AU132" s="86"/>
      <c r="AV132" s="86"/>
      <c r="AW132" s="86"/>
      <c r="AX132" s="86"/>
      <c r="AY132" s="86"/>
      <c r="CM132" s="86"/>
      <c r="CN132" s="86"/>
    </row>
    <row r="133" spans="15:92" s="367" customFormat="1">
      <c r="O133" s="511"/>
      <c r="S133" s="371"/>
      <c r="T133" s="371"/>
      <c r="U133" s="371"/>
      <c r="V133" s="371"/>
      <c r="AO133" s="86"/>
      <c r="AP133" s="86"/>
      <c r="AQ133" s="86"/>
      <c r="AR133" s="86"/>
      <c r="AS133" s="86"/>
      <c r="AT133" s="86"/>
      <c r="AU133" s="86"/>
      <c r="AV133" s="86"/>
      <c r="AW133" s="86"/>
      <c r="AX133" s="86"/>
      <c r="AY133" s="86"/>
      <c r="CM133" s="86"/>
      <c r="CN133" s="86"/>
    </row>
    <row r="134" spans="15:92" s="367" customFormat="1">
      <c r="O134" s="511"/>
      <c r="S134" s="371"/>
      <c r="T134" s="371"/>
      <c r="U134" s="371"/>
      <c r="V134" s="371"/>
      <c r="AO134" s="86"/>
      <c r="AP134" s="86"/>
      <c r="AQ134" s="86"/>
      <c r="AR134" s="86"/>
      <c r="AS134" s="86"/>
      <c r="AT134" s="86"/>
      <c r="AU134" s="86"/>
      <c r="AV134" s="86"/>
      <c r="AW134" s="86"/>
      <c r="AX134" s="86"/>
      <c r="AY134" s="86"/>
      <c r="CM134" s="86"/>
      <c r="CN134" s="86"/>
    </row>
    <row r="135" spans="15:92" s="367" customFormat="1">
      <c r="O135" s="511"/>
      <c r="S135" s="371"/>
      <c r="T135" s="371"/>
      <c r="U135" s="371"/>
      <c r="V135" s="371"/>
      <c r="AO135" s="86"/>
      <c r="AP135" s="86"/>
      <c r="AQ135" s="86"/>
      <c r="AR135" s="86"/>
      <c r="AS135" s="86"/>
      <c r="AT135" s="86"/>
      <c r="AU135" s="86"/>
      <c r="AV135" s="86"/>
      <c r="AW135" s="86"/>
      <c r="AX135" s="86"/>
      <c r="AY135" s="86"/>
      <c r="CM135" s="86"/>
      <c r="CN135" s="86"/>
    </row>
    <row r="136" spans="15:92" s="367" customFormat="1">
      <c r="O136" s="511"/>
      <c r="S136" s="371"/>
      <c r="T136" s="371"/>
      <c r="U136" s="371"/>
      <c r="V136" s="371"/>
      <c r="AO136" s="86"/>
      <c r="AP136" s="86"/>
      <c r="AQ136" s="86"/>
      <c r="AR136" s="86"/>
      <c r="AS136" s="86"/>
      <c r="AT136" s="86"/>
      <c r="AU136" s="86"/>
      <c r="AV136" s="86"/>
      <c r="AW136" s="86"/>
      <c r="AX136" s="86"/>
      <c r="AY136" s="86"/>
      <c r="CM136" s="86"/>
      <c r="CN136" s="86"/>
    </row>
    <row r="137" spans="15:92" s="367" customFormat="1">
      <c r="O137" s="511"/>
      <c r="S137" s="371"/>
      <c r="T137" s="371"/>
      <c r="U137" s="371"/>
      <c r="V137" s="371"/>
      <c r="AO137" s="86"/>
      <c r="AP137" s="86"/>
      <c r="AQ137" s="86"/>
      <c r="AR137" s="86"/>
      <c r="AS137" s="86"/>
      <c r="AT137" s="86"/>
      <c r="AU137" s="86"/>
      <c r="AV137" s="86"/>
      <c r="AW137" s="86"/>
      <c r="AX137" s="86"/>
      <c r="AY137" s="86"/>
      <c r="CM137" s="86"/>
      <c r="CN137" s="86"/>
    </row>
    <row r="138" spans="15:92" s="367" customFormat="1">
      <c r="O138" s="511"/>
      <c r="S138" s="371"/>
      <c r="T138" s="371"/>
      <c r="U138" s="371"/>
      <c r="V138" s="371"/>
      <c r="AO138" s="86"/>
      <c r="AP138" s="86"/>
      <c r="AQ138" s="86"/>
      <c r="AR138" s="86"/>
      <c r="AS138" s="86"/>
      <c r="AT138" s="86"/>
      <c r="AU138" s="86"/>
      <c r="AV138" s="86"/>
      <c r="AW138" s="86"/>
      <c r="AX138" s="86"/>
      <c r="AY138" s="86"/>
      <c r="CM138" s="86"/>
      <c r="CN138" s="86"/>
    </row>
    <row r="139" spans="15:92" s="367" customFormat="1">
      <c r="O139" s="511"/>
      <c r="S139" s="371"/>
      <c r="T139" s="371"/>
      <c r="U139" s="371"/>
      <c r="V139" s="371"/>
      <c r="AO139" s="86"/>
      <c r="AP139" s="86"/>
      <c r="AQ139" s="86"/>
      <c r="AR139" s="86"/>
      <c r="AS139" s="86"/>
      <c r="AT139" s="86"/>
      <c r="AU139" s="86"/>
      <c r="AV139" s="86"/>
      <c r="AW139" s="86"/>
      <c r="AX139" s="86"/>
      <c r="AY139" s="86"/>
      <c r="CM139" s="86"/>
      <c r="CN139" s="86"/>
    </row>
    <row r="140" spans="15:92" s="367" customFormat="1">
      <c r="O140" s="511"/>
      <c r="S140" s="371"/>
      <c r="T140" s="371"/>
      <c r="U140" s="371"/>
      <c r="V140" s="371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CM140" s="86"/>
      <c r="CN140" s="86"/>
    </row>
    <row r="141" spans="15:92" s="367" customFormat="1">
      <c r="O141" s="511"/>
      <c r="S141" s="371"/>
      <c r="T141" s="371"/>
      <c r="U141" s="371"/>
      <c r="V141" s="371"/>
      <c r="AO141" s="86"/>
      <c r="AP141" s="86"/>
      <c r="AQ141" s="86"/>
      <c r="AR141" s="86"/>
      <c r="AS141" s="86"/>
      <c r="AT141" s="86"/>
      <c r="AU141" s="86"/>
      <c r="AV141" s="86"/>
      <c r="AW141" s="86"/>
      <c r="AX141" s="86"/>
      <c r="AY141" s="86"/>
      <c r="CM141" s="86"/>
      <c r="CN141" s="86"/>
    </row>
    <row r="142" spans="15:92" s="367" customFormat="1">
      <c r="O142" s="511"/>
      <c r="S142" s="371"/>
      <c r="T142" s="371"/>
      <c r="U142" s="371"/>
      <c r="V142" s="371"/>
      <c r="AO142" s="86"/>
      <c r="AP142" s="86"/>
      <c r="AQ142" s="86"/>
      <c r="AR142" s="86"/>
      <c r="AS142" s="86"/>
      <c r="AT142" s="86"/>
      <c r="AU142" s="86"/>
      <c r="AV142" s="86"/>
      <c r="AW142" s="86"/>
      <c r="AX142" s="86"/>
      <c r="AY142" s="86"/>
      <c r="CM142" s="86"/>
      <c r="CN142" s="86"/>
    </row>
    <row r="143" spans="15:92" s="367" customFormat="1">
      <c r="O143" s="511"/>
      <c r="S143" s="371"/>
      <c r="T143" s="371"/>
      <c r="U143" s="371"/>
      <c r="V143" s="371"/>
      <c r="AO143" s="86"/>
      <c r="AP143" s="86"/>
      <c r="AQ143" s="86"/>
      <c r="AR143" s="86"/>
      <c r="AS143" s="86"/>
      <c r="AT143" s="86"/>
      <c r="AU143" s="86"/>
      <c r="AV143" s="86"/>
      <c r="AW143" s="86"/>
      <c r="AX143" s="86"/>
      <c r="AY143" s="86"/>
      <c r="CM143" s="86"/>
      <c r="CN143" s="86"/>
    </row>
    <row r="144" spans="15:92" s="367" customFormat="1">
      <c r="O144" s="511"/>
      <c r="S144" s="371"/>
      <c r="T144" s="371"/>
      <c r="U144" s="371"/>
      <c r="V144" s="371"/>
      <c r="AO144" s="86"/>
      <c r="AP144" s="86"/>
      <c r="AQ144" s="86"/>
      <c r="AR144" s="86"/>
      <c r="AS144" s="86"/>
      <c r="AT144" s="86"/>
      <c r="AU144" s="86"/>
      <c r="AV144" s="86"/>
      <c r="AW144" s="86"/>
      <c r="AX144" s="86"/>
      <c r="AY144" s="86"/>
      <c r="CM144" s="86"/>
      <c r="CN144" s="86"/>
    </row>
    <row r="145" spans="1:92" s="367" customFormat="1">
      <c r="O145" s="511"/>
      <c r="S145" s="371"/>
      <c r="T145" s="371"/>
      <c r="U145" s="371"/>
      <c r="V145" s="371"/>
      <c r="AO145" s="86"/>
      <c r="AP145" s="86"/>
      <c r="AQ145" s="86"/>
      <c r="AR145" s="86"/>
      <c r="AS145" s="86"/>
      <c r="AT145" s="86"/>
      <c r="AU145" s="86"/>
      <c r="AV145" s="86"/>
      <c r="AW145" s="86"/>
      <c r="AX145" s="86"/>
      <c r="AY145" s="86"/>
      <c r="CM145" s="86"/>
      <c r="CN145" s="86"/>
    </row>
    <row r="146" spans="1:92" s="367" customFormat="1">
      <c r="O146" s="511"/>
      <c r="S146" s="371"/>
      <c r="T146" s="371"/>
      <c r="U146" s="371"/>
      <c r="V146" s="371"/>
      <c r="AO146" s="86"/>
      <c r="AP146" s="86"/>
      <c r="AQ146" s="86"/>
      <c r="AR146" s="86"/>
      <c r="AS146" s="86"/>
      <c r="AT146" s="86"/>
      <c r="AU146" s="86"/>
      <c r="AV146" s="86"/>
      <c r="AW146" s="86"/>
      <c r="AX146" s="86"/>
      <c r="AY146" s="86"/>
      <c r="CM146" s="86"/>
      <c r="CN146" s="86"/>
    </row>
    <row r="147" spans="1:92" s="367" customFormat="1">
      <c r="O147" s="511"/>
      <c r="S147" s="371"/>
      <c r="T147" s="371"/>
      <c r="U147" s="371"/>
      <c r="V147" s="371"/>
      <c r="AO147" s="86"/>
      <c r="AP147" s="86"/>
      <c r="AQ147" s="86"/>
      <c r="AR147" s="86"/>
      <c r="AS147" s="86"/>
      <c r="AT147" s="86"/>
      <c r="AU147" s="86"/>
      <c r="AV147" s="86"/>
      <c r="AW147" s="86"/>
      <c r="AX147" s="86"/>
      <c r="AY147" s="86"/>
      <c r="CM147" s="86"/>
      <c r="CN147" s="86"/>
    </row>
    <row r="148" spans="1:92" s="367" customFormat="1">
      <c r="O148" s="511"/>
      <c r="S148" s="371"/>
      <c r="T148" s="371"/>
      <c r="U148" s="371"/>
      <c r="V148" s="371"/>
      <c r="AO148" s="86"/>
      <c r="AP148" s="86"/>
      <c r="AQ148" s="86"/>
      <c r="AR148" s="86"/>
      <c r="AS148" s="86"/>
      <c r="AT148" s="86"/>
      <c r="AU148" s="86"/>
      <c r="AV148" s="86"/>
      <c r="AW148" s="86"/>
      <c r="AX148" s="86"/>
      <c r="AY148" s="86"/>
      <c r="CM148" s="86"/>
      <c r="CN148" s="86"/>
    </row>
    <row r="149" spans="1:92" s="367" customFormat="1">
      <c r="O149" s="511"/>
      <c r="S149" s="371"/>
      <c r="T149" s="371"/>
      <c r="U149" s="371"/>
      <c r="V149" s="371"/>
      <c r="AO149" s="86"/>
      <c r="AP149" s="86"/>
      <c r="AQ149" s="86"/>
      <c r="AR149" s="86"/>
      <c r="AS149" s="86"/>
      <c r="AT149" s="86"/>
      <c r="AU149" s="86"/>
      <c r="AV149" s="86"/>
      <c r="AW149" s="86"/>
      <c r="AX149" s="86"/>
      <c r="AY149" s="86"/>
      <c r="CM149" s="86"/>
      <c r="CN149" s="86"/>
    </row>
    <row r="150" spans="1:92" s="367" customFormat="1">
      <c r="O150" s="511"/>
      <c r="S150" s="371"/>
      <c r="T150" s="371"/>
      <c r="U150" s="371"/>
      <c r="V150" s="371"/>
      <c r="AO150" s="86"/>
      <c r="AP150" s="86"/>
      <c r="AQ150" s="86"/>
      <c r="AR150" s="86"/>
      <c r="AS150" s="86"/>
      <c r="AT150" s="86"/>
      <c r="AU150" s="86"/>
      <c r="AV150" s="86"/>
      <c r="AW150" s="86"/>
      <c r="AX150" s="86"/>
      <c r="AY150" s="86"/>
      <c r="CM150" s="86"/>
      <c r="CN150" s="86"/>
    </row>
    <row r="151" spans="1:92" s="367" customFormat="1">
      <c r="O151" s="511"/>
      <c r="S151" s="371"/>
      <c r="T151" s="371"/>
      <c r="U151" s="371"/>
      <c r="V151" s="371"/>
      <c r="AO151" s="86"/>
      <c r="AP151" s="86"/>
      <c r="AQ151" s="86"/>
      <c r="AR151" s="86"/>
      <c r="AS151" s="86"/>
      <c r="AT151" s="86"/>
      <c r="AU151" s="86"/>
      <c r="AV151" s="86"/>
      <c r="AW151" s="86"/>
      <c r="AX151" s="86"/>
      <c r="AY151" s="86"/>
      <c r="CM151" s="86"/>
      <c r="CN151" s="86"/>
    </row>
    <row r="152" spans="1:92">
      <c r="A152" s="367"/>
      <c r="B152" s="367"/>
      <c r="C152" s="367"/>
      <c r="D152" s="367"/>
      <c r="E152" s="367"/>
      <c r="F152" s="367"/>
      <c r="G152" s="367"/>
      <c r="H152" s="367"/>
      <c r="I152" s="367"/>
      <c r="J152" s="367"/>
      <c r="K152" s="367"/>
      <c r="L152" s="367"/>
      <c r="M152" s="367"/>
      <c r="N152" s="367"/>
      <c r="O152" s="377"/>
      <c r="P152" s="367"/>
      <c r="Q152" s="367"/>
      <c r="R152" s="367"/>
      <c r="S152" s="371"/>
      <c r="T152" s="371"/>
      <c r="U152" s="371"/>
      <c r="V152" s="371"/>
      <c r="W152" s="367"/>
      <c r="X152" s="367"/>
      <c r="Y152" s="367"/>
      <c r="Z152" s="367"/>
      <c r="AA152" s="367"/>
      <c r="AB152" s="367"/>
      <c r="AC152" s="367"/>
      <c r="AD152" s="367"/>
      <c r="AE152" s="367"/>
      <c r="AF152" s="367"/>
      <c r="AG152" s="367"/>
      <c r="AH152" s="367"/>
      <c r="AI152" s="367"/>
      <c r="AJ152" s="367"/>
      <c r="AK152" s="367"/>
      <c r="AL152" s="367"/>
      <c r="AM152" s="367"/>
      <c r="AN152" s="367"/>
      <c r="AO152" s="86"/>
    </row>
  </sheetData>
  <sheetProtection password="D37A" sheet="1" scenarios="1" formatCells="0" formatColumns="0" formatRows="0" insertColumns="0" insertRows="0" sort="0" autoFilter="0"/>
  <mergeCells count="72">
    <mergeCell ref="S51:T51"/>
    <mergeCell ref="S52:T52"/>
    <mergeCell ref="S59:T59"/>
    <mergeCell ref="S53:T53"/>
    <mergeCell ref="S54:T54"/>
    <mergeCell ref="S55:T55"/>
    <mergeCell ref="S56:T56"/>
    <mergeCell ref="S58:T58"/>
    <mergeCell ref="N2:O2"/>
    <mergeCell ref="H54:H56"/>
    <mergeCell ref="C41:D41"/>
    <mergeCell ref="I56:J56"/>
    <mergeCell ref="B42:D42"/>
    <mergeCell ref="B3:C3"/>
    <mergeCell ref="B23:B24"/>
    <mergeCell ref="B25:B26"/>
    <mergeCell ref="N53:O54"/>
    <mergeCell ref="E5:E6"/>
    <mergeCell ref="C5:C6"/>
    <mergeCell ref="F5:F6"/>
    <mergeCell ref="K5:K6"/>
    <mergeCell ref="Y3:AA3"/>
    <mergeCell ref="C58:D58"/>
    <mergeCell ref="C23:D24"/>
    <mergeCell ref="D25:D26"/>
    <mergeCell ref="C25:C26"/>
    <mergeCell ref="F25:F26"/>
    <mergeCell ref="E25:E26"/>
    <mergeCell ref="E23:F24"/>
    <mergeCell ref="C4:D4"/>
    <mergeCell ref="Y4:Z4"/>
    <mergeCell ref="E4:F4"/>
    <mergeCell ref="D5:D6"/>
    <mergeCell ref="H5:H6"/>
    <mergeCell ref="O5:O6"/>
    <mergeCell ref="B43:C43"/>
    <mergeCell ref="L5:L6"/>
    <mergeCell ref="AR21:AR22"/>
    <mergeCell ref="AE15:AE20"/>
    <mergeCell ref="AE21:AE22"/>
    <mergeCell ref="Y21:Y22"/>
    <mergeCell ref="Z21:Z22"/>
    <mergeCell ref="AG21:AG22"/>
    <mergeCell ref="AD21:AD22"/>
    <mergeCell ref="AA21:AA22"/>
    <mergeCell ref="AP12:AX12"/>
    <mergeCell ref="Y18:Z18"/>
    <mergeCell ref="Y20:AA20"/>
    <mergeCell ref="AQ20:AT20"/>
    <mergeCell ref="P5:Q6"/>
    <mergeCell ref="AE5:AE7"/>
    <mergeCell ref="AE10:AE12"/>
    <mergeCell ref="U5:U6"/>
    <mergeCell ref="S4:S5"/>
    <mergeCell ref="R5:R6"/>
    <mergeCell ref="T4:T5"/>
    <mergeCell ref="AB4:AC4"/>
    <mergeCell ref="V5:V6"/>
    <mergeCell ref="W5:W6"/>
    <mergeCell ref="B63:B64"/>
    <mergeCell ref="C63:C64"/>
    <mergeCell ref="D63:D64"/>
    <mergeCell ref="E63:E64"/>
    <mergeCell ref="F63:F64"/>
    <mergeCell ref="S49:T49"/>
    <mergeCell ref="S50:T50"/>
    <mergeCell ref="S48:T48"/>
    <mergeCell ref="Z46:AA46"/>
    <mergeCell ref="B5:B6"/>
    <mergeCell ref="B20:D20"/>
    <mergeCell ref="I5:J6"/>
    <mergeCell ref="M5:M6"/>
  </mergeCells>
  <conditionalFormatting sqref="AE23:AE44 Q56:S56 S50:S55">
    <cfRule type="cellIs" dxfId="4404" priority="6" stopIfTrue="1" operator="lessThan">
      <formula>0</formula>
    </cfRule>
  </conditionalFormatting>
  <conditionalFormatting sqref="AE13:AE14">
    <cfRule type="containsText" dxfId="4403" priority="365" stopIfTrue="1" operator="containsText" text="חריגה">
      <formula>NOT(ISERROR(SEARCH("חריגה",AE13)))</formula>
    </cfRule>
  </conditionalFormatting>
  <conditionalFormatting sqref="AI23:AI44">
    <cfRule type="cellIs" dxfId="4402" priority="364" stopIfTrue="1" operator="equal">
      <formula>1</formula>
    </cfRule>
  </conditionalFormatting>
  <conditionalFormatting sqref="E20:F20 E42:F42">
    <cfRule type="containsText" dxfId="4401" priority="363" stopIfTrue="1" operator="containsText" text="חיובי">
      <formula>NOT(ISERROR(SEARCH("חיובי",E20)))</formula>
    </cfRule>
  </conditionalFormatting>
  <conditionalFormatting sqref="W46 K54:M54 K58:M58">
    <cfRule type="cellIs" dxfId="4400" priority="362" stopIfTrue="1" operator="lessThan">
      <formula>0</formula>
    </cfRule>
  </conditionalFormatting>
  <conditionalFormatting sqref="D45">
    <cfRule type="cellIs" dxfId="4399" priority="383" stopIfTrue="1" operator="greaterThan">
      <formula>$C$45</formula>
    </cfRule>
  </conditionalFormatting>
  <conditionalFormatting sqref="D46">
    <cfRule type="cellIs" dxfId="4398" priority="384" stopIfTrue="1" operator="greaterThan">
      <formula>$C$46</formula>
    </cfRule>
  </conditionalFormatting>
  <conditionalFormatting sqref="D47">
    <cfRule type="cellIs" dxfId="4397" priority="385" stopIfTrue="1" operator="greaterThan">
      <formula>$C$47</formula>
    </cfRule>
  </conditionalFormatting>
  <conditionalFormatting sqref="D48">
    <cfRule type="cellIs" dxfId="4396" priority="386" stopIfTrue="1" operator="greaterThan">
      <formula>$C$48</formula>
    </cfRule>
  </conditionalFormatting>
  <conditionalFormatting sqref="D49">
    <cfRule type="cellIs" dxfId="4395" priority="387" stopIfTrue="1" operator="greaterThan">
      <formula>$C$49</formula>
    </cfRule>
  </conditionalFormatting>
  <conditionalFormatting sqref="D50">
    <cfRule type="cellIs" dxfId="4394" priority="388" stopIfTrue="1" operator="greaterThan">
      <formula>$C$50</formula>
    </cfRule>
  </conditionalFormatting>
  <conditionalFormatting sqref="D51">
    <cfRule type="cellIs" dxfId="4393" priority="389" stopIfTrue="1" operator="greaterThan">
      <formula>$C$51</formula>
    </cfRule>
  </conditionalFormatting>
  <conditionalFormatting sqref="D52">
    <cfRule type="cellIs" dxfId="4392" priority="390" stopIfTrue="1" operator="greaterThan">
      <formula>$C$52</formula>
    </cfRule>
  </conditionalFormatting>
  <conditionalFormatting sqref="D53">
    <cfRule type="cellIs" dxfId="4391" priority="391" stopIfTrue="1" operator="greaterThan">
      <formula>$C$53</formula>
    </cfRule>
  </conditionalFormatting>
  <conditionalFormatting sqref="D54">
    <cfRule type="cellIs" dxfId="4390" priority="392" stopIfTrue="1" operator="greaterThan">
      <formula>$C$54</formula>
    </cfRule>
  </conditionalFormatting>
  <conditionalFormatting sqref="D55">
    <cfRule type="cellIs" dxfId="4389" priority="393" stopIfTrue="1" operator="greaterThan">
      <formula>$C$55</formula>
    </cfRule>
  </conditionalFormatting>
  <conditionalFormatting sqref="D56">
    <cfRule type="cellIs" dxfId="4388" priority="394" stopIfTrue="1" operator="greaterThan">
      <formula>$C$56</formula>
    </cfRule>
  </conditionalFormatting>
  <conditionalFormatting sqref="C7">
    <cfRule type="expression" dxfId="4387" priority="358" stopIfTrue="1">
      <formula>AND(C7&lt;&gt;0, NOT(ISTEXT(B7)))</formula>
    </cfRule>
    <cfRule type="cellIs" dxfId="4386" priority="359" stopIfTrue="1" operator="lessThan">
      <formula>0</formula>
    </cfRule>
  </conditionalFormatting>
  <conditionalFormatting sqref="C8">
    <cfRule type="expression" dxfId="4385" priority="356" stopIfTrue="1">
      <formula>AND(C8&lt;&gt;0, NOT(ISTEXT(B8)))</formula>
    </cfRule>
    <cfRule type="cellIs" dxfId="4384" priority="357" stopIfTrue="1" operator="lessThan">
      <formula>0</formula>
    </cfRule>
  </conditionalFormatting>
  <conditionalFormatting sqref="C9">
    <cfRule type="expression" dxfId="4383" priority="354" stopIfTrue="1">
      <formula>AND(C9&lt;&gt;0, NOT(ISTEXT(B9)))</formula>
    </cfRule>
    <cfRule type="cellIs" dxfId="4382" priority="355" stopIfTrue="1" operator="lessThan">
      <formula>0</formula>
    </cfRule>
  </conditionalFormatting>
  <conditionalFormatting sqref="C10">
    <cfRule type="expression" dxfId="4381" priority="352" stopIfTrue="1">
      <formula>AND(C10&lt;&gt;0, NOT(ISTEXT(B10)))</formula>
    </cfRule>
    <cfRule type="cellIs" dxfId="4380" priority="353" stopIfTrue="1" operator="lessThan">
      <formula>0</formula>
    </cfRule>
  </conditionalFormatting>
  <conditionalFormatting sqref="C11">
    <cfRule type="expression" dxfId="4379" priority="350" stopIfTrue="1">
      <formula>AND(C11&lt;&gt;0, NOT(ISTEXT(B11)))</formula>
    </cfRule>
    <cfRule type="cellIs" dxfId="4378" priority="351" stopIfTrue="1" operator="lessThan">
      <formula>0</formula>
    </cfRule>
  </conditionalFormatting>
  <conditionalFormatting sqref="C12">
    <cfRule type="expression" dxfId="4377" priority="348" stopIfTrue="1">
      <formula>AND(C12&lt;&gt;0, NOT(ISTEXT(B12)))</formula>
    </cfRule>
    <cfRule type="cellIs" dxfId="4376" priority="349" stopIfTrue="1" operator="lessThan">
      <formula>0</formula>
    </cfRule>
  </conditionalFormatting>
  <conditionalFormatting sqref="C13">
    <cfRule type="expression" dxfId="4375" priority="346" stopIfTrue="1">
      <formula>AND(C13&lt;&gt;0, NOT(ISTEXT(B13)))</formula>
    </cfRule>
    <cfRule type="cellIs" dxfId="4374" priority="347" stopIfTrue="1" operator="lessThan">
      <formula>0</formula>
    </cfRule>
  </conditionalFormatting>
  <conditionalFormatting sqref="C14">
    <cfRule type="expression" dxfId="4373" priority="344" stopIfTrue="1">
      <formula>AND(C14&lt;&gt;0, NOT(ISTEXT(B14)))</formula>
    </cfRule>
    <cfRule type="cellIs" dxfId="4372" priority="345" stopIfTrue="1" operator="lessThan">
      <formula>0</formula>
    </cfRule>
  </conditionalFormatting>
  <conditionalFormatting sqref="C15">
    <cfRule type="expression" dxfId="4371" priority="342" stopIfTrue="1">
      <formula>AND(C15&lt;&gt;0, NOT(ISTEXT(B15)))</formula>
    </cfRule>
    <cfRule type="cellIs" dxfId="4370" priority="343" stopIfTrue="1" operator="lessThan">
      <formula>0</formula>
    </cfRule>
  </conditionalFormatting>
  <conditionalFormatting sqref="C16">
    <cfRule type="expression" dxfId="4369" priority="340" stopIfTrue="1">
      <formula>AND(C16&lt;&gt;0, NOT(ISTEXT(B16)))</formula>
    </cfRule>
    <cfRule type="cellIs" dxfId="4368" priority="341" stopIfTrue="1" operator="lessThan">
      <formula>0</formula>
    </cfRule>
  </conditionalFormatting>
  <conditionalFormatting sqref="C17">
    <cfRule type="expression" dxfId="4367" priority="338" stopIfTrue="1">
      <formula>AND(C17&lt;&gt;0, NOT(ISTEXT(B17)))</formula>
    </cfRule>
    <cfRule type="cellIs" dxfId="4366" priority="339" stopIfTrue="1" operator="lessThan">
      <formula>0</formula>
    </cfRule>
  </conditionalFormatting>
  <conditionalFormatting sqref="C27">
    <cfRule type="expression" dxfId="4365" priority="336" stopIfTrue="1">
      <formula>AND(C27&lt;&gt;0, NOT(ISTEXT(B27)))</formula>
    </cfRule>
    <cfRule type="cellIs" dxfId="4364" priority="337" stopIfTrue="1" operator="lessThan">
      <formula>0</formula>
    </cfRule>
  </conditionalFormatting>
  <conditionalFormatting sqref="C39">
    <cfRule type="expression" dxfId="4363" priority="334" stopIfTrue="1">
      <formula>AND(C39&lt;&gt;0, NOT(ISTEXT(B39)))</formula>
    </cfRule>
    <cfRule type="cellIs" dxfId="4362" priority="335" stopIfTrue="1" operator="lessThan">
      <formula>0</formula>
    </cfRule>
  </conditionalFormatting>
  <conditionalFormatting sqref="C28">
    <cfRule type="expression" dxfId="4361" priority="332" stopIfTrue="1">
      <formula>AND(C28&lt;&gt;0, NOT(ISTEXT(B28)))</formula>
    </cfRule>
    <cfRule type="cellIs" dxfId="4360" priority="333" stopIfTrue="1" operator="lessThan">
      <formula>0</formula>
    </cfRule>
  </conditionalFormatting>
  <conditionalFormatting sqref="C29">
    <cfRule type="expression" dxfId="4359" priority="330" stopIfTrue="1">
      <formula>AND(C29&lt;&gt;0, NOT(ISTEXT(B29)))</formula>
    </cfRule>
    <cfRule type="cellIs" dxfId="4358" priority="331" stopIfTrue="1" operator="lessThan">
      <formula>0</formula>
    </cfRule>
  </conditionalFormatting>
  <conditionalFormatting sqref="C30">
    <cfRule type="expression" dxfId="4357" priority="328" stopIfTrue="1">
      <formula>AND(C30&lt;&gt;0, NOT(ISTEXT(B30)))</formula>
    </cfRule>
    <cfRule type="cellIs" dxfId="4356" priority="329" stopIfTrue="1" operator="lessThan">
      <formula>0</formula>
    </cfRule>
  </conditionalFormatting>
  <conditionalFormatting sqref="C31">
    <cfRule type="expression" dxfId="4355" priority="326" stopIfTrue="1">
      <formula>AND(C31&lt;&gt;0, NOT(ISTEXT(B31)))</formula>
    </cfRule>
    <cfRule type="cellIs" dxfId="4354" priority="327" stopIfTrue="1" operator="lessThan">
      <formula>0</formula>
    </cfRule>
  </conditionalFormatting>
  <conditionalFormatting sqref="C32">
    <cfRule type="expression" dxfId="4353" priority="324" stopIfTrue="1">
      <formula>AND(C32&lt;&gt;0, NOT(ISTEXT(B32)))</formula>
    </cfRule>
    <cfRule type="cellIs" dxfId="4352" priority="325" stopIfTrue="1" operator="lessThan">
      <formula>0</formula>
    </cfRule>
  </conditionalFormatting>
  <conditionalFormatting sqref="C33">
    <cfRule type="expression" dxfId="4351" priority="322" stopIfTrue="1">
      <formula>AND(C33&lt;&gt;0, NOT(ISTEXT(B33)))</formula>
    </cfRule>
    <cfRule type="cellIs" dxfId="4350" priority="323" stopIfTrue="1" operator="lessThan">
      <formula>0</formula>
    </cfRule>
  </conditionalFormatting>
  <conditionalFormatting sqref="C34">
    <cfRule type="expression" dxfId="4349" priority="320" stopIfTrue="1">
      <formula>AND(C34&lt;&gt;0, NOT(ISTEXT(B34)))</formula>
    </cfRule>
    <cfRule type="cellIs" dxfId="4348" priority="321" stopIfTrue="1" operator="lessThan">
      <formula>0</formula>
    </cfRule>
  </conditionalFormatting>
  <conditionalFormatting sqref="C35">
    <cfRule type="expression" dxfId="4347" priority="318" stopIfTrue="1">
      <formula>AND(C35&lt;&gt;0, NOT(ISTEXT(B35)))</formula>
    </cfRule>
    <cfRule type="cellIs" dxfId="4346" priority="319" stopIfTrue="1" operator="lessThan">
      <formula>0</formula>
    </cfRule>
  </conditionalFormatting>
  <conditionalFormatting sqref="C36">
    <cfRule type="expression" dxfId="4345" priority="316" stopIfTrue="1">
      <formula>AND(C36&lt;&gt;0, NOT(ISTEXT(B36)))</formula>
    </cfRule>
    <cfRule type="cellIs" dxfId="4344" priority="317" stopIfTrue="1" operator="lessThan">
      <formula>0</formula>
    </cfRule>
  </conditionalFormatting>
  <conditionalFormatting sqref="C37">
    <cfRule type="expression" dxfId="4343" priority="314" stopIfTrue="1">
      <formula>AND(C37&lt;&gt;0, NOT(ISTEXT(B37)))</formula>
    </cfRule>
    <cfRule type="cellIs" dxfId="4342" priority="315" stopIfTrue="1" operator="lessThan">
      <formula>0</formula>
    </cfRule>
  </conditionalFormatting>
  <conditionalFormatting sqref="C38">
    <cfRule type="expression" dxfId="4341" priority="312" stopIfTrue="1">
      <formula>AND(C38&lt;&gt;0, NOT(ISTEXT(B38)))</formula>
    </cfRule>
    <cfRule type="cellIs" dxfId="4340" priority="313" stopIfTrue="1" operator="lessThan">
      <formula>0</formula>
    </cfRule>
  </conditionalFormatting>
  <conditionalFormatting sqref="C45">
    <cfRule type="expression" dxfId="4339" priority="310" stopIfTrue="1">
      <formula>AND(C45&lt;&gt;0, NOT(ISTEXT(B45)))</formula>
    </cfRule>
    <cfRule type="cellIs" dxfId="4338" priority="311" stopIfTrue="1" operator="lessThan">
      <formula>0</formula>
    </cfRule>
  </conditionalFormatting>
  <conditionalFormatting sqref="C56">
    <cfRule type="expression" dxfId="4337" priority="308" stopIfTrue="1">
      <formula>AND(C56&lt;&gt;0, NOT(ISTEXT(B56)))</formula>
    </cfRule>
    <cfRule type="cellIs" dxfId="4336" priority="309" stopIfTrue="1" operator="lessThan">
      <formula>0</formula>
    </cfRule>
  </conditionalFormatting>
  <conditionalFormatting sqref="C46">
    <cfRule type="expression" dxfId="4335" priority="306" stopIfTrue="1">
      <formula>AND(C46&lt;&gt;0, NOT(ISTEXT(B46)))</formula>
    </cfRule>
    <cfRule type="cellIs" dxfId="4334" priority="307" stopIfTrue="1" operator="lessThan">
      <formula>0</formula>
    </cfRule>
  </conditionalFormatting>
  <conditionalFormatting sqref="C47">
    <cfRule type="expression" dxfId="4333" priority="304" stopIfTrue="1">
      <formula>AND(C47&lt;&gt;0, NOT(ISTEXT(B47)))</formula>
    </cfRule>
    <cfRule type="cellIs" dxfId="4332" priority="305" stopIfTrue="1" operator="lessThan">
      <formula>0</formula>
    </cfRule>
  </conditionalFormatting>
  <conditionalFormatting sqref="C48">
    <cfRule type="expression" dxfId="4331" priority="302" stopIfTrue="1">
      <formula>AND(C48&lt;&gt;0, NOT(ISTEXT(B48)))</formula>
    </cfRule>
    <cfRule type="cellIs" dxfId="4330" priority="303" stopIfTrue="1" operator="lessThan">
      <formula>0</formula>
    </cfRule>
  </conditionalFormatting>
  <conditionalFormatting sqref="C49">
    <cfRule type="expression" dxfId="4329" priority="300" stopIfTrue="1">
      <formula>AND(C49&lt;&gt;0, NOT(ISTEXT(B49)))</formula>
    </cfRule>
    <cfRule type="cellIs" dxfId="4328" priority="301" stopIfTrue="1" operator="lessThan">
      <formula>0</formula>
    </cfRule>
  </conditionalFormatting>
  <conditionalFormatting sqref="C50">
    <cfRule type="expression" dxfId="4327" priority="298" stopIfTrue="1">
      <formula>AND(C50&lt;&gt;0, NOT(ISTEXT(B50)))</formula>
    </cfRule>
    <cfRule type="cellIs" dxfId="4326" priority="299" stopIfTrue="1" operator="lessThan">
      <formula>0</formula>
    </cfRule>
  </conditionalFormatting>
  <conditionalFormatting sqref="C51">
    <cfRule type="expression" dxfId="4325" priority="296" stopIfTrue="1">
      <formula>AND(C51&lt;&gt;0, NOT(ISTEXT(B51)))</formula>
    </cfRule>
    <cfRule type="cellIs" dxfId="4324" priority="297" stopIfTrue="1" operator="lessThan">
      <formula>0</formula>
    </cfRule>
  </conditionalFormatting>
  <conditionalFormatting sqref="C52">
    <cfRule type="expression" dxfId="4323" priority="294" stopIfTrue="1">
      <formula>AND(C52&lt;&gt;0, NOT(ISTEXT(B52)))</formula>
    </cfRule>
    <cfRule type="cellIs" dxfId="4322" priority="295" stopIfTrue="1" operator="lessThan">
      <formula>0</formula>
    </cfRule>
  </conditionalFormatting>
  <conditionalFormatting sqref="C53">
    <cfRule type="expression" dxfId="4321" priority="292" stopIfTrue="1">
      <formula>AND(C53&lt;&gt;0, NOT(ISTEXT(B53)))</formula>
    </cfRule>
    <cfRule type="cellIs" dxfId="4320" priority="293" stopIfTrue="1" operator="lessThan">
      <formula>0</formula>
    </cfRule>
  </conditionalFormatting>
  <conditionalFormatting sqref="C54">
    <cfRule type="expression" dxfId="4319" priority="290" stopIfTrue="1">
      <formula>AND(C54&lt;&gt;0, NOT(ISTEXT(B54)))</formula>
    </cfRule>
    <cfRule type="cellIs" dxfId="4318" priority="291" stopIfTrue="1" operator="lessThan">
      <formula>0</formula>
    </cfRule>
  </conditionalFormatting>
  <conditionalFormatting sqref="C55">
    <cfRule type="expression" dxfId="4317" priority="288" stopIfTrue="1">
      <formula>AND(C55&lt;&gt;0, NOT(ISTEXT(B55)))</formula>
    </cfRule>
    <cfRule type="cellIs" dxfId="4316" priority="289" stopIfTrue="1" operator="lessThan">
      <formula>0</formula>
    </cfRule>
  </conditionalFormatting>
  <conditionalFormatting sqref="Z6">
    <cfRule type="expression" dxfId="4315" priority="286" stopIfTrue="1">
      <formula>AND(Z6&lt;&gt;0, NOT(ISTEXT(Y6)))</formula>
    </cfRule>
    <cfRule type="cellIs" dxfId="4314" priority="287" stopIfTrue="1" operator="lessThan">
      <formula>0</formula>
    </cfRule>
  </conditionalFormatting>
  <conditionalFormatting sqref="Z16">
    <cfRule type="expression" dxfId="4313" priority="284" stopIfTrue="1">
      <formula>AND(Z16&lt;&gt;0, NOT(ISTEXT(Y16)))</formula>
    </cfRule>
    <cfRule type="cellIs" dxfId="4312" priority="285" stopIfTrue="1" operator="lessThan">
      <formula>0</formula>
    </cfRule>
  </conditionalFormatting>
  <conditionalFormatting sqref="Z7">
    <cfRule type="expression" dxfId="4311" priority="282" stopIfTrue="1">
      <formula>AND(Z7&lt;&gt;0, NOT(ISTEXT(Y7)))</formula>
    </cfRule>
    <cfRule type="cellIs" dxfId="4310" priority="283" stopIfTrue="1" operator="lessThan">
      <formula>0</formula>
    </cfRule>
  </conditionalFormatting>
  <conditionalFormatting sqref="Z8">
    <cfRule type="expression" dxfId="4309" priority="280" stopIfTrue="1">
      <formula>AND(Z8&lt;&gt;0, NOT(ISTEXT(Y8)))</formula>
    </cfRule>
    <cfRule type="cellIs" dxfId="4308" priority="281" stopIfTrue="1" operator="lessThan">
      <formula>0</formula>
    </cfRule>
  </conditionalFormatting>
  <conditionalFormatting sqref="Z9">
    <cfRule type="expression" dxfId="4307" priority="278" stopIfTrue="1">
      <formula>AND(Z9&lt;&gt;0, NOT(ISTEXT(Y9)))</formula>
    </cfRule>
    <cfRule type="cellIs" dxfId="4306" priority="279" stopIfTrue="1" operator="lessThan">
      <formula>0</formula>
    </cfRule>
  </conditionalFormatting>
  <conditionalFormatting sqref="Z10">
    <cfRule type="expression" dxfId="4305" priority="276" stopIfTrue="1">
      <formula>AND(Z10&lt;&gt;0, NOT(ISTEXT(Y10)))</formula>
    </cfRule>
    <cfRule type="cellIs" dxfId="4304" priority="277" stopIfTrue="1" operator="lessThan">
      <formula>0</formula>
    </cfRule>
  </conditionalFormatting>
  <conditionalFormatting sqref="Z11">
    <cfRule type="expression" dxfId="4303" priority="274" stopIfTrue="1">
      <formula>AND(Z11&lt;&gt;0, NOT(ISTEXT(Y11)))</formula>
    </cfRule>
    <cfRule type="cellIs" dxfId="4302" priority="275" stopIfTrue="1" operator="lessThan">
      <formula>0</formula>
    </cfRule>
  </conditionalFormatting>
  <conditionalFormatting sqref="Z12">
    <cfRule type="expression" dxfId="4301" priority="272" stopIfTrue="1">
      <formula>AND(Z12&lt;&gt;0, NOT(ISTEXT(Y12)))</formula>
    </cfRule>
    <cfRule type="cellIs" dxfId="4300" priority="273" stopIfTrue="1" operator="lessThan">
      <formula>0</formula>
    </cfRule>
  </conditionalFormatting>
  <conditionalFormatting sqref="Z13">
    <cfRule type="expression" dxfId="4299" priority="270" stopIfTrue="1">
      <formula>AND(Z13&lt;&gt;0, NOT(ISTEXT(Y13)))</formula>
    </cfRule>
    <cfRule type="cellIs" dxfId="4298" priority="271" stopIfTrue="1" operator="lessThan">
      <formula>0</formula>
    </cfRule>
  </conditionalFormatting>
  <conditionalFormatting sqref="Z14">
    <cfRule type="expression" dxfId="4297" priority="268" stopIfTrue="1">
      <formula>AND(Z14&lt;&gt;0, NOT(ISTEXT(Y14)))</formula>
    </cfRule>
    <cfRule type="cellIs" dxfId="4296" priority="269" stopIfTrue="1" operator="lessThan">
      <formula>0</formula>
    </cfRule>
  </conditionalFormatting>
  <conditionalFormatting sqref="Z15">
    <cfRule type="expression" dxfId="4295" priority="266" stopIfTrue="1">
      <formula>AND(Z15&lt;&gt;0, NOT(ISTEXT(Y15)))</formula>
    </cfRule>
    <cfRule type="cellIs" dxfId="4294" priority="267" stopIfTrue="1" operator="lessThan">
      <formula>0</formula>
    </cfRule>
  </conditionalFormatting>
  <conditionalFormatting sqref="Z23">
    <cfRule type="expression" dxfId="4293" priority="264" stopIfTrue="1">
      <formula>AND(Z23&lt;&gt;0, NOT(ISTEXT(Y23)))</formula>
    </cfRule>
    <cfRule type="cellIs" dxfId="4292" priority="265" stopIfTrue="1" operator="lessThan">
      <formula>0</formula>
    </cfRule>
  </conditionalFormatting>
  <conditionalFormatting sqref="Z44">
    <cfRule type="expression" dxfId="4291" priority="262" stopIfTrue="1">
      <formula>AND(Z44&lt;&gt;0, NOT(ISTEXT(Y44)))</formula>
    </cfRule>
    <cfRule type="cellIs" dxfId="4290" priority="263" stopIfTrue="1" operator="lessThan">
      <formula>0</formula>
    </cfRule>
  </conditionalFormatting>
  <conditionalFormatting sqref="Z24">
    <cfRule type="expression" dxfId="4289" priority="260" stopIfTrue="1">
      <formula>AND(Z24&lt;&gt;0, NOT(ISTEXT(Y24)))</formula>
    </cfRule>
    <cfRule type="cellIs" dxfId="4288" priority="261" stopIfTrue="1" operator="lessThan">
      <formula>0</formula>
    </cfRule>
  </conditionalFormatting>
  <conditionalFormatting sqref="Z25">
    <cfRule type="expression" dxfId="4287" priority="258" stopIfTrue="1">
      <formula>AND(Z25&lt;&gt;0, NOT(ISTEXT(Y25)))</formula>
    </cfRule>
    <cfRule type="cellIs" dxfId="4286" priority="259" stopIfTrue="1" operator="lessThan">
      <formula>0</formula>
    </cfRule>
  </conditionalFormatting>
  <conditionalFormatting sqref="Z26">
    <cfRule type="expression" dxfId="4285" priority="256" stopIfTrue="1">
      <formula>AND(Z26&lt;&gt;0, NOT(ISTEXT(Y26)))</formula>
    </cfRule>
    <cfRule type="cellIs" dxfId="4284" priority="257" stopIfTrue="1" operator="lessThan">
      <formula>0</formula>
    </cfRule>
  </conditionalFormatting>
  <conditionalFormatting sqref="Z27">
    <cfRule type="expression" dxfId="4283" priority="254" stopIfTrue="1">
      <formula>AND(Z27&lt;&gt;0, NOT(ISTEXT(Y27)))</formula>
    </cfRule>
    <cfRule type="cellIs" dxfId="4282" priority="255" stopIfTrue="1" operator="lessThan">
      <formula>0</formula>
    </cfRule>
  </conditionalFormatting>
  <conditionalFormatting sqref="Z28">
    <cfRule type="expression" dxfId="4281" priority="252" stopIfTrue="1">
      <formula>AND(Z28&lt;&gt;0, NOT(ISTEXT(Y28)))</formula>
    </cfRule>
    <cfRule type="cellIs" dxfId="4280" priority="253" stopIfTrue="1" operator="lessThan">
      <formula>0</formula>
    </cfRule>
  </conditionalFormatting>
  <conditionalFormatting sqref="Z29">
    <cfRule type="expression" dxfId="4279" priority="250" stopIfTrue="1">
      <formula>AND(Z29&lt;&gt;0, NOT(ISTEXT(Y29)))</formula>
    </cfRule>
    <cfRule type="cellIs" dxfId="4278" priority="251" stopIfTrue="1" operator="lessThan">
      <formula>0</formula>
    </cfRule>
  </conditionalFormatting>
  <conditionalFormatting sqref="Z30">
    <cfRule type="expression" dxfId="4277" priority="248" stopIfTrue="1">
      <formula>AND(Z30&lt;&gt;0, NOT(ISTEXT(Y30)))</formula>
    </cfRule>
    <cfRule type="cellIs" dxfId="4276" priority="249" stopIfTrue="1" operator="lessThan">
      <formula>0</formula>
    </cfRule>
  </conditionalFormatting>
  <conditionalFormatting sqref="Z31">
    <cfRule type="expression" dxfId="4275" priority="246" stopIfTrue="1">
      <formula>AND(Z31&lt;&gt;0, NOT(ISTEXT(Y31)))</formula>
    </cfRule>
    <cfRule type="cellIs" dxfId="4274" priority="247" stopIfTrue="1" operator="lessThan">
      <formula>0</formula>
    </cfRule>
  </conditionalFormatting>
  <conditionalFormatting sqref="Z32">
    <cfRule type="expression" dxfId="4273" priority="244" stopIfTrue="1">
      <formula>AND(Z32&lt;&gt;0, NOT(ISTEXT(Y32)))</formula>
    </cfRule>
    <cfRule type="cellIs" dxfId="4272" priority="245" stopIfTrue="1" operator="lessThan">
      <formula>0</formula>
    </cfRule>
  </conditionalFormatting>
  <conditionalFormatting sqref="Z33">
    <cfRule type="expression" dxfId="4271" priority="242" stopIfTrue="1">
      <formula>AND(Z33&lt;&gt;0, NOT(ISTEXT(Y33)))</formula>
    </cfRule>
    <cfRule type="cellIs" dxfId="4270" priority="243" stopIfTrue="1" operator="lessThan">
      <formula>0</formula>
    </cfRule>
  </conditionalFormatting>
  <conditionalFormatting sqref="Z34">
    <cfRule type="expression" dxfId="4269" priority="240" stopIfTrue="1">
      <formula>AND(Z34&lt;&gt;0, NOT(ISTEXT(Y34)))</formula>
    </cfRule>
    <cfRule type="cellIs" dxfId="4268" priority="241" stopIfTrue="1" operator="lessThan">
      <formula>0</formula>
    </cfRule>
  </conditionalFormatting>
  <conditionalFormatting sqref="Z35">
    <cfRule type="expression" dxfId="4267" priority="238" stopIfTrue="1">
      <formula>AND(Z35&lt;&gt;0, NOT(ISTEXT(Y35)))</formula>
    </cfRule>
    <cfRule type="cellIs" dxfId="4266" priority="239" stopIfTrue="1" operator="lessThan">
      <formula>0</formula>
    </cfRule>
  </conditionalFormatting>
  <conditionalFormatting sqref="Z36">
    <cfRule type="expression" dxfId="4265" priority="236" stopIfTrue="1">
      <formula>AND(Z36&lt;&gt;0, NOT(ISTEXT(Y36)))</formula>
    </cfRule>
    <cfRule type="cellIs" dxfId="4264" priority="237" stopIfTrue="1" operator="lessThan">
      <formula>0</formula>
    </cfRule>
  </conditionalFormatting>
  <conditionalFormatting sqref="Z37">
    <cfRule type="expression" dxfId="4263" priority="234" stopIfTrue="1">
      <formula>AND(Z37&lt;&gt;0, NOT(ISTEXT(Y37)))</formula>
    </cfRule>
    <cfRule type="cellIs" dxfId="4262" priority="235" stopIfTrue="1" operator="lessThan">
      <formula>0</formula>
    </cfRule>
  </conditionalFormatting>
  <conditionalFormatting sqref="Z38">
    <cfRule type="expression" dxfId="4261" priority="232" stopIfTrue="1">
      <formula>AND(Z38&lt;&gt;0, NOT(ISTEXT(Y38)))</formula>
    </cfRule>
    <cfRule type="cellIs" dxfId="4260" priority="233" stopIfTrue="1" operator="lessThan">
      <formula>0</formula>
    </cfRule>
  </conditionalFormatting>
  <conditionalFormatting sqref="Z39">
    <cfRule type="expression" dxfId="4259" priority="230" stopIfTrue="1">
      <formula>AND(Z39&lt;&gt;0, NOT(ISTEXT(Y39)))</formula>
    </cfRule>
    <cfRule type="cellIs" dxfId="4258" priority="231" stopIfTrue="1" operator="lessThan">
      <formula>0</formula>
    </cfRule>
  </conditionalFormatting>
  <conditionalFormatting sqref="Z40">
    <cfRule type="expression" dxfId="4257" priority="228" stopIfTrue="1">
      <formula>AND(Z40&lt;&gt;0, NOT(ISTEXT(Y40)))</formula>
    </cfRule>
    <cfRule type="cellIs" dxfId="4256" priority="229" stopIfTrue="1" operator="lessThan">
      <formula>0</formula>
    </cfRule>
  </conditionalFormatting>
  <conditionalFormatting sqref="Z41">
    <cfRule type="expression" dxfId="4255" priority="226" stopIfTrue="1">
      <formula>AND(Z41&lt;&gt;0, NOT(ISTEXT(Y41)))</formula>
    </cfRule>
    <cfRule type="cellIs" dxfId="4254" priority="227" stopIfTrue="1" operator="lessThan">
      <formula>0</formula>
    </cfRule>
  </conditionalFormatting>
  <conditionalFormatting sqref="Z42">
    <cfRule type="expression" dxfId="4253" priority="224" stopIfTrue="1">
      <formula>AND(Z42&lt;&gt;0, NOT(ISTEXT(Y42)))</formula>
    </cfRule>
    <cfRule type="cellIs" dxfId="4252" priority="225" stopIfTrue="1" operator="lessThan">
      <formula>0</formula>
    </cfRule>
  </conditionalFormatting>
  <conditionalFormatting sqref="Z43">
    <cfRule type="expression" dxfId="4251" priority="222" stopIfTrue="1">
      <formula>AND(Z43&lt;&gt;0, NOT(ISTEXT(Y43)))</formula>
    </cfRule>
    <cfRule type="cellIs" dxfId="4250" priority="223" stopIfTrue="1" operator="lessThan">
      <formula>0</formula>
    </cfRule>
  </conditionalFormatting>
  <conditionalFormatting sqref="N53:O54">
    <cfRule type="containsText" dxfId="4249" priority="219" stopIfTrue="1" operator="containsText" text="הפרש">
      <formula>NOT(ISERROR(SEARCH("הפרש",N53)))</formula>
    </cfRule>
  </conditionalFormatting>
  <conditionalFormatting sqref="Z23:Z44 Q64:Q110 Q7:Q45 J7:J53 D27:D39 C45:C56 J64:J110 D65:D86 C7:D17 Z6:AA16">
    <cfRule type="expression" dxfId="4248" priority="217" stopIfTrue="1">
      <formula>ISTEXT(C6)</formula>
    </cfRule>
  </conditionalFormatting>
  <conditionalFormatting sqref="C7">
    <cfRule type="expression" dxfId="4247" priority="215" stopIfTrue="1">
      <formula>AND(C7&lt;&gt;0, NOT(ISTEXT(B7)))</formula>
    </cfRule>
    <cfRule type="cellIs" dxfId="4246" priority="216" stopIfTrue="1" operator="lessThan">
      <formula>0</formula>
    </cfRule>
  </conditionalFormatting>
  <conditionalFormatting sqref="C8">
    <cfRule type="expression" dxfId="4245" priority="213" stopIfTrue="1">
      <formula>AND(C8&lt;&gt;0, NOT(ISTEXT(B8)))</formula>
    </cfRule>
    <cfRule type="cellIs" dxfId="4244" priority="214" stopIfTrue="1" operator="lessThan">
      <formula>0</formula>
    </cfRule>
  </conditionalFormatting>
  <conditionalFormatting sqref="C9">
    <cfRule type="expression" dxfId="4243" priority="211" stopIfTrue="1">
      <formula>AND(C9&lt;&gt;0, NOT(ISTEXT(B9)))</formula>
    </cfRule>
    <cfRule type="cellIs" dxfId="4242" priority="212" stopIfTrue="1" operator="lessThan">
      <formula>0</formula>
    </cfRule>
  </conditionalFormatting>
  <conditionalFormatting sqref="C10">
    <cfRule type="expression" dxfId="4241" priority="209" stopIfTrue="1">
      <formula>AND(C10&lt;&gt;0, NOT(ISTEXT(B10)))</formula>
    </cfRule>
    <cfRule type="cellIs" dxfId="4240" priority="210" stopIfTrue="1" operator="lessThan">
      <formula>0</formula>
    </cfRule>
  </conditionalFormatting>
  <conditionalFormatting sqref="C11">
    <cfRule type="expression" dxfId="4239" priority="207" stopIfTrue="1">
      <formula>AND(C11&lt;&gt;0, NOT(ISTEXT(B11)))</formula>
    </cfRule>
    <cfRule type="cellIs" dxfId="4238" priority="208" stopIfTrue="1" operator="lessThan">
      <formula>0</formula>
    </cfRule>
  </conditionalFormatting>
  <conditionalFormatting sqref="C12">
    <cfRule type="expression" dxfId="4237" priority="205" stopIfTrue="1">
      <formula>AND(C12&lt;&gt;0, NOT(ISTEXT(B12)))</formula>
    </cfRule>
    <cfRule type="cellIs" dxfId="4236" priority="206" stopIfTrue="1" operator="lessThan">
      <formula>0</formula>
    </cfRule>
  </conditionalFormatting>
  <conditionalFormatting sqref="C13">
    <cfRule type="expression" dxfId="4235" priority="203" stopIfTrue="1">
      <formula>AND(C13&lt;&gt;0, NOT(ISTEXT(B13)))</formula>
    </cfRule>
    <cfRule type="cellIs" dxfId="4234" priority="204" stopIfTrue="1" operator="lessThan">
      <formula>0</formula>
    </cfRule>
  </conditionalFormatting>
  <conditionalFormatting sqref="C14">
    <cfRule type="expression" dxfId="4233" priority="201" stopIfTrue="1">
      <formula>AND(C14&lt;&gt;0, NOT(ISTEXT(B14)))</formula>
    </cfRule>
    <cfRule type="cellIs" dxfId="4232" priority="202" stopIfTrue="1" operator="lessThan">
      <formula>0</formula>
    </cfRule>
  </conditionalFormatting>
  <conditionalFormatting sqref="C15">
    <cfRule type="expression" dxfId="4231" priority="199" stopIfTrue="1">
      <formula>AND(C15&lt;&gt;0, NOT(ISTEXT(B15)))</formula>
    </cfRule>
    <cfRule type="cellIs" dxfId="4230" priority="200" stopIfTrue="1" operator="lessThan">
      <formula>0</formula>
    </cfRule>
  </conditionalFormatting>
  <conditionalFormatting sqref="C16">
    <cfRule type="expression" dxfId="4229" priority="197" stopIfTrue="1">
      <formula>AND(C16&lt;&gt;0, NOT(ISTEXT(B16)))</formula>
    </cfRule>
    <cfRule type="cellIs" dxfId="4228" priority="198" stopIfTrue="1" operator="lessThan">
      <formula>0</formula>
    </cfRule>
  </conditionalFormatting>
  <conditionalFormatting sqref="C17">
    <cfRule type="expression" dxfId="4227" priority="195" stopIfTrue="1">
      <formula>AND(C17&lt;&gt;0, NOT(ISTEXT(B17)))</formula>
    </cfRule>
    <cfRule type="cellIs" dxfId="4226" priority="196" stopIfTrue="1" operator="lessThan">
      <formula>0</formula>
    </cfRule>
  </conditionalFormatting>
  <conditionalFormatting sqref="C7">
    <cfRule type="expression" dxfId="4225" priority="192" stopIfTrue="1">
      <formula>AND(C7&lt;&gt;0, NOT(ISTEXT(B7)))</formula>
    </cfRule>
    <cfRule type="cellIs" dxfId="4224" priority="193" stopIfTrue="1" operator="lessThan">
      <formula>0</formula>
    </cfRule>
  </conditionalFormatting>
  <conditionalFormatting sqref="C8">
    <cfRule type="expression" dxfId="4223" priority="190" stopIfTrue="1">
      <formula>AND(C8&lt;&gt;0, NOT(ISTEXT(B8)))</formula>
    </cfRule>
    <cfRule type="cellIs" dxfId="4222" priority="191" stopIfTrue="1" operator="lessThan">
      <formula>0</formula>
    </cfRule>
  </conditionalFormatting>
  <conditionalFormatting sqref="C9">
    <cfRule type="expression" dxfId="4221" priority="188" stopIfTrue="1">
      <formula>AND(C9&lt;&gt;0, NOT(ISTEXT(B9)))</formula>
    </cfRule>
    <cfRule type="cellIs" dxfId="4220" priority="189" stopIfTrue="1" operator="lessThan">
      <formula>0</formula>
    </cfRule>
  </conditionalFormatting>
  <conditionalFormatting sqref="C10">
    <cfRule type="expression" dxfId="4219" priority="186" stopIfTrue="1">
      <formula>AND(C10&lt;&gt;0, NOT(ISTEXT(B10)))</formula>
    </cfRule>
    <cfRule type="cellIs" dxfId="4218" priority="187" stopIfTrue="1" operator="lessThan">
      <formula>0</formula>
    </cfRule>
  </conditionalFormatting>
  <conditionalFormatting sqref="C11">
    <cfRule type="expression" dxfId="4217" priority="184" stopIfTrue="1">
      <formula>AND(C11&lt;&gt;0, NOT(ISTEXT(B11)))</formula>
    </cfRule>
    <cfRule type="cellIs" dxfId="4216" priority="185" stopIfTrue="1" operator="lessThan">
      <formula>0</formula>
    </cfRule>
  </conditionalFormatting>
  <conditionalFormatting sqref="C12">
    <cfRule type="expression" dxfId="4215" priority="182" stopIfTrue="1">
      <formula>AND(C12&lt;&gt;0, NOT(ISTEXT(B12)))</formula>
    </cfRule>
    <cfRule type="cellIs" dxfId="4214" priority="183" stopIfTrue="1" operator="lessThan">
      <formula>0</formula>
    </cfRule>
  </conditionalFormatting>
  <conditionalFormatting sqref="C13">
    <cfRule type="expression" dxfId="4213" priority="180" stopIfTrue="1">
      <formula>AND(C13&lt;&gt;0, NOT(ISTEXT(B13)))</formula>
    </cfRule>
    <cfRule type="cellIs" dxfId="4212" priority="181" stopIfTrue="1" operator="lessThan">
      <formula>0</formula>
    </cfRule>
  </conditionalFormatting>
  <conditionalFormatting sqref="C14">
    <cfRule type="expression" dxfId="4211" priority="178" stopIfTrue="1">
      <formula>AND(C14&lt;&gt;0, NOT(ISTEXT(B14)))</formula>
    </cfRule>
    <cfRule type="cellIs" dxfId="4210" priority="179" stopIfTrue="1" operator="lessThan">
      <formula>0</formula>
    </cfRule>
  </conditionalFormatting>
  <conditionalFormatting sqref="C15">
    <cfRule type="expression" dxfId="4209" priority="176" stopIfTrue="1">
      <formula>AND(C15&lt;&gt;0, NOT(ISTEXT(B15)))</formula>
    </cfRule>
    <cfRule type="cellIs" dxfId="4208" priority="177" stopIfTrue="1" operator="lessThan">
      <formula>0</formula>
    </cfRule>
  </conditionalFormatting>
  <conditionalFormatting sqref="C16">
    <cfRule type="expression" dxfId="4207" priority="174" stopIfTrue="1">
      <formula>AND(C16&lt;&gt;0, NOT(ISTEXT(B16)))</formula>
    </cfRule>
    <cfRule type="cellIs" dxfId="4206" priority="175" stopIfTrue="1" operator="lessThan">
      <formula>0</formula>
    </cfRule>
  </conditionalFormatting>
  <conditionalFormatting sqref="C17">
    <cfRule type="expression" dxfId="4205" priority="172" stopIfTrue="1">
      <formula>AND(C17&lt;&gt;0, NOT(ISTEXT(B17)))</formula>
    </cfRule>
    <cfRule type="cellIs" dxfId="4204" priority="173" stopIfTrue="1" operator="lessThan">
      <formula>0</formula>
    </cfRule>
  </conditionalFormatting>
  <conditionalFormatting sqref="C45">
    <cfRule type="expression" dxfId="4203" priority="169" stopIfTrue="1">
      <formula>AND(C45&lt;&gt;0, NOT(ISTEXT(B45)))</formula>
    </cfRule>
    <cfRule type="cellIs" dxfId="4202" priority="170" stopIfTrue="1" operator="lessThan">
      <formula>0</formula>
    </cfRule>
  </conditionalFormatting>
  <conditionalFormatting sqref="C56">
    <cfRule type="expression" dxfId="4201" priority="167" stopIfTrue="1">
      <formula>AND(C56&lt;&gt;0, NOT(ISTEXT(B56)))</formula>
    </cfRule>
    <cfRule type="cellIs" dxfId="4200" priority="168" stopIfTrue="1" operator="lessThan">
      <formula>0</formula>
    </cfRule>
  </conditionalFormatting>
  <conditionalFormatting sqref="C46">
    <cfRule type="expression" dxfId="4199" priority="165" stopIfTrue="1">
      <formula>AND(C46&lt;&gt;0, NOT(ISTEXT(B46)))</formula>
    </cfRule>
    <cfRule type="cellIs" dxfId="4198" priority="166" stopIfTrue="1" operator="lessThan">
      <formula>0</formula>
    </cfRule>
  </conditionalFormatting>
  <conditionalFormatting sqref="C47">
    <cfRule type="expression" dxfId="4197" priority="163" stopIfTrue="1">
      <formula>AND(C47&lt;&gt;0, NOT(ISTEXT(B47)))</formula>
    </cfRule>
    <cfRule type="cellIs" dxfId="4196" priority="164" stopIfTrue="1" operator="lessThan">
      <formula>0</formula>
    </cfRule>
  </conditionalFormatting>
  <conditionalFormatting sqref="C48">
    <cfRule type="expression" dxfId="4195" priority="161" stopIfTrue="1">
      <formula>AND(C48&lt;&gt;0, NOT(ISTEXT(B48)))</formula>
    </cfRule>
    <cfRule type="cellIs" dxfId="4194" priority="162" stopIfTrue="1" operator="lessThan">
      <formula>0</formula>
    </cfRule>
  </conditionalFormatting>
  <conditionalFormatting sqref="C49">
    <cfRule type="expression" dxfId="4193" priority="159" stopIfTrue="1">
      <formula>AND(C49&lt;&gt;0, NOT(ISTEXT(B49)))</formula>
    </cfRule>
    <cfRule type="cellIs" dxfId="4192" priority="160" stopIfTrue="1" operator="lessThan">
      <formula>0</formula>
    </cfRule>
  </conditionalFormatting>
  <conditionalFormatting sqref="C50">
    <cfRule type="expression" dxfId="4191" priority="157" stopIfTrue="1">
      <formula>AND(C50&lt;&gt;0, NOT(ISTEXT(B50)))</formula>
    </cfRule>
    <cfRule type="cellIs" dxfId="4190" priority="158" stopIfTrue="1" operator="lessThan">
      <formula>0</formula>
    </cfRule>
  </conditionalFormatting>
  <conditionalFormatting sqref="C51">
    <cfRule type="expression" dxfId="4189" priority="155" stopIfTrue="1">
      <formula>AND(C51&lt;&gt;0, NOT(ISTEXT(B51)))</formula>
    </cfRule>
    <cfRule type="cellIs" dxfId="4188" priority="156" stopIfTrue="1" operator="lessThan">
      <formula>0</formula>
    </cfRule>
  </conditionalFormatting>
  <conditionalFormatting sqref="C52">
    <cfRule type="expression" dxfId="4187" priority="153" stopIfTrue="1">
      <formula>AND(C52&lt;&gt;0, NOT(ISTEXT(B52)))</formula>
    </cfRule>
    <cfRule type="cellIs" dxfId="4186" priority="154" stopIfTrue="1" operator="lessThan">
      <formula>0</formula>
    </cfRule>
  </conditionalFormatting>
  <conditionalFormatting sqref="C53">
    <cfRule type="expression" dxfId="4185" priority="151" stopIfTrue="1">
      <formula>AND(C53&lt;&gt;0, NOT(ISTEXT(B53)))</formula>
    </cfRule>
    <cfRule type="cellIs" dxfId="4184" priority="152" stopIfTrue="1" operator="lessThan">
      <formula>0</formula>
    </cfRule>
  </conditionalFormatting>
  <conditionalFormatting sqref="C54">
    <cfRule type="expression" dxfId="4183" priority="149" stopIfTrue="1">
      <formula>AND(C54&lt;&gt;0, NOT(ISTEXT(B54)))</formula>
    </cfRule>
    <cfRule type="cellIs" dxfId="4182" priority="150" stopIfTrue="1" operator="lessThan">
      <formula>0</formula>
    </cfRule>
  </conditionalFormatting>
  <conditionalFormatting sqref="C55">
    <cfRule type="expression" dxfId="4181" priority="147" stopIfTrue="1">
      <formula>AND(C55&lt;&gt;0, NOT(ISTEXT(B55)))</formula>
    </cfRule>
    <cfRule type="cellIs" dxfId="4180" priority="148" stopIfTrue="1" operator="lessThan">
      <formula>0</formula>
    </cfRule>
  </conditionalFormatting>
  <conditionalFormatting sqref="Z6">
    <cfRule type="expression" dxfId="4179" priority="144" stopIfTrue="1">
      <formula>AND(Z6&lt;&gt;0, NOT(ISTEXT(Y6)))</formula>
    </cfRule>
    <cfRule type="cellIs" dxfId="4178" priority="145" stopIfTrue="1" operator="lessThan">
      <formula>0</formula>
    </cfRule>
  </conditionalFormatting>
  <conditionalFormatting sqref="Z16">
    <cfRule type="expression" dxfId="4177" priority="142" stopIfTrue="1">
      <formula>AND(Z16&lt;&gt;0, NOT(ISTEXT(Y16)))</formula>
    </cfRule>
    <cfRule type="cellIs" dxfId="4176" priority="143" stopIfTrue="1" operator="lessThan">
      <formula>0</formula>
    </cfRule>
  </conditionalFormatting>
  <conditionalFormatting sqref="Z7">
    <cfRule type="expression" dxfId="4175" priority="140" stopIfTrue="1">
      <formula>AND(Z7&lt;&gt;0, NOT(ISTEXT(Y7)))</formula>
    </cfRule>
    <cfRule type="cellIs" dxfId="4174" priority="141" stopIfTrue="1" operator="lessThan">
      <formula>0</formula>
    </cfRule>
  </conditionalFormatting>
  <conditionalFormatting sqref="Z8">
    <cfRule type="expression" dxfId="4173" priority="138" stopIfTrue="1">
      <formula>AND(Z8&lt;&gt;0, NOT(ISTEXT(Y8)))</formula>
    </cfRule>
    <cfRule type="cellIs" dxfId="4172" priority="139" stopIfTrue="1" operator="lessThan">
      <formula>0</formula>
    </cfRule>
  </conditionalFormatting>
  <conditionalFormatting sqref="Z9">
    <cfRule type="expression" dxfId="4171" priority="136" stopIfTrue="1">
      <formula>AND(Z9&lt;&gt;0, NOT(ISTEXT(Y9)))</formula>
    </cfRule>
    <cfRule type="cellIs" dxfId="4170" priority="137" stopIfTrue="1" operator="lessThan">
      <formula>0</formula>
    </cfRule>
  </conditionalFormatting>
  <conditionalFormatting sqref="Z10">
    <cfRule type="expression" dxfId="4169" priority="134" stopIfTrue="1">
      <formula>AND(Z10&lt;&gt;0, NOT(ISTEXT(Y10)))</formula>
    </cfRule>
    <cfRule type="cellIs" dxfId="4168" priority="135" stopIfTrue="1" operator="lessThan">
      <formula>0</formula>
    </cfRule>
  </conditionalFormatting>
  <conditionalFormatting sqref="Z11">
    <cfRule type="expression" dxfId="4167" priority="132" stopIfTrue="1">
      <formula>AND(Z11&lt;&gt;0, NOT(ISTEXT(Y11)))</formula>
    </cfRule>
    <cfRule type="cellIs" dxfId="4166" priority="133" stopIfTrue="1" operator="lessThan">
      <formula>0</formula>
    </cfRule>
  </conditionalFormatting>
  <conditionalFormatting sqref="Z12">
    <cfRule type="expression" dxfId="4165" priority="130" stopIfTrue="1">
      <formula>AND(Z12&lt;&gt;0, NOT(ISTEXT(Y12)))</formula>
    </cfRule>
    <cfRule type="cellIs" dxfId="4164" priority="131" stopIfTrue="1" operator="lessThan">
      <formula>0</formula>
    </cfRule>
  </conditionalFormatting>
  <conditionalFormatting sqref="Z13">
    <cfRule type="expression" dxfId="4163" priority="128" stopIfTrue="1">
      <formula>AND(Z13&lt;&gt;0, NOT(ISTEXT(Y13)))</formula>
    </cfRule>
    <cfRule type="cellIs" dxfId="4162" priority="129" stopIfTrue="1" operator="lessThan">
      <formula>0</formula>
    </cfRule>
  </conditionalFormatting>
  <conditionalFormatting sqref="Z14">
    <cfRule type="expression" dxfId="4161" priority="126" stopIfTrue="1">
      <formula>AND(Z14&lt;&gt;0, NOT(ISTEXT(Y14)))</formula>
    </cfRule>
    <cfRule type="cellIs" dxfId="4160" priority="127" stopIfTrue="1" operator="lessThan">
      <formula>0</formula>
    </cfRule>
  </conditionalFormatting>
  <conditionalFormatting sqref="Z15">
    <cfRule type="expression" dxfId="4159" priority="124" stopIfTrue="1">
      <formula>AND(Z15&lt;&gt;0, NOT(ISTEXT(Y15)))</formula>
    </cfRule>
    <cfRule type="cellIs" dxfId="4158" priority="125" stopIfTrue="1" operator="lessThan">
      <formula>0</formula>
    </cfRule>
  </conditionalFormatting>
  <conditionalFormatting sqref="Z23">
    <cfRule type="expression" dxfId="4157" priority="121" stopIfTrue="1">
      <formula>AND(Z23&lt;&gt;0, NOT(ISTEXT(Y23)))</formula>
    </cfRule>
    <cfRule type="cellIs" dxfId="4156" priority="122" stopIfTrue="1" operator="lessThan">
      <formula>0</formula>
    </cfRule>
  </conditionalFormatting>
  <conditionalFormatting sqref="Z44">
    <cfRule type="expression" dxfId="4155" priority="119" stopIfTrue="1">
      <formula>AND(Z44&lt;&gt;0, NOT(ISTEXT(Y44)))</formula>
    </cfRule>
    <cfRule type="cellIs" dxfId="4154" priority="120" stopIfTrue="1" operator="lessThan">
      <formula>0</formula>
    </cfRule>
  </conditionalFormatting>
  <conditionalFormatting sqref="Z24">
    <cfRule type="expression" dxfId="4153" priority="117" stopIfTrue="1">
      <formula>AND(Z24&lt;&gt;0, NOT(ISTEXT(Y24)))</formula>
    </cfRule>
    <cfRule type="cellIs" dxfId="4152" priority="118" stopIfTrue="1" operator="lessThan">
      <formula>0</formula>
    </cfRule>
  </conditionalFormatting>
  <conditionalFormatting sqref="Z25">
    <cfRule type="expression" dxfId="4151" priority="115" stopIfTrue="1">
      <formula>AND(Z25&lt;&gt;0, NOT(ISTEXT(Y25)))</formula>
    </cfRule>
    <cfRule type="cellIs" dxfId="4150" priority="116" stopIfTrue="1" operator="lessThan">
      <formula>0</formula>
    </cfRule>
  </conditionalFormatting>
  <conditionalFormatting sqref="Z26">
    <cfRule type="expression" dxfId="4149" priority="113" stopIfTrue="1">
      <formula>AND(Z26&lt;&gt;0, NOT(ISTEXT(Y26)))</formula>
    </cfRule>
    <cfRule type="cellIs" dxfId="4148" priority="114" stopIfTrue="1" operator="lessThan">
      <formula>0</formula>
    </cfRule>
  </conditionalFormatting>
  <conditionalFormatting sqref="Z27">
    <cfRule type="expression" dxfId="4147" priority="111" stopIfTrue="1">
      <formula>AND(Z27&lt;&gt;0, NOT(ISTEXT(Y27)))</formula>
    </cfRule>
    <cfRule type="cellIs" dxfId="4146" priority="112" stopIfTrue="1" operator="lessThan">
      <formula>0</formula>
    </cfRule>
  </conditionalFormatting>
  <conditionalFormatting sqref="Z28">
    <cfRule type="expression" dxfId="4145" priority="109" stopIfTrue="1">
      <formula>AND(Z28&lt;&gt;0, NOT(ISTEXT(Y28)))</formula>
    </cfRule>
    <cfRule type="cellIs" dxfId="4144" priority="110" stopIfTrue="1" operator="lessThan">
      <formula>0</formula>
    </cfRule>
  </conditionalFormatting>
  <conditionalFormatting sqref="Z29">
    <cfRule type="expression" dxfId="4143" priority="107" stopIfTrue="1">
      <formula>AND(Z29&lt;&gt;0, NOT(ISTEXT(Y29)))</formula>
    </cfRule>
    <cfRule type="cellIs" dxfId="4142" priority="108" stopIfTrue="1" operator="lessThan">
      <formula>0</formula>
    </cfRule>
  </conditionalFormatting>
  <conditionalFormatting sqref="Z30">
    <cfRule type="expression" dxfId="4141" priority="105" stopIfTrue="1">
      <formula>AND(Z30&lt;&gt;0, NOT(ISTEXT(Y30)))</formula>
    </cfRule>
    <cfRule type="cellIs" dxfId="4140" priority="106" stopIfTrue="1" operator="lessThan">
      <formula>0</formula>
    </cfRule>
  </conditionalFormatting>
  <conditionalFormatting sqref="Z31">
    <cfRule type="expression" dxfId="4139" priority="103" stopIfTrue="1">
      <formula>AND(Z31&lt;&gt;0, NOT(ISTEXT(Y31)))</formula>
    </cfRule>
    <cfRule type="cellIs" dxfId="4138" priority="104" stopIfTrue="1" operator="lessThan">
      <formula>0</formula>
    </cfRule>
  </conditionalFormatting>
  <conditionalFormatting sqref="Z32">
    <cfRule type="expression" dxfId="4137" priority="101" stopIfTrue="1">
      <formula>AND(Z32&lt;&gt;0, NOT(ISTEXT(Y32)))</formula>
    </cfRule>
    <cfRule type="cellIs" dxfId="4136" priority="102" stopIfTrue="1" operator="lessThan">
      <formula>0</formula>
    </cfRule>
  </conditionalFormatting>
  <conditionalFormatting sqref="Z33">
    <cfRule type="expression" dxfId="4135" priority="99" stopIfTrue="1">
      <formula>AND(Z33&lt;&gt;0, NOT(ISTEXT(Y33)))</formula>
    </cfRule>
    <cfRule type="cellIs" dxfId="4134" priority="100" stopIfTrue="1" operator="lessThan">
      <formula>0</formula>
    </cfRule>
  </conditionalFormatting>
  <conditionalFormatting sqref="Z34">
    <cfRule type="expression" dxfId="4133" priority="97" stopIfTrue="1">
      <formula>AND(Z34&lt;&gt;0, NOT(ISTEXT(Y34)))</formula>
    </cfRule>
    <cfRule type="cellIs" dxfId="4132" priority="98" stopIfTrue="1" operator="lessThan">
      <formula>0</formula>
    </cfRule>
  </conditionalFormatting>
  <conditionalFormatting sqref="Z35">
    <cfRule type="expression" dxfId="4131" priority="95" stopIfTrue="1">
      <formula>AND(Z35&lt;&gt;0, NOT(ISTEXT(Y35)))</formula>
    </cfRule>
    <cfRule type="cellIs" dxfId="4130" priority="96" stopIfTrue="1" operator="lessThan">
      <formula>0</formula>
    </cfRule>
  </conditionalFormatting>
  <conditionalFormatting sqref="Z36">
    <cfRule type="expression" dxfId="4129" priority="93" stopIfTrue="1">
      <formula>AND(Z36&lt;&gt;0, NOT(ISTEXT(Y36)))</formula>
    </cfRule>
    <cfRule type="cellIs" dxfId="4128" priority="94" stopIfTrue="1" operator="lessThan">
      <formula>0</formula>
    </cfRule>
  </conditionalFormatting>
  <conditionalFormatting sqref="Z37">
    <cfRule type="expression" dxfId="4127" priority="91" stopIfTrue="1">
      <formula>AND(Z37&lt;&gt;0, NOT(ISTEXT(Y37)))</formula>
    </cfRule>
    <cfRule type="cellIs" dxfId="4126" priority="92" stopIfTrue="1" operator="lessThan">
      <formula>0</formula>
    </cfRule>
  </conditionalFormatting>
  <conditionalFormatting sqref="Z38">
    <cfRule type="expression" dxfId="4125" priority="89" stopIfTrue="1">
      <formula>AND(Z38&lt;&gt;0, NOT(ISTEXT(Y38)))</formula>
    </cfRule>
    <cfRule type="cellIs" dxfId="4124" priority="90" stopIfTrue="1" operator="lessThan">
      <formula>0</formula>
    </cfRule>
  </conditionalFormatting>
  <conditionalFormatting sqref="Z39">
    <cfRule type="expression" dxfId="4123" priority="87" stopIfTrue="1">
      <formula>AND(Z39&lt;&gt;0, NOT(ISTEXT(Y39)))</formula>
    </cfRule>
    <cfRule type="cellIs" dxfId="4122" priority="88" stopIfTrue="1" operator="lessThan">
      <formula>0</formula>
    </cfRule>
  </conditionalFormatting>
  <conditionalFormatting sqref="Z40">
    <cfRule type="expression" dxfId="4121" priority="85" stopIfTrue="1">
      <formula>AND(Z40&lt;&gt;0, NOT(ISTEXT(Y40)))</formula>
    </cfRule>
    <cfRule type="cellIs" dxfId="4120" priority="86" stopIfTrue="1" operator="lessThan">
      <formula>0</formula>
    </cfRule>
  </conditionalFormatting>
  <conditionalFormatting sqref="Z41">
    <cfRule type="expression" dxfId="4119" priority="83" stopIfTrue="1">
      <formula>AND(Z41&lt;&gt;0, NOT(ISTEXT(Y41)))</formula>
    </cfRule>
    <cfRule type="cellIs" dxfId="4118" priority="84" stopIfTrue="1" operator="lessThan">
      <formula>0</formula>
    </cfRule>
  </conditionalFormatting>
  <conditionalFormatting sqref="Z42">
    <cfRule type="expression" dxfId="4117" priority="81" stopIfTrue="1">
      <formula>AND(Z42&lt;&gt;0, NOT(ISTEXT(Y42)))</formula>
    </cfRule>
    <cfRule type="cellIs" dxfId="4116" priority="82" stopIfTrue="1" operator="lessThan">
      <formula>0</formula>
    </cfRule>
  </conditionalFormatting>
  <conditionalFormatting sqref="Z43">
    <cfRule type="expression" dxfId="4115" priority="79" stopIfTrue="1">
      <formula>AND(Z43&lt;&gt;0, NOT(ISTEXT(Y43)))</formula>
    </cfRule>
    <cfRule type="cellIs" dxfId="4114" priority="80" stopIfTrue="1" operator="lessThan">
      <formula>0</formula>
    </cfRule>
  </conditionalFormatting>
  <conditionalFormatting sqref="D7:D17 D27:D39 AA6:AA16">
    <cfRule type="expression" dxfId="4113" priority="70" stopIfTrue="1">
      <formula>AND(D6&lt;&gt;0,NOT(ISTEXT(B6)))</formula>
    </cfRule>
  </conditionalFormatting>
  <conditionalFormatting sqref="C65">
    <cfRule type="expression" dxfId="4112" priority="66" stopIfTrue="1">
      <formula>AND(C65&lt;&gt;0, NOT(ISTEXT(B65)))</formula>
    </cfRule>
    <cfRule type="cellIs" dxfId="4111" priority="67" stopIfTrue="1" operator="lessThan">
      <formula>0</formula>
    </cfRule>
  </conditionalFormatting>
  <conditionalFormatting sqref="C77">
    <cfRule type="expression" dxfId="4110" priority="64" stopIfTrue="1">
      <formula>AND(C77&lt;&gt;0, NOT(ISTEXT(B77)))</formula>
    </cfRule>
    <cfRule type="cellIs" dxfId="4109" priority="65" stopIfTrue="1" operator="lessThan">
      <formula>0</formula>
    </cfRule>
  </conditionalFormatting>
  <conditionalFormatting sqref="C66">
    <cfRule type="expression" dxfId="4108" priority="62" stopIfTrue="1">
      <formula>AND(C66&lt;&gt;0, NOT(ISTEXT(B66)))</formula>
    </cfRule>
    <cfRule type="cellIs" dxfId="4107" priority="63" stopIfTrue="1" operator="lessThan">
      <formula>0</formula>
    </cfRule>
  </conditionalFormatting>
  <conditionalFormatting sqref="C67">
    <cfRule type="expression" dxfId="4106" priority="60" stopIfTrue="1">
      <formula>AND(C67&lt;&gt;0, NOT(ISTEXT(B67)))</formula>
    </cfRule>
    <cfRule type="cellIs" dxfId="4105" priority="61" stopIfTrue="1" operator="lessThan">
      <formula>0</formula>
    </cfRule>
  </conditionalFormatting>
  <conditionalFormatting sqref="C68">
    <cfRule type="expression" dxfId="4104" priority="58" stopIfTrue="1">
      <formula>AND(C68&lt;&gt;0, NOT(ISTEXT(B68)))</formula>
    </cfRule>
    <cfRule type="cellIs" dxfId="4103" priority="59" stopIfTrue="1" operator="lessThan">
      <formula>0</formula>
    </cfRule>
  </conditionalFormatting>
  <conditionalFormatting sqref="C69">
    <cfRule type="expression" dxfId="4102" priority="56" stopIfTrue="1">
      <formula>AND(C69&lt;&gt;0, NOT(ISTEXT(B69)))</formula>
    </cfRule>
    <cfRule type="cellIs" dxfId="4101" priority="57" stopIfTrue="1" operator="lessThan">
      <formula>0</formula>
    </cfRule>
  </conditionalFormatting>
  <conditionalFormatting sqref="C70">
    <cfRule type="expression" dxfId="4100" priority="54" stopIfTrue="1">
      <formula>AND(C70&lt;&gt;0, NOT(ISTEXT(B70)))</formula>
    </cfRule>
    <cfRule type="cellIs" dxfId="4099" priority="55" stopIfTrue="1" operator="lessThan">
      <formula>0</formula>
    </cfRule>
  </conditionalFormatting>
  <conditionalFormatting sqref="C71">
    <cfRule type="expression" dxfId="4098" priority="52" stopIfTrue="1">
      <formula>AND(C71&lt;&gt;0, NOT(ISTEXT(B71)))</formula>
    </cfRule>
    <cfRule type="cellIs" dxfId="4097" priority="53" stopIfTrue="1" operator="lessThan">
      <formula>0</formula>
    </cfRule>
  </conditionalFormatting>
  <conditionalFormatting sqref="C72">
    <cfRule type="expression" dxfId="4096" priority="50" stopIfTrue="1">
      <formula>AND(C72&lt;&gt;0, NOT(ISTEXT(B72)))</formula>
    </cfRule>
    <cfRule type="cellIs" dxfId="4095" priority="51" stopIfTrue="1" operator="lessThan">
      <formula>0</formula>
    </cfRule>
  </conditionalFormatting>
  <conditionalFormatting sqref="C73">
    <cfRule type="expression" dxfId="4094" priority="48" stopIfTrue="1">
      <formula>AND(C73&lt;&gt;0, NOT(ISTEXT(B73)))</formula>
    </cfRule>
    <cfRule type="cellIs" dxfId="4093" priority="49" stopIfTrue="1" operator="lessThan">
      <formula>0</formula>
    </cfRule>
  </conditionalFormatting>
  <conditionalFormatting sqref="C74">
    <cfRule type="expression" dxfId="4092" priority="46" stopIfTrue="1">
      <formula>AND(C74&lt;&gt;0, NOT(ISTEXT(B74)))</formula>
    </cfRule>
    <cfRule type="cellIs" dxfId="4091" priority="47" stopIfTrue="1" operator="lessThan">
      <formula>0</formula>
    </cfRule>
  </conditionalFormatting>
  <conditionalFormatting sqref="C75">
    <cfRule type="expression" dxfId="4090" priority="44" stopIfTrue="1">
      <formula>AND(C75&lt;&gt;0, NOT(ISTEXT(B75)))</formula>
    </cfRule>
    <cfRule type="cellIs" dxfId="4089" priority="45" stopIfTrue="1" operator="lessThan">
      <formula>0</formula>
    </cfRule>
  </conditionalFormatting>
  <conditionalFormatting sqref="C76">
    <cfRule type="expression" dxfId="4088" priority="42" stopIfTrue="1">
      <formula>AND(C76&lt;&gt;0, NOT(ISTEXT(B76)))</formula>
    </cfRule>
    <cfRule type="cellIs" dxfId="4087" priority="43" stopIfTrue="1" operator="lessThan">
      <formula>0</formula>
    </cfRule>
  </conditionalFormatting>
  <conditionalFormatting sqref="D65:D77">
    <cfRule type="expression" dxfId="4086" priority="40" stopIfTrue="1">
      <formula>AND(D65&lt;&gt;0,NOT(ISTEXT(B65)))</formula>
    </cfRule>
  </conditionalFormatting>
  <conditionalFormatting sqref="C86">
    <cfRule type="expression" dxfId="4085" priority="36" stopIfTrue="1">
      <formula>AND(C86&lt;&gt;0, NOT(ISTEXT(B86)))</formula>
    </cfRule>
    <cfRule type="cellIs" dxfId="4084" priority="37" stopIfTrue="1" operator="lessThan">
      <formula>0</formula>
    </cfRule>
  </conditionalFormatting>
  <conditionalFormatting sqref="C78">
    <cfRule type="expression" dxfId="4083" priority="34" stopIfTrue="1">
      <formula>AND(C78&lt;&gt;0, NOT(ISTEXT(B78)))</formula>
    </cfRule>
    <cfRule type="cellIs" dxfId="4082" priority="35" stopIfTrue="1" operator="lessThan">
      <formula>0</formula>
    </cfRule>
  </conditionalFormatting>
  <conditionalFormatting sqref="C79">
    <cfRule type="expression" dxfId="4081" priority="32" stopIfTrue="1">
      <formula>AND(C79&lt;&gt;0, NOT(ISTEXT(B79)))</formula>
    </cfRule>
    <cfRule type="cellIs" dxfId="4080" priority="33" stopIfTrue="1" operator="lessThan">
      <formula>0</formula>
    </cfRule>
  </conditionalFormatting>
  <conditionalFormatting sqref="C80">
    <cfRule type="expression" dxfId="4079" priority="30" stopIfTrue="1">
      <formula>AND(C80&lt;&gt;0, NOT(ISTEXT(B80)))</formula>
    </cfRule>
    <cfRule type="cellIs" dxfId="4078" priority="31" stopIfTrue="1" operator="lessThan">
      <formula>0</formula>
    </cfRule>
  </conditionalFormatting>
  <conditionalFormatting sqref="C81">
    <cfRule type="expression" dxfId="4077" priority="28" stopIfTrue="1">
      <formula>AND(C81&lt;&gt;0, NOT(ISTEXT(B81)))</formula>
    </cfRule>
    <cfRule type="cellIs" dxfId="4076" priority="29" stopIfTrue="1" operator="lessThan">
      <formula>0</formula>
    </cfRule>
  </conditionalFormatting>
  <conditionalFormatting sqref="C82">
    <cfRule type="expression" dxfId="4075" priority="26" stopIfTrue="1">
      <formula>AND(C82&lt;&gt;0, NOT(ISTEXT(B82)))</formula>
    </cfRule>
    <cfRule type="cellIs" dxfId="4074" priority="27" stopIfTrue="1" operator="lessThan">
      <formula>0</formula>
    </cfRule>
  </conditionalFormatting>
  <conditionalFormatting sqref="C83">
    <cfRule type="expression" dxfId="4073" priority="24" stopIfTrue="1">
      <formula>AND(C83&lt;&gt;0, NOT(ISTEXT(B83)))</formula>
    </cfRule>
    <cfRule type="cellIs" dxfId="4072" priority="25" stopIfTrue="1" operator="lessThan">
      <formula>0</formula>
    </cfRule>
  </conditionalFormatting>
  <conditionalFormatting sqref="C84">
    <cfRule type="expression" dxfId="4071" priority="22" stopIfTrue="1">
      <formula>AND(C84&lt;&gt;0, NOT(ISTEXT(B84)))</formula>
    </cfRule>
    <cfRule type="cellIs" dxfId="4070" priority="23" stopIfTrue="1" operator="lessThan">
      <formula>0</formula>
    </cfRule>
  </conditionalFormatting>
  <conditionalFormatting sqref="C85">
    <cfRule type="expression" dxfId="4069" priority="20" stopIfTrue="1">
      <formula>AND(C85&lt;&gt;0, NOT(ISTEXT(B85)))</formula>
    </cfRule>
    <cfRule type="cellIs" dxfId="4068" priority="21" stopIfTrue="1" operator="lessThan">
      <formula>0</formula>
    </cfRule>
  </conditionalFormatting>
  <conditionalFormatting sqref="D78:D86">
    <cfRule type="expression" dxfId="4067" priority="18" stopIfTrue="1">
      <formula>AND(D78&lt;&gt;0,NOT(ISTEXT(B78)))</formula>
    </cfRule>
  </conditionalFormatting>
  <conditionalFormatting sqref="D7:D17 D27:D39 D65:D86">
    <cfRule type="cellIs" dxfId="4066" priority="15" stopIfTrue="1" operator="greaterThan">
      <formula>C7</formula>
    </cfRule>
  </conditionalFormatting>
  <conditionalFormatting sqref="AE23:AE44">
    <cfRule type="expression" dxfId="4065" priority="7" stopIfTrue="1">
      <formula>((Z23*(12-$AR$19))-AE23)/(Z23*(12-$AR$19)+0.00001)&gt;0.9</formula>
    </cfRule>
    <cfRule type="expression" dxfId="4064" priority="8" stopIfTrue="1">
      <formula>((Z23*(12-$AR$19))-AE23)/(Z23*(12-$AR$19)+0.00001)&gt;0.8</formula>
    </cfRule>
    <cfRule type="expression" dxfId="4063" priority="9" stopIfTrue="1">
      <formula>((Z23*(12-$AR$19))-AE23)/(Z23*(12-$AR$19)+0.00001)&gt;0.7</formula>
    </cfRule>
    <cfRule type="expression" dxfId="4062" priority="10" stopIfTrue="1">
      <formula>((Z23*(12-$AR$19))-AE23)/(Z23*(12-$AR$19)+0.00001)&gt;0.6</formula>
    </cfRule>
    <cfRule type="expression" dxfId="4061" priority="11" stopIfTrue="1">
      <formula>((Z23*(12-$AR$19))-AE23)/(Z23*(12-$AR$19)+0.00001)&gt;0.5</formula>
    </cfRule>
    <cfRule type="expression" dxfId="4060" priority="12" stopIfTrue="1">
      <formula>((Z23*(12-$AR$19))-AE23)/(Z23*(12-$AR$19)+0.00001)&gt;0.4</formula>
    </cfRule>
    <cfRule type="expression" dxfId="4059" priority="13" stopIfTrue="1">
      <formula>((Z23*(12-$AR$19))-AE23)/(Z23*(12-$AR$19)+0.00001)&gt;0.3</formula>
    </cfRule>
    <cfRule type="expression" dxfId="4058" priority="378" stopIfTrue="1">
      <formula>((Z23*(12-$AR$19))-AE23)/(Z23*(12-$AR$19)+0.00001)&gt;0.2</formula>
    </cfRule>
  </conditionalFormatting>
  <conditionalFormatting sqref="N55:N56">
    <cfRule type="containsText" dxfId="4057" priority="4" stopIfTrue="1" operator="containsText" text="No">
      <formula>NOT(ISERROR(SEARCH("No",N55)))</formula>
    </cfRule>
  </conditionalFormatting>
  <conditionalFormatting sqref="AE15:AE20">
    <cfRule type="containsText" dxfId="4056" priority="3" stopIfTrue="1" operator="containsText" text="Over">
      <formula>NOT(ISERROR(SEARCH("Over",AE15)))</formula>
    </cfRule>
  </conditionalFormatting>
  <conditionalFormatting sqref="B20:D20">
    <cfRule type="containsText" dxfId="4055" priority="2" stopIfTrue="1" operator="containsText" text="Check">
      <formula>NOT(ISERROR(SEARCH("Check",B20)))</formula>
    </cfRule>
  </conditionalFormatting>
  <conditionalFormatting sqref="B42:D42">
    <cfRule type="containsText" dxfId="4054" priority="1" stopIfTrue="1" operator="containsText" text="Check">
      <formula>NOT(ISERROR(SEARCH("Check",B42)))</formula>
    </cfRule>
  </conditionalFormatting>
  <dataValidations count="14">
    <dataValidation type="custom" showInputMessage="1" showErrorMessage="1" errorTitle="שגיאה" error="חובה למלא את שם ההוצאה לפני מילוי הסכום." sqref="J64:J110 Q7:Q45 J7:J53 Q64:Q110">
      <formula1>ISTEXT(I7)</formula1>
    </dataValidation>
    <dataValidation type="custom" showInputMessage="1" showErrorMessage="1" errorTitle="שגיאה" error="חובה לתת שם לכל סעיף שנרשם בו תקציב" sqref="C7:C17 C27:C39 C45:C56 Z6:Z16 Z23:Z44 C65:C86">
      <formula1>ISTEXT(B6)</formula1>
    </dataValidation>
    <dataValidation type="custom" showInputMessage="1" showErrorMessage="1" errorTitle="שגיאה" error="חובה לתת שם לכל סעיף שנרשם בו ביצוע" sqref="D65:D86 D7:D17 D27:D39 AA6:AA16 AC17">
      <formula1>ISTEXT(B6)</formula1>
    </dataValidation>
    <dataValidation type="whole" allowBlank="1" showInputMessage="1" showErrorMessage="1" errorTitle="ערך לא חוקי" error="התא יכול לקבל 0 או 1. ערכים אחרים אינם חוקיים." prompt="שים לב!_x000a_שינוי תא זה עלול להשפיע על התקציב המתוכנן לשוטפות בחודש הבא." sqref="AI23:AI44">
      <formula1>0</formula1>
      <formula2>1</formula2>
    </dataValidation>
    <dataValidation type="list" errorStyle="information" allowBlank="1" showInputMessage="1" sqref="K64:K110 U64:U110 U7:U45 E7:E17 E27:E39 E65:E86 K7:K53 AB6:AB16">
      <formula1>$AT$5:$AT$9</formula1>
    </dataValidation>
    <dataValidation type="whole" allowBlank="1" showInputMessage="1" showErrorMessage="1" error="מס' יום לא חוקי" sqref="O7:O45 H7:H53 H64:H110 O64:O110">
      <formula1>1</formula1>
      <formula2>31</formula2>
    </dataValidation>
    <dataValidation type="list" allowBlank="1" showInputMessage="1" showErrorMessage="1" error="חובה לבחור בהתפריט הנפתח" sqref="P7:P45 P64:P110">
      <formula1>$Y$23:$Y$44</formula1>
    </dataValidation>
    <dataValidation type="list" allowBlank="1" showInputMessage="1" showErrorMessage="1" error="חובה לבחור כן/לא." sqref="N55:N56">
      <formula1>$AP$55:$AP$56</formula1>
    </dataValidation>
    <dataValidation type="list" allowBlank="1" showInputMessage="1" showErrorMessage="1" error="חובה לבחור מהתפריט הנפתח" sqref="I7:I53 I64:I110">
      <formula1>$B$45:$B$56</formula1>
    </dataValidation>
    <dataValidation allowBlank="1" showInputMessage="1" showErrorMessage="1" prompt="שים לב! שינוי תא זה יבטל את החישוב האוטומטי לסה&quot;כ ביצוע הוצאות קבועות לחודש הנוכחי. " sqref="D18"/>
    <dataValidation allowBlank="1" showInputMessage="1" showErrorMessage="1" prompt="שים לב! שינוי תא זה יבטל את החישוב האוטומטי לסה&quot;כ ביצוע החזרי החובות לחודש הנוכחי. " sqref="D40"/>
    <dataValidation type="custom" errorStyle="warning" allowBlank="1" showInputMessage="1" showErrorMessage="1" errorTitle="סעיף כבר בשימוש" error="שם סעיף זה כבר בשימוש בקטגוריה זו או בקטגוריה אחרת. יתכן גם שנרשמה עליו שם כבר הוצאה בחודש זה." sqref="Y23:Y44 B45:B56 B27:B39 B65:B86 B7:B17">
      <formula1>(COUNTIF($B$7:$B$17,B7)+COUNTIF($B$27:$B$39,B7)+COUNTIF($B$45:$B$56,B7)+COUNTIF($I$7:$I$53,B7)+COUNTIF($Y$23:$Y$44,B7)+COUNTIF($P$7:$P$45,B7))&lt;=1</formula1>
    </dataValidation>
    <dataValidation type="list" allowBlank="1" showInputMessage="1" showErrorMessage="1" error="חובה לבחור מהתפריט הנפתח" sqref="N58">
      <formula1>$AQ$55:$AQ$56</formula1>
    </dataValidation>
    <dataValidation type="custom" errorStyle="information" allowBlank="1" showInputMessage="1" showErrorMessage="1" error="אתם מזינים עיסקת תשלומים. _x000a_חובה למלא את עמודות &quot;מספר התשלום&quot; ו- &quot;מתוך&quot; כדי שהתשלומים הבאים יוכנסו אוטומטית." prompt="שנה תא זה רק בהזנת עיסקת תשלומים._x000a_בחודש הראשון - הזן את סכום העיסקה הכולל._x000a_בחודשי התשלום הבאים - יוכנס אוטומטית 0 (יוצג כ &quot;-&quot;)." sqref="R7:R45 R64:R110">
      <formula1>R7=Q7</formula1>
    </dataValidation>
  </dataValidations>
  <hyperlinks>
    <hyperlink ref="Q3" location="'C'!Y21:Z46" tooltip="To Summary Table" display="List Periodic Expenses"/>
    <hyperlink ref="I3" location="'C'!B44:C58" tooltip="To Summary Table" display="List Everyday Expenses"/>
  </hyperlink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  <outlinePr summaryBelow="0" summaryRight="0"/>
  </sheetPr>
  <dimension ref="A1:CN152"/>
  <sheetViews>
    <sheetView showZeros="0" zoomScale="75" zoomScaleNormal="75" workbookViewId="0"/>
  </sheetViews>
  <sheetFormatPr defaultColWidth="9.125" defaultRowHeight="14.25" outlineLevelRow="1" outlineLevelCol="1"/>
  <cols>
    <col min="1" max="1" width="0.625" style="2" customWidth="1"/>
    <col min="2" max="2" width="22.125" style="2" customWidth="1"/>
    <col min="3" max="3" width="8.125" style="2" customWidth="1"/>
    <col min="4" max="4" width="9.75" style="2" customWidth="1" collapsed="1"/>
    <col min="5" max="5" width="12.25" style="2" hidden="1" customWidth="1" outlineLevel="1"/>
    <col min="6" max="6" width="20.75" style="2" hidden="1" customWidth="1" outlineLevel="1"/>
    <col min="7" max="7" width="1.125" style="2" customWidth="1"/>
    <col min="8" max="8" width="5.375" style="2" customWidth="1"/>
    <col min="9" max="9" width="22.125" style="2" customWidth="1"/>
    <col min="10" max="10" width="8.125" style="2" customWidth="1" collapsed="1"/>
    <col min="11" max="11" width="12.25" style="2" hidden="1" customWidth="1" outlineLevel="1"/>
    <col min="12" max="12" width="20.75" style="2" hidden="1" customWidth="1" outlineLevel="1"/>
    <col min="13" max="13" width="10.75" style="2" customWidth="1" collapsed="1"/>
    <col min="14" max="14" width="4.875" style="2" customWidth="1"/>
    <col min="15" max="15" width="5" style="3" customWidth="1"/>
    <col min="16" max="16" width="22.125" style="2" customWidth="1"/>
    <col min="17" max="17" width="10.875" style="2" customWidth="1"/>
    <col min="18" max="18" width="9.875" style="2" bestFit="1" customWidth="1"/>
    <col min="19" max="19" width="4.625" style="26" customWidth="1" collapsed="1"/>
    <col min="20" max="20" width="3.75" style="26" customWidth="1" collapsed="1"/>
    <col min="21" max="21" width="12.25" style="26" hidden="1" customWidth="1" outlineLevel="1"/>
    <col min="22" max="22" width="20.75" style="26" hidden="1" customWidth="1" outlineLevel="1"/>
    <col min="23" max="23" width="10.75" style="2" customWidth="1"/>
    <col min="24" max="24" width="1.125" style="2" customWidth="1"/>
    <col min="25" max="25" width="24.125" style="2" customWidth="1"/>
    <col min="26" max="26" width="9.875" style="2" bestFit="1" customWidth="1"/>
    <col min="27" max="27" width="10.875" style="2" bestFit="1" customWidth="1" collapsed="1"/>
    <col min="28" max="28" width="13.375" style="2" hidden="1" customWidth="1" outlineLevel="1"/>
    <col min="29" max="29" width="15" style="2" hidden="1" customWidth="1" outlineLevel="1"/>
    <col min="30" max="30" width="10.875" style="2" hidden="1" customWidth="1"/>
    <col min="31" max="31" width="13.875" style="2" customWidth="1"/>
    <col min="32" max="32" width="3" style="2" customWidth="1"/>
    <col min="33" max="33" width="9.75" style="2" customWidth="1"/>
    <col min="34" max="34" width="5.625" style="2" customWidth="1"/>
    <col min="35" max="35" width="4.25" style="2" customWidth="1"/>
    <col min="36" max="36" width="9.125" style="2"/>
    <col min="37" max="37" width="11.875" style="2" customWidth="1"/>
    <col min="38" max="38" width="13.875" style="2" customWidth="1"/>
    <col min="39" max="40" width="9.125" style="2"/>
    <col min="41" max="41" width="9.125" style="52" customWidth="1"/>
    <col min="42" max="42" width="13.875" style="52" hidden="1" customWidth="1"/>
    <col min="43" max="43" width="15.875" style="52" hidden="1" customWidth="1"/>
    <col min="44" max="44" width="18.125" style="52" hidden="1" customWidth="1"/>
    <col min="45" max="45" width="16" style="52" hidden="1" customWidth="1"/>
    <col min="46" max="46" width="11.75" style="52" hidden="1" customWidth="1"/>
    <col min="47" max="47" width="9.125" style="52" hidden="1" customWidth="1"/>
    <col min="48" max="48" width="14" style="52" hidden="1" customWidth="1"/>
    <col min="49" max="49" width="16.75" style="52" hidden="1" customWidth="1"/>
    <col min="50" max="50" width="17.375" style="52" hidden="1" customWidth="1"/>
    <col min="51" max="51" width="9.125" style="52" hidden="1" customWidth="1"/>
    <col min="52" max="53" width="9.125" style="2" hidden="1" customWidth="1"/>
    <col min="54" max="60" width="9.125" style="2"/>
    <col min="61" max="61" width="2.875" style="2" customWidth="1"/>
    <col min="62" max="90" width="9.125" style="2"/>
    <col min="91" max="92" width="0" style="52" hidden="1" customWidth="1"/>
    <col min="93" max="16384" width="9.125" style="2"/>
  </cols>
  <sheetData>
    <row r="1" spans="1:92" s="367" customFormat="1" ht="15">
      <c r="B1" s="880" t="s">
        <v>381</v>
      </c>
      <c r="O1" s="512"/>
      <c r="S1" s="371"/>
      <c r="T1" s="371"/>
      <c r="U1" s="371"/>
      <c r="V1" s="371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CM1" s="86"/>
      <c r="CN1" s="86"/>
    </row>
    <row r="2" spans="1:92" ht="20.25">
      <c r="A2" s="367"/>
      <c r="B2" s="809" t="s">
        <v>468</v>
      </c>
      <c r="C2" s="890" t="s">
        <v>475</v>
      </c>
      <c r="E2" s="367"/>
      <c r="F2" s="367"/>
      <c r="G2" s="367"/>
      <c r="H2" s="367"/>
      <c r="I2" s="367"/>
      <c r="J2" s="368"/>
      <c r="K2" s="596"/>
      <c r="L2" s="585"/>
      <c r="M2" s="67" t="str">
        <f>IF('Month A'!M2="Month","",VLOOKUP('C'!M2,'Month A'!CM3:CN14,2,FALSE))</f>
        <v/>
      </c>
      <c r="N2" s="1232" t="str">
        <f>IF('Month A'!N2:O2="Year","",IF(M2="Jan",'C'!N2:O2+1,'C'!N2:O2))</f>
        <v/>
      </c>
      <c r="O2" s="1232"/>
      <c r="Q2" s="367"/>
      <c r="R2" s="878" t="s">
        <v>491</v>
      </c>
      <c r="S2" s="371"/>
      <c r="U2" s="371"/>
      <c r="V2" s="371"/>
      <c r="W2" s="367"/>
      <c r="X2" s="367"/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86"/>
    </row>
    <row r="3" spans="1:92" ht="19.5" customHeight="1" thickBot="1">
      <c r="A3" s="367"/>
      <c r="B3" s="1162" t="s">
        <v>348</v>
      </c>
      <c r="C3" s="1163"/>
      <c r="D3" s="378"/>
      <c r="E3" s="378"/>
      <c r="F3" s="378"/>
      <c r="G3" s="367"/>
      <c r="I3" s="830" t="s">
        <v>345</v>
      </c>
      <c r="J3" s="380"/>
      <c r="K3" s="384"/>
      <c r="L3" s="586"/>
      <c r="M3" s="384"/>
      <c r="N3" s="367"/>
      <c r="O3" s="377"/>
      <c r="P3" s="381"/>
      <c r="Q3" s="830" t="s">
        <v>346</v>
      </c>
      <c r="R3" s="547"/>
      <c r="S3" s="513"/>
      <c r="T3" s="381"/>
      <c r="U3" s="513"/>
      <c r="V3" s="513"/>
      <c r="W3" s="555"/>
      <c r="X3" s="382"/>
      <c r="Y3" s="1218" t="s">
        <v>296</v>
      </c>
      <c r="Z3" s="1218"/>
      <c r="AA3" s="1218"/>
      <c r="AB3" s="554"/>
      <c r="AC3" s="554"/>
      <c r="AD3" s="383"/>
      <c r="AE3" s="367"/>
      <c r="AF3" s="367"/>
      <c r="AG3" s="367"/>
      <c r="AH3" s="367"/>
      <c r="AI3" s="367"/>
      <c r="AJ3" s="367"/>
      <c r="AK3" s="367"/>
      <c r="AL3" s="367"/>
      <c r="AM3" s="367"/>
      <c r="AN3" s="367"/>
      <c r="AO3" s="86"/>
    </row>
    <row r="4" spans="1:92" s="614" customFormat="1" ht="34.5" customHeight="1" thickBot="1">
      <c r="A4" s="602"/>
      <c r="B4" s="879" t="s">
        <v>352</v>
      </c>
      <c r="C4" s="1230">
        <f>C18</f>
        <v>0</v>
      </c>
      <c r="D4" s="1167"/>
      <c r="E4" s="1158"/>
      <c r="F4" s="1159"/>
      <c r="G4" s="602"/>
      <c r="H4" s="603" t="s">
        <v>356</v>
      </c>
      <c r="I4" s="604" t="s">
        <v>357</v>
      </c>
      <c r="J4" s="605" t="s">
        <v>494</v>
      </c>
      <c r="K4" s="606" t="s">
        <v>380</v>
      </c>
      <c r="L4" s="607" t="s">
        <v>335</v>
      </c>
      <c r="M4" s="608" t="s">
        <v>389</v>
      </c>
      <c r="N4" s="602"/>
      <c r="O4" s="609" t="s">
        <v>356</v>
      </c>
      <c r="P4" s="610" t="s">
        <v>357</v>
      </c>
      <c r="Q4" s="806" t="s">
        <v>494</v>
      </c>
      <c r="R4" s="610" t="s">
        <v>359</v>
      </c>
      <c r="S4" s="1176" t="s">
        <v>360</v>
      </c>
      <c r="T4" s="1155" t="s">
        <v>361</v>
      </c>
      <c r="U4" s="787" t="s">
        <v>380</v>
      </c>
      <c r="V4" s="639" t="s">
        <v>335</v>
      </c>
      <c r="W4" s="640" t="s">
        <v>389</v>
      </c>
      <c r="X4" s="623"/>
      <c r="Y4" s="1208" t="s">
        <v>363</v>
      </c>
      <c r="Z4" s="1231"/>
      <c r="AA4" s="611">
        <f>Z17</f>
        <v>0</v>
      </c>
      <c r="AB4" s="1174"/>
      <c r="AC4" s="1175"/>
      <c r="AD4" s="612"/>
      <c r="AF4" s="602"/>
      <c r="AG4" s="602"/>
      <c r="AH4" s="602"/>
      <c r="AI4" s="602"/>
      <c r="AJ4" s="602"/>
      <c r="AK4" s="602"/>
      <c r="AL4" s="602"/>
      <c r="AM4" s="602"/>
      <c r="AN4" s="602"/>
      <c r="AO4" s="703"/>
      <c r="AP4" s="704"/>
      <c r="AQ4" s="704"/>
      <c r="AR4" s="704"/>
      <c r="AS4" s="704"/>
      <c r="AT4" s="705" t="s">
        <v>30</v>
      </c>
      <c r="AU4" s="704"/>
      <c r="AV4" s="704"/>
      <c r="AW4" s="704"/>
      <c r="AX4" s="704"/>
      <c r="AY4" s="704"/>
      <c r="CM4" s="704"/>
      <c r="CN4" s="704"/>
    </row>
    <row r="5" spans="1:92" ht="15" customHeight="1">
      <c r="A5" s="367"/>
      <c r="B5" s="1238" t="s">
        <v>353</v>
      </c>
      <c r="C5" s="1108" t="s">
        <v>354</v>
      </c>
      <c r="D5" s="1168" t="s">
        <v>494</v>
      </c>
      <c r="E5" s="1109" t="s">
        <v>380</v>
      </c>
      <c r="F5" s="1108" t="s">
        <v>335</v>
      </c>
      <c r="G5" s="367"/>
      <c r="H5" s="1157"/>
      <c r="I5" s="1221" t="s">
        <v>427</v>
      </c>
      <c r="J5" s="1150"/>
      <c r="K5" s="1193"/>
      <c r="L5" s="1160"/>
      <c r="M5" s="1153">
        <f ca="1">C57+IF('C'!N58=AQ55,'C'!M58,0)+'C'!AP45</f>
        <v>0</v>
      </c>
      <c r="N5" s="14"/>
      <c r="O5" s="1182"/>
      <c r="P5" s="1183" t="s">
        <v>467</v>
      </c>
      <c r="Q5" s="1184"/>
      <c r="R5" s="1191"/>
      <c r="S5" s="1177"/>
      <c r="T5" s="1156"/>
      <c r="U5" s="1192"/>
      <c r="V5" s="1191"/>
      <c r="W5" s="1195">
        <f>'C'!W46+D!Z45-'C'!AP45</f>
        <v>0</v>
      </c>
      <c r="X5" s="621"/>
      <c r="Y5" s="5" t="s">
        <v>364</v>
      </c>
      <c r="Z5" s="105" t="s">
        <v>354</v>
      </c>
      <c r="AA5" s="914" t="s">
        <v>494</v>
      </c>
      <c r="AB5" s="803" t="s">
        <v>386</v>
      </c>
      <c r="AC5" s="718" t="s">
        <v>335</v>
      </c>
      <c r="AD5" s="31"/>
      <c r="AE5" s="1223" t="s">
        <v>365</v>
      </c>
      <c r="AF5" s="367"/>
      <c r="AG5" s="367"/>
      <c r="AH5" s="367"/>
      <c r="AI5" s="367"/>
      <c r="AJ5" s="367"/>
      <c r="AK5" s="367"/>
      <c r="AL5" s="367"/>
      <c r="AM5" s="367"/>
      <c r="AN5" s="367"/>
      <c r="AO5" s="86"/>
      <c r="AT5" s="52" t="s">
        <v>476</v>
      </c>
    </row>
    <row r="6" spans="1:92" ht="15" customHeight="1">
      <c r="A6" s="367"/>
      <c r="B6" s="1239"/>
      <c r="C6" s="1234"/>
      <c r="D6" s="1169"/>
      <c r="E6" s="1109"/>
      <c r="F6" s="1108"/>
      <c r="G6" s="367"/>
      <c r="H6" s="1157"/>
      <c r="I6" s="1222"/>
      <c r="J6" s="1152"/>
      <c r="K6" s="1194"/>
      <c r="L6" s="1161"/>
      <c r="M6" s="1154"/>
      <c r="N6" s="367"/>
      <c r="O6" s="1182"/>
      <c r="P6" s="1185"/>
      <c r="Q6" s="1186"/>
      <c r="R6" s="1192"/>
      <c r="S6" s="638"/>
      <c r="T6" s="786"/>
      <c r="U6" s="1197"/>
      <c r="V6" s="1191"/>
      <c r="W6" s="1196"/>
      <c r="X6" s="395"/>
      <c r="Y6" s="144" t="str">
        <f>IF('C'!Y6&lt;&gt;"",'C'!Y6,)</f>
        <v>Husband job 1</v>
      </c>
      <c r="Z6" s="456">
        <f>'C'!Z6</f>
        <v>0</v>
      </c>
      <c r="AA6" s="69"/>
      <c r="AB6" s="715"/>
      <c r="AC6" s="877"/>
      <c r="AD6" s="32"/>
      <c r="AE6" s="1224"/>
      <c r="AF6" s="367"/>
      <c r="AG6" s="367"/>
      <c r="AH6" s="367"/>
      <c r="AI6" s="367"/>
      <c r="AJ6" s="367"/>
      <c r="AK6" s="367"/>
      <c r="AL6" s="367"/>
      <c r="AM6" s="367"/>
      <c r="AN6" s="367"/>
      <c r="AO6" s="86"/>
      <c r="AT6" s="52" t="s">
        <v>477</v>
      </c>
    </row>
    <row r="7" spans="1:92" ht="15" customHeight="1" thickBot="1">
      <c r="A7" s="367"/>
      <c r="B7" s="901" t="str">
        <f>IF('C'!B7&lt;&gt;"",'C'!B7,)</f>
        <v>Mortgage Payments</v>
      </c>
      <c r="C7" s="451">
        <f>'C'!C7</f>
        <v>0</v>
      </c>
      <c r="D7" s="78"/>
      <c r="E7" s="521"/>
      <c r="F7" s="858"/>
      <c r="G7" s="367"/>
      <c r="H7" s="542"/>
      <c r="I7" s="853"/>
      <c r="J7" s="6"/>
      <c r="K7" s="541"/>
      <c r="L7" s="860"/>
      <c r="M7" s="20" t="str">
        <f>IF(J7="","",$M$5-SUM($J$7:J7))</f>
        <v/>
      </c>
      <c r="N7" s="367"/>
      <c r="O7" s="106"/>
      <c r="P7" s="871">
        <f>IF('C'!Q7&lt;&gt;'C'!R7,IF('C'!Q7&lt;&gt;0,IF('C'!S7&lt;&gt;'C'!T7,'C'!P7,),),)</f>
        <v>0</v>
      </c>
      <c r="Q7" s="795">
        <f>IF('C'!Q7&lt;&gt;'C'!R7,IF('C'!Q7&lt;&gt;0,IF('C'!S7&lt;&gt;'C'!T7,'C'!Q7,),),)</f>
        <v>0</v>
      </c>
      <c r="R7" s="628">
        <f>IF('C'!Q7&lt;&gt;'C'!R7,IF('C'!Q7&lt;&gt;0,IF('C'!S7&lt;&gt;'C'!T7,0,Q7),Q7),Q7)</f>
        <v>0</v>
      </c>
      <c r="S7" s="796">
        <f>IF('C'!Q7&lt;&gt;'C'!R7,IF('C'!Q7&lt;&gt;0,IF('C'!S7&lt;&gt;'C'!T7,'C'!S7+1,),),)</f>
        <v>0</v>
      </c>
      <c r="T7" s="796">
        <f>IF('C'!Q7&lt;&gt;'C'!R7,IF('C'!Q7&lt;&gt;0,IF('C'!S7&lt;&gt;'C'!T7,'C'!T7,),),)</f>
        <v>0</v>
      </c>
      <c r="U7" s="797">
        <f>IF('C'!Q7&lt;&gt;'C'!R7,IF('C'!Q7&lt;&gt;0,IF('C'!S7&lt;&gt;'C'!T7,'C'!U7,),),)</f>
        <v>0</v>
      </c>
      <c r="V7" s="875">
        <f>IF('C'!Q7&lt;&gt;'C'!R7,IF('C'!Q7&lt;&gt;0,IF('C'!S7&lt;&gt;'C'!T7,'C'!V7,),),)</f>
        <v>0</v>
      </c>
      <c r="W7" s="622">
        <f>IF(Q7="","",$W$5-SUM($Q$7:Q7))</f>
        <v>0</v>
      </c>
      <c r="X7" s="395"/>
      <c r="Y7" s="144" t="str">
        <f>IF('C'!Y7&lt;&gt;"",'C'!Y7,)</f>
        <v>Husband job 2</v>
      </c>
      <c r="Z7" s="456">
        <f>'C'!Z7</f>
        <v>0</v>
      </c>
      <c r="AA7" s="69"/>
      <c r="AB7" s="521"/>
      <c r="AC7" s="858"/>
      <c r="AD7" s="32"/>
      <c r="AE7" s="1225"/>
      <c r="AF7" s="367"/>
      <c r="AG7" s="367"/>
      <c r="AH7" s="367"/>
      <c r="AI7" s="367"/>
      <c r="AJ7" s="367"/>
      <c r="AK7" s="367"/>
      <c r="AL7" s="367"/>
      <c r="AM7" s="367"/>
      <c r="AN7" s="367"/>
      <c r="AO7" s="86"/>
      <c r="AT7" s="52" t="s">
        <v>478</v>
      </c>
    </row>
    <row r="8" spans="1:92" ht="15" customHeight="1" thickBot="1">
      <c r="A8" s="367"/>
      <c r="B8" s="901" t="str">
        <f>IF('C'!B8&lt;&gt;"",'C'!B8,)</f>
        <v>Mortgage Insurance</v>
      </c>
      <c r="C8" s="451">
        <f>'C'!C8</f>
        <v>0</v>
      </c>
      <c r="D8" s="78"/>
      <c r="E8" s="521"/>
      <c r="F8" s="858"/>
      <c r="G8" s="367"/>
      <c r="H8" s="543"/>
      <c r="I8" s="853"/>
      <c r="J8" s="6"/>
      <c r="K8" s="541"/>
      <c r="L8" s="860"/>
      <c r="M8" s="20" t="str">
        <f>IF(J8="","",$M$5-SUM($J$7:J8))</f>
        <v/>
      </c>
      <c r="N8" s="367"/>
      <c r="O8" s="7"/>
      <c r="P8" s="872">
        <f>IF('C'!Q8&lt;&gt;'C'!R8,IF('C'!Q8&lt;&gt;0,IF('C'!S8&lt;&gt;'C'!T8,'C'!P8,),),)</f>
        <v>0</v>
      </c>
      <c r="Q8" s="795">
        <f>IF('C'!Q8&lt;&gt;'C'!R8,IF('C'!Q8&lt;&gt;0,IF('C'!S8&lt;&gt;'C'!T8,'C'!Q8,),),)</f>
        <v>0</v>
      </c>
      <c r="R8" s="628">
        <f>IF('C'!Q8&lt;&gt;'C'!R8,IF('C'!Q8&lt;&gt;0,IF('C'!S8&lt;&gt;'C'!T8,0,Q8),Q8),Q8)</f>
        <v>0</v>
      </c>
      <c r="S8" s="796">
        <f>IF('C'!Q8&lt;&gt;'C'!R8,IF('C'!Q8&lt;&gt;0,IF('C'!S8&lt;&gt;'C'!T8,'C'!S8+1,),),)</f>
        <v>0</v>
      </c>
      <c r="T8" s="796">
        <f>IF('C'!Q8&lt;&gt;'C'!R8,IF('C'!Q8&lt;&gt;0,IF('C'!S8&lt;&gt;'C'!T8,'C'!T8,),),)</f>
        <v>0</v>
      </c>
      <c r="U8" s="797">
        <f>IF('C'!Q8&lt;&gt;'C'!R8,IF('C'!Q8&lt;&gt;0,IF('C'!S8&lt;&gt;'C'!T8,'C'!U8,),),)</f>
        <v>0</v>
      </c>
      <c r="V8" s="875">
        <f>IF('C'!Q8&lt;&gt;'C'!R8,IF('C'!Q8&lt;&gt;0,IF('C'!S8&lt;&gt;'C'!T8,'C'!V8,),),)</f>
        <v>0</v>
      </c>
      <c r="W8" s="622">
        <f>IF(Q8="","",$W$5-SUM($Q$7:Q8))</f>
        <v>0</v>
      </c>
      <c r="X8" s="395"/>
      <c r="Y8" s="144" t="str">
        <f>IF('C'!Y8&lt;&gt;"",'C'!Y8,)</f>
        <v>Wife job 1</v>
      </c>
      <c r="Z8" s="456">
        <f>'C'!Z8</f>
        <v>0</v>
      </c>
      <c r="AA8" s="69"/>
      <c r="AB8" s="521"/>
      <c r="AC8" s="858"/>
      <c r="AD8" s="32"/>
      <c r="AE8" s="363">
        <f>(AA17+'Month A'!AA17+B!AA17+'C'!AA17)/AR19</f>
        <v>0</v>
      </c>
      <c r="AF8" s="367"/>
      <c r="AG8" s="367"/>
      <c r="AH8" s="367"/>
      <c r="AI8" s="367"/>
      <c r="AJ8" s="367"/>
      <c r="AK8" s="367"/>
      <c r="AL8" s="367"/>
      <c r="AM8" s="367"/>
      <c r="AN8" s="367"/>
      <c r="AO8" s="86"/>
      <c r="AT8" s="52" t="s">
        <v>480</v>
      </c>
    </row>
    <row r="9" spans="1:92" ht="15" customHeight="1" thickBot="1">
      <c r="A9" s="367"/>
      <c r="B9" s="901" t="str">
        <f>IF('C'!B9&lt;&gt;"",'C'!B9,)</f>
        <v>Rent</v>
      </c>
      <c r="C9" s="451">
        <f>'C'!C9</f>
        <v>0</v>
      </c>
      <c r="D9" s="78"/>
      <c r="E9" s="521"/>
      <c r="F9" s="858"/>
      <c r="G9" s="367"/>
      <c r="H9" s="543"/>
      <c r="I9" s="853"/>
      <c r="J9" s="6"/>
      <c r="K9" s="541"/>
      <c r="L9" s="860"/>
      <c r="M9" s="20" t="str">
        <f>IF(J9="","",$M$5-SUM($J$7:J9))</f>
        <v/>
      </c>
      <c r="N9" s="367"/>
      <c r="O9" s="7"/>
      <c r="P9" s="871">
        <f>IF('C'!Q9&lt;&gt;'C'!R9,IF('C'!Q9&lt;&gt;0,IF('C'!S9&lt;&gt;'C'!T9,'C'!P9,),),)</f>
        <v>0</v>
      </c>
      <c r="Q9" s="795">
        <f>IF('C'!Q9&lt;&gt;'C'!R9,IF('C'!Q9&lt;&gt;0,IF('C'!S9&lt;&gt;'C'!T9,'C'!Q9,),),)</f>
        <v>0</v>
      </c>
      <c r="R9" s="628">
        <f>IF('C'!Q9&lt;&gt;'C'!R9,IF('C'!Q9&lt;&gt;0,IF('C'!S9&lt;&gt;'C'!T9,0,Q9),Q9),Q9)</f>
        <v>0</v>
      </c>
      <c r="S9" s="796">
        <f>IF('C'!Q9&lt;&gt;'C'!R9,IF('C'!Q9&lt;&gt;0,IF('C'!S9&lt;&gt;'C'!T9,'C'!S9+1,),),)</f>
        <v>0</v>
      </c>
      <c r="T9" s="796">
        <f>IF('C'!Q9&lt;&gt;'C'!R9,IF('C'!Q9&lt;&gt;0,IF('C'!S9&lt;&gt;'C'!T9,'C'!T9,),),)</f>
        <v>0</v>
      </c>
      <c r="U9" s="797">
        <f>IF('C'!Q9&lt;&gt;'C'!R9,IF('C'!Q9&lt;&gt;0,IF('C'!S9&lt;&gt;'C'!T9,'C'!U9,),),)</f>
        <v>0</v>
      </c>
      <c r="V9" s="875">
        <f>IF('C'!Q9&lt;&gt;'C'!R9,IF('C'!Q9&lt;&gt;0,IF('C'!S9&lt;&gt;'C'!T9,'C'!V9,),),)</f>
        <v>0</v>
      </c>
      <c r="W9" s="622">
        <f>IF(Q9="","",$W$5-SUM($Q$7:Q9))</f>
        <v>0</v>
      </c>
      <c r="X9" s="395"/>
      <c r="Y9" s="144" t="str">
        <f>IF('C'!Y9&lt;&gt;"",'C'!Y9,)</f>
        <v>Wife job 2</v>
      </c>
      <c r="Z9" s="456">
        <f>'C'!Z9</f>
        <v>0</v>
      </c>
      <c r="AA9" s="69"/>
      <c r="AB9" s="521"/>
      <c r="AC9" s="858"/>
      <c r="AD9" s="32"/>
      <c r="AE9" s="404"/>
      <c r="AF9" s="367"/>
      <c r="AG9" s="367"/>
      <c r="AH9" s="367"/>
      <c r="AI9" s="367"/>
      <c r="AJ9" s="367"/>
      <c r="AK9" s="367"/>
      <c r="AL9" s="367"/>
      <c r="AM9" s="367"/>
      <c r="AN9" s="367"/>
      <c r="AO9" s="86"/>
      <c r="AT9" s="52" t="s">
        <v>479</v>
      </c>
    </row>
    <row r="10" spans="1:92" ht="15" customHeight="1">
      <c r="A10" s="367"/>
      <c r="B10" s="902" t="str">
        <f>IF('C'!B10&lt;&gt;"",'C'!B10,)</f>
        <v>Town Taxes / Maintenance Fees</v>
      </c>
      <c r="C10" s="451">
        <f>'C'!C10</f>
        <v>0</v>
      </c>
      <c r="D10" s="79"/>
      <c r="E10" s="522"/>
      <c r="F10" s="859"/>
      <c r="G10" s="367"/>
      <c r="H10" s="543"/>
      <c r="I10" s="853"/>
      <c r="J10" s="6"/>
      <c r="K10" s="541"/>
      <c r="L10" s="860"/>
      <c r="M10" s="20" t="str">
        <f>IF(J10="","",$M$5-SUM($J$7:J10))</f>
        <v/>
      </c>
      <c r="N10" s="367"/>
      <c r="O10" s="7"/>
      <c r="P10" s="871">
        <f>IF('C'!Q10&lt;&gt;'C'!R10,IF('C'!Q10&lt;&gt;0,IF('C'!S10&lt;&gt;'C'!T10,'C'!P10,),),)</f>
        <v>0</v>
      </c>
      <c r="Q10" s="798">
        <f>IF('C'!Q10&lt;&gt;'C'!R10,IF('C'!Q10&lt;&gt;0,IF('C'!S10&lt;&gt;'C'!T10,'C'!Q10,),),)</f>
        <v>0</v>
      </c>
      <c r="R10" s="628">
        <f>IF('C'!Q10&lt;&gt;'C'!R10,IF('C'!Q10&lt;&gt;0,IF('C'!S10&lt;&gt;'C'!T10,0,Q10),Q10),Q10)</f>
        <v>0</v>
      </c>
      <c r="S10" s="796">
        <f>IF('C'!Q10&lt;&gt;'C'!R10,IF('C'!Q10&lt;&gt;0,IF('C'!S10&lt;&gt;'C'!T10,'C'!S10+1,),),)</f>
        <v>0</v>
      </c>
      <c r="T10" s="796">
        <f>IF('C'!Q10&lt;&gt;'C'!R10,IF('C'!Q10&lt;&gt;0,IF('C'!S10&lt;&gt;'C'!T10,'C'!T10,),),)</f>
        <v>0</v>
      </c>
      <c r="U10" s="797">
        <f>IF('C'!Q10&lt;&gt;'C'!R10,IF('C'!Q10&lt;&gt;0,IF('C'!S10&lt;&gt;'C'!T10,'C'!U10,),),)</f>
        <v>0</v>
      </c>
      <c r="V10" s="875">
        <f>IF('C'!Q10&lt;&gt;'C'!R10,IF('C'!Q10&lt;&gt;0,IF('C'!S10&lt;&gt;'C'!T10,'C'!V10,),),)</f>
        <v>0</v>
      </c>
      <c r="W10" s="624">
        <f>IF(Q10="","",$W$5-SUM($Q$7:Q10))</f>
        <v>0</v>
      </c>
      <c r="X10" s="621"/>
      <c r="Y10" s="144" t="str">
        <f>IF('C'!Y10&lt;&gt;"",'C'!Y10,)</f>
        <v>National Social Security for Children</v>
      </c>
      <c r="Z10" s="456">
        <f>'C'!Z10</f>
        <v>0</v>
      </c>
      <c r="AA10" s="69"/>
      <c r="AB10" s="522"/>
      <c r="AC10" s="859"/>
      <c r="AD10" s="32"/>
      <c r="AE10" s="1226" t="s">
        <v>366</v>
      </c>
      <c r="AF10" s="367"/>
      <c r="AG10" s="367"/>
      <c r="AH10" s="367"/>
      <c r="AI10" s="367"/>
      <c r="AJ10" s="367"/>
      <c r="AK10" s="367"/>
      <c r="AL10" s="367"/>
      <c r="AM10" s="367"/>
      <c r="AN10" s="367"/>
      <c r="AO10" s="86"/>
    </row>
    <row r="11" spans="1:92" ht="15" customHeight="1" thickBot="1">
      <c r="A11" s="367"/>
      <c r="B11" s="901" t="str">
        <f>IF('C'!B11&lt;&gt;"",'C'!B11,)</f>
        <v xml:space="preserve">Insurance (excl. car) </v>
      </c>
      <c r="C11" s="451">
        <f>'C'!C11</f>
        <v>0</v>
      </c>
      <c r="D11" s="78"/>
      <c r="E11" s="521"/>
      <c r="F11" s="858"/>
      <c r="G11" s="367"/>
      <c r="H11" s="543"/>
      <c r="I11" s="853"/>
      <c r="J11" s="6"/>
      <c r="K11" s="541"/>
      <c r="L11" s="860"/>
      <c r="M11" s="20" t="str">
        <f>IF(J11="","",$M$5-SUM($J$7:J11))</f>
        <v/>
      </c>
      <c r="N11" s="367"/>
      <c r="O11" s="7"/>
      <c r="P11" s="871">
        <f>IF('C'!Q11&lt;&gt;'C'!R11,IF('C'!Q11&lt;&gt;0,IF('C'!S11&lt;&gt;'C'!T11,'C'!P11,),),)</f>
        <v>0</v>
      </c>
      <c r="Q11" s="795">
        <f>IF('C'!Q11&lt;&gt;'C'!R11,IF('C'!Q11&lt;&gt;0,IF('C'!S11&lt;&gt;'C'!T11,'C'!Q11,),),)</f>
        <v>0</v>
      </c>
      <c r="R11" s="628">
        <f>IF('C'!Q11&lt;&gt;'C'!R11,IF('C'!Q11&lt;&gt;0,IF('C'!S11&lt;&gt;'C'!T11,0,Q11),Q11),Q11)</f>
        <v>0</v>
      </c>
      <c r="S11" s="796">
        <f>IF('C'!Q11&lt;&gt;'C'!R11,IF('C'!Q11&lt;&gt;0,IF('C'!S11&lt;&gt;'C'!T11,'C'!S11+1,),),)</f>
        <v>0</v>
      </c>
      <c r="T11" s="796">
        <f>IF('C'!Q11&lt;&gt;'C'!R11,IF('C'!Q11&lt;&gt;0,IF('C'!S11&lt;&gt;'C'!T11,'C'!T11,),),)</f>
        <v>0</v>
      </c>
      <c r="U11" s="797">
        <f>IF('C'!Q11&lt;&gt;'C'!R11,IF('C'!Q11&lt;&gt;0,IF('C'!S11&lt;&gt;'C'!T11,'C'!U11,),),)</f>
        <v>0</v>
      </c>
      <c r="V11" s="875">
        <f>IF('C'!Q11&lt;&gt;'C'!R11,IF('C'!Q11&lt;&gt;0,IF('C'!S11&lt;&gt;'C'!T11,'C'!V11,),),)</f>
        <v>0</v>
      </c>
      <c r="W11" s="622">
        <f>IF(Q11="","",$W$5-SUM($Q$7:Q11))</f>
        <v>0</v>
      </c>
      <c r="X11" s="395"/>
      <c r="Y11" s="144" t="str">
        <f>IF('C'!Y11&lt;&gt;"",'C'!Y11,)</f>
        <v>other Allowances</v>
      </c>
      <c r="Z11" s="456">
        <f>'C'!Z11</f>
        <v>0</v>
      </c>
      <c r="AA11" s="69"/>
      <c r="AB11" s="521"/>
      <c r="AC11" s="858"/>
      <c r="AD11" s="32"/>
      <c r="AE11" s="1227"/>
      <c r="AF11" s="367"/>
      <c r="AG11" s="367"/>
      <c r="AH11" s="367"/>
      <c r="AI11" s="367"/>
      <c r="AJ11" s="367"/>
      <c r="AK11" s="367"/>
      <c r="AL11" s="367"/>
      <c r="AM11" s="367"/>
      <c r="AN11" s="367"/>
      <c r="AO11" s="86"/>
    </row>
    <row r="12" spans="1:92" ht="15" customHeight="1" thickBot="1">
      <c r="A12" s="367"/>
      <c r="B12" s="901" t="str">
        <f>IF('C'!B12&lt;&gt;"",'C'!B12,)</f>
        <v>Bank Savings Program</v>
      </c>
      <c r="C12" s="451">
        <f>'C'!C12</f>
        <v>0</v>
      </c>
      <c r="D12" s="78"/>
      <c r="E12" s="521"/>
      <c r="F12" s="858"/>
      <c r="G12" s="367"/>
      <c r="H12" s="543"/>
      <c r="I12" s="853"/>
      <c r="J12" s="6"/>
      <c r="K12" s="541"/>
      <c r="L12" s="860"/>
      <c r="M12" s="20" t="str">
        <f>IF(J12="","",$M$5-SUM($J$7:J12))</f>
        <v/>
      </c>
      <c r="N12" s="367"/>
      <c r="O12" s="7"/>
      <c r="P12" s="871">
        <f>IF('C'!Q12&lt;&gt;'C'!R12,IF('C'!Q12&lt;&gt;0,IF('C'!S12&lt;&gt;'C'!T12,'C'!P12,),),)</f>
        <v>0</v>
      </c>
      <c r="Q12" s="795">
        <f>IF('C'!Q12&lt;&gt;'C'!R12,IF('C'!Q12&lt;&gt;0,IF('C'!S12&lt;&gt;'C'!T12,'C'!Q12,),),)</f>
        <v>0</v>
      </c>
      <c r="R12" s="628">
        <f>IF('C'!Q12&lt;&gt;'C'!R12,IF('C'!Q12&lt;&gt;0,IF('C'!S12&lt;&gt;'C'!T12,0,Q12),Q12),Q12)</f>
        <v>0</v>
      </c>
      <c r="S12" s="796">
        <f>IF('C'!Q12&lt;&gt;'C'!R12,IF('C'!Q12&lt;&gt;0,IF('C'!S12&lt;&gt;'C'!T12,'C'!S12+1,),),)</f>
        <v>0</v>
      </c>
      <c r="T12" s="796">
        <f>IF('C'!Q12&lt;&gt;'C'!R12,IF('C'!Q12&lt;&gt;0,IF('C'!S12&lt;&gt;'C'!T12,'C'!T12,),),)</f>
        <v>0</v>
      </c>
      <c r="U12" s="797">
        <f>IF('C'!Q12&lt;&gt;'C'!R12,IF('C'!Q12&lt;&gt;0,IF('C'!S12&lt;&gt;'C'!T12,'C'!U12,),),)</f>
        <v>0</v>
      </c>
      <c r="V12" s="875">
        <f>IF('C'!Q12&lt;&gt;'C'!R12,IF('C'!Q12&lt;&gt;0,IF('C'!S12&lt;&gt;'C'!T12,'C'!V12,),),)</f>
        <v>0</v>
      </c>
      <c r="W12" s="622">
        <f>IF(Q12="","",$W$5-SUM($Q$7:Q12))</f>
        <v>0</v>
      </c>
      <c r="X12" s="395"/>
      <c r="Y12" s="144" t="str">
        <f>IF('C'!Y12&lt;&gt;"",'C'!Y12,)</f>
        <v>Rent Assistance</v>
      </c>
      <c r="Z12" s="456">
        <f>'C'!Z12</f>
        <v>0</v>
      </c>
      <c r="AA12" s="69"/>
      <c r="AB12" s="521"/>
      <c r="AC12" s="858"/>
      <c r="AD12" s="32"/>
      <c r="AE12" s="1228"/>
      <c r="AF12" s="367"/>
      <c r="AG12" s="367"/>
      <c r="AH12" s="367"/>
      <c r="AI12" s="367"/>
      <c r="AJ12" s="367"/>
      <c r="AK12" s="367"/>
      <c r="AL12" s="367"/>
      <c r="AM12" s="367"/>
      <c r="AN12" s="367"/>
      <c r="AO12" s="86"/>
      <c r="AP12" s="1138" t="s">
        <v>20</v>
      </c>
      <c r="AQ12" s="1139"/>
      <c r="AR12" s="1139"/>
      <c r="AS12" s="1139"/>
      <c r="AT12" s="1139"/>
      <c r="AU12" s="1139"/>
      <c r="AV12" s="1139"/>
      <c r="AW12" s="1139"/>
      <c r="AX12" s="1140"/>
    </row>
    <row r="13" spans="1:92" ht="15" customHeight="1" thickBot="1">
      <c r="A13" s="367"/>
      <c r="B13" s="901" t="str">
        <f>IF('C'!B13&lt;&gt;"",'C'!B13,)</f>
        <v>Subscriptions</v>
      </c>
      <c r="C13" s="451">
        <f>'C'!C13</f>
        <v>0</v>
      </c>
      <c r="D13" s="78"/>
      <c r="E13" s="521"/>
      <c r="F13" s="858"/>
      <c r="G13" s="367"/>
      <c r="H13" s="543"/>
      <c r="I13" s="853"/>
      <c r="J13" s="6"/>
      <c r="K13" s="541"/>
      <c r="L13" s="860"/>
      <c r="M13" s="20" t="str">
        <f>IF(J13="","",$M$5-SUM($J$7:J13))</f>
        <v/>
      </c>
      <c r="N13" s="367"/>
      <c r="O13" s="7"/>
      <c r="P13" s="871">
        <f>IF('C'!Q13&lt;&gt;'C'!R13,IF('C'!Q13&lt;&gt;0,IF('C'!S13&lt;&gt;'C'!T13,'C'!P13,),),)</f>
        <v>0</v>
      </c>
      <c r="Q13" s="795">
        <f>IF('C'!Q13&lt;&gt;'C'!R13,IF('C'!Q13&lt;&gt;0,IF('C'!S13&lt;&gt;'C'!T13,'C'!Q13,),),)</f>
        <v>0</v>
      </c>
      <c r="R13" s="628">
        <f>IF('C'!Q13&lt;&gt;'C'!R13,IF('C'!Q13&lt;&gt;0,IF('C'!S13&lt;&gt;'C'!T13,0,Q13),Q13),Q13)</f>
        <v>0</v>
      </c>
      <c r="S13" s="796">
        <f>IF('C'!Q13&lt;&gt;'C'!R13,IF('C'!Q13&lt;&gt;0,IF('C'!S13&lt;&gt;'C'!T13,'C'!S13+1,),),)</f>
        <v>0</v>
      </c>
      <c r="T13" s="796">
        <f>IF('C'!Q13&lt;&gt;'C'!R13,IF('C'!Q13&lt;&gt;0,IF('C'!S13&lt;&gt;'C'!T13,'C'!T13,),),)</f>
        <v>0</v>
      </c>
      <c r="U13" s="797">
        <f>IF('C'!Q13&lt;&gt;'C'!R13,IF('C'!Q13&lt;&gt;0,IF('C'!S13&lt;&gt;'C'!T13,'C'!U13,),),)</f>
        <v>0</v>
      </c>
      <c r="V13" s="875">
        <f>IF('C'!Q13&lt;&gt;'C'!R13,IF('C'!Q13&lt;&gt;0,IF('C'!S13&lt;&gt;'C'!T13,'C'!V13,),),)</f>
        <v>0</v>
      </c>
      <c r="W13" s="622">
        <f>IF(Q13="","",$W$5-SUM($Q$7:Q13))</f>
        <v>0</v>
      </c>
      <c r="X13" s="395"/>
      <c r="Y13" s="144" t="str">
        <f>IF('C'!Y13&lt;&gt;"",'C'!Y13,)</f>
        <v>Food Packages</v>
      </c>
      <c r="Z13" s="456">
        <f>'C'!Z13</f>
        <v>0</v>
      </c>
      <c r="AA13" s="69"/>
      <c r="AB13" s="521"/>
      <c r="AC13" s="858"/>
      <c r="AD13" s="32"/>
      <c r="AE13" s="363">
        <f>AA18+'Month A'!AA18+B!AA18+'C'!AA18</f>
        <v>0</v>
      </c>
      <c r="AF13" s="367"/>
      <c r="AG13" s="367"/>
      <c r="AH13" s="367"/>
      <c r="AI13" s="367"/>
      <c r="AJ13" s="367"/>
      <c r="AK13" s="367"/>
      <c r="AL13" s="367"/>
      <c r="AM13" s="367"/>
      <c r="AN13" s="367"/>
      <c r="AO13" s="86"/>
    </row>
    <row r="14" spans="1:92" ht="15" customHeight="1">
      <c r="A14" s="367"/>
      <c r="B14" s="901" t="str">
        <f>IF('C'!B14&lt;&gt;"",'C'!B14,)</f>
        <v>Donations</v>
      </c>
      <c r="C14" s="451">
        <f>'C'!C14</f>
        <v>0</v>
      </c>
      <c r="D14" s="78"/>
      <c r="E14" s="521"/>
      <c r="F14" s="858"/>
      <c r="G14" s="367"/>
      <c r="H14" s="543"/>
      <c r="I14" s="853"/>
      <c r="J14" s="6"/>
      <c r="K14" s="541"/>
      <c r="L14" s="860"/>
      <c r="M14" s="20" t="str">
        <f>IF(J14="","",$M$5-SUM($J$7:J14))</f>
        <v/>
      </c>
      <c r="N14" s="367"/>
      <c r="O14" s="7"/>
      <c r="P14" s="871">
        <f>IF('C'!Q14&lt;&gt;'C'!R14,IF('C'!Q14&lt;&gt;0,IF('C'!S14&lt;&gt;'C'!T14,'C'!P14,),),)</f>
        <v>0</v>
      </c>
      <c r="Q14" s="795">
        <f>IF('C'!Q14&lt;&gt;'C'!R14,IF('C'!Q14&lt;&gt;0,IF('C'!S14&lt;&gt;'C'!T14,'C'!Q14,),),)</f>
        <v>0</v>
      </c>
      <c r="R14" s="628">
        <f>IF('C'!Q14&lt;&gt;'C'!R14,IF('C'!Q14&lt;&gt;0,IF('C'!S14&lt;&gt;'C'!T14,0,Q14),Q14),Q14)</f>
        <v>0</v>
      </c>
      <c r="S14" s="796">
        <f>IF('C'!Q14&lt;&gt;'C'!R14,IF('C'!Q14&lt;&gt;0,IF('C'!S14&lt;&gt;'C'!T14,'C'!S14+1,),),)</f>
        <v>0</v>
      </c>
      <c r="T14" s="796">
        <f>IF('C'!Q14&lt;&gt;'C'!R14,IF('C'!Q14&lt;&gt;0,IF('C'!S14&lt;&gt;'C'!T14,'C'!T14,),),)</f>
        <v>0</v>
      </c>
      <c r="U14" s="797">
        <f>IF('C'!Q14&lt;&gt;'C'!R14,IF('C'!Q14&lt;&gt;0,IF('C'!S14&lt;&gt;'C'!T14,'C'!U14,),),)</f>
        <v>0</v>
      </c>
      <c r="V14" s="875">
        <f>IF('C'!Q14&lt;&gt;'C'!R14,IF('C'!Q14&lt;&gt;0,IF('C'!S14&lt;&gt;'C'!T14,'C'!V14,),),)</f>
        <v>0</v>
      </c>
      <c r="W14" s="622">
        <f>IF(Q14="","",$W$5-SUM($Q$7:Q14))</f>
        <v>0</v>
      </c>
      <c r="X14" s="395"/>
      <c r="Y14" s="144" t="str">
        <f>IF('C'!Y14&lt;&gt;"",'C'!Y14,)</f>
        <v>Income from Property</v>
      </c>
      <c r="Z14" s="456">
        <f>'C'!Z14</f>
        <v>0</v>
      </c>
      <c r="AA14" s="69"/>
      <c r="AB14" s="521"/>
      <c r="AC14" s="858"/>
      <c r="AD14" s="32"/>
      <c r="AE14" s="403"/>
      <c r="AF14" s="367"/>
      <c r="AG14" s="367"/>
      <c r="AH14" s="367"/>
      <c r="AI14" s="367"/>
      <c r="AJ14" s="367"/>
      <c r="AK14" s="367"/>
      <c r="AL14" s="367"/>
      <c r="AM14" s="367"/>
      <c r="AN14" s="367"/>
      <c r="AO14" s="86"/>
      <c r="AW14" s="52" t="s">
        <v>12</v>
      </c>
    </row>
    <row r="15" spans="1:92" ht="15" customHeight="1">
      <c r="A15" s="367"/>
      <c r="B15" s="901">
        <f>IF('C'!B15&lt;&gt;"",'C'!B15,)</f>
        <v>0</v>
      </c>
      <c r="C15" s="451">
        <f>'C'!C15</f>
        <v>0</v>
      </c>
      <c r="D15" s="78"/>
      <c r="E15" s="521"/>
      <c r="F15" s="858"/>
      <c r="G15" s="367"/>
      <c r="H15" s="543"/>
      <c r="I15" s="853"/>
      <c r="J15" s="6"/>
      <c r="K15" s="541"/>
      <c r="L15" s="860"/>
      <c r="M15" s="20" t="str">
        <f>IF(J15="","",$M$5-SUM($J$7:J15))</f>
        <v/>
      </c>
      <c r="N15" s="367"/>
      <c r="O15" s="7"/>
      <c r="P15" s="871">
        <f>IF('C'!Q15&lt;&gt;'C'!R15,IF('C'!Q15&lt;&gt;0,IF('C'!S15&lt;&gt;'C'!T15,'C'!P15,),),)</f>
        <v>0</v>
      </c>
      <c r="Q15" s="795">
        <f>IF('C'!Q15&lt;&gt;'C'!R15,IF('C'!Q15&lt;&gt;0,IF('C'!S15&lt;&gt;'C'!T15,'C'!Q15,),),)</f>
        <v>0</v>
      </c>
      <c r="R15" s="628">
        <f>IF('C'!Q15&lt;&gt;'C'!R15,IF('C'!Q15&lt;&gt;0,IF('C'!S15&lt;&gt;'C'!T15,0,Q15),Q15),Q15)</f>
        <v>0</v>
      </c>
      <c r="S15" s="796">
        <f>IF('C'!Q15&lt;&gt;'C'!R15,IF('C'!Q15&lt;&gt;0,IF('C'!S15&lt;&gt;'C'!T15,'C'!S15+1,),),)</f>
        <v>0</v>
      </c>
      <c r="T15" s="796">
        <f>IF('C'!Q15&lt;&gt;'C'!R15,IF('C'!Q15&lt;&gt;0,IF('C'!S15&lt;&gt;'C'!T15,'C'!T15,),),)</f>
        <v>0</v>
      </c>
      <c r="U15" s="797">
        <f>IF('C'!Q15&lt;&gt;'C'!R15,IF('C'!Q15&lt;&gt;0,IF('C'!S15&lt;&gt;'C'!T15,'C'!U15,),),)</f>
        <v>0</v>
      </c>
      <c r="V15" s="875">
        <f>IF('C'!Q15&lt;&gt;'C'!R15,IF('C'!Q15&lt;&gt;0,IF('C'!S15&lt;&gt;'C'!T15,'C'!V15,),),)</f>
        <v>0</v>
      </c>
      <c r="W15" s="625">
        <f>IF(Q15="","",$W$5-SUM($Q$7:Q15))</f>
        <v>0</v>
      </c>
      <c r="X15" s="621"/>
      <c r="Y15" s="144" t="str">
        <f>IF('C'!Y15&lt;&gt;"",'C'!Y15,)</f>
        <v>Help from parents</v>
      </c>
      <c r="Z15" s="456">
        <f>'C'!Z15</f>
        <v>0</v>
      </c>
      <c r="AA15" s="69"/>
      <c r="AB15" s="521"/>
      <c r="AC15" s="858"/>
      <c r="AD15" s="32"/>
      <c r="AE15" s="1137" t="str">
        <f>IF(COUNTIF(AE23:AE44,"&lt;0")&gt;0,"Over yearly budget!
Take an action from the options to your right.","")</f>
        <v/>
      </c>
      <c r="AF15" s="367"/>
      <c r="AG15" s="367"/>
      <c r="AH15" s="367"/>
      <c r="AI15" s="367"/>
      <c r="AJ15" s="367"/>
      <c r="AK15" s="367"/>
      <c r="AL15" s="367"/>
      <c r="AM15" s="367"/>
      <c r="AN15" s="367"/>
      <c r="AO15" s="86"/>
      <c r="AW15" s="52" t="s">
        <v>13</v>
      </c>
    </row>
    <row r="16" spans="1:92" ht="15" customHeight="1">
      <c r="A16" s="367"/>
      <c r="B16" s="849">
        <f>IF('C'!B16&lt;&gt;"",'C'!B16,)</f>
        <v>0</v>
      </c>
      <c r="C16" s="451">
        <f>'C'!C16</f>
        <v>0</v>
      </c>
      <c r="D16" s="78"/>
      <c r="E16" s="521"/>
      <c r="F16" s="858"/>
      <c r="G16" s="367"/>
      <c r="H16" s="543"/>
      <c r="I16" s="853"/>
      <c r="J16" s="6"/>
      <c r="K16" s="541"/>
      <c r="L16" s="860"/>
      <c r="M16" s="20" t="str">
        <f>IF(J16="","",$M$5-SUM($J$7:J16))</f>
        <v/>
      </c>
      <c r="N16" s="367"/>
      <c r="O16" s="7"/>
      <c r="P16" s="873">
        <f>IF('C'!Q16&lt;&gt;'C'!R16,IF('C'!Q16&lt;&gt;0,IF('C'!S16&lt;&gt;'C'!T16,'C'!P16,),),)</f>
        <v>0</v>
      </c>
      <c r="Q16" s="795">
        <f>IF('C'!Q16&lt;&gt;'C'!R16,IF('C'!Q16&lt;&gt;0,IF('C'!S16&lt;&gt;'C'!T16,'C'!Q16,),),)</f>
        <v>0</v>
      </c>
      <c r="R16" s="628">
        <f>IF('C'!Q16&lt;&gt;'C'!R16,IF('C'!Q16&lt;&gt;0,IF('C'!S16&lt;&gt;'C'!T16,0,Q16),Q16),Q16)</f>
        <v>0</v>
      </c>
      <c r="S16" s="796">
        <f>IF('C'!Q16&lt;&gt;'C'!R16,IF('C'!Q16&lt;&gt;0,IF('C'!S16&lt;&gt;'C'!T16,'C'!S16+1,),),)</f>
        <v>0</v>
      </c>
      <c r="T16" s="796">
        <f>IF('C'!Q16&lt;&gt;'C'!R16,IF('C'!Q16&lt;&gt;0,IF('C'!S16&lt;&gt;'C'!T16,'C'!T16,),),)</f>
        <v>0</v>
      </c>
      <c r="U16" s="797">
        <f>IF('C'!Q16&lt;&gt;'C'!R16,IF('C'!Q16&lt;&gt;0,IF('C'!S16&lt;&gt;'C'!T16,'C'!U16,),),)</f>
        <v>0</v>
      </c>
      <c r="V16" s="875">
        <f>IF('C'!Q16&lt;&gt;'C'!R16,IF('C'!Q16&lt;&gt;0,IF('C'!S16&lt;&gt;'C'!T16,'C'!V16,),),)</f>
        <v>0</v>
      </c>
      <c r="W16" s="622">
        <f>IF(Q16="","",$W$5-SUM($Q$7:Q16))</f>
        <v>0</v>
      </c>
      <c r="X16" s="395"/>
      <c r="Y16" s="144" t="str">
        <f>IF('C'!Y16&lt;&gt;"",'C'!Y16,)</f>
        <v>Other Income</v>
      </c>
      <c r="Z16" s="456">
        <f>'C'!Z16</f>
        <v>0</v>
      </c>
      <c r="AA16" s="69"/>
      <c r="AB16" s="645"/>
      <c r="AC16" s="870"/>
      <c r="AD16" s="32"/>
      <c r="AE16" s="1137"/>
      <c r="AF16" s="367"/>
      <c r="AG16" s="367"/>
      <c r="AH16" s="367"/>
      <c r="AI16" s="367"/>
      <c r="AJ16" s="367"/>
      <c r="AK16" s="367"/>
      <c r="AL16" s="367"/>
      <c r="AM16" s="367"/>
      <c r="AN16" s="367"/>
      <c r="AO16" s="86"/>
      <c r="AW16" s="90">
        <f>13-AR19</f>
        <v>9</v>
      </c>
    </row>
    <row r="17" spans="1:63" ht="15" customHeight="1">
      <c r="A17" s="367"/>
      <c r="B17" s="849">
        <f>IF('C'!B17&lt;&gt;"",'C'!B17,)</f>
        <v>0</v>
      </c>
      <c r="C17" s="451">
        <f>'C'!C17</f>
        <v>0</v>
      </c>
      <c r="D17" s="78"/>
      <c r="E17" s="521"/>
      <c r="F17" s="858"/>
      <c r="G17" s="367"/>
      <c r="H17" s="543"/>
      <c r="I17" s="853"/>
      <c r="J17" s="6"/>
      <c r="K17" s="541"/>
      <c r="L17" s="860"/>
      <c r="M17" s="20" t="str">
        <f>IF(J17="","",$M$5-SUM($J$7:J17))</f>
        <v/>
      </c>
      <c r="N17" s="367"/>
      <c r="O17" s="7"/>
      <c r="P17" s="871">
        <f>IF('C'!Q17&lt;&gt;'C'!R17,IF('C'!Q17&lt;&gt;0,IF('C'!S17&lt;&gt;'C'!T17,'C'!P17,),),)</f>
        <v>0</v>
      </c>
      <c r="Q17" s="795">
        <f>IF('C'!Q17&lt;&gt;'C'!R17,IF('C'!Q17&lt;&gt;0,IF('C'!S17&lt;&gt;'C'!T17,'C'!Q17,),),)</f>
        <v>0</v>
      </c>
      <c r="R17" s="628">
        <f>IF('C'!Q17&lt;&gt;'C'!R17,IF('C'!Q17&lt;&gt;0,IF('C'!S17&lt;&gt;'C'!T17,0,Q17),Q17),Q17)</f>
        <v>0</v>
      </c>
      <c r="S17" s="796">
        <f>IF('C'!Q17&lt;&gt;'C'!R17,IF('C'!Q17&lt;&gt;0,IF('C'!S17&lt;&gt;'C'!T17,'C'!S17+1,),),)</f>
        <v>0</v>
      </c>
      <c r="T17" s="796">
        <f>IF('C'!Q17&lt;&gt;'C'!R17,IF('C'!Q17&lt;&gt;0,IF('C'!S17&lt;&gt;'C'!T17,'C'!T17,),),)</f>
        <v>0</v>
      </c>
      <c r="U17" s="797">
        <f>IF('C'!Q17&lt;&gt;'C'!R17,IF('C'!Q17&lt;&gt;0,IF('C'!S17&lt;&gt;'C'!T17,'C'!U17,),),)</f>
        <v>0</v>
      </c>
      <c r="V17" s="875">
        <f>IF('C'!Q17&lt;&gt;'C'!R17,IF('C'!Q17&lt;&gt;0,IF('C'!S17&lt;&gt;'C'!T17,'C'!V17,),),)</f>
        <v>0</v>
      </c>
      <c r="W17" s="624">
        <f>IF(Q17="","",$W$5-SUM($Q$7:Q17))</f>
        <v>0</v>
      </c>
      <c r="X17" s="621"/>
      <c r="Y17" s="18" t="s">
        <v>179</v>
      </c>
      <c r="Z17" s="17">
        <f>SUM(Z6:Z16)</f>
        <v>0</v>
      </c>
      <c r="AA17" s="19">
        <f>SUM(AA6:AA16)</f>
        <v>0</v>
      </c>
      <c r="AB17" s="642"/>
      <c r="AC17" s="642"/>
      <c r="AD17" s="33"/>
      <c r="AE17" s="1137"/>
      <c r="AF17" s="367"/>
      <c r="AG17" s="367"/>
      <c r="AH17" s="367"/>
      <c r="AI17" s="367"/>
      <c r="AJ17" s="367"/>
      <c r="AK17" s="367"/>
      <c r="AL17" s="367"/>
      <c r="AM17" s="367"/>
      <c r="AN17" s="367"/>
      <c r="AO17" s="86"/>
    </row>
    <row r="18" spans="1:63" ht="15" customHeight="1" thickBot="1">
      <c r="A18" s="367"/>
      <c r="B18" s="16" t="s">
        <v>179</v>
      </c>
      <c r="C18" s="77">
        <f>SUM(C7:C17)</f>
        <v>0</v>
      </c>
      <c r="D18" s="75">
        <f>SUM(D7:D17)</f>
        <v>0</v>
      </c>
      <c r="E18" s="515"/>
      <c r="F18" s="515"/>
      <c r="G18" s="367"/>
      <c r="H18" s="543"/>
      <c r="I18" s="853"/>
      <c r="J18" s="6"/>
      <c r="K18" s="541"/>
      <c r="L18" s="860"/>
      <c r="M18" s="20" t="str">
        <f>IF(J18="","",$M$5-SUM($J$7:J18))</f>
        <v/>
      </c>
      <c r="N18" s="367"/>
      <c r="O18" s="7"/>
      <c r="P18" s="873">
        <f>IF('C'!Q18&lt;&gt;'C'!R18,IF('C'!Q18&lt;&gt;0,IF('C'!S18&lt;&gt;'C'!T18,'C'!P18,),),)</f>
        <v>0</v>
      </c>
      <c r="Q18" s="795">
        <f>IF('C'!Q18&lt;&gt;'C'!R18,IF('C'!Q18&lt;&gt;0,IF('C'!S18&lt;&gt;'C'!T18,'C'!Q18,),),)</f>
        <v>0</v>
      </c>
      <c r="R18" s="628">
        <f>IF('C'!Q18&lt;&gt;'C'!R18,IF('C'!Q18&lt;&gt;0,IF('C'!S18&lt;&gt;'C'!T18,0,Q18),Q18),Q18)</f>
        <v>0</v>
      </c>
      <c r="S18" s="796">
        <f>IF('C'!Q18&lt;&gt;'C'!R18,IF('C'!Q18&lt;&gt;0,IF('C'!S18&lt;&gt;'C'!T18,'C'!S18+1,),),)</f>
        <v>0</v>
      </c>
      <c r="T18" s="796">
        <f>IF('C'!Q18&lt;&gt;'C'!R18,IF('C'!Q18&lt;&gt;0,IF('C'!S18&lt;&gt;'C'!T18,'C'!T18,),),)</f>
        <v>0</v>
      </c>
      <c r="U18" s="797">
        <f>IF('C'!Q18&lt;&gt;'C'!R18,IF('C'!Q18&lt;&gt;0,IF('C'!S18&lt;&gt;'C'!T18,'C'!U18,),),)</f>
        <v>0</v>
      </c>
      <c r="V18" s="875">
        <f>IF('C'!Q18&lt;&gt;'C'!R18,IF('C'!Q18&lt;&gt;0,IF('C'!S18&lt;&gt;'C'!T18,'C'!V18,),),)</f>
        <v>0</v>
      </c>
      <c r="W18" s="622">
        <f>IF(Q18="","",$W$5-SUM($Q$7:Q18))</f>
        <v>0</v>
      </c>
      <c r="X18" s="395"/>
      <c r="Y18" s="1204" t="s">
        <v>367</v>
      </c>
      <c r="Z18" s="1205"/>
      <c r="AA18" s="121">
        <f>AA17-AA4</f>
        <v>0</v>
      </c>
      <c r="AB18" s="643"/>
      <c r="AC18" s="643"/>
      <c r="AD18" s="34"/>
      <c r="AE18" s="1137"/>
      <c r="AF18" s="367"/>
      <c r="AG18" s="376"/>
      <c r="AH18" s="885" t="s">
        <v>401</v>
      </c>
      <c r="AI18" s="367"/>
      <c r="AJ18" s="367"/>
      <c r="AK18" s="367"/>
      <c r="AL18" s="367"/>
      <c r="AM18" s="367"/>
      <c r="AN18" s="367"/>
      <c r="AO18" s="86"/>
      <c r="AR18" s="52" t="s">
        <v>5</v>
      </c>
    </row>
    <row r="19" spans="1:63" ht="15" customHeight="1" thickBot="1">
      <c r="A19" s="367"/>
      <c r="B19" s="95" t="s">
        <v>367</v>
      </c>
      <c r="C19" s="98"/>
      <c r="D19" s="97">
        <f>C18-D18</f>
        <v>0</v>
      </c>
      <c r="E19" s="516"/>
      <c r="F19" s="516"/>
      <c r="G19" s="367"/>
      <c r="H19" s="543"/>
      <c r="I19" s="853"/>
      <c r="J19" s="6"/>
      <c r="K19" s="541"/>
      <c r="L19" s="860"/>
      <c r="M19" s="20" t="str">
        <f>IF(J19="","",$M$5-SUM($J$7:J19))</f>
        <v/>
      </c>
      <c r="N19" s="367"/>
      <c r="O19" s="7"/>
      <c r="P19" s="871">
        <f>IF('C'!Q19&lt;&gt;'C'!R19,IF('C'!Q19&lt;&gt;0,IF('C'!S19&lt;&gt;'C'!T19,'C'!P19,),),)</f>
        <v>0</v>
      </c>
      <c r="Q19" s="795">
        <f>IF('C'!Q19&lt;&gt;'C'!R19,IF('C'!Q19&lt;&gt;0,IF('C'!S19&lt;&gt;'C'!T19,'C'!Q19,),),)</f>
        <v>0</v>
      </c>
      <c r="R19" s="628">
        <f>IF('C'!Q19&lt;&gt;'C'!R19,IF('C'!Q19&lt;&gt;0,IF('C'!S19&lt;&gt;'C'!T19,0,Q19),Q19),Q19)</f>
        <v>0</v>
      </c>
      <c r="S19" s="796">
        <f>IF('C'!Q19&lt;&gt;'C'!R19,IF('C'!Q19&lt;&gt;0,IF('C'!S19&lt;&gt;'C'!T19,'C'!S19+1,),),)</f>
        <v>0</v>
      </c>
      <c r="T19" s="796">
        <f>IF('C'!Q19&lt;&gt;'C'!R19,IF('C'!Q19&lt;&gt;0,IF('C'!S19&lt;&gt;'C'!T19,'C'!T19,),),)</f>
        <v>0</v>
      </c>
      <c r="U19" s="797">
        <f>IF('C'!Q19&lt;&gt;'C'!R19,IF('C'!Q19&lt;&gt;0,IF('C'!S19&lt;&gt;'C'!T19,'C'!U19,),),)</f>
        <v>0</v>
      </c>
      <c r="V19" s="875">
        <f>IF('C'!Q19&lt;&gt;'C'!R19,IF('C'!Q19&lt;&gt;0,IF('C'!S19&lt;&gt;'C'!T19,'C'!V19,),),)</f>
        <v>0</v>
      </c>
      <c r="W19" s="622">
        <f>IF(Q19="","",$W$5-SUM($Q$7:Q19))</f>
        <v>0</v>
      </c>
      <c r="X19" s="395"/>
      <c r="Y19" s="378"/>
      <c r="Z19" s="378"/>
      <c r="AA19" s="378"/>
      <c r="AB19" s="378"/>
      <c r="AC19" s="378"/>
      <c r="AD19" s="9"/>
      <c r="AE19" s="1137"/>
      <c r="AF19" s="367"/>
      <c r="AG19" s="373"/>
      <c r="AH19" s="886" t="s">
        <v>402</v>
      </c>
      <c r="AI19" s="367"/>
      <c r="AJ19" s="367"/>
      <c r="AK19" s="367"/>
      <c r="AL19" s="367"/>
      <c r="AM19" s="367"/>
      <c r="AN19" s="367"/>
      <c r="AO19" s="86"/>
      <c r="AR19" s="88">
        <v>4</v>
      </c>
      <c r="AV19" s="476" t="s">
        <v>14</v>
      </c>
    </row>
    <row r="20" spans="1:63" ht="15" customHeight="1" thickBot="1">
      <c r="A20" s="367"/>
      <c r="B20" s="1095" t="str">
        <f>IF(D19&gt;0,"Unexpected positive difference - Check why!","")</f>
        <v/>
      </c>
      <c r="C20" s="1095"/>
      <c r="D20" s="1095"/>
      <c r="E20" s="514"/>
      <c r="F20" s="514"/>
      <c r="G20" s="367"/>
      <c r="H20" s="543"/>
      <c r="I20" s="853"/>
      <c r="J20" s="6"/>
      <c r="K20" s="541"/>
      <c r="L20" s="860"/>
      <c r="M20" s="20" t="str">
        <f>IF(J20="","",$M$5-SUM($J$7:J20))</f>
        <v/>
      </c>
      <c r="N20" s="367"/>
      <c r="O20" s="7"/>
      <c r="P20" s="871">
        <f>IF('C'!Q20&lt;&gt;'C'!R20,IF('C'!Q20&lt;&gt;0,IF('C'!S20&lt;&gt;'C'!T20,'C'!P20,),),)</f>
        <v>0</v>
      </c>
      <c r="Q20" s="795">
        <f>IF('C'!Q20&lt;&gt;'C'!R20,IF('C'!Q20&lt;&gt;0,IF('C'!S20&lt;&gt;'C'!T20,'C'!Q20,),),)</f>
        <v>0</v>
      </c>
      <c r="R20" s="628">
        <f>IF('C'!Q20&lt;&gt;'C'!R20,IF('C'!Q20&lt;&gt;0,IF('C'!S20&lt;&gt;'C'!T20,0,Q20),Q20),Q20)</f>
        <v>0</v>
      </c>
      <c r="S20" s="796">
        <f>IF('C'!Q20&lt;&gt;'C'!R20,IF('C'!Q20&lt;&gt;0,IF('C'!S20&lt;&gt;'C'!T20,'C'!S20+1,),),)</f>
        <v>0</v>
      </c>
      <c r="T20" s="796">
        <f>IF('C'!Q20&lt;&gt;'C'!R20,IF('C'!Q20&lt;&gt;0,IF('C'!S20&lt;&gt;'C'!T20,'C'!T20,),),)</f>
        <v>0</v>
      </c>
      <c r="U20" s="797">
        <f>IF('C'!Q20&lt;&gt;'C'!R20,IF('C'!Q20&lt;&gt;0,IF('C'!S20&lt;&gt;'C'!T20,'C'!U20,),),)</f>
        <v>0</v>
      </c>
      <c r="V20" s="875">
        <f>IF('C'!Q20&lt;&gt;'C'!R20,IF('C'!Q20&lt;&gt;0,IF('C'!S20&lt;&gt;'C'!T20,'C'!V20,),),)</f>
        <v>0</v>
      </c>
      <c r="W20" s="622">
        <f>IF(Q20="","",$W$5-SUM($Q$7:Q20))</f>
        <v>0</v>
      </c>
      <c r="X20" s="395"/>
      <c r="Y20" s="1206" t="s">
        <v>350</v>
      </c>
      <c r="Z20" s="1207"/>
      <c r="AA20" s="1207"/>
      <c r="AB20" s="552"/>
      <c r="AC20" s="552"/>
      <c r="AD20" s="27"/>
      <c r="AE20" s="1137"/>
      <c r="AF20" s="367"/>
      <c r="AG20" s="374"/>
      <c r="AH20" s="887" t="s">
        <v>466</v>
      </c>
      <c r="AI20" s="367"/>
      <c r="AJ20" s="367"/>
      <c r="AK20" s="367"/>
      <c r="AL20" s="367"/>
      <c r="AM20" s="367"/>
      <c r="AN20" s="367"/>
      <c r="AO20" s="86"/>
      <c r="AQ20" s="1240" t="s">
        <v>29</v>
      </c>
      <c r="AR20" s="1139"/>
      <c r="AS20" s="1139"/>
      <c r="AT20" s="1140"/>
      <c r="AV20" s="476" t="s">
        <v>15</v>
      </c>
    </row>
    <row r="21" spans="1:63" ht="15" customHeight="1">
      <c r="A21" s="367"/>
      <c r="B21" s="399"/>
      <c r="C21" s="400"/>
      <c r="D21" s="400"/>
      <c r="E21" s="400"/>
      <c r="F21" s="400"/>
      <c r="G21" s="367"/>
      <c r="H21" s="543"/>
      <c r="I21" s="853"/>
      <c r="J21" s="6"/>
      <c r="K21" s="541"/>
      <c r="L21" s="860"/>
      <c r="M21" s="20" t="str">
        <f>IF(J21="","",$M$5-SUM($J$7:J21))</f>
        <v/>
      </c>
      <c r="N21" s="367"/>
      <c r="O21" s="7"/>
      <c r="P21" s="873">
        <f>IF('C'!Q21&lt;&gt;'C'!R21,IF('C'!Q21&lt;&gt;0,IF('C'!S21&lt;&gt;'C'!T21,'C'!P21,),),)</f>
        <v>0</v>
      </c>
      <c r="Q21" s="795">
        <f>IF('C'!Q21&lt;&gt;'C'!R21,IF('C'!Q21&lt;&gt;0,IF('C'!S21&lt;&gt;'C'!T21,'C'!Q21,),),)</f>
        <v>0</v>
      </c>
      <c r="R21" s="628">
        <f>IF('C'!Q21&lt;&gt;'C'!R21,IF('C'!Q21&lt;&gt;0,IF('C'!S21&lt;&gt;'C'!T21,0,Q21),Q21),Q21)</f>
        <v>0</v>
      </c>
      <c r="S21" s="796">
        <f>IF('C'!Q21&lt;&gt;'C'!R21,IF('C'!Q21&lt;&gt;0,IF('C'!S21&lt;&gt;'C'!T21,'C'!S21+1,),),)</f>
        <v>0</v>
      </c>
      <c r="T21" s="796">
        <f>IF('C'!Q21&lt;&gt;'C'!R21,IF('C'!Q21&lt;&gt;0,IF('C'!S21&lt;&gt;'C'!T21,'C'!T21,),),)</f>
        <v>0</v>
      </c>
      <c r="U21" s="797">
        <f>IF('C'!Q21&lt;&gt;'C'!R21,IF('C'!Q21&lt;&gt;0,IF('C'!S21&lt;&gt;'C'!T21,'C'!U21,),),)</f>
        <v>0</v>
      </c>
      <c r="V21" s="875">
        <f>IF('C'!Q21&lt;&gt;'C'!R21,IF('C'!Q21&lt;&gt;0,IF('C'!S21&lt;&gt;'C'!T21,'C'!V21,),),)</f>
        <v>0</v>
      </c>
      <c r="W21" s="622">
        <f>IF(Q21="","",$W$5-SUM($Q$7:Q21))</f>
        <v>0</v>
      </c>
      <c r="X21" s="395"/>
      <c r="Y21" s="1187" t="s">
        <v>353</v>
      </c>
      <c r="Z21" s="1189" t="s">
        <v>354</v>
      </c>
      <c r="AA21" s="1210" t="s">
        <v>494</v>
      </c>
      <c r="AB21" s="719"/>
      <c r="AC21" s="720"/>
      <c r="AD21" s="1148" t="s">
        <v>2</v>
      </c>
      <c r="AE21" s="1141" t="s">
        <v>406</v>
      </c>
      <c r="AG21" s="1242" t="s">
        <v>405</v>
      </c>
      <c r="AH21" s="887" t="s">
        <v>403</v>
      </c>
      <c r="AI21" s="367"/>
      <c r="AJ21" s="367"/>
      <c r="AK21" s="367"/>
      <c r="AL21" s="367"/>
      <c r="AM21" s="367"/>
      <c r="AN21" s="367"/>
      <c r="AO21" s="86"/>
      <c r="AP21" s="89" t="s">
        <v>3</v>
      </c>
      <c r="AQ21" s="475" t="s">
        <v>7</v>
      </c>
      <c r="AR21" s="1229" t="s">
        <v>11</v>
      </c>
      <c r="AS21" s="476"/>
      <c r="AT21" s="476"/>
      <c r="AU21" s="476"/>
      <c r="AV21" s="476" t="s">
        <v>16</v>
      </c>
      <c r="AW21" s="476"/>
      <c r="AX21" s="90" t="s">
        <v>0</v>
      </c>
    </row>
    <row r="22" spans="1:63" ht="15.75" customHeight="1" thickBot="1">
      <c r="A22" s="367"/>
      <c r="B22" s="401" t="s">
        <v>349</v>
      </c>
      <c r="C22" s="402"/>
      <c r="D22" s="378"/>
      <c r="E22" s="378"/>
      <c r="F22" s="378"/>
      <c r="G22" s="367"/>
      <c r="H22" s="543"/>
      <c r="I22" s="853"/>
      <c r="J22" s="6"/>
      <c r="K22" s="541"/>
      <c r="L22" s="860"/>
      <c r="M22" s="20" t="str">
        <f>IF(J22="","",$M$5-SUM($J$7:J22))</f>
        <v/>
      </c>
      <c r="N22" s="367"/>
      <c r="O22" s="7"/>
      <c r="P22" s="871">
        <f>IF('C'!Q22&lt;&gt;'C'!R22,IF('C'!Q22&lt;&gt;0,IF('C'!S22&lt;&gt;'C'!T22,'C'!P22,),),)</f>
        <v>0</v>
      </c>
      <c r="Q22" s="795">
        <f>IF('C'!Q22&lt;&gt;'C'!R22,IF('C'!Q22&lt;&gt;0,IF('C'!S22&lt;&gt;'C'!T22,'C'!Q22,),),)</f>
        <v>0</v>
      </c>
      <c r="R22" s="628">
        <f>IF('C'!Q22&lt;&gt;'C'!R22,IF('C'!Q22&lt;&gt;0,IF('C'!S22&lt;&gt;'C'!T22,0,Q22),Q22),Q22)</f>
        <v>0</v>
      </c>
      <c r="S22" s="796">
        <f>IF('C'!Q22&lt;&gt;'C'!R22,IF('C'!Q22&lt;&gt;0,IF('C'!S22&lt;&gt;'C'!T22,'C'!S22+1,),),)</f>
        <v>0</v>
      </c>
      <c r="T22" s="796">
        <f>IF('C'!Q22&lt;&gt;'C'!R22,IF('C'!Q22&lt;&gt;0,IF('C'!S22&lt;&gt;'C'!T22,'C'!T22,),),)</f>
        <v>0</v>
      </c>
      <c r="U22" s="797">
        <f>IF('C'!Q22&lt;&gt;'C'!R22,IF('C'!Q22&lt;&gt;0,IF('C'!S22&lt;&gt;'C'!T22,'C'!U22,),),)</f>
        <v>0</v>
      </c>
      <c r="V22" s="875">
        <f>IF('C'!Q22&lt;&gt;'C'!R22,IF('C'!Q22&lt;&gt;0,IF('C'!S22&lt;&gt;'C'!T22,'C'!V22,),),)</f>
        <v>0</v>
      </c>
      <c r="W22" s="622">
        <f>IF(Q22="","",$W$5-SUM($Q$7:Q22))</f>
        <v>0</v>
      </c>
      <c r="X22" s="395"/>
      <c r="Y22" s="1188"/>
      <c r="Z22" s="1241"/>
      <c r="AA22" s="1211"/>
      <c r="AB22" s="719"/>
      <c r="AC22" s="721"/>
      <c r="AD22" s="1148"/>
      <c r="AE22" s="1141"/>
      <c r="AF22" s="367"/>
      <c r="AG22" s="1243"/>
      <c r="AH22" s="367"/>
      <c r="AI22" s="367"/>
      <c r="AJ22" s="367"/>
      <c r="AK22" s="367"/>
      <c r="AL22" s="367"/>
      <c r="AM22" s="367"/>
      <c r="AN22" s="367"/>
      <c r="AO22" s="86"/>
      <c r="AP22" s="90" t="s">
        <v>9</v>
      </c>
      <c r="AQ22" s="475" t="s">
        <v>10</v>
      </c>
      <c r="AR22" s="1229"/>
      <c r="AS22" s="475" t="s">
        <v>8</v>
      </c>
      <c r="AT22" s="475" t="s">
        <v>6</v>
      </c>
      <c r="AU22" s="476"/>
      <c r="AV22" s="475" t="s">
        <v>17</v>
      </c>
      <c r="AW22" s="475" t="s">
        <v>18</v>
      </c>
      <c r="AX22" s="706" t="s">
        <v>19</v>
      </c>
      <c r="AZ22" s="725" t="s">
        <v>31</v>
      </c>
      <c r="BA22" s="724"/>
      <c r="BB22" s="724"/>
      <c r="BC22" s="724"/>
      <c r="BD22" s="724"/>
      <c r="BE22" s="724"/>
      <c r="BF22" s="724"/>
      <c r="BG22" s="724"/>
      <c r="BH22" s="724"/>
      <c r="BJ22" s="724"/>
      <c r="BK22" s="724"/>
    </row>
    <row r="23" spans="1:63" ht="15.75">
      <c r="A23" s="367"/>
      <c r="B23" s="1102" t="s">
        <v>428</v>
      </c>
      <c r="C23" s="1104">
        <f ca="1">C40</f>
        <v>0</v>
      </c>
      <c r="D23" s="1105"/>
      <c r="E23" s="1091"/>
      <c r="F23" s="1092"/>
      <c r="G23" s="367"/>
      <c r="H23" s="543"/>
      <c r="I23" s="853"/>
      <c r="J23" s="6"/>
      <c r="K23" s="541"/>
      <c r="L23" s="860"/>
      <c r="M23" s="20" t="str">
        <f>IF(J23="","",$M$5-SUM($J$7:J23))</f>
        <v/>
      </c>
      <c r="N23" s="367"/>
      <c r="O23" s="7"/>
      <c r="P23" s="873">
        <f>IF('C'!Q23&lt;&gt;'C'!R23,IF('C'!Q23&lt;&gt;0,IF('C'!S23&lt;&gt;'C'!T23,'C'!P23,),),)</f>
        <v>0</v>
      </c>
      <c r="Q23" s="795">
        <f>IF('C'!Q23&lt;&gt;'C'!R23,IF('C'!Q23&lt;&gt;0,IF('C'!S23&lt;&gt;'C'!T23,'C'!Q23,),),)</f>
        <v>0</v>
      </c>
      <c r="R23" s="628">
        <f>IF('C'!Q23&lt;&gt;'C'!R23,IF('C'!Q23&lt;&gt;0,IF('C'!S23&lt;&gt;'C'!T23,0,Q23),Q23),Q23)</f>
        <v>0</v>
      </c>
      <c r="S23" s="796">
        <f>IF('C'!Q23&lt;&gt;'C'!R23,IF('C'!Q23&lt;&gt;0,IF('C'!S23&lt;&gt;'C'!T23,'C'!S23+1,),),)</f>
        <v>0</v>
      </c>
      <c r="T23" s="796">
        <f>IF('C'!Q23&lt;&gt;'C'!R23,IF('C'!Q23&lt;&gt;0,IF('C'!S23&lt;&gt;'C'!T23,'C'!T23,),),)</f>
        <v>0</v>
      </c>
      <c r="U23" s="797">
        <f>IF('C'!Q23&lt;&gt;'C'!R23,IF('C'!Q23&lt;&gt;0,IF('C'!S23&lt;&gt;'C'!T23,'C'!U23,),),)</f>
        <v>0</v>
      </c>
      <c r="V23" s="875">
        <f>IF('C'!Q23&lt;&gt;'C'!R23,IF('C'!Q23&lt;&gt;0,IF('C'!S23&lt;&gt;'C'!T23,'C'!V23,),),)</f>
        <v>0</v>
      </c>
      <c r="W23" s="622">
        <f>IF(Q23="","",$W$5-SUM($Q$7:Q23))</f>
        <v>0</v>
      </c>
      <c r="X23" s="395"/>
      <c r="Y23" s="905" t="str">
        <f>IF('C'!Y23&lt;&gt;"",'C'!Y23,)</f>
        <v>Municipal Taxes</v>
      </c>
      <c r="Z23" s="457">
        <f>'C'!Z23</f>
        <v>0</v>
      </c>
      <c r="AA23" s="21">
        <f t="shared" ref="AA23:AA44" si="0">SUMIF($P$7:$P$110,Y23,$Q$7:$Q$110)</f>
        <v>0</v>
      </c>
      <c r="AB23" s="722"/>
      <c r="AC23" s="722"/>
      <c r="AD23" s="35">
        <f t="shared" ref="AD23:AD44" si="1">SUMIF($P$7:$P$110,Y23,$R$7:$R$110)</f>
        <v>0</v>
      </c>
      <c r="AE23" s="23">
        <f>IF(AI23=0,AX23,0)</f>
        <v>0</v>
      </c>
      <c r="AF23" s="367"/>
      <c r="AG23" s="728">
        <f t="shared" ref="AG23:AG44" si="2">IF(AZ23&gt;1,"overrun",IF(AZ23&lt;0,"OK",AZ23))</f>
        <v>0</v>
      </c>
      <c r="AH23" s="367"/>
      <c r="AI23" s="375">
        <v>0</v>
      </c>
      <c r="AJ23" s="367"/>
      <c r="AK23" s="367"/>
      <c r="AL23" s="367"/>
      <c r="AM23" s="367"/>
      <c r="AN23" s="367"/>
      <c r="AO23" s="86"/>
      <c r="AP23" s="51">
        <f t="shared" ref="AP23:AP44" si="3">IF(AI23=1,AX23,0)</f>
        <v>0</v>
      </c>
      <c r="AQ23" s="476">
        <f>'C'!AQ23+'C'!AP23</f>
        <v>0</v>
      </c>
      <c r="AR23" s="476">
        <f t="shared" ref="AR23:AR44" si="4">Z23*12-AS23-AQ23</f>
        <v>0</v>
      </c>
      <c r="AS23" s="477">
        <f>AD23+'C'!AS23</f>
        <v>0</v>
      </c>
      <c r="AT23" s="477">
        <f>AA23+'C'!AT23</f>
        <v>0</v>
      </c>
      <c r="AU23" s="476"/>
      <c r="AV23" s="477">
        <f>'C'!AV23-'C'!AD23+D!Z23-'C'!AP23</f>
        <v>0</v>
      </c>
      <c r="AW23" s="476">
        <f>IF(AE23&lt;0,AE23,0)</f>
        <v>0</v>
      </c>
      <c r="AX23" s="52">
        <f>IF(Z23='C'!Z23,'C'!AE23-AD23,'C'!AE23+(Z23-'C'!Z23)*$AW$16-AD23)</f>
        <v>0</v>
      </c>
      <c r="AZ23" s="726">
        <f>(($Z23*(12-$AR$19))-$AE23)/($Z23*(12-$AR$19)+0.00001)</f>
        <v>0</v>
      </c>
    </row>
    <row r="24" spans="1:63" ht="15.75">
      <c r="A24" s="367"/>
      <c r="B24" s="1103"/>
      <c r="C24" s="1106"/>
      <c r="D24" s="1107"/>
      <c r="E24" s="1091"/>
      <c r="F24" s="1092"/>
      <c r="G24" s="367"/>
      <c r="H24" s="543"/>
      <c r="I24" s="853"/>
      <c r="J24" s="6"/>
      <c r="K24" s="541"/>
      <c r="L24" s="860"/>
      <c r="M24" s="20" t="str">
        <f>IF(J24="","",$M$5-SUM($J$7:J24))</f>
        <v/>
      </c>
      <c r="N24" s="367"/>
      <c r="O24" s="7"/>
      <c r="P24" s="873">
        <f>IF('C'!Q24&lt;&gt;'C'!R24,IF('C'!Q24&lt;&gt;0,IF('C'!S24&lt;&gt;'C'!T24,'C'!P24,),),)</f>
        <v>0</v>
      </c>
      <c r="Q24" s="795">
        <f>IF('C'!Q24&lt;&gt;'C'!R24,IF('C'!Q24&lt;&gt;0,IF('C'!S24&lt;&gt;'C'!T24,'C'!Q24,),),)</f>
        <v>0</v>
      </c>
      <c r="R24" s="628">
        <f>IF('C'!Q24&lt;&gt;'C'!R24,IF('C'!Q24&lt;&gt;0,IF('C'!S24&lt;&gt;'C'!T24,0,Q24),Q24),Q24)</f>
        <v>0</v>
      </c>
      <c r="S24" s="796">
        <f>IF('C'!Q24&lt;&gt;'C'!R24,IF('C'!Q24&lt;&gt;0,IF('C'!S24&lt;&gt;'C'!T24,'C'!S24+1,),),)</f>
        <v>0</v>
      </c>
      <c r="T24" s="796">
        <f>IF('C'!Q24&lt;&gt;'C'!R24,IF('C'!Q24&lt;&gt;0,IF('C'!S24&lt;&gt;'C'!T24,'C'!T24,),),)</f>
        <v>0</v>
      </c>
      <c r="U24" s="797">
        <f>IF('C'!Q24&lt;&gt;'C'!R24,IF('C'!Q24&lt;&gt;0,IF('C'!S24&lt;&gt;'C'!T24,'C'!U24,),),)</f>
        <v>0</v>
      </c>
      <c r="V24" s="875">
        <f>IF('C'!Q24&lt;&gt;'C'!R24,IF('C'!Q24&lt;&gt;0,IF('C'!S24&lt;&gt;'C'!T24,'C'!V24,),),)</f>
        <v>0</v>
      </c>
      <c r="W24" s="622">
        <f>IF(Q24="","",$W$5-SUM($Q$7:Q24))</f>
        <v>0</v>
      </c>
      <c r="X24" s="395"/>
      <c r="Y24" s="905" t="str">
        <f>IF('C'!Y24&lt;&gt;"",'C'!Y24,)</f>
        <v>Water and Sewage</v>
      </c>
      <c r="Z24" s="457">
        <f>'C'!Z24</f>
        <v>0</v>
      </c>
      <c r="AA24" s="20">
        <f t="shared" si="0"/>
        <v>0</v>
      </c>
      <c r="AB24" s="723"/>
      <c r="AC24" s="723"/>
      <c r="AD24" s="36">
        <f t="shared" si="1"/>
        <v>0</v>
      </c>
      <c r="AE24" s="23">
        <f t="shared" ref="AE24:AE44" si="5">IF(AI24=0,AX24,0)</f>
        <v>0</v>
      </c>
      <c r="AF24" s="367"/>
      <c r="AG24" s="728">
        <f t="shared" si="2"/>
        <v>0</v>
      </c>
      <c r="AH24" s="367"/>
      <c r="AI24" s="375">
        <v>0</v>
      </c>
      <c r="AJ24" s="367"/>
      <c r="AK24" s="367"/>
      <c r="AL24" s="367"/>
      <c r="AM24" s="367"/>
      <c r="AN24" s="367"/>
      <c r="AO24" s="86"/>
      <c r="AP24" s="51">
        <f t="shared" si="3"/>
        <v>0</v>
      </c>
      <c r="AQ24" s="476">
        <f>'C'!AQ24+'C'!AP24</f>
        <v>0</v>
      </c>
      <c r="AR24" s="476">
        <f t="shared" si="4"/>
        <v>0</v>
      </c>
      <c r="AS24" s="477">
        <f>AD24+'C'!AS24</f>
        <v>0</v>
      </c>
      <c r="AT24" s="477">
        <f>AA24+'C'!AT24</f>
        <v>0</v>
      </c>
      <c r="AU24" s="476"/>
      <c r="AV24" s="477">
        <f>'C'!AV24-'C'!AD24+D!Z24-'C'!AP24</f>
        <v>0</v>
      </c>
      <c r="AW24" s="476">
        <f t="shared" ref="AW24:AW44" si="6">IF(AE24&lt;0,AE24,0)</f>
        <v>0</v>
      </c>
      <c r="AX24" s="52">
        <f>IF(Z24='C'!Z24,'C'!AE24-AD24,'C'!AE24+(Z24-'C'!Z24)*$AW$16-AD24)</f>
        <v>0</v>
      </c>
      <c r="AZ24" s="726">
        <f t="shared" ref="AZ24:AZ44" si="7">(($Z24*(12-$AR$19))-$AE24)/($Z24*(12-$AR$19)+0.00001)</f>
        <v>0</v>
      </c>
    </row>
    <row r="25" spans="1:63" ht="16.5" thickBot="1">
      <c r="A25" s="367"/>
      <c r="B25" s="1178" t="s">
        <v>388</v>
      </c>
      <c r="C25" s="1118" t="s">
        <v>354</v>
      </c>
      <c r="D25" s="1180" t="s">
        <v>494</v>
      </c>
      <c r="E25" s="1109" t="s">
        <v>380</v>
      </c>
      <c r="F25" s="1108" t="s">
        <v>335</v>
      </c>
      <c r="G25" s="367"/>
      <c r="H25" s="543"/>
      <c r="I25" s="853"/>
      <c r="J25" s="6"/>
      <c r="K25" s="541"/>
      <c r="L25" s="860"/>
      <c r="M25" s="20" t="str">
        <f>IF(J25="","",$M$5-SUM($J$7:J25))</f>
        <v/>
      </c>
      <c r="N25" s="367"/>
      <c r="O25" s="7"/>
      <c r="P25" s="873">
        <f>IF('C'!Q25&lt;&gt;'C'!R25,IF('C'!Q25&lt;&gt;0,IF('C'!S25&lt;&gt;'C'!T25,'C'!P25,),),)</f>
        <v>0</v>
      </c>
      <c r="Q25" s="795">
        <f>IF('C'!Q25&lt;&gt;'C'!R25,IF('C'!Q25&lt;&gt;0,IF('C'!S25&lt;&gt;'C'!T25,'C'!Q25,),),)</f>
        <v>0</v>
      </c>
      <c r="R25" s="628">
        <f>IF('C'!Q25&lt;&gt;'C'!R25,IF('C'!Q25&lt;&gt;0,IF('C'!S25&lt;&gt;'C'!T25,0,Q25),Q25),Q25)</f>
        <v>0</v>
      </c>
      <c r="S25" s="796">
        <f>IF('C'!Q25&lt;&gt;'C'!R25,IF('C'!Q25&lt;&gt;0,IF('C'!S25&lt;&gt;'C'!T25,'C'!S25+1,),),)</f>
        <v>0</v>
      </c>
      <c r="T25" s="796">
        <f>IF('C'!Q25&lt;&gt;'C'!R25,IF('C'!Q25&lt;&gt;0,IF('C'!S25&lt;&gt;'C'!T25,'C'!T25,),),)</f>
        <v>0</v>
      </c>
      <c r="U25" s="797">
        <f>IF('C'!Q25&lt;&gt;'C'!R25,IF('C'!Q25&lt;&gt;0,IF('C'!S25&lt;&gt;'C'!T25,'C'!U25,),),)</f>
        <v>0</v>
      </c>
      <c r="V25" s="875">
        <f>IF('C'!Q25&lt;&gt;'C'!R25,IF('C'!Q25&lt;&gt;0,IF('C'!S25&lt;&gt;'C'!T25,'C'!V25,),),)</f>
        <v>0</v>
      </c>
      <c r="W25" s="622">
        <f>IF(Q25="","",$W$5-SUM($Q$7:Q25))</f>
        <v>0</v>
      </c>
      <c r="X25" s="395"/>
      <c r="Y25" s="905" t="str">
        <f>IF('C'!Y25&lt;&gt;"",'C'!Y25,)</f>
        <v>Electricity</v>
      </c>
      <c r="Z25" s="457">
        <f>'C'!Z25</f>
        <v>0</v>
      </c>
      <c r="AA25" s="20">
        <f t="shared" si="0"/>
        <v>0</v>
      </c>
      <c r="AB25" s="723"/>
      <c r="AC25" s="723"/>
      <c r="AD25" s="36">
        <f t="shared" si="1"/>
        <v>0</v>
      </c>
      <c r="AE25" s="23">
        <f t="shared" si="5"/>
        <v>0</v>
      </c>
      <c r="AF25" s="367"/>
      <c r="AG25" s="728">
        <f t="shared" si="2"/>
        <v>0</v>
      </c>
      <c r="AH25" s="367"/>
      <c r="AI25" s="375">
        <v>0</v>
      </c>
      <c r="AJ25" s="367"/>
      <c r="AK25" s="367"/>
      <c r="AL25" s="367"/>
      <c r="AM25" s="367"/>
      <c r="AN25" s="367"/>
      <c r="AO25" s="86"/>
      <c r="AP25" s="51">
        <f t="shared" si="3"/>
        <v>0</v>
      </c>
      <c r="AQ25" s="476">
        <f>'C'!AQ25+'C'!AP25</f>
        <v>0</v>
      </c>
      <c r="AR25" s="476">
        <f t="shared" si="4"/>
        <v>0</v>
      </c>
      <c r="AS25" s="477">
        <f>AD25+'C'!AS25</f>
        <v>0</v>
      </c>
      <c r="AT25" s="477">
        <f>AA25+'C'!AT25</f>
        <v>0</v>
      </c>
      <c r="AU25" s="476"/>
      <c r="AV25" s="477">
        <f>'C'!AV25-'C'!AD25+D!Z25-'C'!AP25</f>
        <v>0</v>
      </c>
      <c r="AW25" s="476">
        <f t="shared" si="6"/>
        <v>0</v>
      </c>
      <c r="AX25" s="52">
        <f>IF(Z25='C'!Z25,'C'!AE25-AD25,'C'!AE25+(Z25-'C'!Z25)*$AW$16-AD25)</f>
        <v>0</v>
      </c>
      <c r="AZ25" s="726">
        <f t="shared" si="7"/>
        <v>0</v>
      </c>
    </row>
    <row r="26" spans="1:63" ht="15.75">
      <c r="A26" s="367"/>
      <c r="B26" s="1179"/>
      <c r="C26" s="1119"/>
      <c r="D26" s="1181"/>
      <c r="E26" s="1109"/>
      <c r="F26" s="1108"/>
      <c r="G26" s="367"/>
      <c r="H26" s="543"/>
      <c r="I26" s="853"/>
      <c r="J26" s="6"/>
      <c r="K26" s="541"/>
      <c r="L26" s="860"/>
      <c r="M26" s="20" t="str">
        <f>IF(J26="","",$M$5-SUM($J$7:J26))</f>
        <v/>
      </c>
      <c r="N26" s="367"/>
      <c r="O26" s="7"/>
      <c r="P26" s="873">
        <f>IF('C'!Q26&lt;&gt;'C'!R26,IF('C'!Q26&lt;&gt;0,IF('C'!S26&lt;&gt;'C'!T26,'C'!P26,),),)</f>
        <v>0</v>
      </c>
      <c r="Q26" s="795">
        <f>IF('C'!Q26&lt;&gt;'C'!R26,IF('C'!Q26&lt;&gt;0,IF('C'!S26&lt;&gt;'C'!T26,'C'!Q26,),),)</f>
        <v>0</v>
      </c>
      <c r="R26" s="628">
        <f>IF('C'!Q26&lt;&gt;'C'!R26,IF('C'!Q26&lt;&gt;0,IF('C'!S26&lt;&gt;'C'!T26,0,Q26),Q26),Q26)</f>
        <v>0</v>
      </c>
      <c r="S26" s="796">
        <f>IF('C'!Q26&lt;&gt;'C'!R26,IF('C'!Q26&lt;&gt;0,IF('C'!S26&lt;&gt;'C'!T26,'C'!S26+1,),),)</f>
        <v>0</v>
      </c>
      <c r="T26" s="796">
        <f>IF('C'!Q26&lt;&gt;'C'!R26,IF('C'!Q26&lt;&gt;0,IF('C'!S26&lt;&gt;'C'!T26,'C'!T26,),),)</f>
        <v>0</v>
      </c>
      <c r="U26" s="797">
        <f>IF('C'!Q26&lt;&gt;'C'!R26,IF('C'!Q26&lt;&gt;0,IF('C'!S26&lt;&gt;'C'!T26,'C'!U26,),),)</f>
        <v>0</v>
      </c>
      <c r="V26" s="875">
        <f>IF('C'!Q26&lt;&gt;'C'!R26,IF('C'!Q26&lt;&gt;0,IF('C'!S26&lt;&gt;'C'!T26,'C'!V26,),),)</f>
        <v>0</v>
      </c>
      <c r="W26" s="622">
        <f>IF(Q26="","",$W$5-SUM($Q$7:Q26))</f>
        <v>0</v>
      </c>
      <c r="X26" s="395"/>
      <c r="Y26" s="905" t="str">
        <f>IF('C'!Y26&lt;&gt;"",'C'!Y26,)</f>
        <v>Gas</v>
      </c>
      <c r="Z26" s="457">
        <f>'C'!Z26</f>
        <v>0</v>
      </c>
      <c r="AA26" s="20">
        <f t="shared" si="0"/>
        <v>0</v>
      </c>
      <c r="AB26" s="723"/>
      <c r="AC26" s="723"/>
      <c r="AD26" s="36">
        <f t="shared" si="1"/>
        <v>0</v>
      </c>
      <c r="AE26" s="23">
        <f t="shared" si="5"/>
        <v>0</v>
      </c>
      <c r="AF26" s="367"/>
      <c r="AG26" s="728">
        <f t="shared" si="2"/>
        <v>0</v>
      </c>
      <c r="AH26" s="367"/>
      <c r="AI26" s="375">
        <v>0</v>
      </c>
      <c r="AJ26" s="367"/>
      <c r="AK26" s="525" t="s">
        <v>404</v>
      </c>
      <c r="AL26" s="526"/>
      <c r="AM26" s="367"/>
      <c r="AN26" s="367"/>
      <c r="AO26" s="86"/>
      <c r="AP26" s="51">
        <f t="shared" si="3"/>
        <v>0</v>
      </c>
      <c r="AQ26" s="476">
        <f>'C'!AQ26+'C'!AP26</f>
        <v>0</v>
      </c>
      <c r="AR26" s="476">
        <f t="shared" si="4"/>
        <v>0</v>
      </c>
      <c r="AS26" s="477">
        <f>AD26+'C'!AS26</f>
        <v>0</v>
      </c>
      <c r="AT26" s="477">
        <f>AA26+'C'!AT26</f>
        <v>0</v>
      </c>
      <c r="AU26" s="476"/>
      <c r="AV26" s="477">
        <f>'C'!AV26-'C'!AD26+D!Z26-'C'!AP26</f>
        <v>0</v>
      </c>
      <c r="AW26" s="476">
        <f t="shared" si="6"/>
        <v>0</v>
      </c>
      <c r="AX26" s="52">
        <f>IF(Z26='C'!Z26,'C'!AE26-AD26,'C'!AE26+(Z26-'C'!Z26)*$AW$16-AD26)</f>
        <v>0</v>
      </c>
      <c r="AZ26" s="726">
        <f t="shared" si="7"/>
        <v>0</v>
      </c>
    </row>
    <row r="27" spans="1:63" ht="15.75">
      <c r="A27" s="367"/>
      <c r="B27" s="850">
        <f>IF('C'!B27&lt;&gt;"",'C'!B27,)</f>
        <v>0</v>
      </c>
      <c r="C27" s="454">
        <f>'C'!C27</f>
        <v>0</v>
      </c>
      <c r="D27" s="74"/>
      <c r="E27" s="521"/>
      <c r="F27" s="858"/>
      <c r="G27" s="367"/>
      <c r="H27" s="543"/>
      <c r="I27" s="853"/>
      <c r="J27" s="6"/>
      <c r="K27" s="541"/>
      <c r="L27" s="860"/>
      <c r="M27" s="20" t="str">
        <f>IF(J27="","",$M$5-SUM($J$7:J27))</f>
        <v/>
      </c>
      <c r="N27" s="367"/>
      <c r="O27" s="7"/>
      <c r="P27" s="873">
        <f>IF('C'!Q27&lt;&gt;'C'!R27,IF('C'!Q27&lt;&gt;0,IF('C'!S27&lt;&gt;'C'!T27,'C'!P27,),),)</f>
        <v>0</v>
      </c>
      <c r="Q27" s="795">
        <f>IF('C'!Q27&lt;&gt;'C'!R27,IF('C'!Q27&lt;&gt;0,IF('C'!S27&lt;&gt;'C'!T27,'C'!Q27,),),)</f>
        <v>0</v>
      </c>
      <c r="R27" s="628">
        <f>IF('C'!Q27&lt;&gt;'C'!R27,IF('C'!Q27&lt;&gt;0,IF('C'!S27&lt;&gt;'C'!T27,0,Q27),Q27),Q27)</f>
        <v>0</v>
      </c>
      <c r="S27" s="796">
        <f>IF('C'!Q27&lt;&gt;'C'!R27,IF('C'!Q27&lt;&gt;0,IF('C'!S27&lt;&gt;'C'!T27,'C'!S27+1,),),)</f>
        <v>0</v>
      </c>
      <c r="T27" s="796">
        <f>IF('C'!Q27&lt;&gt;'C'!R27,IF('C'!Q27&lt;&gt;0,IF('C'!S27&lt;&gt;'C'!T27,'C'!T27,),),)</f>
        <v>0</v>
      </c>
      <c r="U27" s="797">
        <f>IF('C'!Q27&lt;&gt;'C'!R27,IF('C'!Q27&lt;&gt;0,IF('C'!S27&lt;&gt;'C'!T27,'C'!U27,),),)</f>
        <v>0</v>
      </c>
      <c r="V27" s="875">
        <f>IF('C'!Q27&lt;&gt;'C'!R27,IF('C'!Q27&lt;&gt;0,IF('C'!S27&lt;&gt;'C'!T27,'C'!V27,),),)</f>
        <v>0</v>
      </c>
      <c r="W27" s="622">
        <f>IF(Q27="","",$W$5-SUM($Q$7:Q27))</f>
        <v>0</v>
      </c>
      <c r="X27" s="395"/>
      <c r="Y27" s="905" t="str">
        <f>IF('C'!Y27&lt;&gt;"",'C'!Y27,)</f>
        <v>Heating</v>
      </c>
      <c r="Z27" s="457">
        <f>'C'!Z27</f>
        <v>0</v>
      </c>
      <c r="AA27" s="20">
        <f t="shared" si="0"/>
        <v>0</v>
      </c>
      <c r="AB27" s="723"/>
      <c r="AC27" s="723"/>
      <c r="AD27" s="36">
        <f t="shared" si="1"/>
        <v>0</v>
      </c>
      <c r="AE27" s="23">
        <f t="shared" si="5"/>
        <v>0</v>
      </c>
      <c r="AF27" s="367"/>
      <c r="AG27" s="728">
        <f t="shared" si="2"/>
        <v>0</v>
      </c>
      <c r="AH27" s="367"/>
      <c r="AI27" s="375">
        <v>0</v>
      </c>
      <c r="AJ27" s="367"/>
      <c r="AK27" s="527"/>
      <c r="AL27" s="394"/>
      <c r="AM27" s="367"/>
      <c r="AN27" s="367"/>
      <c r="AO27" s="86"/>
      <c r="AP27" s="51">
        <f t="shared" si="3"/>
        <v>0</v>
      </c>
      <c r="AQ27" s="476">
        <f>'C'!AQ27+'C'!AP27</f>
        <v>0</v>
      </c>
      <c r="AR27" s="476">
        <f t="shared" si="4"/>
        <v>0</v>
      </c>
      <c r="AS27" s="477">
        <f>AD27+'C'!AS27</f>
        <v>0</v>
      </c>
      <c r="AT27" s="477">
        <f>AA27+'C'!AT27</f>
        <v>0</v>
      </c>
      <c r="AU27" s="476"/>
      <c r="AV27" s="477">
        <f>'C'!AV27-'C'!AD27+D!Z27-'C'!AP27</f>
        <v>0</v>
      </c>
      <c r="AW27" s="476">
        <f t="shared" si="6"/>
        <v>0</v>
      </c>
      <c r="AX27" s="52">
        <f>IF(Z27='C'!Z27,'C'!AE27-AD27,'C'!AE27+(Z27-'C'!Z27)*$AW$16-AD27)</f>
        <v>0</v>
      </c>
      <c r="AZ27" s="726">
        <f t="shared" si="7"/>
        <v>0</v>
      </c>
    </row>
    <row r="28" spans="1:63" ht="15" customHeight="1">
      <c r="A28" s="367"/>
      <c r="B28" s="850">
        <f ca="1">IF('C'!B28&lt;&gt;"",'C'!B28,)</f>
        <v>0</v>
      </c>
      <c r="C28" s="454">
        <f ca="1">'C'!C28</f>
        <v>0</v>
      </c>
      <c r="D28" s="74"/>
      <c r="E28" s="521"/>
      <c r="F28" s="858"/>
      <c r="G28" s="367"/>
      <c r="H28" s="543"/>
      <c r="I28" s="853"/>
      <c r="J28" s="6"/>
      <c r="K28" s="541"/>
      <c r="L28" s="860"/>
      <c r="M28" s="20" t="str">
        <f>IF(J28="","",$M$5-SUM($J$7:J28))</f>
        <v/>
      </c>
      <c r="N28" s="367"/>
      <c r="O28" s="7"/>
      <c r="P28" s="873">
        <f>IF('C'!Q28&lt;&gt;'C'!R28,IF('C'!Q28&lt;&gt;0,IF('C'!S28&lt;&gt;'C'!T28,'C'!P28,),),)</f>
        <v>0</v>
      </c>
      <c r="Q28" s="795">
        <f>IF('C'!Q28&lt;&gt;'C'!R28,IF('C'!Q28&lt;&gt;0,IF('C'!S28&lt;&gt;'C'!T28,'C'!Q28,),),)</f>
        <v>0</v>
      </c>
      <c r="R28" s="628">
        <f>IF('C'!Q28&lt;&gt;'C'!R28,IF('C'!Q28&lt;&gt;0,IF('C'!S28&lt;&gt;'C'!T28,0,Q28),Q28),Q28)</f>
        <v>0</v>
      </c>
      <c r="S28" s="796">
        <f>IF('C'!Q28&lt;&gt;'C'!R28,IF('C'!Q28&lt;&gt;0,IF('C'!S28&lt;&gt;'C'!T28,'C'!S28+1,),),)</f>
        <v>0</v>
      </c>
      <c r="T28" s="796">
        <f>IF('C'!Q28&lt;&gt;'C'!R28,IF('C'!Q28&lt;&gt;0,IF('C'!S28&lt;&gt;'C'!T28,'C'!T28,),),)</f>
        <v>0</v>
      </c>
      <c r="U28" s="797">
        <f>IF('C'!Q28&lt;&gt;'C'!R28,IF('C'!Q28&lt;&gt;0,IF('C'!S28&lt;&gt;'C'!T28,'C'!U28,),),)</f>
        <v>0</v>
      </c>
      <c r="V28" s="875">
        <f>IF('C'!Q28&lt;&gt;'C'!R28,IF('C'!Q28&lt;&gt;0,IF('C'!S28&lt;&gt;'C'!T28,'C'!V28,),),)</f>
        <v>0</v>
      </c>
      <c r="W28" s="622">
        <f>IF(Q28="","",$W$5-SUM($Q$7:Q28))</f>
        <v>0</v>
      </c>
      <c r="X28" s="395"/>
      <c r="Y28" s="906" t="str">
        <f>IF('C'!Y28&lt;&gt;"",'C'!Y28,)</f>
        <v>Education/Schoolbooks</v>
      </c>
      <c r="Z28" s="457">
        <f>'C'!Z28</f>
        <v>0</v>
      </c>
      <c r="AA28" s="20">
        <f t="shared" si="0"/>
        <v>0</v>
      </c>
      <c r="AB28" s="723"/>
      <c r="AC28" s="723"/>
      <c r="AD28" s="36">
        <f t="shared" si="1"/>
        <v>0</v>
      </c>
      <c r="AE28" s="23">
        <f>IF(AI28=0,AX28,0)</f>
        <v>0</v>
      </c>
      <c r="AF28" s="367"/>
      <c r="AG28" s="728">
        <f t="shared" si="2"/>
        <v>0</v>
      </c>
      <c r="AH28" s="367"/>
      <c r="AI28" s="375">
        <v>0</v>
      </c>
      <c r="AJ28" s="367"/>
      <c r="AK28" s="528" t="s">
        <v>405</v>
      </c>
      <c r="AL28" s="529" t="s">
        <v>407</v>
      </c>
      <c r="AM28" s="367"/>
      <c r="AN28" s="367"/>
      <c r="AO28" s="86"/>
      <c r="AP28" s="51">
        <f t="shared" si="3"/>
        <v>0</v>
      </c>
      <c r="AQ28" s="476">
        <f>'C'!AQ28+'C'!AP28</f>
        <v>0</v>
      </c>
      <c r="AR28" s="476">
        <f t="shared" si="4"/>
        <v>0</v>
      </c>
      <c r="AS28" s="477">
        <f>AD28+'C'!AS28</f>
        <v>0</v>
      </c>
      <c r="AT28" s="477">
        <f>AA28+'C'!AT28</f>
        <v>0</v>
      </c>
      <c r="AU28" s="476"/>
      <c r="AV28" s="477">
        <f>'C'!AV28-'C'!AD28+D!Z28-'C'!AP28</f>
        <v>0</v>
      </c>
      <c r="AW28" s="476">
        <f t="shared" si="6"/>
        <v>0</v>
      </c>
      <c r="AX28" s="52">
        <f>IF(Z28='C'!Z28,'C'!AE28-AD28,'C'!AE28+(Z28-'C'!Z28)*$AW$16-AD28)</f>
        <v>0</v>
      </c>
      <c r="AZ28" s="726">
        <f t="shared" si="7"/>
        <v>0</v>
      </c>
    </row>
    <row r="29" spans="1:63" ht="15" customHeight="1">
      <c r="A29" s="367"/>
      <c r="B29" s="850">
        <f ca="1">IF('C'!B29&lt;&gt;"",'C'!B29,)</f>
        <v>0</v>
      </c>
      <c r="C29" s="454">
        <f ca="1">'C'!C29</f>
        <v>0</v>
      </c>
      <c r="D29" s="74"/>
      <c r="E29" s="521"/>
      <c r="F29" s="858"/>
      <c r="G29" s="367"/>
      <c r="H29" s="543"/>
      <c r="I29" s="854"/>
      <c r="J29" s="6"/>
      <c r="K29" s="541"/>
      <c r="L29" s="860"/>
      <c r="M29" s="20" t="str">
        <f>IF(J29="","",$M$5-SUM($J$7:J29))</f>
        <v/>
      </c>
      <c r="N29" s="367"/>
      <c r="O29" s="7"/>
      <c r="P29" s="873">
        <f>IF('C'!Q29&lt;&gt;'C'!R29,IF('C'!Q29&lt;&gt;0,IF('C'!S29&lt;&gt;'C'!T29,'C'!P29,),),)</f>
        <v>0</v>
      </c>
      <c r="Q29" s="795">
        <f>IF('C'!Q29&lt;&gt;'C'!R29,IF('C'!Q29&lt;&gt;0,IF('C'!S29&lt;&gt;'C'!T29,'C'!Q29,),),)</f>
        <v>0</v>
      </c>
      <c r="R29" s="628">
        <f>IF('C'!Q29&lt;&gt;'C'!R29,IF('C'!Q29&lt;&gt;0,IF('C'!S29&lt;&gt;'C'!T29,0,Q29),Q29),Q29)</f>
        <v>0</v>
      </c>
      <c r="S29" s="796">
        <f>IF('C'!Q29&lt;&gt;'C'!R29,IF('C'!Q29&lt;&gt;0,IF('C'!S29&lt;&gt;'C'!T29,'C'!S29+1,),),)</f>
        <v>0</v>
      </c>
      <c r="T29" s="796">
        <f>IF('C'!Q29&lt;&gt;'C'!R29,IF('C'!Q29&lt;&gt;0,IF('C'!S29&lt;&gt;'C'!T29,'C'!T29,),),)</f>
        <v>0</v>
      </c>
      <c r="U29" s="797">
        <f>IF('C'!Q29&lt;&gt;'C'!R29,IF('C'!Q29&lt;&gt;0,IF('C'!S29&lt;&gt;'C'!T29,'C'!U29,),),)</f>
        <v>0</v>
      </c>
      <c r="V29" s="875">
        <f>IF('C'!Q29&lt;&gt;'C'!R29,IF('C'!Q29&lt;&gt;0,IF('C'!S29&lt;&gt;'C'!T29,'C'!V29,),),)</f>
        <v>0</v>
      </c>
      <c r="W29" s="622">
        <f>IF(Q29="","",$W$5-SUM($Q$7:Q29))</f>
        <v>0</v>
      </c>
      <c r="X29" s="395"/>
      <c r="Y29" s="906" t="str">
        <f>IF('C'!Y29&lt;&gt;"",'C'!Y29,)</f>
        <v>Extracurricular Activities/Camps/Pool</v>
      </c>
      <c r="Z29" s="457">
        <f>'C'!Z29</f>
        <v>0</v>
      </c>
      <c r="AA29" s="20">
        <f t="shared" si="0"/>
        <v>0</v>
      </c>
      <c r="AB29" s="723"/>
      <c r="AC29" s="723"/>
      <c r="AD29" s="36">
        <f t="shared" si="1"/>
        <v>0</v>
      </c>
      <c r="AE29" s="23">
        <f t="shared" si="5"/>
        <v>0</v>
      </c>
      <c r="AF29" s="367"/>
      <c r="AG29" s="728">
        <f t="shared" si="2"/>
        <v>0</v>
      </c>
      <c r="AH29" s="367"/>
      <c r="AI29" s="375">
        <v>0</v>
      </c>
      <c r="AJ29" s="367"/>
      <c r="AK29" s="530" t="s">
        <v>32</v>
      </c>
      <c r="AL29" s="531" t="s">
        <v>33</v>
      </c>
      <c r="AM29" s="367"/>
      <c r="AN29" s="367"/>
      <c r="AO29" s="86"/>
      <c r="AP29" s="51">
        <f t="shared" si="3"/>
        <v>0</v>
      </c>
      <c r="AQ29" s="476">
        <f>'C'!AQ29+'C'!AP29</f>
        <v>0</v>
      </c>
      <c r="AR29" s="476">
        <f t="shared" si="4"/>
        <v>0</v>
      </c>
      <c r="AS29" s="477">
        <f>AD29+'C'!AS29</f>
        <v>0</v>
      </c>
      <c r="AT29" s="477">
        <f>AA29+'C'!AT29</f>
        <v>0</v>
      </c>
      <c r="AU29" s="476"/>
      <c r="AV29" s="477">
        <f>'C'!AV29-'C'!AD29+D!Z29-'C'!AP29</f>
        <v>0</v>
      </c>
      <c r="AW29" s="476">
        <f t="shared" si="6"/>
        <v>0</v>
      </c>
      <c r="AX29" s="52">
        <f>IF(Z29='C'!Z29,'C'!AE29-AD29,'C'!AE29+(Z29-'C'!Z29)*$AW$16-AD29)</f>
        <v>0</v>
      </c>
      <c r="AZ29" s="726">
        <f t="shared" si="7"/>
        <v>0</v>
      </c>
    </row>
    <row r="30" spans="1:63" ht="15" customHeight="1">
      <c r="A30" s="367"/>
      <c r="B30" s="850">
        <f ca="1">IF('C'!B30&lt;&gt;"",'C'!B30,)</f>
        <v>0</v>
      </c>
      <c r="C30" s="454">
        <f ca="1">'C'!C30</f>
        <v>0</v>
      </c>
      <c r="D30" s="74"/>
      <c r="E30" s="521"/>
      <c r="F30" s="858"/>
      <c r="G30" s="367"/>
      <c r="H30" s="543"/>
      <c r="I30" s="853"/>
      <c r="J30" s="6"/>
      <c r="K30" s="541"/>
      <c r="L30" s="860"/>
      <c r="M30" s="20" t="str">
        <f>IF(J30="","",$M$5-SUM($J$7:J30))</f>
        <v/>
      </c>
      <c r="N30" s="367"/>
      <c r="O30" s="7"/>
      <c r="P30" s="873">
        <f>IF('C'!Q30&lt;&gt;'C'!R30,IF('C'!Q30&lt;&gt;0,IF('C'!S30&lt;&gt;'C'!T30,'C'!P30,),),)</f>
        <v>0</v>
      </c>
      <c r="Q30" s="795">
        <f>IF('C'!Q30&lt;&gt;'C'!R30,IF('C'!Q30&lt;&gt;0,IF('C'!S30&lt;&gt;'C'!T30,'C'!Q30,),),)</f>
        <v>0</v>
      </c>
      <c r="R30" s="628">
        <f>IF('C'!Q30&lt;&gt;'C'!R30,IF('C'!Q30&lt;&gt;0,IF('C'!S30&lt;&gt;'C'!T30,0,Q30),Q30),Q30)</f>
        <v>0</v>
      </c>
      <c r="S30" s="796">
        <f>IF('C'!Q30&lt;&gt;'C'!R30,IF('C'!Q30&lt;&gt;0,IF('C'!S30&lt;&gt;'C'!T30,'C'!S30+1,),),)</f>
        <v>0</v>
      </c>
      <c r="T30" s="796">
        <f>IF('C'!Q30&lt;&gt;'C'!R30,IF('C'!Q30&lt;&gt;0,IF('C'!S30&lt;&gt;'C'!T30,'C'!T30,),),)</f>
        <v>0</v>
      </c>
      <c r="U30" s="797">
        <f>IF('C'!Q30&lt;&gt;'C'!R30,IF('C'!Q30&lt;&gt;0,IF('C'!S30&lt;&gt;'C'!T30,'C'!U30,),),)</f>
        <v>0</v>
      </c>
      <c r="V30" s="875">
        <f>IF('C'!Q30&lt;&gt;'C'!R30,IF('C'!Q30&lt;&gt;0,IF('C'!S30&lt;&gt;'C'!T30,'C'!V30,),),)</f>
        <v>0</v>
      </c>
      <c r="W30" s="622">
        <f>IF(Q30="","",$W$5-SUM($Q$7:Q30))</f>
        <v>0</v>
      </c>
      <c r="X30" s="395"/>
      <c r="Y30" s="906" t="str">
        <f>IF('C'!Y30&lt;&gt;"",'C'!Y30,)</f>
        <v xml:space="preserve">  Car Insurance and Licensing</v>
      </c>
      <c r="Z30" s="457">
        <f>'C'!Z30</f>
        <v>0</v>
      </c>
      <c r="AA30" s="20">
        <f t="shared" si="0"/>
        <v>0</v>
      </c>
      <c r="AB30" s="723"/>
      <c r="AC30" s="723"/>
      <c r="AD30" s="36">
        <f t="shared" si="1"/>
        <v>0</v>
      </c>
      <c r="AE30" s="23">
        <f t="shared" si="5"/>
        <v>0</v>
      </c>
      <c r="AF30" s="367"/>
      <c r="AG30" s="728">
        <f t="shared" si="2"/>
        <v>0</v>
      </c>
      <c r="AH30" s="367"/>
      <c r="AI30" s="375">
        <v>0</v>
      </c>
      <c r="AJ30" s="367"/>
      <c r="AK30" s="530" t="s">
        <v>34</v>
      </c>
      <c r="AL30" s="532" t="s">
        <v>33</v>
      </c>
      <c r="AM30" s="367"/>
      <c r="AN30" s="367"/>
      <c r="AO30" s="86"/>
      <c r="AP30" s="51">
        <f t="shared" si="3"/>
        <v>0</v>
      </c>
      <c r="AQ30" s="476">
        <f>'C'!AQ30+'C'!AP30</f>
        <v>0</v>
      </c>
      <c r="AR30" s="476">
        <f t="shared" si="4"/>
        <v>0</v>
      </c>
      <c r="AS30" s="477">
        <f>AD30+'C'!AS30</f>
        <v>0</v>
      </c>
      <c r="AT30" s="477">
        <f>AA30+'C'!AT30</f>
        <v>0</v>
      </c>
      <c r="AU30" s="476"/>
      <c r="AV30" s="477">
        <f>'C'!AV30-'C'!AD30+D!Z30-'C'!AP30</f>
        <v>0</v>
      </c>
      <c r="AW30" s="476">
        <f t="shared" si="6"/>
        <v>0</v>
      </c>
      <c r="AX30" s="52">
        <f>IF(Z30='C'!Z30,'C'!AE30-AD30,'C'!AE30+(Z30-'C'!Z30)*$AW$16-AD30)</f>
        <v>0</v>
      </c>
      <c r="AZ30" s="726">
        <f t="shared" si="7"/>
        <v>0</v>
      </c>
    </row>
    <row r="31" spans="1:63" ht="15" customHeight="1">
      <c r="A31" s="367"/>
      <c r="B31" s="850">
        <f ca="1">IF('C'!B31&lt;&gt;"",'C'!B31,)</f>
        <v>0</v>
      </c>
      <c r="C31" s="454">
        <f ca="1">'C'!C31</f>
        <v>0</v>
      </c>
      <c r="D31" s="74"/>
      <c r="E31" s="521"/>
      <c r="F31" s="858"/>
      <c r="G31" s="367"/>
      <c r="H31" s="543"/>
      <c r="I31" s="853"/>
      <c r="J31" s="6"/>
      <c r="K31" s="541"/>
      <c r="L31" s="860"/>
      <c r="M31" s="20" t="str">
        <f>IF(J31="","",$M$5-SUM($J$7:J31))</f>
        <v/>
      </c>
      <c r="N31" s="367"/>
      <c r="O31" s="7"/>
      <c r="P31" s="871">
        <f>IF('C'!Q31&lt;&gt;'C'!R31,IF('C'!Q31&lt;&gt;0,IF('C'!S31&lt;&gt;'C'!T31,'C'!P31,),),)</f>
        <v>0</v>
      </c>
      <c r="Q31" s="795">
        <f>IF('C'!Q31&lt;&gt;'C'!R31,IF('C'!Q31&lt;&gt;0,IF('C'!S31&lt;&gt;'C'!T31,'C'!Q31,),),)</f>
        <v>0</v>
      </c>
      <c r="R31" s="628">
        <f>IF('C'!Q31&lt;&gt;'C'!R31,IF('C'!Q31&lt;&gt;0,IF('C'!S31&lt;&gt;'C'!T31,0,Q31),Q31),Q31)</f>
        <v>0</v>
      </c>
      <c r="S31" s="796">
        <f>IF('C'!Q31&lt;&gt;'C'!R31,IF('C'!Q31&lt;&gt;0,IF('C'!S31&lt;&gt;'C'!T31,'C'!S31+1,),),)</f>
        <v>0</v>
      </c>
      <c r="T31" s="796">
        <f>IF('C'!Q31&lt;&gt;'C'!R31,IF('C'!Q31&lt;&gt;0,IF('C'!S31&lt;&gt;'C'!T31,'C'!T31,),),)</f>
        <v>0</v>
      </c>
      <c r="U31" s="797">
        <f>IF('C'!Q31&lt;&gt;'C'!R31,IF('C'!Q31&lt;&gt;0,IF('C'!S31&lt;&gt;'C'!T31,'C'!U31,),),)</f>
        <v>0</v>
      </c>
      <c r="V31" s="875">
        <f>IF('C'!Q31&lt;&gt;'C'!R31,IF('C'!Q31&lt;&gt;0,IF('C'!S31&lt;&gt;'C'!T31,'C'!V31,),),)</f>
        <v>0</v>
      </c>
      <c r="W31" s="622">
        <f>IF(Q31="","",$W$5-SUM($Q$7:Q31))</f>
        <v>0</v>
      </c>
      <c r="X31" s="395"/>
      <c r="Y31" s="906" t="str">
        <f>IF('C'!Y31&lt;&gt;"",'C'!Y31,)</f>
        <v>Car Maintenance</v>
      </c>
      <c r="Z31" s="457">
        <f>'C'!Z31</f>
        <v>0</v>
      </c>
      <c r="AA31" s="20">
        <f t="shared" si="0"/>
        <v>0</v>
      </c>
      <c r="AB31" s="723"/>
      <c r="AC31" s="723"/>
      <c r="AD31" s="36">
        <f t="shared" si="1"/>
        <v>0</v>
      </c>
      <c r="AE31" s="23">
        <f t="shared" si="5"/>
        <v>0</v>
      </c>
      <c r="AF31" s="367"/>
      <c r="AG31" s="728">
        <f t="shared" si="2"/>
        <v>0</v>
      </c>
      <c r="AH31" s="367"/>
      <c r="AI31" s="375">
        <v>0</v>
      </c>
      <c r="AJ31" s="367"/>
      <c r="AK31" s="530" t="s">
        <v>35</v>
      </c>
      <c r="AL31" s="533" t="s">
        <v>33</v>
      </c>
      <c r="AM31" s="367"/>
      <c r="AN31" s="367"/>
      <c r="AO31" s="86"/>
      <c r="AP31" s="51">
        <f t="shared" si="3"/>
        <v>0</v>
      </c>
      <c r="AQ31" s="476">
        <f>'C'!AQ31+'C'!AP31</f>
        <v>0</v>
      </c>
      <c r="AR31" s="476">
        <f t="shared" si="4"/>
        <v>0</v>
      </c>
      <c r="AS31" s="477">
        <f>AD31+'C'!AS31</f>
        <v>0</v>
      </c>
      <c r="AT31" s="477">
        <f>AA31+'C'!AT31</f>
        <v>0</v>
      </c>
      <c r="AU31" s="476"/>
      <c r="AV31" s="477">
        <f>'C'!AV31-'C'!AD31+D!Z31-'C'!AP31</f>
        <v>0</v>
      </c>
      <c r="AW31" s="476">
        <f t="shared" si="6"/>
        <v>0</v>
      </c>
      <c r="AX31" s="52">
        <f>IF(Z31='C'!Z31,'C'!AE31-AD31,'C'!AE31+(Z31-'C'!Z31)*$AW$16-AD31)</f>
        <v>0</v>
      </c>
      <c r="AZ31" s="726">
        <f t="shared" si="7"/>
        <v>0</v>
      </c>
    </row>
    <row r="32" spans="1:63" ht="15" customHeight="1">
      <c r="A32" s="367"/>
      <c r="B32" s="850">
        <f ca="1">IF('C'!B32&lt;&gt;"",'C'!B32,)</f>
        <v>0</v>
      </c>
      <c r="C32" s="454">
        <f ca="1">'C'!C32</f>
        <v>0</v>
      </c>
      <c r="D32" s="74"/>
      <c r="E32" s="521"/>
      <c r="F32" s="858"/>
      <c r="G32" s="367"/>
      <c r="H32" s="543"/>
      <c r="I32" s="853"/>
      <c r="J32" s="6"/>
      <c r="K32" s="541"/>
      <c r="L32" s="860"/>
      <c r="M32" s="20" t="str">
        <f>IF(J32="","",$M$5-SUM($J$7:J32))</f>
        <v/>
      </c>
      <c r="N32" s="367"/>
      <c r="O32" s="7"/>
      <c r="P32" s="873">
        <f>IF('C'!Q32&lt;&gt;'C'!R32,IF('C'!Q32&lt;&gt;0,IF('C'!S32&lt;&gt;'C'!T32,'C'!P32,),),)</f>
        <v>0</v>
      </c>
      <c r="Q32" s="795">
        <f>IF('C'!Q32&lt;&gt;'C'!R32,IF('C'!Q32&lt;&gt;0,IF('C'!S32&lt;&gt;'C'!T32,'C'!Q32,),),)</f>
        <v>0</v>
      </c>
      <c r="R32" s="628">
        <f>IF('C'!Q32&lt;&gt;'C'!R32,IF('C'!Q32&lt;&gt;0,IF('C'!S32&lt;&gt;'C'!T32,0,Q32),Q32),Q32)</f>
        <v>0</v>
      </c>
      <c r="S32" s="796">
        <f>IF('C'!Q32&lt;&gt;'C'!R32,IF('C'!Q32&lt;&gt;0,IF('C'!S32&lt;&gt;'C'!T32,'C'!S32+1,),),)</f>
        <v>0</v>
      </c>
      <c r="T32" s="796">
        <f>IF('C'!Q32&lt;&gt;'C'!R32,IF('C'!Q32&lt;&gt;0,IF('C'!S32&lt;&gt;'C'!T32,'C'!T32,),),)</f>
        <v>0</v>
      </c>
      <c r="U32" s="797">
        <f>IF('C'!Q32&lt;&gt;'C'!R32,IF('C'!Q32&lt;&gt;0,IF('C'!S32&lt;&gt;'C'!T32,'C'!U32,),),)</f>
        <v>0</v>
      </c>
      <c r="V32" s="875">
        <f>IF('C'!Q32&lt;&gt;'C'!R32,IF('C'!Q32&lt;&gt;0,IF('C'!S32&lt;&gt;'C'!T32,'C'!V32,),),)</f>
        <v>0</v>
      </c>
      <c r="W32" s="622">
        <f>IF(Q32="","",$W$5-SUM($Q$7:Q32))</f>
        <v>0</v>
      </c>
      <c r="X32" s="389"/>
      <c r="Y32" s="906" t="str">
        <f>IF('C'!Y32&lt;&gt;"",'C'!Y32,)</f>
        <v>Clothing and Shoes</v>
      </c>
      <c r="Z32" s="457">
        <f>'C'!Z32</f>
        <v>0</v>
      </c>
      <c r="AA32" s="20">
        <f t="shared" si="0"/>
        <v>0</v>
      </c>
      <c r="AB32" s="723"/>
      <c r="AC32" s="723"/>
      <c r="AD32" s="36">
        <f t="shared" si="1"/>
        <v>0</v>
      </c>
      <c r="AE32" s="23">
        <f t="shared" si="5"/>
        <v>0</v>
      </c>
      <c r="AF32" s="367"/>
      <c r="AG32" s="728">
        <f t="shared" si="2"/>
        <v>0</v>
      </c>
      <c r="AH32" s="367"/>
      <c r="AI32" s="375">
        <v>0</v>
      </c>
      <c r="AJ32" s="367"/>
      <c r="AK32" s="530" t="s">
        <v>36</v>
      </c>
      <c r="AL32" s="534" t="s">
        <v>33</v>
      </c>
      <c r="AM32" s="367"/>
      <c r="AN32" s="367"/>
      <c r="AO32" s="86"/>
      <c r="AP32" s="51">
        <f t="shared" si="3"/>
        <v>0</v>
      </c>
      <c r="AQ32" s="476">
        <f>'C'!AQ32+'C'!AP32</f>
        <v>0</v>
      </c>
      <c r="AR32" s="476">
        <f t="shared" si="4"/>
        <v>0</v>
      </c>
      <c r="AS32" s="477">
        <f>AD32+'C'!AS32</f>
        <v>0</v>
      </c>
      <c r="AT32" s="477">
        <f>AA32+'C'!AT32</f>
        <v>0</v>
      </c>
      <c r="AU32" s="476"/>
      <c r="AV32" s="477">
        <f>'C'!AV32-'C'!AD32+D!Z32-'C'!AP32</f>
        <v>0</v>
      </c>
      <c r="AW32" s="476">
        <f t="shared" si="6"/>
        <v>0</v>
      </c>
      <c r="AX32" s="52">
        <f>IF(Z32='C'!Z32,'C'!AE32-AD32,'C'!AE32+(Z32-'C'!Z32)*$AW$16-AD32)</f>
        <v>0</v>
      </c>
      <c r="AZ32" s="726">
        <f t="shared" si="7"/>
        <v>0</v>
      </c>
    </row>
    <row r="33" spans="1:52" ht="15" customHeight="1">
      <c r="A33" s="367"/>
      <c r="B33" s="850">
        <f ca="1">IF('C'!B33&lt;&gt;"",'C'!B33,)</f>
        <v>0</v>
      </c>
      <c r="C33" s="454">
        <f ca="1">'C'!C33</f>
        <v>0</v>
      </c>
      <c r="D33" s="74"/>
      <c r="E33" s="521"/>
      <c r="F33" s="858"/>
      <c r="G33" s="367"/>
      <c r="H33" s="543"/>
      <c r="I33" s="853"/>
      <c r="J33" s="6"/>
      <c r="K33" s="541"/>
      <c r="L33" s="860"/>
      <c r="M33" s="20" t="str">
        <f>IF(J33="","",$M$5-SUM($J$7:J33))</f>
        <v/>
      </c>
      <c r="N33" s="367"/>
      <c r="O33" s="7"/>
      <c r="P33" s="871">
        <f>IF('C'!Q33&lt;&gt;'C'!R33,IF('C'!Q33&lt;&gt;0,IF('C'!S33&lt;&gt;'C'!T33,'C'!P33,),),)</f>
        <v>0</v>
      </c>
      <c r="Q33" s="795">
        <f>IF('C'!Q33&lt;&gt;'C'!R33,IF('C'!Q33&lt;&gt;0,IF('C'!S33&lt;&gt;'C'!T33,'C'!Q33,),),)</f>
        <v>0</v>
      </c>
      <c r="R33" s="628">
        <f>IF('C'!Q33&lt;&gt;'C'!R33,IF('C'!Q33&lt;&gt;0,IF('C'!S33&lt;&gt;'C'!T33,0,Q33),Q33),Q33)</f>
        <v>0</v>
      </c>
      <c r="S33" s="796">
        <f>IF('C'!Q33&lt;&gt;'C'!R33,IF('C'!Q33&lt;&gt;0,IF('C'!S33&lt;&gt;'C'!T33,'C'!S33+1,),),)</f>
        <v>0</v>
      </c>
      <c r="T33" s="796">
        <f>IF('C'!Q33&lt;&gt;'C'!R33,IF('C'!Q33&lt;&gt;0,IF('C'!S33&lt;&gt;'C'!T33,'C'!T33,),),)</f>
        <v>0</v>
      </c>
      <c r="U33" s="797">
        <f>IF('C'!Q33&lt;&gt;'C'!R33,IF('C'!Q33&lt;&gt;0,IF('C'!S33&lt;&gt;'C'!T33,'C'!U33,),),)</f>
        <v>0</v>
      </c>
      <c r="V33" s="875">
        <f>IF('C'!Q33&lt;&gt;'C'!R33,IF('C'!Q33&lt;&gt;0,IF('C'!S33&lt;&gt;'C'!T33,'C'!V33,),),)</f>
        <v>0</v>
      </c>
      <c r="W33" s="622">
        <f>IF(Q33="","",$W$5-SUM($Q$7:Q33))</f>
        <v>0</v>
      </c>
      <c r="X33" s="10"/>
      <c r="Y33" s="906" t="str">
        <f>IF('C'!Y33&lt;&gt;"",'C'!Y33,)</f>
        <v>Medicine/Treatment</v>
      </c>
      <c r="Z33" s="457">
        <f>'C'!Z33</f>
        <v>0</v>
      </c>
      <c r="AA33" s="20">
        <f t="shared" si="0"/>
        <v>0</v>
      </c>
      <c r="AB33" s="723"/>
      <c r="AC33" s="723"/>
      <c r="AD33" s="36">
        <f t="shared" si="1"/>
        <v>0</v>
      </c>
      <c r="AE33" s="23">
        <f t="shared" si="5"/>
        <v>0</v>
      </c>
      <c r="AF33" s="367"/>
      <c r="AG33" s="728">
        <f t="shared" si="2"/>
        <v>0</v>
      </c>
      <c r="AH33" s="367"/>
      <c r="AI33" s="375">
        <v>0</v>
      </c>
      <c r="AJ33" s="367"/>
      <c r="AK33" s="530" t="s">
        <v>37</v>
      </c>
      <c r="AL33" s="535" t="s">
        <v>33</v>
      </c>
      <c r="AM33" s="367"/>
      <c r="AN33" s="367"/>
      <c r="AO33" s="86"/>
      <c r="AP33" s="51">
        <f t="shared" si="3"/>
        <v>0</v>
      </c>
      <c r="AQ33" s="476">
        <f>'C'!AQ33+'C'!AP33</f>
        <v>0</v>
      </c>
      <c r="AR33" s="476">
        <f t="shared" si="4"/>
        <v>0</v>
      </c>
      <c r="AS33" s="477">
        <f>AD33+'C'!AS33</f>
        <v>0</v>
      </c>
      <c r="AT33" s="477">
        <f>AA33+'C'!AT33</f>
        <v>0</v>
      </c>
      <c r="AU33" s="476"/>
      <c r="AV33" s="477">
        <f>'C'!AV33-'C'!AD33+D!Z33-'C'!AP33</f>
        <v>0</v>
      </c>
      <c r="AW33" s="476">
        <f t="shared" si="6"/>
        <v>0</v>
      </c>
      <c r="AX33" s="52">
        <f>IF(Z33='C'!Z33,'C'!AE33-AD33,'C'!AE33+(Z33-'C'!Z33)*$AW$16-AD33)</f>
        <v>0</v>
      </c>
      <c r="AZ33" s="726">
        <f t="shared" si="7"/>
        <v>0</v>
      </c>
    </row>
    <row r="34" spans="1:52" ht="15" customHeight="1">
      <c r="A34" s="367"/>
      <c r="B34" s="850">
        <f ca="1">IF('C'!B34&lt;&gt;"",'C'!B34,)</f>
        <v>0</v>
      </c>
      <c r="C34" s="454">
        <f ca="1">'C'!C34</f>
        <v>0</v>
      </c>
      <c r="D34" s="74"/>
      <c r="E34" s="521"/>
      <c r="F34" s="858"/>
      <c r="G34" s="367"/>
      <c r="H34" s="543"/>
      <c r="I34" s="853"/>
      <c r="J34" s="6"/>
      <c r="K34" s="541"/>
      <c r="L34" s="860"/>
      <c r="M34" s="20" t="str">
        <f>IF(J34="","",$M$5-SUM($J$7:J34))</f>
        <v/>
      </c>
      <c r="N34" s="367"/>
      <c r="O34" s="7"/>
      <c r="P34" s="873">
        <f>IF('C'!Q34&lt;&gt;'C'!R34,IF('C'!Q34&lt;&gt;0,IF('C'!S34&lt;&gt;'C'!T34,'C'!P34,),),)</f>
        <v>0</v>
      </c>
      <c r="Q34" s="795">
        <f>IF('C'!Q34&lt;&gt;'C'!R34,IF('C'!Q34&lt;&gt;0,IF('C'!S34&lt;&gt;'C'!T34,'C'!Q34,),),)</f>
        <v>0</v>
      </c>
      <c r="R34" s="628">
        <f>IF('C'!Q34&lt;&gt;'C'!R34,IF('C'!Q34&lt;&gt;0,IF('C'!S34&lt;&gt;'C'!T34,0,Q34),Q34),Q34)</f>
        <v>0</v>
      </c>
      <c r="S34" s="796">
        <f>IF('C'!Q34&lt;&gt;'C'!R34,IF('C'!Q34&lt;&gt;0,IF('C'!S34&lt;&gt;'C'!T34,'C'!S34+1,),),)</f>
        <v>0</v>
      </c>
      <c r="T34" s="796">
        <f>IF('C'!Q34&lt;&gt;'C'!R34,IF('C'!Q34&lt;&gt;0,IF('C'!S34&lt;&gt;'C'!T34,'C'!T34,),),)</f>
        <v>0</v>
      </c>
      <c r="U34" s="797">
        <f>IF('C'!Q34&lt;&gt;'C'!R34,IF('C'!Q34&lt;&gt;0,IF('C'!S34&lt;&gt;'C'!T34,'C'!U34,),),)</f>
        <v>0</v>
      </c>
      <c r="V34" s="875">
        <f>IF('C'!Q34&lt;&gt;'C'!R34,IF('C'!Q34&lt;&gt;0,IF('C'!S34&lt;&gt;'C'!T34,'C'!V34,),),)</f>
        <v>0</v>
      </c>
      <c r="W34" s="622">
        <f>IF(Q34="","",$W$5-SUM($Q$7:Q34))</f>
        <v>0</v>
      </c>
      <c r="X34" s="10"/>
      <c r="Y34" s="905" t="str">
        <f>IF('C'!Y34&lt;&gt;"",'C'!Y34,)</f>
        <v>Bank Interest and Fees</v>
      </c>
      <c r="Z34" s="457">
        <f>'C'!Z34</f>
        <v>0</v>
      </c>
      <c r="AA34" s="20">
        <f t="shared" si="0"/>
        <v>0</v>
      </c>
      <c r="AB34" s="723"/>
      <c r="AC34" s="723"/>
      <c r="AD34" s="36">
        <f t="shared" si="1"/>
        <v>0</v>
      </c>
      <c r="AE34" s="23">
        <f t="shared" si="5"/>
        <v>0</v>
      </c>
      <c r="AF34" s="367"/>
      <c r="AG34" s="728">
        <f t="shared" si="2"/>
        <v>0</v>
      </c>
      <c r="AH34" s="367"/>
      <c r="AI34" s="375">
        <v>0</v>
      </c>
      <c r="AJ34" s="367"/>
      <c r="AK34" s="530" t="s">
        <v>38</v>
      </c>
      <c r="AL34" s="536" t="s">
        <v>33</v>
      </c>
      <c r="AM34" s="367"/>
      <c r="AN34" s="367"/>
      <c r="AO34" s="86"/>
      <c r="AP34" s="51">
        <f t="shared" si="3"/>
        <v>0</v>
      </c>
      <c r="AQ34" s="476">
        <f>'C'!AQ34+'C'!AP34</f>
        <v>0</v>
      </c>
      <c r="AR34" s="476">
        <f t="shared" si="4"/>
        <v>0</v>
      </c>
      <c r="AS34" s="477">
        <f>AD34+'C'!AS34</f>
        <v>0</v>
      </c>
      <c r="AT34" s="477">
        <f>AA34+'C'!AT34</f>
        <v>0</v>
      </c>
      <c r="AU34" s="476"/>
      <c r="AV34" s="477">
        <f>'C'!AV34-'C'!AD34+D!Z34-'C'!AP34</f>
        <v>0</v>
      </c>
      <c r="AW34" s="476">
        <f t="shared" si="6"/>
        <v>0</v>
      </c>
      <c r="AX34" s="52">
        <f>IF(Z34='C'!Z34,'C'!AE34-AD34,'C'!AE34+(Z34-'C'!Z34)*$AW$16-AD34)</f>
        <v>0</v>
      </c>
      <c r="AZ34" s="726">
        <f t="shared" si="7"/>
        <v>0</v>
      </c>
    </row>
    <row r="35" spans="1:52" ht="15" customHeight="1">
      <c r="A35" s="367"/>
      <c r="B35" s="850">
        <f ca="1">IF('C'!B35&lt;&gt;"",'C'!B35,)</f>
        <v>0</v>
      </c>
      <c r="C35" s="454">
        <f ca="1">'C'!C35</f>
        <v>0</v>
      </c>
      <c r="D35" s="74"/>
      <c r="E35" s="521"/>
      <c r="F35" s="858"/>
      <c r="G35" s="367"/>
      <c r="H35" s="543"/>
      <c r="I35" s="853"/>
      <c r="J35" s="6"/>
      <c r="K35" s="541"/>
      <c r="L35" s="860"/>
      <c r="M35" s="20" t="str">
        <f>IF(J35="","",$M$5-SUM($J$7:J35))</f>
        <v/>
      </c>
      <c r="N35" s="367"/>
      <c r="O35" s="7"/>
      <c r="P35" s="871">
        <f>IF('C'!Q35&lt;&gt;'C'!R35,IF('C'!Q35&lt;&gt;0,IF('C'!S35&lt;&gt;'C'!T35,'C'!P35,),),)</f>
        <v>0</v>
      </c>
      <c r="Q35" s="799">
        <f>IF('C'!Q35&lt;&gt;'C'!R35,IF('C'!Q35&lt;&gt;0,IF('C'!S35&lt;&gt;'C'!T35,'C'!Q35,),),)</f>
        <v>0</v>
      </c>
      <c r="R35" s="628">
        <f>IF('C'!Q35&lt;&gt;'C'!R35,IF('C'!Q35&lt;&gt;0,IF('C'!S35&lt;&gt;'C'!T35,0,Q35),Q35),Q35)</f>
        <v>0</v>
      </c>
      <c r="S35" s="796">
        <f>IF('C'!Q35&lt;&gt;'C'!R35,IF('C'!Q35&lt;&gt;0,IF('C'!S35&lt;&gt;'C'!T35,'C'!S35+1,),),)</f>
        <v>0</v>
      </c>
      <c r="T35" s="796">
        <f>IF('C'!Q35&lt;&gt;'C'!R35,IF('C'!Q35&lt;&gt;0,IF('C'!S35&lt;&gt;'C'!T35,'C'!T35,),),)</f>
        <v>0</v>
      </c>
      <c r="U35" s="797">
        <f>IF('C'!Q35&lt;&gt;'C'!R35,IF('C'!Q35&lt;&gt;0,IF('C'!S35&lt;&gt;'C'!T35,'C'!U35,),),)</f>
        <v>0</v>
      </c>
      <c r="V35" s="875">
        <f>IF('C'!Q35&lt;&gt;'C'!R35,IF('C'!Q35&lt;&gt;0,IF('C'!S35&lt;&gt;'C'!T35,'C'!V35,),),)</f>
        <v>0</v>
      </c>
      <c r="W35" s="626">
        <f>IF(Q35="","",$W$5-SUM($Q$7:Q35))</f>
        <v>0</v>
      </c>
      <c r="X35" s="395"/>
      <c r="Y35" s="905" t="str">
        <f>IF('C'!Y35&lt;&gt;"",'C'!Y35,)</f>
        <v>Dental treatments</v>
      </c>
      <c r="Z35" s="457">
        <f>'C'!Z35</f>
        <v>0</v>
      </c>
      <c r="AA35" s="20">
        <f t="shared" si="0"/>
        <v>0</v>
      </c>
      <c r="AB35" s="723"/>
      <c r="AC35" s="723"/>
      <c r="AD35" s="36">
        <f t="shared" si="1"/>
        <v>0</v>
      </c>
      <c r="AE35" s="23">
        <f t="shared" si="5"/>
        <v>0</v>
      </c>
      <c r="AF35" s="367"/>
      <c r="AG35" s="728">
        <f t="shared" si="2"/>
        <v>0</v>
      </c>
      <c r="AH35" s="367"/>
      <c r="AI35" s="375">
        <v>0</v>
      </c>
      <c r="AJ35" s="367"/>
      <c r="AK35" s="530" t="s">
        <v>39</v>
      </c>
      <c r="AL35" s="537" t="s">
        <v>33</v>
      </c>
      <c r="AM35" s="367"/>
      <c r="AN35" s="367"/>
      <c r="AO35" s="86"/>
      <c r="AP35" s="51">
        <f t="shared" si="3"/>
        <v>0</v>
      </c>
      <c r="AQ35" s="476">
        <f>'C'!AQ35+'C'!AP35</f>
        <v>0</v>
      </c>
      <c r="AR35" s="476">
        <f t="shared" si="4"/>
        <v>0</v>
      </c>
      <c r="AS35" s="477">
        <f>AD35+'C'!AS35</f>
        <v>0</v>
      </c>
      <c r="AT35" s="477">
        <f>AA35+'C'!AT35</f>
        <v>0</v>
      </c>
      <c r="AU35" s="476"/>
      <c r="AV35" s="477">
        <f>'C'!AV35-'C'!AD35+D!Z35-'C'!AP35</f>
        <v>0</v>
      </c>
      <c r="AW35" s="476">
        <f t="shared" si="6"/>
        <v>0</v>
      </c>
      <c r="AX35" s="52">
        <f>IF(Z35='C'!Z35,'C'!AE35-AD35,'C'!AE35+(Z35-'C'!Z35)*$AW$16-AD35)</f>
        <v>0</v>
      </c>
      <c r="AZ35" s="726">
        <f t="shared" si="7"/>
        <v>0</v>
      </c>
    </row>
    <row r="36" spans="1:52" ht="15" customHeight="1">
      <c r="A36" s="367"/>
      <c r="B36" s="850">
        <f ca="1">IF('C'!B36&lt;&gt;"",'C'!B36,)</f>
        <v>0</v>
      </c>
      <c r="C36" s="454">
        <f ca="1">'C'!C36</f>
        <v>0</v>
      </c>
      <c r="D36" s="74"/>
      <c r="E36" s="521"/>
      <c r="F36" s="858"/>
      <c r="G36" s="367"/>
      <c r="H36" s="543"/>
      <c r="I36" s="853"/>
      <c r="J36" s="6"/>
      <c r="K36" s="541"/>
      <c r="L36" s="860"/>
      <c r="M36" s="20" t="str">
        <f>IF(J36="","",$M$5-SUM($J$7:J36))</f>
        <v/>
      </c>
      <c r="N36" s="367"/>
      <c r="O36" s="7"/>
      <c r="P36" s="873">
        <f>IF('C'!Q36&lt;&gt;'C'!R36,IF('C'!Q36&lt;&gt;0,IF('C'!S36&lt;&gt;'C'!T36,'C'!P36,),),)</f>
        <v>0</v>
      </c>
      <c r="Q36" s="795">
        <f>IF('C'!Q36&lt;&gt;'C'!R36,IF('C'!Q36&lt;&gt;0,IF('C'!S36&lt;&gt;'C'!T36,'C'!Q36,),),)</f>
        <v>0</v>
      </c>
      <c r="R36" s="628">
        <f>IF('C'!Q36&lt;&gt;'C'!R36,IF('C'!Q36&lt;&gt;0,IF('C'!S36&lt;&gt;'C'!T36,0,Q36),Q36),Q36)</f>
        <v>0</v>
      </c>
      <c r="S36" s="796">
        <f>IF('C'!Q36&lt;&gt;'C'!R36,IF('C'!Q36&lt;&gt;0,IF('C'!S36&lt;&gt;'C'!T36,'C'!S36+1,),),)</f>
        <v>0</v>
      </c>
      <c r="T36" s="796">
        <f>IF('C'!Q36&lt;&gt;'C'!R36,IF('C'!Q36&lt;&gt;0,IF('C'!S36&lt;&gt;'C'!T36,'C'!T36,),),)</f>
        <v>0</v>
      </c>
      <c r="U36" s="797">
        <f>IF('C'!Q36&lt;&gt;'C'!R36,IF('C'!Q36&lt;&gt;0,IF('C'!S36&lt;&gt;'C'!T36,'C'!U36,),),)</f>
        <v>0</v>
      </c>
      <c r="V36" s="875">
        <f>IF('C'!Q36&lt;&gt;'C'!R36,IF('C'!Q36&lt;&gt;0,IF('C'!S36&lt;&gt;'C'!T36,'C'!V36,),),)</f>
        <v>0</v>
      </c>
      <c r="W36" s="622">
        <f>IF(Q36="","",$W$5-SUM($Q$7:Q36))</f>
        <v>0</v>
      </c>
      <c r="X36" s="395"/>
      <c r="Y36" s="905" t="str">
        <f>IF('C'!Y36&lt;&gt;"",'C'!Y36,)</f>
        <v>Eyeglasses/Contact Lens</v>
      </c>
      <c r="Z36" s="457">
        <f>'C'!Z36</f>
        <v>0</v>
      </c>
      <c r="AA36" s="20">
        <f t="shared" si="0"/>
        <v>0</v>
      </c>
      <c r="AB36" s="723"/>
      <c r="AC36" s="723"/>
      <c r="AD36" s="36">
        <f t="shared" si="1"/>
        <v>0</v>
      </c>
      <c r="AE36" s="23">
        <f t="shared" si="5"/>
        <v>0</v>
      </c>
      <c r="AF36" s="367"/>
      <c r="AG36" s="728">
        <f t="shared" si="2"/>
        <v>0</v>
      </c>
      <c r="AH36" s="367"/>
      <c r="AI36" s="375">
        <v>0</v>
      </c>
      <c r="AJ36" s="367"/>
      <c r="AK36" s="530" t="s">
        <v>40</v>
      </c>
      <c r="AL36" s="538" t="s">
        <v>33</v>
      </c>
      <c r="AM36" s="367"/>
      <c r="AN36" s="367"/>
      <c r="AO36" s="86"/>
      <c r="AP36" s="51">
        <f t="shared" si="3"/>
        <v>0</v>
      </c>
      <c r="AQ36" s="476">
        <f>'C'!AQ36+'C'!AP36</f>
        <v>0</v>
      </c>
      <c r="AR36" s="476">
        <f t="shared" si="4"/>
        <v>0</v>
      </c>
      <c r="AS36" s="477">
        <f>AD36+'C'!AS36</f>
        <v>0</v>
      </c>
      <c r="AT36" s="477">
        <f>AA36+'C'!AT36</f>
        <v>0</v>
      </c>
      <c r="AU36" s="476"/>
      <c r="AV36" s="477">
        <f>'C'!AV36-'C'!AD36+D!Z36-'C'!AP36</f>
        <v>0</v>
      </c>
      <c r="AW36" s="476">
        <f t="shared" si="6"/>
        <v>0</v>
      </c>
      <c r="AX36" s="52">
        <f>IF(Z36='C'!Z36,'C'!AE36-AD36,'C'!AE36+(Z36-'C'!Z36)*$AW$16-AD36)</f>
        <v>0</v>
      </c>
      <c r="AZ36" s="726">
        <f t="shared" si="7"/>
        <v>0</v>
      </c>
    </row>
    <row r="37" spans="1:52" ht="15" customHeight="1" thickBot="1">
      <c r="A37" s="367"/>
      <c r="B37" s="850">
        <f ca="1">IF('C'!B37&lt;&gt;"",'C'!B37,)</f>
        <v>0</v>
      </c>
      <c r="C37" s="454">
        <f ca="1">'C'!C37</f>
        <v>0</v>
      </c>
      <c r="D37" s="74"/>
      <c r="E37" s="521"/>
      <c r="F37" s="858"/>
      <c r="G37" s="367"/>
      <c r="H37" s="543"/>
      <c r="I37" s="853"/>
      <c r="J37" s="6"/>
      <c r="K37" s="541"/>
      <c r="L37" s="860"/>
      <c r="M37" s="20" t="str">
        <f>IF(J37="","",$M$5-SUM($J$7:J37))</f>
        <v/>
      </c>
      <c r="N37" s="367"/>
      <c r="O37" s="7"/>
      <c r="P37" s="871">
        <f>IF('C'!Q37&lt;&gt;'C'!R37,IF('C'!Q37&lt;&gt;0,IF('C'!S37&lt;&gt;'C'!T37,'C'!P37,),),)</f>
        <v>0</v>
      </c>
      <c r="Q37" s="795">
        <f>IF('C'!Q37&lt;&gt;'C'!R37,IF('C'!Q37&lt;&gt;0,IF('C'!S37&lt;&gt;'C'!T37,'C'!Q37,),),)</f>
        <v>0</v>
      </c>
      <c r="R37" s="628">
        <f>IF('C'!Q37&lt;&gt;'C'!R37,IF('C'!Q37&lt;&gt;0,IF('C'!S37&lt;&gt;'C'!T37,0,Q37),Q37),Q37)</f>
        <v>0</v>
      </c>
      <c r="S37" s="796">
        <f>IF('C'!Q37&lt;&gt;'C'!R37,IF('C'!Q37&lt;&gt;0,IF('C'!S37&lt;&gt;'C'!T37,'C'!S37+1,),),)</f>
        <v>0</v>
      </c>
      <c r="T37" s="796">
        <f>IF('C'!Q37&lt;&gt;'C'!R37,IF('C'!Q37&lt;&gt;0,IF('C'!S37&lt;&gt;'C'!T37,'C'!T37,),),)</f>
        <v>0</v>
      </c>
      <c r="U37" s="797">
        <f>IF('C'!Q37&lt;&gt;'C'!R37,IF('C'!Q37&lt;&gt;0,IF('C'!S37&lt;&gt;'C'!T37,'C'!U37,),),)</f>
        <v>0</v>
      </c>
      <c r="V37" s="875">
        <f>IF('C'!Q37&lt;&gt;'C'!R37,IF('C'!Q37&lt;&gt;0,IF('C'!S37&lt;&gt;'C'!T37,'C'!V37,),),)</f>
        <v>0</v>
      </c>
      <c r="W37" s="622">
        <f>IF(Q37="","",$W$5-SUM($Q$7:Q37))</f>
        <v>0</v>
      </c>
      <c r="X37" s="395"/>
      <c r="Y37" s="905" t="str">
        <f>IF('C'!Y37&lt;&gt;"",'C'!Y37,)</f>
        <v>Vacations</v>
      </c>
      <c r="Z37" s="457">
        <f>'C'!Z37</f>
        <v>0</v>
      </c>
      <c r="AA37" s="20">
        <f t="shared" si="0"/>
        <v>0</v>
      </c>
      <c r="AB37" s="723"/>
      <c r="AC37" s="723"/>
      <c r="AD37" s="36">
        <f t="shared" si="1"/>
        <v>0</v>
      </c>
      <c r="AE37" s="23">
        <f t="shared" si="5"/>
        <v>0</v>
      </c>
      <c r="AF37" s="367"/>
      <c r="AG37" s="728">
        <f t="shared" si="2"/>
        <v>0</v>
      </c>
      <c r="AH37" s="367"/>
      <c r="AI37" s="375">
        <v>0</v>
      </c>
      <c r="AJ37" s="367"/>
      <c r="AK37" s="539" t="s">
        <v>41</v>
      </c>
      <c r="AL37" s="540" t="s">
        <v>33</v>
      </c>
      <c r="AM37" s="367"/>
      <c r="AN37" s="367"/>
      <c r="AO37" s="86"/>
      <c r="AP37" s="51">
        <f t="shared" si="3"/>
        <v>0</v>
      </c>
      <c r="AQ37" s="476">
        <f>'C'!AQ37+'C'!AP37</f>
        <v>0</v>
      </c>
      <c r="AR37" s="476">
        <f t="shared" si="4"/>
        <v>0</v>
      </c>
      <c r="AS37" s="477">
        <f>AD37+'C'!AS37</f>
        <v>0</v>
      </c>
      <c r="AT37" s="477">
        <f>AA37+'C'!AT37</f>
        <v>0</v>
      </c>
      <c r="AU37" s="476"/>
      <c r="AV37" s="477">
        <f>'C'!AV37-'C'!AD37+D!Z37-'C'!AP37</f>
        <v>0</v>
      </c>
      <c r="AW37" s="476">
        <f t="shared" si="6"/>
        <v>0</v>
      </c>
      <c r="AX37" s="52">
        <f>IF(Z37='C'!Z37,'C'!AE37-AD37,'C'!AE37+(Z37-'C'!Z37)*$AW$16-AD37)</f>
        <v>0</v>
      </c>
      <c r="AZ37" s="726">
        <f t="shared" si="7"/>
        <v>0</v>
      </c>
    </row>
    <row r="38" spans="1:52" ht="15" customHeight="1">
      <c r="A38" s="367"/>
      <c r="B38" s="850">
        <f ca="1">IF('C'!B38&lt;&gt;"",'C'!B38,)</f>
        <v>0</v>
      </c>
      <c r="C38" s="454">
        <f ca="1">'C'!C38</f>
        <v>0</v>
      </c>
      <c r="D38" s="74"/>
      <c r="E38" s="521"/>
      <c r="F38" s="858"/>
      <c r="G38" s="367"/>
      <c r="H38" s="543"/>
      <c r="I38" s="853"/>
      <c r="J38" s="6"/>
      <c r="K38" s="541"/>
      <c r="L38" s="860"/>
      <c r="M38" s="20" t="str">
        <f>IF(J38="","",$M$5-SUM($J$7:J38))</f>
        <v/>
      </c>
      <c r="N38" s="367"/>
      <c r="O38" s="7"/>
      <c r="P38" s="873">
        <f>IF('C'!Q38&lt;&gt;'C'!R38,IF('C'!Q38&lt;&gt;0,IF('C'!S38&lt;&gt;'C'!T38,'C'!P38,),),)</f>
        <v>0</v>
      </c>
      <c r="Q38" s="795">
        <f>IF('C'!Q38&lt;&gt;'C'!R38,IF('C'!Q38&lt;&gt;0,IF('C'!S38&lt;&gt;'C'!T38,'C'!Q38,),),)</f>
        <v>0</v>
      </c>
      <c r="R38" s="628">
        <f>IF('C'!Q38&lt;&gt;'C'!R38,IF('C'!Q38&lt;&gt;0,IF('C'!S38&lt;&gt;'C'!T38,0,Q38),Q38),Q38)</f>
        <v>0</v>
      </c>
      <c r="S38" s="796">
        <f>IF('C'!Q38&lt;&gt;'C'!R38,IF('C'!Q38&lt;&gt;0,IF('C'!S38&lt;&gt;'C'!T38,'C'!S38+1,),),)</f>
        <v>0</v>
      </c>
      <c r="T38" s="796">
        <f>IF('C'!Q38&lt;&gt;'C'!R38,IF('C'!Q38&lt;&gt;0,IF('C'!S38&lt;&gt;'C'!T38,'C'!T38,),),)</f>
        <v>0</v>
      </c>
      <c r="U38" s="797">
        <f>IF('C'!Q38&lt;&gt;'C'!R38,IF('C'!Q38&lt;&gt;0,IF('C'!S38&lt;&gt;'C'!T38,'C'!U38,),),)</f>
        <v>0</v>
      </c>
      <c r="V38" s="875">
        <f>IF('C'!Q38&lt;&gt;'C'!R38,IF('C'!Q38&lt;&gt;0,IF('C'!S38&lt;&gt;'C'!T38,'C'!V38,),),)</f>
        <v>0</v>
      </c>
      <c r="W38" s="625">
        <f>IF(Q38="","",$W$5-SUM($Q$7:Q38))</f>
        <v>0</v>
      </c>
      <c r="X38" s="621"/>
      <c r="Y38" s="906" t="str">
        <f>IF('C'!Y38&lt;&gt;"",'C'!Y38,)</f>
        <v>Religious expenses</v>
      </c>
      <c r="Z38" s="457">
        <f>'C'!Z38</f>
        <v>0</v>
      </c>
      <c r="AA38" s="20">
        <f t="shared" si="0"/>
        <v>0</v>
      </c>
      <c r="AB38" s="723"/>
      <c r="AC38" s="723"/>
      <c r="AD38" s="36">
        <f t="shared" si="1"/>
        <v>0</v>
      </c>
      <c r="AE38" s="23">
        <f t="shared" si="5"/>
        <v>0</v>
      </c>
      <c r="AF38" s="367"/>
      <c r="AG38" s="728">
        <f t="shared" si="2"/>
        <v>0</v>
      </c>
      <c r="AH38" s="367"/>
      <c r="AI38" s="375">
        <v>0</v>
      </c>
      <c r="AJ38" s="367"/>
      <c r="AK38" s="367"/>
      <c r="AL38" s="367"/>
      <c r="AM38" s="367"/>
      <c r="AN38" s="367"/>
      <c r="AO38" s="86"/>
      <c r="AP38" s="51">
        <f t="shared" si="3"/>
        <v>0</v>
      </c>
      <c r="AQ38" s="476">
        <f>'C'!AQ38+'C'!AP38</f>
        <v>0</v>
      </c>
      <c r="AR38" s="476">
        <f t="shared" si="4"/>
        <v>0</v>
      </c>
      <c r="AS38" s="477">
        <f>AD38+'C'!AS38</f>
        <v>0</v>
      </c>
      <c r="AT38" s="477">
        <f>AA38+'C'!AT38</f>
        <v>0</v>
      </c>
      <c r="AU38" s="476"/>
      <c r="AV38" s="477">
        <f>'C'!AV38-'C'!AD38+D!Z38-'C'!AP38</f>
        <v>0</v>
      </c>
      <c r="AW38" s="476">
        <f t="shared" si="6"/>
        <v>0</v>
      </c>
      <c r="AX38" s="52">
        <f>IF(Z38='C'!Z38,'C'!AE38-AD38,'C'!AE38+(Z38-'C'!Z38)*$AW$16-AD38)</f>
        <v>0</v>
      </c>
      <c r="AZ38" s="726">
        <f t="shared" si="7"/>
        <v>0</v>
      </c>
    </row>
    <row r="39" spans="1:52" ht="15" customHeight="1">
      <c r="A39" s="367"/>
      <c r="B39" s="850">
        <f ca="1">IF('C'!B39&lt;&gt;"",'C'!B39,)</f>
        <v>0</v>
      </c>
      <c r="C39" s="454">
        <f ca="1">'C'!C39</f>
        <v>0</v>
      </c>
      <c r="D39" s="74"/>
      <c r="E39" s="521"/>
      <c r="F39" s="858"/>
      <c r="G39" s="367"/>
      <c r="H39" s="543"/>
      <c r="I39" s="853"/>
      <c r="J39" s="6"/>
      <c r="K39" s="541"/>
      <c r="L39" s="860"/>
      <c r="M39" s="20" t="str">
        <f>IF(J39="","",$M$5-SUM($J$7:J39))</f>
        <v/>
      </c>
      <c r="N39" s="367"/>
      <c r="O39" s="7"/>
      <c r="P39" s="872">
        <f>IF('C'!Q39&lt;&gt;'C'!R39,IF('C'!Q39&lt;&gt;0,IF('C'!S39&lt;&gt;'C'!T39,'C'!P39,),),)</f>
        <v>0</v>
      </c>
      <c r="Q39" s="795">
        <f>IF('C'!Q39&lt;&gt;'C'!R39,IF('C'!Q39&lt;&gt;0,IF('C'!S39&lt;&gt;'C'!T39,'C'!Q39,),),)</f>
        <v>0</v>
      </c>
      <c r="R39" s="628">
        <f>IF('C'!Q39&lt;&gt;'C'!R39,IF('C'!Q39&lt;&gt;0,IF('C'!S39&lt;&gt;'C'!T39,0,Q39),Q39),Q39)</f>
        <v>0</v>
      </c>
      <c r="S39" s="796">
        <f>IF('C'!Q39&lt;&gt;'C'!R39,IF('C'!Q39&lt;&gt;0,IF('C'!S39&lt;&gt;'C'!T39,'C'!S39+1,),),)</f>
        <v>0</v>
      </c>
      <c r="T39" s="796">
        <f>IF('C'!Q39&lt;&gt;'C'!R39,IF('C'!Q39&lt;&gt;0,IF('C'!S39&lt;&gt;'C'!T39,'C'!T39,),),)</f>
        <v>0</v>
      </c>
      <c r="U39" s="797">
        <f>IF('C'!Q39&lt;&gt;'C'!R39,IF('C'!Q39&lt;&gt;0,IF('C'!S39&lt;&gt;'C'!T39,'C'!U39,),),)</f>
        <v>0</v>
      </c>
      <c r="V39" s="875">
        <f>IF('C'!Q39&lt;&gt;'C'!R39,IF('C'!Q39&lt;&gt;0,IF('C'!S39&lt;&gt;'C'!T39,'C'!V39,),),)</f>
        <v>0</v>
      </c>
      <c r="W39" s="622">
        <f>IF(Q39="","",$W$5-SUM($Q$7:Q39))</f>
        <v>0</v>
      </c>
      <c r="X39" s="395"/>
      <c r="Y39" s="906" t="str">
        <f>IF('C'!Y39&lt;&gt;"",'C'!Y39,)</f>
        <v>Gifts</v>
      </c>
      <c r="Z39" s="457">
        <f>'C'!Z39</f>
        <v>0</v>
      </c>
      <c r="AA39" s="20">
        <f t="shared" si="0"/>
        <v>0</v>
      </c>
      <c r="AB39" s="723"/>
      <c r="AC39" s="723"/>
      <c r="AD39" s="36">
        <f t="shared" si="1"/>
        <v>0</v>
      </c>
      <c r="AE39" s="23">
        <f t="shared" si="5"/>
        <v>0</v>
      </c>
      <c r="AF39" s="367"/>
      <c r="AG39" s="728">
        <f t="shared" si="2"/>
        <v>0</v>
      </c>
      <c r="AH39" s="367"/>
      <c r="AI39" s="375">
        <v>0</v>
      </c>
      <c r="AJ39" s="367"/>
      <c r="AK39" s="367"/>
      <c r="AL39" s="367"/>
      <c r="AM39" s="367"/>
      <c r="AN39" s="367"/>
      <c r="AO39" s="86"/>
      <c r="AP39" s="51">
        <f t="shared" si="3"/>
        <v>0</v>
      </c>
      <c r="AQ39" s="476">
        <f>'C'!AQ39+'C'!AP39</f>
        <v>0</v>
      </c>
      <c r="AR39" s="476">
        <f t="shared" si="4"/>
        <v>0</v>
      </c>
      <c r="AS39" s="477">
        <f>AD39+'C'!AS39</f>
        <v>0</v>
      </c>
      <c r="AT39" s="477">
        <f>AA39+'C'!AT39</f>
        <v>0</v>
      </c>
      <c r="AU39" s="476"/>
      <c r="AV39" s="477">
        <f>'C'!AV39-'C'!AD39+D!Z39-'C'!AP39</f>
        <v>0</v>
      </c>
      <c r="AW39" s="476">
        <f t="shared" si="6"/>
        <v>0</v>
      </c>
      <c r="AX39" s="52">
        <f>IF(Z39='C'!Z39,'C'!AE39-AD39,'C'!AE39+(Z39-'C'!Z39)*$AW$16-AD39)</f>
        <v>0</v>
      </c>
      <c r="AZ39" s="726">
        <f t="shared" si="7"/>
        <v>0</v>
      </c>
    </row>
    <row r="40" spans="1:52" ht="15" customHeight="1">
      <c r="A40" s="367"/>
      <c r="B40" s="16" t="s">
        <v>179</v>
      </c>
      <c r="C40" s="77">
        <f ca="1">SUM(C27:C39)+SUM(C65:C86)</f>
        <v>0</v>
      </c>
      <c r="D40" s="75">
        <f>SUM(D27:D39)+SUM(D65:D86)</f>
        <v>0</v>
      </c>
      <c r="E40" s="515"/>
      <c r="F40" s="515"/>
      <c r="G40" s="367"/>
      <c r="H40" s="543"/>
      <c r="I40" s="853"/>
      <c r="J40" s="6"/>
      <c r="K40" s="541"/>
      <c r="L40" s="860"/>
      <c r="M40" s="20" t="str">
        <f>IF(J40="","",$M$5-SUM($J$7:J40))</f>
        <v/>
      </c>
      <c r="N40" s="367"/>
      <c r="O40" s="7"/>
      <c r="P40" s="871">
        <f>IF('C'!Q40&lt;&gt;'C'!R40,IF('C'!Q40&lt;&gt;0,IF('C'!S40&lt;&gt;'C'!T40,'C'!P40,),),)</f>
        <v>0</v>
      </c>
      <c r="Q40" s="795">
        <f>IF('C'!Q40&lt;&gt;'C'!R40,IF('C'!Q40&lt;&gt;0,IF('C'!S40&lt;&gt;'C'!T40,'C'!Q40,),),)</f>
        <v>0</v>
      </c>
      <c r="R40" s="628">
        <f>IF('C'!Q40&lt;&gt;'C'!R40,IF('C'!Q40&lt;&gt;0,IF('C'!S40&lt;&gt;'C'!T40,0,Q40),Q40),Q40)</f>
        <v>0</v>
      </c>
      <c r="S40" s="796">
        <f>IF('C'!Q40&lt;&gt;'C'!R40,IF('C'!Q40&lt;&gt;0,IF('C'!S40&lt;&gt;'C'!T40,'C'!S40+1,),),)</f>
        <v>0</v>
      </c>
      <c r="T40" s="796">
        <f>IF('C'!Q40&lt;&gt;'C'!R40,IF('C'!Q40&lt;&gt;0,IF('C'!S40&lt;&gt;'C'!T40,'C'!T40,),),)</f>
        <v>0</v>
      </c>
      <c r="U40" s="797">
        <f>IF('C'!Q40&lt;&gt;'C'!R40,IF('C'!Q40&lt;&gt;0,IF('C'!S40&lt;&gt;'C'!T40,'C'!U40,),),)</f>
        <v>0</v>
      </c>
      <c r="V40" s="875">
        <f>IF('C'!Q40&lt;&gt;'C'!R40,IF('C'!Q40&lt;&gt;0,IF('C'!S40&lt;&gt;'C'!T40,'C'!V40,),),)</f>
        <v>0</v>
      </c>
      <c r="W40" s="622">
        <f>IF(Q40="","",$W$5-SUM($Q$7:Q40))</f>
        <v>0</v>
      </c>
      <c r="X40" s="395"/>
      <c r="Y40" s="906" t="str">
        <f>IF('C'!Y40&lt;&gt;"",'C'!Y40,)</f>
        <v>Small Purchases</v>
      </c>
      <c r="Z40" s="457">
        <f>'C'!Z40</f>
        <v>0</v>
      </c>
      <c r="AA40" s="20">
        <f t="shared" si="0"/>
        <v>0</v>
      </c>
      <c r="AB40" s="723"/>
      <c r="AC40" s="723"/>
      <c r="AD40" s="36">
        <f t="shared" si="1"/>
        <v>0</v>
      </c>
      <c r="AE40" s="23">
        <f t="shared" si="5"/>
        <v>0</v>
      </c>
      <c r="AF40" s="367"/>
      <c r="AG40" s="728">
        <f t="shared" si="2"/>
        <v>0</v>
      </c>
      <c r="AH40" s="367"/>
      <c r="AI40" s="375">
        <v>0</v>
      </c>
      <c r="AJ40" s="367"/>
      <c r="AK40" s="367"/>
      <c r="AL40" s="367"/>
      <c r="AM40" s="367"/>
      <c r="AN40" s="367"/>
      <c r="AO40" s="86"/>
      <c r="AP40" s="51">
        <f t="shared" si="3"/>
        <v>0</v>
      </c>
      <c r="AQ40" s="476">
        <f>'C'!AQ40+'C'!AP40</f>
        <v>0</v>
      </c>
      <c r="AR40" s="476">
        <f t="shared" si="4"/>
        <v>0</v>
      </c>
      <c r="AS40" s="477">
        <f>AD40+'C'!AS40</f>
        <v>0</v>
      </c>
      <c r="AT40" s="477">
        <f>AA40+'C'!AT40</f>
        <v>0</v>
      </c>
      <c r="AU40" s="476"/>
      <c r="AV40" s="477">
        <f>'C'!AV40-'C'!AD40+D!Z40-'C'!AP40</f>
        <v>0</v>
      </c>
      <c r="AW40" s="476">
        <f t="shared" si="6"/>
        <v>0</v>
      </c>
      <c r="AX40" s="52">
        <f>IF(Z40='C'!Z40,'C'!AE40-AD40,'C'!AE40+(Z40-'C'!Z40)*$AW$16-AD40)</f>
        <v>0</v>
      </c>
      <c r="AZ40" s="726">
        <f t="shared" si="7"/>
        <v>0</v>
      </c>
    </row>
    <row r="41" spans="1:52" ht="15" customHeight="1" thickBot="1">
      <c r="A41" s="367"/>
      <c r="B41" s="11" t="s">
        <v>367</v>
      </c>
      <c r="C41" s="1093">
        <f ca="1">C40-D40</f>
        <v>0</v>
      </c>
      <c r="D41" s="1094"/>
      <c r="E41" s="517"/>
      <c r="F41" s="517"/>
      <c r="G41" s="367"/>
      <c r="H41" s="543"/>
      <c r="I41" s="853"/>
      <c r="J41" s="6"/>
      <c r="K41" s="541"/>
      <c r="L41" s="860"/>
      <c r="M41" s="20" t="str">
        <f>IF(J41="","",$M$5-SUM($J$7:J41))</f>
        <v/>
      </c>
      <c r="N41" s="367"/>
      <c r="O41" s="7"/>
      <c r="P41" s="871">
        <f>IF('C'!Q41&lt;&gt;'C'!R41,IF('C'!Q41&lt;&gt;0,IF('C'!S41&lt;&gt;'C'!T41,'C'!P41,),),)</f>
        <v>0</v>
      </c>
      <c r="Q41" s="795">
        <f>IF('C'!Q41&lt;&gt;'C'!R41,IF('C'!Q41&lt;&gt;0,IF('C'!S41&lt;&gt;'C'!T41,'C'!Q41,),),)</f>
        <v>0</v>
      </c>
      <c r="R41" s="628">
        <f>IF('C'!Q41&lt;&gt;'C'!R41,IF('C'!Q41&lt;&gt;0,IF('C'!S41&lt;&gt;'C'!T41,0,Q41),Q41),Q41)</f>
        <v>0</v>
      </c>
      <c r="S41" s="796">
        <f>IF('C'!Q41&lt;&gt;'C'!R41,IF('C'!Q41&lt;&gt;0,IF('C'!S41&lt;&gt;'C'!T41,'C'!S41+1,),),)</f>
        <v>0</v>
      </c>
      <c r="T41" s="796">
        <f>IF('C'!Q41&lt;&gt;'C'!R41,IF('C'!Q41&lt;&gt;0,IF('C'!S41&lt;&gt;'C'!T41,'C'!T41,),),)</f>
        <v>0</v>
      </c>
      <c r="U41" s="797">
        <f>IF('C'!Q41&lt;&gt;'C'!R41,IF('C'!Q41&lt;&gt;0,IF('C'!S41&lt;&gt;'C'!T41,'C'!U41,),),)</f>
        <v>0</v>
      </c>
      <c r="V41" s="875">
        <f>IF('C'!Q41&lt;&gt;'C'!R41,IF('C'!Q41&lt;&gt;0,IF('C'!S41&lt;&gt;'C'!T41,'C'!V41,),),)</f>
        <v>0</v>
      </c>
      <c r="W41" s="622">
        <f>IF(Q41="","",$W$5-SUM($Q$7:Q41))</f>
        <v>0</v>
      </c>
      <c r="X41" s="395"/>
      <c r="Y41" s="905" t="str">
        <f>IF('C'!Y41&lt;&gt;"",'C'!Y41,)</f>
        <v>Haircuts / Cosmetics Treatments</v>
      </c>
      <c r="Z41" s="457">
        <f>'C'!Z41</f>
        <v>0</v>
      </c>
      <c r="AA41" s="20">
        <f t="shared" si="0"/>
        <v>0</v>
      </c>
      <c r="AB41" s="723"/>
      <c r="AC41" s="723"/>
      <c r="AD41" s="36">
        <f t="shared" si="1"/>
        <v>0</v>
      </c>
      <c r="AE41" s="23">
        <f t="shared" si="5"/>
        <v>0</v>
      </c>
      <c r="AF41" s="367"/>
      <c r="AG41" s="728">
        <f t="shared" si="2"/>
        <v>0</v>
      </c>
      <c r="AH41" s="367"/>
      <c r="AI41" s="375">
        <v>0</v>
      </c>
      <c r="AJ41" s="367"/>
      <c r="AK41" s="367"/>
      <c r="AL41" s="367"/>
      <c r="AM41" s="367"/>
      <c r="AN41" s="367"/>
      <c r="AO41" s="86"/>
      <c r="AP41" s="51">
        <f t="shared" si="3"/>
        <v>0</v>
      </c>
      <c r="AQ41" s="476">
        <f>'C'!AQ41+'C'!AP41</f>
        <v>0</v>
      </c>
      <c r="AR41" s="476">
        <f t="shared" si="4"/>
        <v>0</v>
      </c>
      <c r="AS41" s="477">
        <f>AD41+'C'!AS41</f>
        <v>0</v>
      </c>
      <c r="AT41" s="477">
        <f>AA41+'C'!AT41</f>
        <v>0</v>
      </c>
      <c r="AU41" s="476"/>
      <c r="AV41" s="477">
        <f>'C'!AV41-'C'!AD41+D!Z41-'C'!AP41</f>
        <v>0</v>
      </c>
      <c r="AW41" s="476">
        <f t="shared" si="6"/>
        <v>0</v>
      </c>
      <c r="AX41" s="52">
        <f>IF(Z41='C'!Z41,'C'!AE41-AD41,'C'!AE41+(Z41-'C'!Z41)*$AW$16-AD41)</f>
        <v>0</v>
      </c>
      <c r="AZ41" s="726">
        <f t="shared" si="7"/>
        <v>0</v>
      </c>
    </row>
    <row r="42" spans="1:52" ht="15" customHeight="1">
      <c r="A42" s="367"/>
      <c r="B42" s="1095" t="str">
        <f ca="1">IF(C41&gt;0,"Unexpected positive difference - Check why!","")</f>
        <v/>
      </c>
      <c r="C42" s="1095"/>
      <c r="D42" s="1095"/>
      <c r="E42" s="514"/>
      <c r="F42" s="514"/>
      <c r="G42" s="367"/>
      <c r="H42" s="543"/>
      <c r="I42" s="853"/>
      <c r="J42" s="6"/>
      <c r="K42" s="541"/>
      <c r="L42" s="860"/>
      <c r="M42" s="20" t="str">
        <f>IF(J42="","",$M$5-SUM($J$7:J42))</f>
        <v/>
      </c>
      <c r="N42" s="367"/>
      <c r="O42" s="7"/>
      <c r="P42" s="873">
        <f>IF('C'!Q42&lt;&gt;'C'!R42,IF('C'!Q42&lt;&gt;0,IF('C'!S42&lt;&gt;'C'!T42,'C'!P42,),),)</f>
        <v>0</v>
      </c>
      <c r="Q42" s="795">
        <f>IF('C'!Q42&lt;&gt;'C'!R42,IF('C'!Q42&lt;&gt;0,IF('C'!S42&lt;&gt;'C'!T42,'C'!Q42,),),)</f>
        <v>0</v>
      </c>
      <c r="R42" s="628">
        <f>IF('C'!Q42&lt;&gt;'C'!R42,IF('C'!Q42&lt;&gt;0,IF('C'!S42&lt;&gt;'C'!T42,0,Q42),Q42),Q42)</f>
        <v>0</v>
      </c>
      <c r="S42" s="796">
        <f>IF('C'!Q42&lt;&gt;'C'!R42,IF('C'!Q42&lt;&gt;0,IF('C'!S42&lt;&gt;'C'!T42,'C'!S42+1,),),)</f>
        <v>0</v>
      </c>
      <c r="T42" s="796">
        <f>IF('C'!Q42&lt;&gt;'C'!R42,IF('C'!Q42&lt;&gt;0,IF('C'!S42&lt;&gt;'C'!T42,'C'!T42,),),)</f>
        <v>0</v>
      </c>
      <c r="U42" s="797">
        <f>IF('C'!Q42&lt;&gt;'C'!R42,IF('C'!Q42&lt;&gt;0,IF('C'!S42&lt;&gt;'C'!T42,'C'!U42,),),)</f>
        <v>0</v>
      </c>
      <c r="V42" s="875">
        <f>IF('C'!Q42&lt;&gt;'C'!R42,IF('C'!Q42&lt;&gt;0,IF('C'!S42&lt;&gt;'C'!T42,'C'!V42,),),)</f>
        <v>0</v>
      </c>
      <c r="W42" s="622">
        <f>IF(Q42="","",$W$5-SUM($Q$7:Q42))</f>
        <v>0</v>
      </c>
      <c r="X42" s="395"/>
      <c r="Y42" s="905" t="str">
        <f>IF('C'!Y42&lt;&gt;"",'C'!Y42,)</f>
        <v>National Insurance</v>
      </c>
      <c r="Z42" s="457">
        <f>'C'!Z42</f>
        <v>0</v>
      </c>
      <c r="AA42" s="20">
        <f t="shared" si="0"/>
        <v>0</v>
      </c>
      <c r="AB42" s="723"/>
      <c r="AC42" s="723"/>
      <c r="AD42" s="36">
        <f t="shared" si="1"/>
        <v>0</v>
      </c>
      <c r="AE42" s="23">
        <f t="shared" si="5"/>
        <v>0</v>
      </c>
      <c r="AF42" s="367"/>
      <c r="AG42" s="728">
        <f t="shared" si="2"/>
        <v>0</v>
      </c>
      <c r="AH42" s="367"/>
      <c r="AI42" s="375">
        <v>0</v>
      </c>
      <c r="AJ42" s="367"/>
      <c r="AK42" s="367"/>
      <c r="AL42" s="367"/>
      <c r="AM42" s="367"/>
      <c r="AN42" s="367"/>
      <c r="AO42" s="86"/>
      <c r="AP42" s="51">
        <f t="shared" si="3"/>
        <v>0</v>
      </c>
      <c r="AQ42" s="476">
        <f>'C'!AQ42+'C'!AP42</f>
        <v>0</v>
      </c>
      <c r="AR42" s="476">
        <f t="shared" si="4"/>
        <v>0</v>
      </c>
      <c r="AS42" s="477">
        <f>AD42+'C'!AS42</f>
        <v>0</v>
      </c>
      <c r="AT42" s="477">
        <f>AA42+'C'!AT42</f>
        <v>0</v>
      </c>
      <c r="AU42" s="476"/>
      <c r="AV42" s="477">
        <f>'C'!AV42-'C'!AD42+D!Z42-'C'!AP42</f>
        <v>0</v>
      </c>
      <c r="AW42" s="476">
        <f t="shared" si="6"/>
        <v>0</v>
      </c>
      <c r="AX42" s="52">
        <f>IF(Z42='C'!Z42,'C'!AE42-AD42,'C'!AE42+(Z42-'C'!Z42)*$AW$16-AD42)</f>
        <v>0</v>
      </c>
      <c r="AZ42" s="726">
        <f t="shared" si="7"/>
        <v>0</v>
      </c>
    </row>
    <row r="43" spans="1:52" ht="15" customHeight="1" thickBot="1">
      <c r="A43" s="367"/>
      <c r="B43" s="1117" t="s">
        <v>351</v>
      </c>
      <c r="C43" s="1117"/>
      <c r="D43" s="367"/>
      <c r="E43" s="367"/>
      <c r="F43" s="367"/>
      <c r="G43" s="367"/>
      <c r="H43" s="543"/>
      <c r="I43" s="854"/>
      <c r="J43" s="6"/>
      <c r="K43" s="541"/>
      <c r="L43" s="860"/>
      <c r="M43" s="20" t="str">
        <f>IF(J43="","",$M$5-SUM($J$7:J43))</f>
        <v/>
      </c>
      <c r="N43" s="367"/>
      <c r="O43" s="7"/>
      <c r="P43" s="871">
        <f>IF('C'!Q43&lt;&gt;'C'!R43,IF('C'!Q43&lt;&gt;0,IF('C'!S43&lt;&gt;'C'!T43,'C'!P43,),),)</f>
        <v>0</v>
      </c>
      <c r="Q43" s="795">
        <f>IF('C'!Q43&lt;&gt;'C'!R43,IF('C'!Q43&lt;&gt;0,IF('C'!S43&lt;&gt;'C'!T43,'C'!Q43,),),)</f>
        <v>0</v>
      </c>
      <c r="R43" s="628">
        <f>IF('C'!Q43&lt;&gt;'C'!R43,IF('C'!Q43&lt;&gt;0,IF('C'!S43&lt;&gt;'C'!T43,0,Q43),Q43),Q43)</f>
        <v>0</v>
      </c>
      <c r="S43" s="796">
        <f>IF('C'!Q43&lt;&gt;'C'!R43,IF('C'!Q43&lt;&gt;0,IF('C'!S43&lt;&gt;'C'!T43,'C'!S43+1,),),)</f>
        <v>0</v>
      </c>
      <c r="T43" s="796">
        <f>IF('C'!Q43&lt;&gt;'C'!R43,IF('C'!Q43&lt;&gt;0,IF('C'!S43&lt;&gt;'C'!T43,'C'!T43,),),)</f>
        <v>0</v>
      </c>
      <c r="U43" s="797">
        <f>IF('C'!Q43&lt;&gt;'C'!R43,IF('C'!Q43&lt;&gt;0,IF('C'!S43&lt;&gt;'C'!T43,'C'!U43,),),)</f>
        <v>0</v>
      </c>
      <c r="V43" s="875">
        <f>IF('C'!Q43&lt;&gt;'C'!R43,IF('C'!Q43&lt;&gt;0,IF('C'!S43&lt;&gt;'C'!T43,'C'!V43,),),)</f>
        <v>0</v>
      </c>
      <c r="W43" s="622">
        <f>IF(Q43="","",$W$5-SUM($Q$7:Q43))</f>
        <v>0</v>
      </c>
      <c r="X43" s="395"/>
      <c r="Y43" s="905">
        <f>IF('C'!Y43&lt;&gt;"",'C'!Y43,)</f>
        <v>0</v>
      </c>
      <c r="Z43" s="457">
        <f>'C'!Z43</f>
        <v>0</v>
      </c>
      <c r="AA43" s="20">
        <f t="shared" si="0"/>
        <v>0</v>
      </c>
      <c r="AB43" s="723"/>
      <c r="AC43" s="723"/>
      <c r="AD43" s="36">
        <f t="shared" si="1"/>
        <v>0</v>
      </c>
      <c r="AE43" s="23">
        <f t="shared" si="5"/>
        <v>0</v>
      </c>
      <c r="AF43" s="367"/>
      <c r="AG43" s="728">
        <f t="shared" si="2"/>
        <v>0</v>
      </c>
      <c r="AH43" s="367"/>
      <c r="AI43" s="375">
        <v>0</v>
      </c>
      <c r="AJ43" s="367"/>
      <c r="AK43" s="367"/>
      <c r="AL43" s="367"/>
      <c r="AM43" s="367"/>
      <c r="AN43" s="367"/>
      <c r="AO43" s="86"/>
      <c r="AP43" s="51">
        <f t="shared" si="3"/>
        <v>0</v>
      </c>
      <c r="AQ43" s="476">
        <f>'C'!AQ43+'C'!AP43</f>
        <v>0</v>
      </c>
      <c r="AR43" s="476">
        <f t="shared" si="4"/>
        <v>0</v>
      </c>
      <c r="AS43" s="477">
        <f>AD43+'C'!AS43</f>
        <v>0</v>
      </c>
      <c r="AT43" s="477">
        <f>AA43+'C'!AT43</f>
        <v>0</v>
      </c>
      <c r="AU43" s="476"/>
      <c r="AV43" s="477">
        <f>'C'!AV43-'C'!AD43+D!Z43-'C'!AP43</f>
        <v>0</v>
      </c>
      <c r="AW43" s="476">
        <f t="shared" si="6"/>
        <v>0</v>
      </c>
      <c r="AX43" s="52">
        <f>IF(Z43='C'!Z43,'C'!AE43-AD43,'C'!AE43+(Z43-'C'!Z43)*$AW$16-AD43)</f>
        <v>0</v>
      </c>
      <c r="AZ43" s="726">
        <f t="shared" si="7"/>
        <v>0</v>
      </c>
    </row>
    <row r="44" spans="1:52" ht="15" customHeight="1">
      <c r="A44" s="367"/>
      <c r="B44" s="811" t="s">
        <v>353</v>
      </c>
      <c r="C44" s="100" t="s">
        <v>354</v>
      </c>
      <c r="D44" s="915" t="s">
        <v>494</v>
      </c>
      <c r="E44" s="518"/>
      <c r="F44" s="518"/>
      <c r="G44" s="367"/>
      <c r="H44" s="543"/>
      <c r="I44" s="853"/>
      <c r="J44" s="6"/>
      <c r="K44" s="541"/>
      <c r="L44" s="860"/>
      <c r="M44" s="20" t="str">
        <f>IF(J44="","",$M$5-SUM($J$7:J44))</f>
        <v/>
      </c>
      <c r="N44" s="367"/>
      <c r="O44" s="7"/>
      <c r="P44" s="871">
        <f>IF('C'!Q44&lt;&gt;'C'!R44,IF('C'!Q44&lt;&gt;0,IF('C'!S44&lt;&gt;'C'!T44,'C'!P44,),),)</f>
        <v>0</v>
      </c>
      <c r="Q44" s="795">
        <f>IF('C'!Q44&lt;&gt;'C'!R44,IF('C'!Q44&lt;&gt;0,IF('C'!S44&lt;&gt;'C'!T44,'C'!Q44,),),)</f>
        <v>0</v>
      </c>
      <c r="R44" s="628">
        <f>IF('C'!Q44&lt;&gt;'C'!R44,IF('C'!Q44&lt;&gt;0,IF('C'!S44&lt;&gt;'C'!T44,0,Q44),Q44),Q44)</f>
        <v>0</v>
      </c>
      <c r="S44" s="796">
        <f>IF('C'!Q44&lt;&gt;'C'!R44,IF('C'!Q44&lt;&gt;0,IF('C'!S44&lt;&gt;'C'!T44,'C'!S44+1,),),)</f>
        <v>0</v>
      </c>
      <c r="T44" s="796">
        <f>IF('C'!Q44&lt;&gt;'C'!R44,IF('C'!Q44&lt;&gt;0,IF('C'!S44&lt;&gt;'C'!T44,'C'!T44,),),)</f>
        <v>0</v>
      </c>
      <c r="U44" s="797">
        <f>IF('C'!Q44&lt;&gt;'C'!R44,IF('C'!Q44&lt;&gt;0,IF('C'!S44&lt;&gt;'C'!T44,'C'!U44,),),)</f>
        <v>0</v>
      </c>
      <c r="V44" s="875">
        <f>IF('C'!Q44&lt;&gt;'C'!R44,IF('C'!Q44&lt;&gt;0,IF('C'!S44&lt;&gt;'C'!T44,'C'!V44,),),)</f>
        <v>0</v>
      </c>
      <c r="W44" s="622">
        <f>IF(Q44="","",$W$5-SUM($Q$7:Q44))</f>
        <v>0</v>
      </c>
      <c r="X44" s="396"/>
      <c r="Y44" s="905">
        <f>IF('C'!Y44&lt;&gt;"",'C'!Y44,)</f>
        <v>0</v>
      </c>
      <c r="Z44" s="457">
        <f>'C'!Z44</f>
        <v>0</v>
      </c>
      <c r="AA44" s="20">
        <f t="shared" si="0"/>
        <v>0</v>
      </c>
      <c r="AB44" s="723"/>
      <c r="AC44" s="723"/>
      <c r="AD44" s="36">
        <f t="shared" si="1"/>
        <v>0</v>
      </c>
      <c r="AE44" s="23">
        <f t="shared" si="5"/>
        <v>0</v>
      </c>
      <c r="AF44" s="367"/>
      <c r="AG44" s="728">
        <f t="shared" si="2"/>
        <v>0</v>
      </c>
      <c r="AH44" s="367"/>
      <c r="AI44" s="375">
        <v>0</v>
      </c>
      <c r="AJ44" s="367"/>
      <c r="AK44" s="367"/>
      <c r="AL44" s="367"/>
      <c r="AM44" s="367"/>
      <c r="AN44" s="367"/>
      <c r="AO44" s="86"/>
      <c r="AP44" s="51">
        <f t="shared" si="3"/>
        <v>0</v>
      </c>
      <c r="AQ44" s="476">
        <f>'C'!AQ44+'C'!AP44</f>
        <v>0</v>
      </c>
      <c r="AR44" s="476">
        <f t="shared" si="4"/>
        <v>0</v>
      </c>
      <c r="AS44" s="477">
        <f>AD44+'C'!AS44</f>
        <v>0</v>
      </c>
      <c r="AT44" s="477">
        <f>AA44+'C'!AT44</f>
        <v>0</v>
      </c>
      <c r="AU44" s="476"/>
      <c r="AV44" s="477">
        <f>'C'!AV44-'C'!AD44+D!Z44-'C'!AP44</f>
        <v>0</v>
      </c>
      <c r="AW44" s="476">
        <f t="shared" si="6"/>
        <v>0</v>
      </c>
      <c r="AX44" s="52">
        <f>IF(Z44='C'!Z44,'C'!AE44-AD44,'C'!AE44+(Z44-'C'!Z44)*$AW$16-AD44)</f>
        <v>0</v>
      </c>
      <c r="AZ44" s="727">
        <f t="shared" si="7"/>
        <v>0</v>
      </c>
    </row>
    <row r="45" spans="1:52" ht="15.75">
      <c r="A45" s="367"/>
      <c r="B45" s="850" t="str">
        <f>IF('C'!B45&lt;&gt;"",'C'!B45,)</f>
        <v>Food</v>
      </c>
      <c r="C45" s="455">
        <f>'C'!C45</f>
        <v>0</v>
      </c>
      <c r="D45" s="80">
        <f t="shared" ref="D45:D56" si="8">SUMIF($I$7:$I$110,B45,$J$7:$J$110)</f>
        <v>0</v>
      </c>
      <c r="E45" s="519"/>
      <c r="F45" s="519"/>
      <c r="G45" s="367"/>
      <c r="H45" s="543"/>
      <c r="I45" s="853"/>
      <c r="J45" s="6"/>
      <c r="K45" s="541"/>
      <c r="L45" s="860"/>
      <c r="M45" s="20" t="str">
        <f>IF(J45="","",$M$5-SUM($J$7:J45))</f>
        <v/>
      </c>
      <c r="N45" s="367"/>
      <c r="O45" s="107"/>
      <c r="P45" s="873">
        <f>IF('C'!Q45&lt;&gt;'C'!R45,IF('C'!Q45&lt;&gt;0,IF('C'!S45&lt;&gt;'C'!T45,'C'!P45,),),)</f>
        <v>0</v>
      </c>
      <c r="Q45" s="795">
        <f>IF('C'!Q45&lt;&gt;'C'!R45,IF('C'!Q45&lt;&gt;0,IF('C'!S45&lt;&gt;'C'!T45,'C'!Q45,),),)</f>
        <v>0</v>
      </c>
      <c r="R45" s="628">
        <f>IF('C'!Q45&lt;&gt;'C'!R45,IF('C'!Q45&lt;&gt;0,IF('C'!S45&lt;&gt;'C'!T45,0,Q45),Q45),Q45)</f>
        <v>0</v>
      </c>
      <c r="S45" s="796">
        <f>IF('C'!Q45&lt;&gt;'C'!R45,IF('C'!Q45&lt;&gt;0,IF('C'!S45&lt;&gt;'C'!T45,'C'!S45+1,),),)</f>
        <v>0</v>
      </c>
      <c r="T45" s="796">
        <f>IF('C'!Q45&lt;&gt;'C'!R45,IF('C'!Q45&lt;&gt;0,IF('C'!S45&lt;&gt;'C'!T45,'C'!T45,),),)</f>
        <v>0</v>
      </c>
      <c r="U45" s="797">
        <f>IF('C'!Q45&lt;&gt;'C'!R45,IF('C'!Q45&lt;&gt;0,IF('C'!S45&lt;&gt;'C'!T45,'C'!U45,),),)</f>
        <v>0</v>
      </c>
      <c r="V45" s="875">
        <f>IF('C'!Q45&lt;&gt;'C'!R45,IF('C'!Q45&lt;&gt;0,IF('C'!S45&lt;&gt;'C'!T45,'C'!V45,),),)</f>
        <v>0</v>
      </c>
      <c r="W45" s="622">
        <f>IF(Q45="","",$W$5-SUM($Q$7:Q45))</f>
        <v>0</v>
      </c>
      <c r="X45" s="397"/>
      <c r="Y45" s="18" t="s">
        <v>179</v>
      </c>
      <c r="Z45" s="17">
        <f>SUM(Z23:Z44)</f>
        <v>0</v>
      </c>
      <c r="AA45" s="20">
        <f>SUM(AA23:AA44)</f>
        <v>0</v>
      </c>
      <c r="AB45" s="723"/>
      <c r="AC45" s="723"/>
      <c r="AD45" s="36"/>
      <c r="AE45" s="24">
        <f>SUM(AE23:AE44)</f>
        <v>0</v>
      </c>
      <c r="AF45" s="367"/>
      <c r="AG45" s="367"/>
      <c r="AH45" s="367"/>
      <c r="AI45" s="367"/>
      <c r="AJ45" s="367"/>
      <c r="AK45" s="367"/>
      <c r="AL45" s="367"/>
      <c r="AM45" s="367"/>
      <c r="AN45" s="367"/>
      <c r="AO45" s="86"/>
      <c r="AP45" s="52">
        <f>SUM(AP23:AP44)</f>
        <v>0</v>
      </c>
      <c r="AQ45" s="476">
        <f>SUM(AQ23:AQ44)</f>
        <v>0</v>
      </c>
      <c r="AR45" s="476">
        <f>SUM(AR23:AR44)</f>
        <v>0</v>
      </c>
      <c r="AS45" s="476">
        <f>SUM(AS23:AS44)</f>
        <v>0</v>
      </c>
      <c r="AT45" s="476">
        <f>SUM(AT23:AT44)</f>
        <v>0</v>
      </c>
      <c r="AU45" s="476"/>
      <c r="AV45" s="476">
        <f>SUM(AV23:AV44)</f>
        <v>0</v>
      </c>
      <c r="AW45" s="476">
        <f>SUM(AW23:AW44)</f>
        <v>0</v>
      </c>
      <c r="AX45" s="52">
        <f>SUM(AX23:AX44)</f>
        <v>0</v>
      </c>
    </row>
    <row r="46" spans="1:52" ht="15.75" customHeight="1" thickBot="1">
      <c r="A46" s="367"/>
      <c r="B46" s="850" t="str">
        <f>IF('C'!B46&lt;&gt;"",'C'!B46,)</f>
        <v>Public Transportation</v>
      </c>
      <c r="C46" s="455">
        <f>'C'!C46</f>
        <v>0</v>
      </c>
      <c r="D46" s="80">
        <f t="shared" si="8"/>
        <v>0</v>
      </c>
      <c r="E46" s="519"/>
      <c r="F46" s="519"/>
      <c r="G46" s="367"/>
      <c r="H46" s="543"/>
      <c r="I46" s="853"/>
      <c r="J46" s="6"/>
      <c r="K46" s="541"/>
      <c r="L46" s="860"/>
      <c r="M46" s="20" t="str">
        <f>IF(J46="","",$M$5-SUM($J$7:J46))</f>
        <v/>
      </c>
      <c r="N46" s="367"/>
      <c r="O46" s="652"/>
      <c r="P46" s="865" t="s">
        <v>429</v>
      </c>
      <c r="Q46" s="620"/>
      <c r="R46" s="619"/>
      <c r="S46" s="629"/>
      <c r="T46" s="629"/>
      <c r="U46" s="646"/>
      <c r="V46" s="618"/>
      <c r="W46" s="627">
        <f>W5-AA45</f>
        <v>0</v>
      </c>
      <c r="X46" s="386"/>
      <c r="Y46" s="125" t="s">
        <v>367</v>
      </c>
      <c r="Z46" s="1202">
        <f>Z45-AA45</f>
        <v>0</v>
      </c>
      <c r="AA46" s="1203"/>
      <c r="AB46" s="644"/>
      <c r="AC46" s="644"/>
      <c r="AD46" s="37"/>
      <c r="AF46" s="367"/>
      <c r="AG46" s="367"/>
      <c r="AH46" s="367"/>
      <c r="AI46" s="367"/>
      <c r="AJ46" s="367"/>
      <c r="AK46" s="367"/>
      <c r="AL46" s="367"/>
      <c r="AM46" s="367"/>
      <c r="AN46" s="367"/>
      <c r="AO46" s="86"/>
    </row>
    <row r="47" spans="1:52" ht="15.75" customHeight="1">
      <c r="A47" s="367"/>
      <c r="B47" s="850" t="str">
        <f>IF('C'!B47&lt;&gt;"",'C'!B47,)</f>
        <v>Gas and Parking</v>
      </c>
      <c r="C47" s="455">
        <f>'C'!C47</f>
        <v>0</v>
      </c>
      <c r="D47" s="80">
        <f t="shared" si="8"/>
        <v>0</v>
      </c>
      <c r="E47" s="519"/>
      <c r="F47" s="519"/>
      <c r="G47" s="367"/>
      <c r="H47" s="543"/>
      <c r="I47" s="853"/>
      <c r="J47" s="6"/>
      <c r="K47" s="541"/>
      <c r="L47" s="860"/>
      <c r="M47" s="20" t="str">
        <f>IF(J47="","",$M$5-SUM($J$7:J47))</f>
        <v/>
      </c>
      <c r="N47" s="367"/>
      <c r="O47" s="385"/>
      <c r="P47" s="393"/>
      <c r="Q47" s="378"/>
      <c r="R47" s="392"/>
      <c r="S47" s="387"/>
      <c r="T47" s="387"/>
      <c r="U47" s="387"/>
      <c r="V47" s="617"/>
      <c r="W47" s="392"/>
      <c r="X47" s="386"/>
      <c r="Y47" s="388"/>
      <c r="Z47" s="389"/>
      <c r="AA47" s="389"/>
      <c r="AB47" s="389"/>
      <c r="AC47" s="389"/>
      <c r="AD47" s="389"/>
      <c r="AE47" s="367"/>
      <c r="AF47" s="367"/>
      <c r="AG47" s="367"/>
      <c r="AH47" s="367"/>
      <c r="AI47" s="367"/>
      <c r="AJ47" s="367"/>
      <c r="AK47" s="367"/>
      <c r="AL47" s="367"/>
      <c r="AM47" s="367"/>
      <c r="AN47" s="367"/>
      <c r="AO47" s="86"/>
    </row>
    <row r="48" spans="1:52" ht="19.5" thickBot="1">
      <c r="A48" s="367"/>
      <c r="B48" s="850" t="str">
        <f>IF('C'!B48&lt;&gt;"",'C'!B48,)</f>
        <v>Telephone-Landline/Long Distance</v>
      </c>
      <c r="C48" s="455">
        <f>'C'!C48</f>
        <v>0</v>
      </c>
      <c r="D48" s="80">
        <f t="shared" si="8"/>
        <v>0</v>
      </c>
      <c r="E48" s="519"/>
      <c r="F48" s="519"/>
      <c r="G48" s="367"/>
      <c r="H48" s="543"/>
      <c r="I48" s="853"/>
      <c r="J48" s="6"/>
      <c r="K48" s="541"/>
      <c r="L48" s="860"/>
      <c r="M48" s="20" t="str">
        <f>IF(J48="","",$M$5-SUM($J$7:J48))</f>
        <v/>
      </c>
      <c r="N48" s="367"/>
      <c r="P48" s="819" t="s">
        <v>395</v>
      </c>
      <c r="Q48" s="94" t="str">
        <f>M2</f>
        <v/>
      </c>
      <c r="R48" s="94" t="str">
        <f>N2</f>
        <v/>
      </c>
      <c r="S48" s="1215"/>
      <c r="T48" s="1215"/>
      <c r="U48" s="390"/>
      <c r="V48" s="390"/>
      <c r="W48" s="390"/>
      <c r="X48" s="386"/>
      <c r="Y48" s="386"/>
      <c r="Z48" s="386"/>
      <c r="AA48" s="386"/>
      <c r="AB48" s="391"/>
      <c r="AC48" s="391"/>
      <c r="AD48" s="391"/>
      <c r="AE48" s="367"/>
      <c r="AF48" s="367"/>
      <c r="AG48" s="367"/>
      <c r="AH48" s="367"/>
      <c r="AI48" s="367"/>
      <c r="AJ48" s="367"/>
      <c r="AK48" s="367"/>
      <c r="AL48" s="367"/>
      <c r="AM48" s="367"/>
      <c r="AN48" s="367"/>
      <c r="AO48" s="86"/>
    </row>
    <row r="49" spans="1:92" ht="16.5" thickBot="1">
      <c r="A49" s="367"/>
      <c r="B49" s="850" t="str">
        <f>IF('C'!B49&lt;&gt;"",'C'!B49,)</f>
        <v>Cell Phones</v>
      </c>
      <c r="C49" s="455">
        <f>'C'!C49</f>
        <v>0</v>
      </c>
      <c r="D49" s="80">
        <f t="shared" si="8"/>
        <v>0</v>
      </c>
      <c r="E49" s="519"/>
      <c r="F49" s="519"/>
      <c r="G49" s="367"/>
      <c r="H49" s="543"/>
      <c r="I49" s="853"/>
      <c r="J49" s="6"/>
      <c r="K49" s="541"/>
      <c r="L49" s="860"/>
      <c r="M49" s="20" t="str">
        <f>IF(J49="","",$M$5-SUM($J$7:J49))</f>
        <v/>
      </c>
      <c r="N49" s="367"/>
      <c r="O49" s="377"/>
      <c r="P49" s="653" t="s">
        <v>288</v>
      </c>
      <c r="Q49" s="654" t="s">
        <v>354</v>
      </c>
      <c r="R49" s="654" t="s">
        <v>398</v>
      </c>
      <c r="S49" s="1216" t="s">
        <v>298</v>
      </c>
      <c r="T49" s="1217"/>
      <c r="U49" s="648"/>
      <c r="V49" s="371"/>
      <c r="W49" s="371"/>
      <c r="X49" s="367"/>
      <c r="Y49" s="386"/>
      <c r="Z49" s="386"/>
      <c r="AA49" s="386"/>
      <c r="AB49" s="391"/>
      <c r="AC49" s="391"/>
      <c r="AD49" s="391"/>
      <c r="AE49" s="367"/>
      <c r="AF49" s="367"/>
      <c r="AG49" s="367"/>
      <c r="AH49" s="367"/>
      <c r="AI49" s="367"/>
      <c r="AJ49" s="367"/>
      <c r="AK49" s="367"/>
      <c r="AL49" s="367"/>
      <c r="AM49" s="367"/>
      <c r="AN49" s="367"/>
      <c r="AO49" s="86"/>
    </row>
    <row r="50" spans="1:92" ht="15.75">
      <c r="A50" s="367"/>
      <c r="B50" s="850" t="str">
        <f>IF('C'!B50&lt;&gt;"",'C'!B50,)</f>
        <v>Home</v>
      </c>
      <c r="C50" s="455">
        <f>'C'!C50</f>
        <v>0</v>
      </c>
      <c r="D50" s="80">
        <f t="shared" si="8"/>
        <v>0</v>
      </c>
      <c r="E50" s="519"/>
      <c r="F50" s="519"/>
      <c r="G50" s="367"/>
      <c r="H50" s="543"/>
      <c r="I50" s="853"/>
      <c r="J50" s="6"/>
      <c r="K50" s="541"/>
      <c r="L50" s="860"/>
      <c r="M50" s="20" t="str">
        <f>IF(J50="","",$M$5-SUM($J$7:J50))</f>
        <v/>
      </c>
      <c r="N50" s="367"/>
      <c r="O50" s="377"/>
      <c r="P50" s="655" t="s">
        <v>151</v>
      </c>
      <c r="Q50" s="22">
        <f>C18</f>
        <v>0</v>
      </c>
      <c r="R50" s="22">
        <f>D18</f>
        <v>0</v>
      </c>
      <c r="S50" s="1096">
        <f>Q50-R50</f>
        <v>0</v>
      </c>
      <c r="T50" s="1097"/>
      <c r="U50" s="647"/>
      <c r="V50" s="371"/>
      <c r="W50" s="371"/>
      <c r="X50" s="367"/>
      <c r="Y50" s="386"/>
      <c r="Z50" s="386"/>
      <c r="AA50" s="386"/>
      <c r="AB50" s="386"/>
      <c r="AC50" s="386"/>
      <c r="AD50" s="386"/>
      <c r="AE50" s="367"/>
      <c r="AF50" s="367"/>
      <c r="AG50" s="367"/>
      <c r="AH50" s="367"/>
      <c r="AI50" s="367"/>
      <c r="AJ50" s="367"/>
      <c r="AK50" s="367"/>
      <c r="AL50" s="367"/>
      <c r="AM50" s="367"/>
      <c r="AN50" s="367"/>
      <c r="AO50" s="86"/>
    </row>
    <row r="51" spans="1:92" ht="15.75">
      <c r="A51" s="367"/>
      <c r="B51" s="850" t="str">
        <f>IF('C'!B51&lt;&gt;"",'C'!B51,)</f>
        <v>Cleaning help / Babysitter</v>
      </c>
      <c r="C51" s="455">
        <f>'C'!C51</f>
        <v>0</v>
      </c>
      <c r="D51" s="80">
        <f t="shared" si="8"/>
        <v>0</v>
      </c>
      <c r="E51" s="519"/>
      <c r="F51" s="519"/>
      <c r="G51" s="367"/>
      <c r="H51" s="543"/>
      <c r="I51" s="853"/>
      <c r="J51" s="6"/>
      <c r="K51" s="541"/>
      <c r="L51" s="860"/>
      <c r="M51" s="20" t="str">
        <f>IF(J51="","",$M$5-SUM($J$7:J51))</f>
        <v/>
      </c>
      <c r="N51" s="367"/>
      <c r="O51" s="377"/>
      <c r="P51" s="656" t="s">
        <v>396</v>
      </c>
      <c r="Q51" s="22">
        <f>Z45</f>
        <v>0</v>
      </c>
      <c r="R51" s="22">
        <f>AA45</f>
        <v>0</v>
      </c>
      <c r="S51" s="1147">
        <f>Q51-R51</f>
        <v>0</v>
      </c>
      <c r="T51" s="1147"/>
      <c r="U51" s="647"/>
      <c r="V51" s="371"/>
      <c r="W51" s="371"/>
      <c r="X51" s="367"/>
      <c r="Y51" s="367"/>
      <c r="Z51" s="367"/>
      <c r="AA51" s="367"/>
      <c r="AB51" s="367"/>
      <c r="AC51" s="367"/>
      <c r="AD51" s="367"/>
      <c r="AE51" s="367"/>
      <c r="AF51" s="367"/>
      <c r="AG51" s="367"/>
      <c r="AH51" s="367"/>
      <c r="AI51" s="367"/>
      <c r="AJ51" s="367"/>
      <c r="AK51" s="367"/>
      <c r="AL51" s="367"/>
      <c r="AM51" s="367"/>
      <c r="AN51" s="367"/>
      <c r="AO51" s="86"/>
    </row>
    <row r="52" spans="1:92" ht="15.75">
      <c r="A52" s="367"/>
      <c r="B52" s="850" t="str">
        <f>IF('C'!B52&lt;&gt;"",'C'!B52,)</f>
        <v>Cigarettes</v>
      </c>
      <c r="C52" s="455">
        <f>'C'!C52</f>
        <v>0</v>
      </c>
      <c r="D52" s="80">
        <f t="shared" si="8"/>
        <v>0</v>
      </c>
      <c r="E52" s="519"/>
      <c r="F52" s="519"/>
      <c r="G52" s="367"/>
      <c r="H52" s="543"/>
      <c r="I52" s="853"/>
      <c r="J52" s="6"/>
      <c r="K52" s="541"/>
      <c r="L52" s="860"/>
      <c r="M52" s="20" t="str">
        <f>IF(J52="","",$M$5-SUM($J$7:J52))</f>
        <v/>
      </c>
      <c r="N52" s="367"/>
      <c r="O52" s="377"/>
      <c r="P52" s="657" t="s">
        <v>397</v>
      </c>
      <c r="Q52" s="22">
        <f>C57</f>
        <v>0</v>
      </c>
      <c r="R52" s="22">
        <f>D57</f>
        <v>0</v>
      </c>
      <c r="S52" s="1098">
        <f>Q52-R52</f>
        <v>0</v>
      </c>
      <c r="T52" s="1099"/>
      <c r="U52" s="649"/>
      <c r="V52" s="371"/>
      <c r="W52" s="370"/>
      <c r="X52" s="367"/>
      <c r="Y52" s="367"/>
      <c r="Z52" s="367"/>
      <c r="AA52" s="367"/>
      <c r="AB52" s="367"/>
      <c r="AC52" s="367"/>
      <c r="AD52" s="367"/>
      <c r="AE52" s="367"/>
      <c r="AF52" s="367"/>
      <c r="AG52" s="367"/>
      <c r="AH52" s="367"/>
      <c r="AI52" s="367"/>
      <c r="AJ52" s="367"/>
      <c r="AK52" s="367"/>
      <c r="AL52" s="367"/>
      <c r="AM52" s="367"/>
      <c r="AN52" s="367"/>
      <c r="AO52" s="86"/>
    </row>
    <row r="53" spans="1:92" ht="15.75">
      <c r="A53" s="367"/>
      <c r="B53" s="850" t="str">
        <f>IF('C'!B53&lt;&gt;"",'C'!B53,)</f>
        <v>Other</v>
      </c>
      <c r="C53" s="455">
        <f>'C'!C53</f>
        <v>0</v>
      </c>
      <c r="D53" s="80">
        <f t="shared" si="8"/>
        <v>0</v>
      </c>
      <c r="E53" s="519"/>
      <c r="F53" s="519"/>
      <c r="G53" s="367"/>
      <c r="H53" s="543"/>
      <c r="I53" s="853"/>
      <c r="J53" s="6"/>
      <c r="K53" s="541"/>
      <c r="L53" s="860"/>
      <c r="M53" s="20" t="str">
        <f>IF(J53="","",$M$5-SUM($J$7:J53))</f>
        <v/>
      </c>
      <c r="N53" s="1110" t="str">
        <f ca="1">IF(D19&lt;=0,IF(C41&lt;=0,"","Pass positive diff?"),"Pass positive diff?")</f>
        <v/>
      </c>
      <c r="O53" s="1233"/>
      <c r="P53" s="658" t="s">
        <v>308</v>
      </c>
      <c r="Q53" s="150">
        <f>SUM(Q50:Q52)</f>
        <v>0</v>
      </c>
      <c r="R53" s="150">
        <f>SUM(R50:R52)</f>
        <v>0</v>
      </c>
      <c r="S53" s="1100">
        <f>Q53-R53</f>
        <v>0</v>
      </c>
      <c r="T53" s="1101"/>
      <c r="U53" s="788"/>
      <c r="V53" s="371"/>
      <c r="W53" s="371"/>
      <c r="X53" s="367"/>
      <c r="Y53" s="367"/>
      <c r="Z53" s="367"/>
      <c r="AA53" s="367"/>
      <c r="AB53" s="367"/>
      <c r="AC53" s="367"/>
      <c r="AD53" s="367"/>
      <c r="AE53" s="367"/>
      <c r="AF53" s="367"/>
      <c r="AG53" s="367"/>
      <c r="AH53" s="367"/>
      <c r="AI53" s="367"/>
      <c r="AJ53" s="367"/>
      <c r="AK53" s="367"/>
      <c r="AL53" s="367"/>
      <c r="AM53" s="367"/>
      <c r="AN53" s="367"/>
      <c r="AO53" s="86"/>
    </row>
    <row r="54" spans="1:92" ht="15.75">
      <c r="A54" s="367"/>
      <c r="B54" s="850">
        <f>IF('C'!B54&lt;&gt;"",'C'!B54,)</f>
        <v>0</v>
      </c>
      <c r="C54" s="455">
        <f>'C'!C54</f>
        <v>0</v>
      </c>
      <c r="D54" s="80">
        <f t="shared" si="8"/>
        <v>0</v>
      </c>
      <c r="E54" s="519"/>
      <c r="F54" s="519"/>
      <c r="G54" s="367"/>
      <c r="H54" s="1199" t="s">
        <v>392</v>
      </c>
      <c r="I54" s="855" t="s">
        <v>430</v>
      </c>
      <c r="J54" s="816"/>
      <c r="K54" s="589"/>
      <c r="L54" s="590"/>
      <c r="M54" s="102">
        <f ca="1">M5-D57</f>
        <v>0</v>
      </c>
      <c r="N54" s="1110"/>
      <c r="O54" s="1233"/>
      <c r="P54" s="659" t="s">
        <v>296</v>
      </c>
      <c r="Q54" s="22">
        <f>AA4</f>
        <v>0</v>
      </c>
      <c r="R54" s="22">
        <f>AA17</f>
        <v>0</v>
      </c>
      <c r="S54" s="1096">
        <f>R54-Q54</f>
        <v>0</v>
      </c>
      <c r="T54" s="1097"/>
      <c r="U54" s="647"/>
      <c r="V54" s="371"/>
      <c r="W54" s="371"/>
      <c r="X54" s="367"/>
      <c r="Y54" s="367"/>
      <c r="Z54" s="367"/>
      <c r="AA54" s="367"/>
      <c r="AB54" s="367"/>
      <c r="AC54" s="367"/>
      <c r="AD54" s="367"/>
      <c r="AE54" s="367"/>
      <c r="AF54" s="367"/>
      <c r="AG54" s="367"/>
      <c r="AH54" s="367"/>
      <c r="AI54" s="367"/>
      <c r="AJ54" s="367"/>
      <c r="AK54" s="367"/>
      <c r="AL54" s="367"/>
      <c r="AM54" s="367"/>
      <c r="AN54" s="367"/>
      <c r="AO54" s="86"/>
    </row>
    <row r="55" spans="1:92" ht="16.5" thickBot="1">
      <c r="A55" s="367"/>
      <c r="B55" s="850">
        <f>IF('C'!B55&lt;&gt;"",'C'!B55,)</f>
        <v>0</v>
      </c>
      <c r="C55" s="455">
        <f>'C'!C55</f>
        <v>0</v>
      </c>
      <c r="D55" s="80">
        <f t="shared" si="8"/>
        <v>0</v>
      </c>
      <c r="E55" s="519"/>
      <c r="F55" s="519"/>
      <c r="G55" s="367"/>
      <c r="H55" s="1200"/>
      <c r="I55" s="856" t="s">
        <v>393</v>
      </c>
      <c r="J55" s="821"/>
      <c r="K55" s="592"/>
      <c r="L55" s="591"/>
      <c r="M55" s="99">
        <f>IF(D19&lt;=0,D19,IF(N55="Yes",D19,0))</f>
        <v>0</v>
      </c>
      <c r="N55" s="438" t="str">
        <f>IF(D19&gt;0,"No","")</f>
        <v/>
      </c>
      <c r="O55" s="377"/>
      <c r="P55" s="660" t="s">
        <v>349</v>
      </c>
      <c r="Q55" s="22">
        <f ca="1">C40</f>
        <v>0</v>
      </c>
      <c r="R55" s="22">
        <f>D40</f>
        <v>0</v>
      </c>
      <c r="S55" s="1144">
        <f ca="1">Q55-R55</f>
        <v>0</v>
      </c>
      <c r="T55" s="1146"/>
      <c r="U55" s="649"/>
      <c r="V55" s="370"/>
      <c r="W55" s="371"/>
      <c r="X55" s="367"/>
      <c r="Y55" s="367"/>
      <c r="Z55" s="367"/>
      <c r="AA55" s="367"/>
      <c r="AB55" s="367"/>
      <c r="AC55" s="367"/>
      <c r="AD55" s="367"/>
      <c r="AE55" s="367"/>
      <c r="AF55" s="367"/>
      <c r="AG55" s="367"/>
      <c r="AH55" s="367"/>
      <c r="AI55" s="367"/>
      <c r="AJ55" s="367"/>
      <c r="AK55" s="367"/>
      <c r="AL55" s="367"/>
      <c r="AM55" s="367"/>
      <c r="AN55" s="367"/>
      <c r="AO55" s="86"/>
      <c r="AP55" s="52" t="s">
        <v>408</v>
      </c>
      <c r="AQ55" s="52" t="s">
        <v>410</v>
      </c>
    </row>
    <row r="56" spans="1:92" ht="16.5" thickBot="1">
      <c r="A56" s="367"/>
      <c r="B56" s="850">
        <f>IF('C'!B56&lt;&gt;"",'C'!B56,)</f>
        <v>0</v>
      </c>
      <c r="C56" s="455">
        <f>'C'!C56</f>
        <v>0</v>
      </c>
      <c r="D56" s="80">
        <f t="shared" si="8"/>
        <v>0</v>
      </c>
      <c r="E56" s="519"/>
      <c r="F56" s="519"/>
      <c r="G56" s="367"/>
      <c r="H56" s="1201"/>
      <c r="I56" s="1115" t="s">
        <v>394</v>
      </c>
      <c r="J56" s="1116"/>
      <c r="K56" s="587"/>
      <c r="L56" s="594"/>
      <c r="M56" s="1">
        <f ca="1">IF(C41&lt;=0,C41,IF(N56="Yes",C41,0))</f>
        <v>0</v>
      </c>
      <c r="N56" s="438" t="str">
        <f ca="1">IF(C41&gt;0,"No","")</f>
        <v/>
      </c>
      <c r="O56" s="377"/>
      <c r="P56" s="661" t="s">
        <v>179</v>
      </c>
      <c r="Q56" s="662">
        <f ca="1">Q54-Q53-Q55</f>
        <v>0</v>
      </c>
      <c r="R56" s="662">
        <f>R54-R53-R55</f>
        <v>0</v>
      </c>
      <c r="S56" s="1144">
        <f ca="1">SUM(S53:S55)</f>
        <v>0</v>
      </c>
      <c r="T56" s="1145"/>
      <c r="U56" s="647"/>
      <c r="V56" s="371"/>
      <c r="W56" s="371"/>
      <c r="X56" s="367"/>
      <c r="Y56" s="367"/>
      <c r="Z56" s="367"/>
      <c r="AA56" s="367"/>
      <c r="AB56" s="367"/>
      <c r="AC56" s="367"/>
      <c r="AD56" s="367"/>
      <c r="AE56" s="367"/>
      <c r="AF56" s="367"/>
      <c r="AG56" s="367"/>
      <c r="AH56" s="367"/>
      <c r="AI56" s="367"/>
      <c r="AJ56" s="367"/>
      <c r="AK56" s="367"/>
      <c r="AL56" s="367"/>
      <c r="AM56" s="367"/>
      <c r="AN56" s="367"/>
      <c r="AO56" s="86"/>
      <c r="AP56" s="52" t="s">
        <v>409</v>
      </c>
      <c r="AQ56" s="52" t="s">
        <v>411</v>
      </c>
    </row>
    <row r="57" spans="1:92" ht="16.5" thickBot="1">
      <c r="A57" s="367"/>
      <c r="B57" s="16" t="s">
        <v>179</v>
      </c>
      <c r="C57" s="77">
        <f>SUM(C45:C56)</f>
        <v>0</v>
      </c>
      <c r="D57" s="76">
        <f>SUM(D45:D56)</f>
        <v>0</v>
      </c>
      <c r="E57" s="520"/>
      <c r="F57" s="520"/>
      <c r="G57" s="367"/>
      <c r="H57" s="12"/>
      <c r="I57" s="13"/>
      <c r="J57" s="14"/>
      <c r="K57" s="593"/>
      <c r="L57" s="14"/>
      <c r="M57" s="14"/>
      <c r="N57" s="367"/>
      <c r="O57" s="377"/>
      <c r="P57" s="438"/>
      <c r="Q57" s="790"/>
      <c r="R57" s="790"/>
      <c r="S57" s="789"/>
      <c r="T57" s="370"/>
      <c r="U57" s="370"/>
      <c r="V57" s="371"/>
      <c r="W57" s="371"/>
      <c r="X57" s="367"/>
      <c r="Y57" s="367"/>
      <c r="Z57" s="367"/>
      <c r="AA57" s="367"/>
      <c r="AB57" s="367"/>
      <c r="AC57" s="367"/>
      <c r="AD57" s="367"/>
      <c r="AE57" s="367"/>
      <c r="AF57" s="367"/>
      <c r="AG57" s="367"/>
      <c r="AH57" s="367"/>
      <c r="AI57" s="367"/>
      <c r="AJ57" s="367"/>
      <c r="AK57" s="367"/>
      <c r="AL57" s="367"/>
      <c r="AM57" s="367"/>
      <c r="AN57" s="367"/>
      <c r="AO57" s="86"/>
    </row>
    <row r="58" spans="1:92" ht="16.5" customHeight="1" thickBot="1">
      <c r="A58" s="367"/>
      <c r="B58" s="101" t="s">
        <v>367</v>
      </c>
      <c r="C58" s="1113">
        <f>C57-D57</f>
        <v>0</v>
      </c>
      <c r="D58" s="1114"/>
      <c r="E58" s="517"/>
      <c r="F58" s="517"/>
      <c r="G58" s="367"/>
      <c r="H58" s="818" t="s">
        <v>431</v>
      </c>
      <c r="I58" s="817"/>
      <c r="J58" s="817"/>
      <c r="K58" s="588"/>
      <c r="L58" s="588"/>
      <c r="M58" s="103">
        <f ca="1">SUM(M54:M56)</f>
        <v>0</v>
      </c>
      <c r="N58" s="729" t="str">
        <f>AQ55</f>
        <v>Pass</v>
      </c>
      <c r="O58" s="377"/>
      <c r="P58" s="663" t="s">
        <v>400</v>
      </c>
      <c r="Q58" s="664" t="str">
        <f>IF(Z56="","","Expected")</f>
        <v/>
      </c>
      <c r="R58" s="664" t="s">
        <v>398</v>
      </c>
      <c r="S58" s="1236" t="str">
        <f>IF(Z56="","","Diff")</f>
        <v/>
      </c>
      <c r="T58" s="1237"/>
      <c r="U58" s="651"/>
      <c r="V58" s="370"/>
      <c r="W58" s="371"/>
      <c r="X58" s="367"/>
      <c r="Y58" s="367"/>
      <c r="Z58" s="367"/>
      <c r="AA58" s="367"/>
      <c r="AB58" s="367"/>
      <c r="AC58" s="367"/>
      <c r="AD58" s="367"/>
      <c r="AE58" s="367"/>
      <c r="AF58" s="367"/>
      <c r="AG58" s="367"/>
      <c r="AH58" s="367"/>
      <c r="AI58" s="367"/>
      <c r="AJ58" s="367"/>
      <c r="AK58" s="367"/>
      <c r="AL58" s="367"/>
      <c r="AM58" s="367"/>
      <c r="AN58" s="367"/>
      <c r="AO58" s="86"/>
    </row>
    <row r="59" spans="1:92" ht="16.5" thickTop="1" thickBot="1">
      <c r="A59" s="367"/>
      <c r="B59" s="880" t="s">
        <v>382</v>
      </c>
      <c r="C59" s="367"/>
      <c r="D59" s="367"/>
      <c r="E59" s="367"/>
      <c r="F59" s="367"/>
      <c r="G59" s="367"/>
      <c r="H59" s="367"/>
      <c r="I59" s="367"/>
      <c r="J59" s="367"/>
      <c r="K59" s="367"/>
      <c r="L59" s="367"/>
      <c r="M59" s="367"/>
      <c r="N59" s="367"/>
      <c r="O59" s="377"/>
      <c r="P59" s="665" t="s">
        <v>399</v>
      </c>
      <c r="Q59" s="666">
        <f>'C'!R59+D!R56</f>
        <v>0</v>
      </c>
      <c r="R59" s="667"/>
      <c r="S59" s="1235">
        <f>Q59-R59</f>
        <v>0</v>
      </c>
      <c r="T59" s="1146"/>
      <c r="U59" s="649"/>
      <c r="V59" s="371"/>
      <c r="W59" s="371"/>
      <c r="X59" s="367"/>
      <c r="Y59" s="367"/>
      <c r="Z59" s="367"/>
      <c r="AA59" s="367"/>
      <c r="AB59" s="367"/>
      <c r="AC59" s="367"/>
      <c r="AD59" s="367"/>
      <c r="AE59" s="367"/>
      <c r="AF59" s="367"/>
      <c r="AG59" s="367"/>
      <c r="AH59" s="367"/>
      <c r="AI59" s="367"/>
      <c r="AJ59" s="367"/>
      <c r="AK59" s="367"/>
      <c r="AL59" s="367"/>
      <c r="AM59" s="367"/>
      <c r="AN59" s="367"/>
      <c r="AO59" s="86"/>
    </row>
    <row r="60" spans="1:92" ht="15">
      <c r="A60" s="367"/>
      <c r="B60" s="807" t="s">
        <v>383</v>
      </c>
      <c r="C60" s="367"/>
      <c r="D60" s="882" t="s">
        <v>384</v>
      </c>
      <c r="E60" s="367"/>
      <c r="F60" s="367"/>
      <c r="G60" s="367"/>
      <c r="I60" s="367"/>
      <c r="J60" s="367"/>
      <c r="K60" s="367"/>
      <c r="L60" s="367"/>
      <c r="M60" s="367"/>
      <c r="N60" s="367"/>
      <c r="O60" s="377"/>
      <c r="P60" s="367"/>
      <c r="Q60" s="367"/>
      <c r="R60" s="367"/>
      <c r="S60" s="371"/>
      <c r="T60" s="371"/>
      <c r="U60" s="371"/>
      <c r="V60" s="371"/>
      <c r="W60" s="367"/>
      <c r="X60" s="367"/>
      <c r="Y60" s="367"/>
      <c r="Z60" s="367"/>
      <c r="AA60" s="367"/>
      <c r="AB60" s="367"/>
      <c r="AC60" s="367"/>
      <c r="AD60" s="367"/>
      <c r="AE60" s="367"/>
      <c r="AF60" s="367"/>
      <c r="AG60" s="367"/>
      <c r="AH60" s="367"/>
      <c r="AI60" s="367"/>
      <c r="AJ60" s="367"/>
      <c r="AK60" s="367"/>
      <c r="AL60" s="367"/>
      <c r="AM60" s="367"/>
      <c r="AN60" s="367"/>
      <c r="AO60" s="86"/>
    </row>
    <row r="61" spans="1:92" ht="15.75" collapsed="1" thickBot="1">
      <c r="A61" s="367"/>
      <c r="B61" s="884" t="s">
        <v>385</v>
      </c>
      <c r="C61" s="367"/>
      <c r="D61" s="367"/>
      <c r="E61" s="367"/>
      <c r="F61" s="367"/>
      <c r="G61" s="367"/>
      <c r="I61" s="367"/>
      <c r="K61" s="510"/>
      <c r="L61" s="510"/>
      <c r="M61" s="510"/>
      <c r="N61" s="367"/>
      <c r="O61" s="511"/>
      <c r="Q61" s="367"/>
      <c r="R61" s="367"/>
      <c r="S61" s="371"/>
      <c r="T61" s="371"/>
      <c r="U61" s="371"/>
      <c r="V61" s="371"/>
      <c r="W61" s="367"/>
      <c r="X61" s="367"/>
      <c r="Y61" s="367"/>
      <c r="Z61" s="367"/>
      <c r="AA61" s="367"/>
      <c r="AB61" s="367"/>
      <c r="AC61" s="367"/>
      <c r="AD61" s="367"/>
      <c r="AE61" s="367"/>
      <c r="AF61" s="367"/>
      <c r="AG61" s="367"/>
      <c r="AH61" s="367"/>
      <c r="AI61" s="367"/>
      <c r="AJ61" s="367"/>
      <c r="AK61" s="367"/>
      <c r="AL61" s="367"/>
      <c r="AM61" s="367"/>
      <c r="AN61" s="367"/>
      <c r="AO61" s="86"/>
    </row>
    <row r="62" spans="1:92" ht="15.75" hidden="1" customHeight="1" outlineLevel="1" thickBot="1">
      <c r="A62" s="367"/>
      <c r="B62" s="367"/>
      <c r="C62" s="367"/>
      <c r="D62" s="367"/>
      <c r="E62" s="367"/>
      <c r="F62" s="367"/>
      <c r="G62" s="367"/>
      <c r="H62" s="505"/>
      <c r="I62" s="367"/>
      <c r="J62" s="367"/>
      <c r="K62" s="581"/>
      <c r="L62" s="367"/>
      <c r="M62" s="367"/>
      <c r="N62" s="367"/>
      <c r="O62" s="511"/>
      <c r="P62" s="505"/>
      <c r="Q62" s="367"/>
      <c r="R62" s="367"/>
      <c r="S62" s="371"/>
      <c r="T62" s="371"/>
      <c r="U62" s="371"/>
      <c r="V62" s="631"/>
      <c r="W62" s="367"/>
      <c r="X62" s="367"/>
      <c r="Y62" s="367"/>
      <c r="Z62" s="367"/>
      <c r="AA62" s="367"/>
      <c r="AB62" s="367"/>
      <c r="AC62" s="367"/>
      <c r="AD62" s="367"/>
      <c r="AE62" s="367"/>
      <c r="AF62" s="367"/>
      <c r="AG62" s="367"/>
      <c r="AH62" s="367"/>
      <c r="AI62" s="367"/>
      <c r="AJ62" s="367"/>
      <c r="AK62" s="367"/>
      <c r="AL62" s="367"/>
      <c r="AM62" s="367"/>
      <c r="AN62" s="367"/>
      <c r="AO62" s="86"/>
    </row>
    <row r="63" spans="1:92" s="367" customFormat="1" ht="33.75" hidden="1" customHeight="1" outlineLevel="1">
      <c r="B63" s="1120" t="s">
        <v>388</v>
      </c>
      <c r="C63" s="1122" t="s">
        <v>354</v>
      </c>
      <c r="D63" s="1124" t="s">
        <v>358</v>
      </c>
      <c r="E63" s="1126" t="s">
        <v>380</v>
      </c>
      <c r="F63" s="1127" t="s">
        <v>335</v>
      </c>
      <c r="H63" s="503" t="s">
        <v>356</v>
      </c>
      <c r="I63" s="682" t="s">
        <v>357</v>
      </c>
      <c r="J63" s="812" t="s">
        <v>358</v>
      </c>
      <c r="K63" s="598" t="s">
        <v>380</v>
      </c>
      <c r="L63" s="600" t="s">
        <v>335</v>
      </c>
      <c r="M63" s="504" t="s">
        <v>389</v>
      </c>
      <c r="O63" s="506" t="s">
        <v>356</v>
      </c>
      <c r="P63" s="507" t="s">
        <v>357</v>
      </c>
      <c r="Q63" s="813" t="s">
        <v>358</v>
      </c>
      <c r="R63" s="507" t="s">
        <v>359</v>
      </c>
      <c r="S63" s="814" t="s">
        <v>390</v>
      </c>
      <c r="T63" s="815" t="s">
        <v>391</v>
      </c>
      <c r="U63" s="637" t="s">
        <v>380</v>
      </c>
      <c r="V63" s="616" t="s">
        <v>335</v>
      </c>
      <c r="W63" s="632" t="s">
        <v>389</v>
      </c>
      <c r="AO63" s="86"/>
      <c r="AP63" s="86"/>
      <c r="AQ63" s="86"/>
      <c r="AR63" s="86"/>
      <c r="AS63" s="86"/>
      <c r="AT63" s="86"/>
      <c r="AU63" s="86"/>
      <c r="AV63" s="86"/>
      <c r="AW63" s="86"/>
      <c r="AX63" s="86"/>
      <c r="AY63" s="86"/>
      <c r="CM63" s="86"/>
      <c r="CN63" s="86"/>
    </row>
    <row r="64" spans="1:92" s="367" customFormat="1" ht="15" hidden="1" customHeight="1" outlineLevel="1">
      <c r="B64" s="1121"/>
      <c r="C64" s="1123"/>
      <c r="D64" s="1125"/>
      <c r="E64" s="1126"/>
      <c r="F64" s="1127"/>
      <c r="H64" s="543"/>
      <c r="I64" s="853"/>
      <c r="J64" s="6"/>
      <c r="K64" s="541"/>
      <c r="L64" s="860"/>
      <c r="M64" s="20" t="str">
        <f>IF(J64="","",$M$5-SUM($J$7:J64))</f>
        <v/>
      </c>
      <c r="O64" s="106"/>
      <c r="P64" s="871">
        <f>IF('C'!Q64&lt;&gt;'C'!R64,IF('C'!Q64&lt;&gt;0,IF('C'!S64&lt;&gt;'C'!T64,'C'!P64,),),)</f>
        <v>0</v>
      </c>
      <c r="Q64" s="795">
        <f>IF('C'!Q64&lt;&gt;'C'!R64,IF('C'!Q64&lt;&gt;0,IF('C'!S64&lt;&gt;'C'!T64,'C'!Q64,),),)</f>
        <v>0</v>
      </c>
      <c r="R64" s="628">
        <f>IF('C'!Q64&lt;&gt;'C'!R64,IF('C'!Q64&lt;&gt;0,IF('C'!S64&lt;&gt;'C'!T64,0,Q64),Q64),Q64)</f>
        <v>0</v>
      </c>
      <c r="S64" s="796">
        <f>IF('C'!Q64&lt;&gt;'C'!R64,IF('C'!Q64&lt;&gt;0,IF('C'!S64&lt;&gt;'C'!T64,'C'!S64+1,),),)</f>
        <v>0</v>
      </c>
      <c r="T64" s="796">
        <f>IF('C'!Q64&lt;&gt;'C'!R64,IF('C'!Q64&lt;&gt;0,IF('C'!S64&lt;&gt;'C'!T64,'C'!T64,),),)</f>
        <v>0</v>
      </c>
      <c r="U64" s="797">
        <f>IF('C'!Q64&lt;&gt;'C'!R64,IF('C'!Q64&lt;&gt;0,IF('C'!S64&lt;&gt;'C'!T64,'C'!U64,),),)</f>
        <v>0</v>
      </c>
      <c r="V64" s="875">
        <f>IF('C'!Q64&lt;&gt;'C'!R64,IF('C'!Q64&lt;&gt;0,IF('C'!S64&lt;&gt;'C'!T64,'C'!V64,),),)</f>
        <v>0</v>
      </c>
      <c r="W64" s="633">
        <f>IF(Q64="","",$W$5-SUM($Q$7:$Q$45)-SUM($Q$64:Q64))</f>
        <v>0</v>
      </c>
      <c r="AO64" s="86"/>
      <c r="AP64" s="86"/>
      <c r="AQ64" s="86"/>
      <c r="AR64" s="86"/>
      <c r="AS64" s="86"/>
      <c r="AT64" s="86"/>
      <c r="AU64" s="86"/>
      <c r="AV64" s="86"/>
      <c r="AW64" s="86"/>
      <c r="AX64" s="86"/>
      <c r="AY64" s="86"/>
      <c r="CM64" s="86"/>
      <c r="CN64" s="86"/>
    </row>
    <row r="65" spans="2:92" s="367" customFormat="1" ht="15" hidden="1" customHeight="1" outlineLevel="1">
      <c r="B65" s="852">
        <f ca="1">IF('C'!B65&lt;&gt;"",'C'!B65,)</f>
        <v>0</v>
      </c>
      <c r="C65" s="454">
        <f ca="1">'C'!C65</f>
        <v>0</v>
      </c>
      <c r="D65" s="74"/>
      <c r="E65" s="521"/>
      <c r="F65" s="858"/>
      <c r="H65" s="543"/>
      <c r="I65" s="853"/>
      <c r="J65" s="6"/>
      <c r="K65" s="541"/>
      <c r="L65" s="860"/>
      <c r="M65" s="20" t="str">
        <f>IF(J65="","",$M$5-SUM($J$7:J65))</f>
        <v/>
      </c>
      <c r="O65" s="7"/>
      <c r="P65" s="872">
        <f>IF('C'!Q65&lt;&gt;'C'!R65,IF('C'!Q65&lt;&gt;0,IF('C'!S65&lt;&gt;'C'!T65,'C'!P65,),),)</f>
        <v>0</v>
      </c>
      <c r="Q65" s="795">
        <f>IF('C'!Q65&lt;&gt;'C'!R65,IF('C'!Q65&lt;&gt;0,IF('C'!S65&lt;&gt;'C'!T65,'C'!Q65,),),)</f>
        <v>0</v>
      </c>
      <c r="R65" s="628">
        <f>IF('C'!Q65&lt;&gt;'C'!R65,IF('C'!Q65&lt;&gt;0,IF('C'!S65&lt;&gt;'C'!T65,0,Q65),Q65),Q65)</f>
        <v>0</v>
      </c>
      <c r="S65" s="796">
        <f>IF('C'!Q65&lt;&gt;'C'!R65,IF('C'!Q65&lt;&gt;0,IF('C'!S65&lt;&gt;'C'!T65,'C'!S65+1,),),)</f>
        <v>0</v>
      </c>
      <c r="T65" s="796">
        <f>IF('C'!Q65&lt;&gt;'C'!R65,IF('C'!Q65&lt;&gt;0,IF('C'!S65&lt;&gt;'C'!T65,'C'!T65,),),)</f>
        <v>0</v>
      </c>
      <c r="U65" s="797">
        <f>IF('C'!Q65&lt;&gt;'C'!R65,IF('C'!Q65&lt;&gt;0,IF('C'!S65&lt;&gt;'C'!T65,'C'!U65,),),)</f>
        <v>0</v>
      </c>
      <c r="V65" s="875">
        <f>IF('C'!Q65&lt;&gt;'C'!R65,IF('C'!Q65&lt;&gt;0,IF('C'!S65&lt;&gt;'C'!T65,'C'!V65,),),)</f>
        <v>0</v>
      </c>
      <c r="W65" s="633">
        <f>IF(Q65="","",$W$5-SUM($Q$7:$Q$45)-SUM($Q$64:Q65))</f>
        <v>0</v>
      </c>
      <c r="AO65" s="86"/>
      <c r="AP65" s="86"/>
      <c r="AQ65" s="86"/>
      <c r="AR65" s="86"/>
      <c r="AS65" s="86"/>
      <c r="AT65" s="86"/>
      <c r="AU65" s="86"/>
      <c r="AV65" s="86"/>
      <c r="AW65" s="86"/>
      <c r="AX65" s="86"/>
      <c r="AY65" s="86"/>
      <c r="CM65" s="86"/>
      <c r="CN65" s="86"/>
    </row>
    <row r="66" spans="2:92" s="367" customFormat="1" ht="15.75" hidden="1" customHeight="1" outlineLevel="1">
      <c r="B66" s="852">
        <f ca="1">IF('C'!B66&lt;&gt;"",'C'!B66,)</f>
        <v>0</v>
      </c>
      <c r="C66" s="454">
        <f ca="1">'C'!C66</f>
        <v>0</v>
      </c>
      <c r="D66" s="74"/>
      <c r="E66" s="521"/>
      <c r="F66" s="858"/>
      <c r="H66" s="543"/>
      <c r="I66" s="853"/>
      <c r="J66" s="6"/>
      <c r="K66" s="541"/>
      <c r="L66" s="860"/>
      <c r="M66" s="20" t="str">
        <f>IF(J66="","",$M$5-SUM($J$7:J66))</f>
        <v/>
      </c>
      <c r="O66" s="7"/>
      <c r="P66" s="871">
        <f>IF('C'!Q66&lt;&gt;'C'!R66,IF('C'!Q66&lt;&gt;0,IF('C'!S66&lt;&gt;'C'!T66,'C'!P66,),),)</f>
        <v>0</v>
      </c>
      <c r="Q66" s="795">
        <f>IF('C'!Q66&lt;&gt;'C'!R66,IF('C'!Q66&lt;&gt;0,IF('C'!S66&lt;&gt;'C'!T66,'C'!Q66,),),)</f>
        <v>0</v>
      </c>
      <c r="R66" s="628">
        <f>IF('C'!Q66&lt;&gt;'C'!R66,IF('C'!Q66&lt;&gt;0,IF('C'!S66&lt;&gt;'C'!T66,0,Q66),Q66),Q66)</f>
        <v>0</v>
      </c>
      <c r="S66" s="796">
        <f>IF('C'!Q66&lt;&gt;'C'!R66,IF('C'!Q66&lt;&gt;0,IF('C'!S66&lt;&gt;'C'!T66,'C'!S66+1,),),)</f>
        <v>0</v>
      </c>
      <c r="T66" s="796">
        <f>IF('C'!Q66&lt;&gt;'C'!R66,IF('C'!Q66&lt;&gt;0,IF('C'!S66&lt;&gt;'C'!T66,'C'!T66,),),)</f>
        <v>0</v>
      </c>
      <c r="U66" s="797">
        <f>IF('C'!Q66&lt;&gt;'C'!R66,IF('C'!Q66&lt;&gt;0,IF('C'!S66&lt;&gt;'C'!T66,'C'!U66,),),)</f>
        <v>0</v>
      </c>
      <c r="V66" s="875">
        <f>IF('C'!Q66&lt;&gt;'C'!R66,IF('C'!Q66&lt;&gt;0,IF('C'!S66&lt;&gt;'C'!T66,'C'!V66,),),)</f>
        <v>0</v>
      </c>
      <c r="W66" s="633">
        <f>IF(Q66="","",$W$5-SUM($Q$7:$Q$45)-SUM($Q$64:Q66))</f>
        <v>0</v>
      </c>
      <c r="AO66" s="86"/>
      <c r="AP66" s="86"/>
      <c r="AQ66" s="86"/>
      <c r="AR66" s="86"/>
      <c r="AS66" s="86"/>
      <c r="AT66" s="86"/>
      <c r="AU66" s="86"/>
      <c r="AV66" s="86"/>
      <c r="AW66" s="86"/>
      <c r="AX66" s="86"/>
      <c r="AY66" s="86"/>
      <c r="CM66" s="86"/>
      <c r="CN66" s="86"/>
    </row>
    <row r="67" spans="2:92" s="367" customFormat="1" ht="15.75" hidden="1" customHeight="1" outlineLevel="1">
      <c r="B67" s="852">
        <f ca="1">IF('C'!B67&lt;&gt;"",'C'!B67,)</f>
        <v>0</v>
      </c>
      <c r="C67" s="454">
        <f ca="1">'C'!C67</f>
        <v>0</v>
      </c>
      <c r="D67" s="74"/>
      <c r="E67" s="521"/>
      <c r="F67" s="858"/>
      <c r="H67" s="543"/>
      <c r="I67" s="853"/>
      <c r="J67" s="6"/>
      <c r="K67" s="541"/>
      <c r="L67" s="860"/>
      <c r="M67" s="20" t="str">
        <f>IF(J67="","",$M$5-SUM($J$7:J67))</f>
        <v/>
      </c>
      <c r="O67" s="7"/>
      <c r="P67" s="871">
        <f>IF('C'!Q67&lt;&gt;'C'!R67,IF('C'!Q67&lt;&gt;0,IF('C'!S67&lt;&gt;'C'!T67,'C'!P67,),),)</f>
        <v>0</v>
      </c>
      <c r="Q67" s="798">
        <f>IF('C'!Q67&lt;&gt;'C'!R67,IF('C'!Q67&lt;&gt;0,IF('C'!S67&lt;&gt;'C'!T67,'C'!Q67,),),)</f>
        <v>0</v>
      </c>
      <c r="R67" s="628">
        <f>IF('C'!Q67&lt;&gt;'C'!R67,IF('C'!Q67&lt;&gt;0,IF('C'!S67&lt;&gt;'C'!T67,0,Q67),Q67),Q67)</f>
        <v>0</v>
      </c>
      <c r="S67" s="796">
        <f>IF('C'!Q67&lt;&gt;'C'!R67,IF('C'!Q67&lt;&gt;0,IF('C'!S67&lt;&gt;'C'!T67,'C'!S67+1,),),)</f>
        <v>0</v>
      </c>
      <c r="T67" s="796">
        <f>IF('C'!Q67&lt;&gt;'C'!R67,IF('C'!Q67&lt;&gt;0,IF('C'!S67&lt;&gt;'C'!T67,'C'!T67,),),)</f>
        <v>0</v>
      </c>
      <c r="U67" s="797">
        <f>IF('C'!Q67&lt;&gt;'C'!R67,IF('C'!Q67&lt;&gt;0,IF('C'!S67&lt;&gt;'C'!T67,'C'!U67,),),)</f>
        <v>0</v>
      </c>
      <c r="V67" s="875">
        <f>IF('C'!Q67&lt;&gt;'C'!R67,IF('C'!Q67&lt;&gt;0,IF('C'!S67&lt;&gt;'C'!T67,'C'!V67,),),)</f>
        <v>0</v>
      </c>
      <c r="W67" s="633">
        <f>IF(Q67="","",$W$5-SUM($Q$7:$Q$45)-SUM($Q$64:Q67))</f>
        <v>0</v>
      </c>
      <c r="AO67" s="86"/>
      <c r="AP67" s="86"/>
      <c r="AQ67" s="86"/>
      <c r="AR67" s="86"/>
      <c r="AS67" s="86"/>
      <c r="AT67" s="86"/>
      <c r="AU67" s="86"/>
      <c r="AV67" s="86"/>
      <c r="AW67" s="86"/>
      <c r="AX67" s="86"/>
      <c r="AY67" s="86"/>
      <c r="CM67" s="86"/>
      <c r="CN67" s="86"/>
    </row>
    <row r="68" spans="2:92" s="367" customFormat="1" ht="15.75" hidden="1" customHeight="1" outlineLevel="1">
      <c r="B68" s="852">
        <f ca="1">IF('C'!B68&lt;&gt;"",'C'!B68,)</f>
        <v>0</v>
      </c>
      <c r="C68" s="454">
        <f ca="1">'C'!C68</f>
        <v>0</v>
      </c>
      <c r="D68" s="74"/>
      <c r="E68" s="521"/>
      <c r="F68" s="858"/>
      <c r="H68" s="543"/>
      <c r="I68" s="853"/>
      <c r="J68" s="6"/>
      <c r="K68" s="541"/>
      <c r="L68" s="860"/>
      <c r="M68" s="20" t="str">
        <f>IF(J68="","",$M$5-SUM($J$7:J68))</f>
        <v/>
      </c>
      <c r="O68" s="7"/>
      <c r="P68" s="871">
        <f>IF('C'!Q68&lt;&gt;'C'!R68,IF('C'!Q68&lt;&gt;0,IF('C'!S68&lt;&gt;'C'!T68,'C'!P68,),),)</f>
        <v>0</v>
      </c>
      <c r="Q68" s="795">
        <f>IF('C'!Q68&lt;&gt;'C'!R68,IF('C'!Q68&lt;&gt;0,IF('C'!S68&lt;&gt;'C'!T68,'C'!Q68,),),)</f>
        <v>0</v>
      </c>
      <c r="R68" s="628">
        <f>IF('C'!Q68&lt;&gt;'C'!R68,IF('C'!Q68&lt;&gt;0,IF('C'!S68&lt;&gt;'C'!T68,0,Q68),Q68),Q68)</f>
        <v>0</v>
      </c>
      <c r="S68" s="796">
        <f>IF('C'!Q68&lt;&gt;'C'!R68,IF('C'!Q68&lt;&gt;0,IF('C'!S68&lt;&gt;'C'!T68,'C'!S68+1,),),)</f>
        <v>0</v>
      </c>
      <c r="T68" s="796">
        <f>IF('C'!Q68&lt;&gt;'C'!R68,IF('C'!Q68&lt;&gt;0,IF('C'!S68&lt;&gt;'C'!T68,'C'!T68,),),)</f>
        <v>0</v>
      </c>
      <c r="U68" s="797">
        <f>IF('C'!Q68&lt;&gt;'C'!R68,IF('C'!Q68&lt;&gt;0,IF('C'!S68&lt;&gt;'C'!T68,'C'!U68,),),)</f>
        <v>0</v>
      </c>
      <c r="V68" s="875">
        <f>IF('C'!Q68&lt;&gt;'C'!R68,IF('C'!Q68&lt;&gt;0,IF('C'!S68&lt;&gt;'C'!T68,'C'!V68,),),)</f>
        <v>0</v>
      </c>
      <c r="W68" s="633">
        <f>IF(Q68="","",$W$5-SUM($Q$7:$Q$45)-SUM($Q$64:Q68))</f>
        <v>0</v>
      </c>
      <c r="AO68" s="86"/>
      <c r="AP68" s="86"/>
      <c r="AQ68" s="86"/>
      <c r="AR68" s="86"/>
      <c r="AS68" s="86"/>
      <c r="AT68" s="86"/>
      <c r="AU68" s="86"/>
      <c r="AV68" s="86"/>
      <c r="AW68" s="86"/>
      <c r="AX68" s="86"/>
      <c r="AY68" s="86"/>
      <c r="CM68" s="86"/>
      <c r="CN68" s="86"/>
    </row>
    <row r="69" spans="2:92" s="367" customFormat="1" ht="15.75" hidden="1" customHeight="1" outlineLevel="1">
      <c r="B69" s="852">
        <f ca="1">IF('C'!B69&lt;&gt;"",'C'!B69,)</f>
        <v>0</v>
      </c>
      <c r="C69" s="454">
        <f ca="1">'C'!C69</f>
        <v>0</v>
      </c>
      <c r="D69" s="74"/>
      <c r="E69" s="521"/>
      <c r="F69" s="858"/>
      <c r="H69" s="543"/>
      <c r="I69" s="853"/>
      <c r="J69" s="6"/>
      <c r="K69" s="541"/>
      <c r="L69" s="860"/>
      <c r="M69" s="20" t="str">
        <f>IF(J69="","",$M$5-SUM($J$7:J69))</f>
        <v/>
      </c>
      <c r="O69" s="7"/>
      <c r="P69" s="871">
        <f>IF('C'!Q69&lt;&gt;'C'!R69,IF('C'!Q69&lt;&gt;0,IF('C'!S69&lt;&gt;'C'!T69,'C'!P69,),),)</f>
        <v>0</v>
      </c>
      <c r="Q69" s="795">
        <f>IF('C'!Q69&lt;&gt;'C'!R69,IF('C'!Q69&lt;&gt;0,IF('C'!S69&lt;&gt;'C'!T69,'C'!Q69,),),)</f>
        <v>0</v>
      </c>
      <c r="R69" s="628">
        <f>IF('C'!Q69&lt;&gt;'C'!R69,IF('C'!Q69&lt;&gt;0,IF('C'!S69&lt;&gt;'C'!T69,0,Q69),Q69),Q69)</f>
        <v>0</v>
      </c>
      <c r="S69" s="796">
        <f>IF('C'!Q69&lt;&gt;'C'!R69,IF('C'!Q69&lt;&gt;0,IF('C'!S69&lt;&gt;'C'!T69,'C'!S69+1,),),)</f>
        <v>0</v>
      </c>
      <c r="T69" s="796">
        <f>IF('C'!Q69&lt;&gt;'C'!R69,IF('C'!Q69&lt;&gt;0,IF('C'!S69&lt;&gt;'C'!T69,'C'!T69,),),)</f>
        <v>0</v>
      </c>
      <c r="U69" s="797">
        <f>IF('C'!Q69&lt;&gt;'C'!R69,IF('C'!Q69&lt;&gt;0,IF('C'!S69&lt;&gt;'C'!T69,'C'!U69,),),)</f>
        <v>0</v>
      </c>
      <c r="V69" s="875">
        <f>IF('C'!Q69&lt;&gt;'C'!R69,IF('C'!Q69&lt;&gt;0,IF('C'!S69&lt;&gt;'C'!T69,'C'!V69,),),)</f>
        <v>0</v>
      </c>
      <c r="W69" s="633">
        <f>IF(Q69="","",$W$5-SUM($Q$7:$Q$45)-SUM($Q$64:Q69))</f>
        <v>0</v>
      </c>
      <c r="AO69" s="86"/>
      <c r="AP69" s="86"/>
      <c r="AQ69" s="86"/>
      <c r="AR69" s="86"/>
      <c r="AS69" s="86"/>
      <c r="AT69" s="86"/>
      <c r="AU69" s="86"/>
      <c r="AV69" s="86"/>
      <c r="AW69" s="86"/>
      <c r="AX69" s="86"/>
      <c r="AY69" s="86"/>
      <c r="CM69" s="86"/>
      <c r="CN69" s="86"/>
    </row>
    <row r="70" spans="2:92" s="367" customFormat="1" ht="15.75" hidden="1" customHeight="1" outlineLevel="1">
      <c r="B70" s="852">
        <f ca="1">IF('C'!B70&lt;&gt;"",'C'!B70,)</f>
        <v>0</v>
      </c>
      <c r="C70" s="454">
        <f ca="1">'C'!C70</f>
        <v>0</v>
      </c>
      <c r="D70" s="74"/>
      <c r="E70" s="521"/>
      <c r="F70" s="858"/>
      <c r="H70" s="543"/>
      <c r="I70" s="853"/>
      <c r="J70" s="6"/>
      <c r="K70" s="541"/>
      <c r="L70" s="860"/>
      <c r="M70" s="20" t="str">
        <f>IF(J70="","",$M$5-SUM($J$7:J70))</f>
        <v/>
      </c>
      <c r="O70" s="7"/>
      <c r="P70" s="871">
        <f>IF('C'!Q70&lt;&gt;'C'!R70,IF('C'!Q70&lt;&gt;0,IF('C'!S70&lt;&gt;'C'!T70,'C'!P70,),),)</f>
        <v>0</v>
      </c>
      <c r="Q70" s="795">
        <f>IF('C'!Q70&lt;&gt;'C'!R70,IF('C'!Q70&lt;&gt;0,IF('C'!S70&lt;&gt;'C'!T70,'C'!Q70,),),)</f>
        <v>0</v>
      </c>
      <c r="R70" s="628">
        <f>IF('C'!Q70&lt;&gt;'C'!R70,IF('C'!Q70&lt;&gt;0,IF('C'!S70&lt;&gt;'C'!T70,0,Q70),Q70),Q70)</f>
        <v>0</v>
      </c>
      <c r="S70" s="796">
        <f>IF('C'!Q70&lt;&gt;'C'!R70,IF('C'!Q70&lt;&gt;0,IF('C'!S70&lt;&gt;'C'!T70,'C'!S70+1,),),)</f>
        <v>0</v>
      </c>
      <c r="T70" s="796">
        <f>IF('C'!Q70&lt;&gt;'C'!R70,IF('C'!Q70&lt;&gt;0,IF('C'!S70&lt;&gt;'C'!T70,'C'!T70,),),)</f>
        <v>0</v>
      </c>
      <c r="U70" s="797">
        <f>IF('C'!Q70&lt;&gt;'C'!R70,IF('C'!Q70&lt;&gt;0,IF('C'!S70&lt;&gt;'C'!T70,'C'!U70,),),)</f>
        <v>0</v>
      </c>
      <c r="V70" s="875">
        <f>IF('C'!Q70&lt;&gt;'C'!R70,IF('C'!Q70&lt;&gt;0,IF('C'!S70&lt;&gt;'C'!T70,'C'!V70,),),)</f>
        <v>0</v>
      </c>
      <c r="W70" s="633">
        <f>IF(Q70="","",$W$5-SUM($Q$7:$Q$45)-SUM($Q$64:Q70))</f>
        <v>0</v>
      </c>
      <c r="AO70" s="86"/>
      <c r="AP70" s="86"/>
      <c r="AQ70" s="86"/>
      <c r="AR70" s="86"/>
      <c r="AS70" s="86"/>
      <c r="AT70" s="86"/>
      <c r="AU70" s="86"/>
      <c r="AV70" s="86"/>
      <c r="AW70" s="86"/>
      <c r="AX70" s="86"/>
      <c r="AY70" s="86"/>
      <c r="CM70" s="86"/>
      <c r="CN70" s="86"/>
    </row>
    <row r="71" spans="2:92" s="367" customFormat="1" ht="15.75" hidden="1" customHeight="1" outlineLevel="1">
      <c r="B71" s="852">
        <f ca="1">IF('C'!B71&lt;&gt;"",'C'!B71,)</f>
        <v>0</v>
      </c>
      <c r="C71" s="454">
        <f ca="1">'C'!C71</f>
        <v>0</v>
      </c>
      <c r="D71" s="74"/>
      <c r="E71" s="521"/>
      <c r="F71" s="858"/>
      <c r="H71" s="543"/>
      <c r="I71" s="853"/>
      <c r="J71" s="6"/>
      <c r="K71" s="541"/>
      <c r="L71" s="860"/>
      <c r="M71" s="20" t="str">
        <f>IF(J71="","",$M$5-SUM($J$7:J71))</f>
        <v/>
      </c>
      <c r="O71" s="7"/>
      <c r="P71" s="871">
        <f>IF('C'!Q71&lt;&gt;'C'!R71,IF('C'!Q71&lt;&gt;0,IF('C'!S71&lt;&gt;'C'!T71,'C'!P71,),),)</f>
        <v>0</v>
      </c>
      <c r="Q71" s="795">
        <f>IF('C'!Q71&lt;&gt;'C'!R71,IF('C'!Q71&lt;&gt;0,IF('C'!S71&lt;&gt;'C'!T71,'C'!Q71,),),)</f>
        <v>0</v>
      </c>
      <c r="R71" s="628">
        <f>IF('C'!Q71&lt;&gt;'C'!R71,IF('C'!Q71&lt;&gt;0,IF('C'!S71&lt;&gt;'C'!T71,0,Q71),Q71),Q71)</f>
        <v>0</v>
      </c>
      <c r="S71" s="796">
        <f>IF('C'!Q71&lt;&gt;'C'!R71,IF('C'!Q71&lt;&gt;0,IF('C'!S71&lt;&gt;'C'!T71,'C'!S71+1,),),)</f>
        <v>0</v>
      </c>
      <c r="T71" s="796">
        <f>IF('C'!Q71&lt;&gt;'C'!R71,IF('C'!Q71&lt;&gt;0,IF('C'!S71&lt;&gt;'C'!T71,'C'!T71,),),)</f>
        <v>0</v>
      </c>
      <c r="U71" s="797">
        <f>IF('C'!Q71&lt;&gt;'C'!R71,IF('C'!Q71&lt;&gt;0,IF('C'!S71&lt;&gt;'C'!T71,'C'!U71,),),)</f>
        <v>0</v>
      </c>
      <c r="V71" s="875">
        <f>IF('C'!Q71&lt;&gt;'C'!R71,IF('C'!Q71&lt;&gt;0,IF('C'!S71&lt;&gt;'C'!T71,'C'!V71,),),)</f>
        <v>0</v>
      </c>
      <c r="W71" s="633">
        <f>IF(Q71="","",$W$5-SUM($Q$7:$Q$45)-SUM($Q$64:Q71))</f>
        <v>0</v>
      </c>
      <c r="AO71" s="86"/>
      <c r="AP71" s="86"/>
      <c r="AQ71" s="86"/>
      <c r="AR71" s="86"/>
      <c r="AS71" s="86"/>
      <c r="AT71" s="86"/>
      <c r="AU71" s="86"/>
      <c r="AV71" s="86"/>
      <c r="AW71" s="86"/>
      <c r="AX71" s="86"/>
      <c r="AY71" s="86"/>
      <c r="CM71" s="86"/>
      <c r="CN71" s="86"/>
    </row>
    <row r="72" spans="2:92" s="367" customFormat="1" ht="15.75" hidden="1" customHeight="1" outlineLevel="1">
      <c r="B72" s="852">
        <f ca="1">IF('C'!B72&lt;&gt;"",'C'!B72,)</f>
        <v>0</v>
      </c>
      <c r="C72" s="454">
        <f ca="1">'C'!C72</f>
        <v>0</v>
      </c>
      <c r="D72" s="74"/>
      <c r="E72" s="521"/>
      <c r="F72" s="858"/>
      <c r="H72" s="543"/>
      <c r="I72" s="853"/>
      <c r="J72" s="6"/>
      <c r="K72" s="541"/>
      <c r="L72" s="860"/>
      <c r="M72" s="20" t="str">
        <f>IF(J72="","",$M$5-SUM($J$7:J72))</f>
        <v/>
      </c>
      <c r="O72" s="7"/>
      <c r="P72" s="871">
        <f>IF('C'!Q72&lt;&gt;'C'!R72,IF('C'!Q72&lt;&gt;0,IF('C'!S72&lt;&gt;'C'!T72,'C'!P72,),),)</f>
        <v>0</v>
      </c>
      <c r="Q72" s="795">
        <f>IF('C'!Q72&lt;&gt;'C'!R72,IF('C'!Q72&lt;&gt;0,IF('C'!S72&lt;&gt;'C'!T72,'C'!Q72,),),)</f>
        <v>0</v>
      </c>
      <c r="R72" s="628">
        <f>IF('C'!Q72&lt;&gt;'C'!R72,IF('C'!Q72&lt;&gt;0,IF('C'!S72&lt;&gt;'C'!T72,0,Q72),Q72),Q72)</f>
        <v>0</v>
      </c>
      <c r="S72" s="796">
        <f>IF('C'!Q72&lt;&gt;'C'!R72,IF('C'!Q72&lt;&gt;0,IF('C'!S72&lt;&gt;'C'!T72,'C'!S72+1,),),)</f>
        <v>0</v>
      </c>
      <c r="T72" s="796">
        <f>IF('C'!Q72&lt;&gt;'C'!R72,IF('C'!Q72&lt;&gt;0,IF('C'!S72&lt;&gt;'C'!T72,'C'!T72,),),)</f>
        <v>0</v>
      </c>
      <c r="U72" s="797">
        <f>IF('C'!Q72&lt;&gt;'C'!R72,IF('C'!Q72&lt;&gt;0,IF('C'!S72&lt;&gt;'C'!T72,'C'!U72,),),)</f>
        <v>0</v>
      </c>
      <c r="V72" s="875">
        <f>IF('C'!Q72&lt;&gt;'C'!R72,IF('C'!Q72&lt;&gt;0,IF('C'!S72&lt;&gt;'C'!T72,'C'!V72,),),)</f>
        <v>0</v>
      </c>
      <c r="W72" s="633">
        <f>IF(Q72="","",$W$5-SUM($Q$7:$Q$45)-SUM($Q$64:Q72))</f>
        <v>0</v>
      </c>
      <c r="AO72" s="86"/>
      <c r="AP72" s="86"/>
      <c r="AQ72" s="86"/>
      <c r="AR72" s="86"/>
      <c r="AS72" s="86"/>
      <c r="AT72" s="86"/>
      <c r="AU72" s="86"/>
      <c r="AV72" s="86"/>
      <c r="AW72" s="86"/>
      <c r="AX72" s="86"/>
      <c r="AY72" s="86"/>
      <c r="CM72" s="86"/>
      <c r="CN72" s="86"/>
    </row>
    <row r="73" spans="2:92" s="367" customFormat="1" ht="15.75" hidden="1" customHeight="1" outlineLevel="1">
      <c r="B73" s="852">
        <f ca="1">IF('C'!B73&lt;&gt;"",'C'!B73,)</f>
        <v>0</v>
      </c>
      <c r="C73" s="454">
        <f ca="1">'C'!C73</f>
        <v>0</v>
      </c>
      <c r="D73" s="74"/>
      <c r="E73" s="521"/>
      <c r="F73" s="858"/>
      <c r="H73" s="543"/>
      <c r="I73" s="853"/>
      <c r="J73" s="6"/>
      <c r="K73" s="541"/>
      <c r="L73" s="860"/>
      <c r="M73" s="20" t="str">
        <f>IF(J73="","",$M$5-SUM($J$7:J73))</f>
        <v/>
      </c>
      <c r="O73" s="7"/>
      <c r="P73" s="873">
        <f>IF('C'!Q73&lt;&gt;'C'!R73,IF('C'!Q73&lt;&gt;0,IF('C'!S73&lt;&gt;'C'!T73,'C'!P73,),),)</f>
        <v>0</v>
      </c>
      <c r="Q73" s="795">
        <f>IF('C'!Q73&lt;&gt;'C'!R73,IF('C'!Q73&lt;&gt;0,IF('C'!S73&lt;&gt;'C'!T73,'C'!Q73,),),)</f>
        <v>0</v>
      </c>
      <c r="R73" s="628">
        <f>IF('C'!Q73&lt;&gt;'C'!R73,IF('C'!Q73&lt;&gt;0,IF('C'!S73&lt;&gt;'C'!T73,0,Q73),Q73),Q73)</f>
        <v>0</v>
      </c>
      <c r="S73" s="796">
        <f>IF('C'!Q73&lt;&gt;'C'!R73,IF('C'!Q73&lt;&gt;0,IF('C'!S73&lt;&gt;'C'!T73,'C'!S73+1,),),)</f>
        <v>0</v>
      </c>
      <c r="T73" s="796">
        <f>IF('C'!Q73&lt;&gt;'C'!R73,IF('C'!Q73&lt;&gt;0,IF('C'!S73&lt;&gt;'C'!T73,'C'!T73,),),)</f>
        <v>0</v>
      </c>
      <c r="U73" s="797">
        <f>IF('C'!Q73&lt;&gt;'C'!R73,IF('C'!Q73&lt;&gt;0,IF('C'!S73&lt;&gt;'C'!T73,'C'!U73,),),)</f>
        <v>0</v>
      </c>
      <c r="V73" s="875">
        <f>IF('C'!Q73&lt;&gt;'C'!R73,IF('C'!Q73&lt;&gt;0,IF('C'!S73&lt;&gt;'C'!T73,'C'!V73,),),)</f>
        <v>0</v>
      </c>
      <c r="W73" s="633">
        <f>IF(Q73="","",$W$5-SUM($Q$7:$Q$45)-SUM($Q$64:Q73))</f>
        <v>0</v>
      </c>
      <c r="AO73" s="86"/>
      <c r="AP73" s="86"/>
      <c r="AQ73" s="86"/>
      <c r="AR73" s="86"/>
      <c r="AS73" s="86"/>
      <c r="AT73" s="86"/>
      <c r="AU73" s="86"/>
      <c r="AV73" s="86"/>
      <c r="AW73" s="86"/>
      <c r="AX73" s="86"/>
      <c r="AY73" s="86"/>
      <c r="CM73" s="86"/>
      <c r="CN73" s="86"/>
    </row>
    <row r="74" spans="2:92" s="367" customFormat="1" ht="15.75" hidden="1" customHeight="1" outlineLevel="1">
      <c r="B74" s="852">
        <f ca="1">IF('C'!B74&lt;&gt;"",'C'!B74,)</f>
        <v>0</v>
      </c>
      <c r="C74" s="454">
        <f ca="1">'C'!C74</f>
        <v>0</v>
      </c>
      <c r="D74" s="74"/>
      <c r="E74" s="521"/>
      <c r="F74" s="858"/>
      <c r="H74" s="543"/>
      <c r="I74" s="853"/>
      <c r="J74" s="6"/>
      <c r="K74" s="541"/>
      <c r="L74" s="860"/>
      <c r="M74" s="20" t="str">
        <f>IF(J74="","",$M$5-SUM($J$7:J74))</f>
        <v/>
      </c>
      <c r="O74" s="7"/>
      <c r="P74" s="871">
        <f>IF('C'!Q74&lt;&gt;'C'!R74,IF('C'!Q74&lt;&gt;0,IF('C'!S74&lt;&gt;'C'!T74,'C'!P74,),),)</f>
        <v>0</v>
      </c>
      <c r="Q74" s="795">
        <f>IF('C'!Q74&lt;&gt;'C'!R74,IF('C'!Q74&lt;&gt;0,IF('C'!S74&lt;&gt;'C'!T74,'C'!Q74,),),)</f>
        <v>0</v>
      </c>
      <c r="R74" s="628">
        <f>IF('C'!Q74&lt;&gt;'C'!R74,IF('C'!Q74&lt;&gt;0,IF('C'!S74&lt;&gt;'C'!T74,0,Q74),Q74),Q74)</f>
        <v>0</v>
      </c>
      <c r="S74" s="796">
        <f>IF('C'!Q74&lt;&gt;'C'!R74,IF('C'!Q74&lt;&gt;0,IF('C'!S74&lt;&gt;'C'!T74,'C'!S74+1,),),)</f>
        <v>0</v>
      </c>
      <c r="T74" s="796">
        <f>IF('C'!Q74&lt;&gt;'C'!R74,IF('C'!Q74&lt;&gt;0,IF('C'!S74&lt;&gt;'C'!T74,'C'!T74,),),)</f>
        <v>0</v>
      </c>
      <c r="U74" s="797">
        <f>IF('C'!Q74&lt;&gt;'C'!R74,IF('C'!Q74&lt;&gt;0,IF('C'!S74&lt;&gt;'C'!T74,'C'!U74,),),)</f>
        <v>0</v>
      </c>
      <c r="V74" s="875">
        <f>IF('C'!Q74&lt;&gt;'C'!R74,IF('C'!Q74&lt;&gt;0,IF('C'!S74&lt;&gt;'C'!T74,'C'!V74,),),)</f>
        <v>0</v>
      </c>
      <c r="W74" s="633">
        <f>IF(Q74="","",$W$5-SUM($Q$7:$Q$45)-SUM($Q$64:Q74))</f>
        <v>0</v>
      </c>
      <c r="AO74" s="86"/>
      <c r="AP74" s="86"/>
      <c r="AQ74" s="86"/>
      <c r="AR74" s="86"/>
      <c r="AS74" s="86"/>
      <c r="AT74" s="86"/>
      <c r="AU74" s="86"/>
      <c r="AV74" s="86"/>
      <c r="AW74" s="86"/>
      <c r="AX74" s="86"/>
      <c r="AY74" s="86"/>
      <c r="CM74" s="86"/>
      <c r="CN74" s="86"/>
    </row>
    <row r="75" spans="2:92" s="367" customFormat="1" ht="15.75" hidden="1" customHeight="1" outlineLevel="1">
      <c r="B75" s="852">
        <f ca="1">IF('C'!B75&lt;&gt;"",'C'!B75,)</f>
        <v>0</v>
      </c>
      <c r="C75" s="454">
        <f ca="1">'C'!C75</f>
        <v>0</v>
      </c>
      <c r="D75" s="74"/>
      <c r="E75" s="521"/>
      <c r="F75" s="858"/>
      <c r="H75" s="543"/>
      <c r="I75" s="853"/>
      <c r="J75" s="6"/>
      <c r="K75" s="541"/>
      <c r="L75" s="860"/>
      <c r="M75" s="20" t="str">
        <f>IF(J75="","",$M$5-SUM($J$7:J75))</f>
        <v/>
      </c>
      <c r="O75" s="7"/>
      <c r="P75" s="873">
        <f>IF('C'!Q75&lt;&gt;'C'!R75,IF('C'!Q75&lt;&gt;0,IF('C'!S75&lt;&gt;'C'!T75,'C'!P75,),),)</f>
        <v>0</v>
      </c>
      <c r="Q75" s="795">
        <f>IF('C'!Q75&lt;&gt;'C'!R75,IF('C'!Q75&lt;&gt;0,IF('C'!S75&lt;&gt;'C'!T75,'C'!Q75,),),)</f>
        <v>0</v>
      </c>
      <c r="R75" s="628">
        <f>IF('C'!Q75&lt;&gt;'C'!R75,IF('C'!Q75&lt;&gt;0,IF('C'!S75&lt;&gt;'C'!T75,0,Q75),Q75),Q75)</f>
        <v>0</v>
      </c>
      <c r="S75" s="796">
        <f>IF('C'!Q75&lt;&gt;'C'!R75,IF('C'!Q75&lt;&gt;0,IF('C'!S75&lt;&gt;'C'!T75,'C'!S75+1,),),)</f>
        <v>0</v>
      </c>
      <c r="T75" s="796">
        <f>IF('C'!Q75&lt;&gt;'C'!R75,IF('C'!Q75&lt;&gt;0,IF('C'!S75&lt;&gt;'C'!T75,'C'!T75,),),)</f>
        <v>0</v>
      </c>
      <c r="U75" s="797">
        <f>IF('C'!Q75&lt;&gt;'C'!R75,IF('C'!Q75&lt;&gt;0,IF('C'!S75&lt;&gt;'C'!T75,'C'!U75,),),)</f>
        <v>0</v>
      </c>
      <c r="V75" s="875">
        <f>IF('C'!Q75&lt;&gt;'C'!R75,IF('C'!Q75&lt;&gt;0,IF('C'!S75&lt;&gt;'C'!T75,'C'!V75,),),)</f>
        <v>0</v>
      </c>
      <c r="W75" s="633">
        <f>IF(Q75="","",$W$5-SUM($Q$7:$Q$45)-SUM($Q$64:Q75))</f>
        <v>0</v>
      </c>
      <c r="AO75" s="86"/>
      <c r="AP75" s="86"/>
      <c r="AQ75" s="86"/>
      <c r="AR75" s="86"/>
      <c r="AS75" s="86"/>
      <c r="AT75" s="86"/>
      <c r="AU75" s="86"/>
      <c r="AV75" s="86"/>
      <c r="AW75" s="86"/>
      <c r="AX75" s="86"/>
      <c r="AY75" s="86"/>
      <c r="CM75" s="86"/>
      <c r="CN75" s="86"/>
    </row>
    <row r="76" spans="2:92" s="367" customFormat="1" ht="15.75" hidden="1" customHeight="1" outlineLevel="1">
      <c r="B76" s="852">
        <f ca="1">IF('C'!B76&lt;&gt;"",'C'!B76,)</f>
        <v>0</v>
      </c>
      <c r="C76" s="454">
        <f ca="1">'C'!C76</f>
        <v>0</v>
      </c>
      <c r="D76" s="74"/>
      <c r="E76" s="521"/>
      <c r="F76" s="858"/>
      <c r="H76" s="543"/>
      <c r="I76" s="853"/>
      <c r="J76" s="6"/>
      <c r="K76" s="541"/>
      <c r="L76" s="860"/>
      <c r="M76" s="20" t="str">
        <f>IF(J76="","",$M$5-SUM($J$7:J76))</f>
        <v/>
      </c>
      <c r="O76" s="7"/>
      <c r="P76" s="871">
        <f>IF('C'!Q76&lt;&gt;'C'!R76,IF('C'!Q76&lt;&gt;0,IF('C'!S76&lt;&gt;'C'!T76,'C'!P76,),),)</f>
        <v>0</v>
      </c>
      <c r="Q76" s="795">
        <f>IF('C'!Q76&lt;&gt;'C'!R76,IF('C'!Q76&lt;&gt;0,IF('C'!S76&lt;&gt;'C'!T76,'C'!Q76,),),)</f>
        <v>0</v>
      </c>
      <c r="R76" s="628">
        <f>IF('C'!Q76&lt;&gt;'C'!R76,IF('C'!Q76&lt;&gt;0,IF('C'!S76&lt;&gt;'C'!T76,0,Q76),Q76),Q76)</f>
        <v>0</v>
      </c>
      <c r="S76" s="796">
        <f>IF('C'!Q76&lt;&gt;'C'!R76,IF('C'!Q76&lt;&gt;0,IF('C'!S76&lt;&gt;'C'!T76,'C'!S76+1,),),)</f>
        <v>0</v>
      </c>
      <c r="T76" s="796">
        <f>IF('C'!Q76&lt;&gt;'C'!R76,IF('C'!Q76&lt;&gt;0,IF('C'!S76&lt;&gt;'C'!T76,'C'!T76,),),)</f>
        <v>0</v>
      </c>
      <c r="U76" s="797">
        <f>IF('C'!Q76&lt;&gt;'C'!R76,IF('C'!Q76&lt;&gt;0,IF('C'!S76&lt;&gt;'C'!T76,'C'!U76,),),)</f>
        <v>0</v>
      </c>
      <c r="V76" s="875">
        <f>IF('C'!Q76&lt;&gt;'C'!R76,IF('C'!Q76&lt;&gt;0,IF('C'!S76&lt;&gt;'C'!T76,'C'!V76,),),)</f>
        <v>0</v>
      </c>
      <c r="W76" s="633">
        <f>IF(Q76="","",$W$5-SUM($Q$7:$Q$45)-SUM($Q$64:Q76))</f>
        <v>0</v>
      </c>
      <c r="AO76" s="86"/>
      <c r="AP76" s="86"/>
      <c r="AQ76" s="86"/>
      <c r="AR76" s="86"/>
      <c r="AS76" s="86"/>
      <c r="AT76" s="86"/>
      <c r="AU76" s="86"/>
      <c r="AV76" s="86"/>
      <c r="AW76" s="86"/>
      <c r="AX76" s="86"/>
      <c r="AY76" s="86"/>
      <c r="CM76" s="86"/>
      <c r="CN76" s="86"/>
    </row>
    <row r="77" spans="2:92" s="367" customFormat="1" ht="15.75" hidden="1" customHeight="1" outlineLevel="1">
      <c r="B77" s="852">
        <f ca="1">IF('C'!B77&lt;&gt;"",'C'!B77,)</f>
        <v>0</v>
      </c>
      <c r="C77" s="454">
        <f ca="1">'C'!C77</f>
        <v>0</v>
      </c>
      <c r="D77" s="74"/>
      <c r="E77" s="521"/>
      <c r="F77" s="858"/>
      <c r="H77" s="543"/>
      <c r="I77" s="853"/>
      <c r="J77" s="6"/>
      <c r="K77" s="541"/>
      <c r="L77" s="860"/>
      <c r="M77" s="20" t="str">
        <f>IF(J77="","",$M$5-SUM($J$7:J77))</f>
        <v/>
      </c>
      <c r="O77" s="7"/>
      <c r="P77" s="871">
        <f>IF('C'!Q77&lt;&gt;'C'!R77,IF('C'!Q77&lt;&gt;0,IF('C'!S77&lt;&gt;'C'!T77,'C'!P77,),),)</f>
        <v>0</v>
      </c>
      <c r="Q77" s="795">
        <f>IF('C'!Q77&lt;&gt;'C'!R77,IF('C'!Q77&lt;&gt;0,IF('C'!S77&lt;&gt;'C'!T77,'C'!Q77,),),)</f>
        <v>0</v>
      </c>
      <c r="R77" s="628">
        <f>IF('C'!Q77&lt;&gt;'C'!R77,IF('C'!Q77&lt;&gt;0,IF('C'!S77&lt;&gt;'C'!T77,0,Q77),Q77),Q77)</f>
        <v>0</v>
      </c>
      <c r="S77" s="796">
        <f>IF('C'!Q77&lt;&gt;'C'!R77,IF('C'!Q77&lt;&gt;0,IF('C'!S77&lt;&gt;'C'!T77,'C'!S77+1,),),)</f>
        <v>0</v>
      </c>
      <c r="T77" s="796">
        <f>IF('C'!Q77&lt;&gt;'C'!R77,IF('C'!Q77&lt;&gt;0,IF('C'!S77&lt;&gt;'C'!T77,'C'!T77,),),)</f>
        <v>0</v>
      </c>
      <c r="U77" s="797">
        <f>IF('C'!Q77&lt;&gt;'C'!R77,IF('C'!Q77&lt;&gt;0,IF('C'!S77&lt;&gt;'C'!T77,'C'!U77,),),)</f>
        <v>0</v>
      </c>
      <c r="V77" s="875">
        <f>IF('C'!Q77&lt;&gt;'C'!R77,IF('C'!Q77&lt;&gt;0,IF('C'!S77&lt;&gt;'C'!T77,'C'!V77,),),)</f>
        <v>0</v>
      </c>
      <c r="W77" s="633">
        <f>IF(Q77="","",$W$5-SUM($Q$7:$Q$45)-SUM($Q$64:Q77))</f>
        <v>0</v>
      </c>
      <c r="AO77" s="86"/>
      <c r="AP77" s="86"/>
      <c r="AQ77" s="86"/>
      <c r="AR77" s="86"/>
      <c r="AS77" s="86"/>
      <c r="AT77" s="86"/>
      <c r="AU77" s="86"/>
      <c r="AV77" s="86"/>
      <c r="AW77" s="86"/>
      <c r="AX77" s="86"/>
      <c r="AY77" s="86"/>
      <c r="CM77" s="86"/>
      <c r="CN77" s="86"/>
    </row>
    <row r="78" spans="2:92" s="367" customFormat="1" ht="15.75" hidden="1" customHeight="1" outlineLevel="1">
      <c r="B78" s="852">
        <f ca="1">IF('C'!B78&lt;&gt;"",'C'!B78,)</f>
        <v>0</v>
      </c>
      <c r="C78" s="454">
        <f ca="1">'C'!C78</f>
        <v>0</v>
      </c>
      <c r="D78" s="74"/>
      <c r="E78" s="521"/>
      <c r="F78" s="858"/>
      <c r="H78" s="543"/>
      <c r="I78" s="853"/>
      <c r="J78" s="6"/>
      <c r="K78" s="541"/>
      <c r="L78" s="860"/>
      <c r="M78" s="20" t="str">
        <f>IF(J78="","",$M$5-SUM($J$7:J78))</f>
        <v/>
      </c>
      <c r="O78" s="7"/>
      <c r="P78" s="873">
        <f>IF('C'!Q78&lt;&gt;'C'!R78,IF('C'!Q78&lt;&gt;0,IF('C'!S78&lt;&gt;'C'!T78,'C'!P78,),),)</f>
        <v>0</v>
      </c>
      <c r="Q78" s="795">
        <f>IF('C'!Q78&lt;&gt;'C'!R78,IF('C'!Q78&lt;&gt;0,IF('C'!S78&lt;&gt;'C'!T78,'C'!Q78,),),)</f>
        <v>0</v>
      </c>
      <c r="R78" s="628">
        <f>IF('C'!Q78&lt;&gt;'C'!R78,IF('C'!Q78&lt;&gt;0,IF('C'!S78&lt;&gt;'C'!T78,0,Q78),Q78),Q78)</f>
        <v>0</v>
      </c>
      <c r="S78" s="796">
        <f>IF('C'!Q78&lt;&gt;'C'!R78,IF('C'!Q78&lt;&gt;0,IF('C'!S78&lt;&gt;'C'!T78,'C'!S78+1,),),)</f>
        <v>0</v>
      </c>
      <c r="T78" s="796">
        <f>IF('C'!Q78&lt;&gt;'C'!R78,IF('C'!Q78&lt;&gt;0,IF('C'!S78&lt;&gt;'C'!T78,'C'!T78,),),)</f>
        <v>0</v>
      </c>
      <c r="U78" s="797">
        <f>IF('C'!Q78&lt;&gt;'C'!R78,IF('C'!Q78&lt;&gt;0,IF('C'!S78&lt;&gt;'C'!T78,'C'!U78,),),)</f>
        <v>0</v>
      </c>
      <c r="V78" s="875">
        <f>IF('C'!Q78&lt;&gt;'C'!R78,IF('C'!Q78&lt;&gt;0,IF('C'!S78&lt;&gt;'C'!T78,'C'!V78,),),)</f>
        <v>0</v>
      </c>
      <c r="W78" s="633">
        <f>IF(Q78="","",$W$5-SUM($Q$7:$Q$45)-SUM($Q$64:Q78))</f>
        <v>0</v>
      </c>
      <c r="AO78" s="86"/>
      <c r="AP78" s="86"/>
      <c r="AQ78" s="86"/>
      <c r="AR78" s="86"/>
      <c r="AS78" s="86"/>
      <c r="AT78" s="86"/>
      <c r="AU78" s="86"/>
      <c r="AV78" s="86"/>
      <c r="AW78" s="86"/>
      <c r="AX78" s="86"/>
      <c r="AY78" s="86"/>
      <c r="CM78" s="86"/>
      <c r="CN78" s="86"/>
    </row>
    <row r="79" spans="2:92" s="367" customFormat="1" ht="15.75" hidden="1" customHeight="1" outlineLevel="1">
      <c r="B79" s="852">
        <f ca="1">IF('C'!B79&lt;&gt;"",'C'!B79,)</f>
        <v>0</v>
      </c>
      <c r="C79" s="454">
        <f ca="1">'C'!C79</f>
        <v>0</v>
      </c>
      <c r="D79" s="74"/>
      <c r="E79" s="521"/>
      <c r="F79" s="858"/>
      <c r="H79" s="543"/>
      <c r="I79" s="853"/>
      <c r="J79" s="6"/>
      <c r="K79" s="541"/>
      <c r="L79" s="860"/>
      <c r="M79" s="20" t="str">
        <f>IF(J79="","",$M$5-SUM($J$7:J79))</f>
        <v/>
      </c>
      <c r="O79" s="7"/>
      <c r="P79" s="871">
        <f>IF('C'!Q79&lt;&gt;'C'!R79,IF('C'!Q79&lt;&gt;0,IF('C'!S79&lt;&gt;'C'!T79,'C'!P79,),),)</f>
        <v>0</v>
      </c>
      <c r="Q79" s="795">
        <f>IF('C'!Q79&lt;&gt;'C'!R79,IF('C'!Q79&lt;&gt;0,IF('C'!S79&lt;&gt;'C'!T79,'C'!Q79,),),)</f>
        <v>0</v>
      </c>
      <c r="R79" s="628">
        <f>IF('C'!Q79&lt;&gt;'C'!R79,IF('C'!Q79&lt;&gt;0,IF('C'!S79&lt;&gt;'C'!T79,0,Q79),Q79),Q79)</f>
        <v>0</v>
      </c>
      <c r="S79" s="796">
        <f>IF('C'!Q79&lt;&gt;'C'!R79,IF('C'!Q79&lt;&gt;0,IF('C'!S79&lt;&gt;'C'!T79,'C'!S79+1,),),)</f>
        <v>0</v>
      </c>
      <c r="T79" s="796">
        <f>IF('C'!Q79&lt;&gt;'C'!R79,IF('C'!Q79&lt;&gt;0,IF('C'!S79&lt;&gt;'C'!T79,'C'!T79,),),)</f>
        <v>0</v>
      </c>
      <c r="U79" s="797">
        <f>IF('C'!Q79&lt;&gt;'C'!R79,IF('C'!Q79&lt;&gt;0,IF('C'!S79&lt;&gt;'C'!T79,'C'!U79,),),)</f>
        <v>0</v>
      </c>
      <c r="V79" s="875">
        <f>IF('C'!Q79&lt;&gt;'C'!R79,IF('C'!Q79&lt;&gt;0,IF('C'!S79&lt;&gt;'C'!T79,'C'!V79,),),)</f>
        <v>0</v>
      </c>
      <c r="W79" s="633">
        <f>IF(Q79="","",$W$5-SUM($Q$7:$Q$45)-SUM($Q$64:Q79))</f>
        <v>0</v>
      </c>
      <c r="AO79" s="86"/>
      <c r="AP79" s="86"/>
      <c r="AQ79" s="86"/>
      <c r="AR79" s="86"/>
      <c r="AS79" s="86"/>
      <c r="AT79" s="86"/>
      <c r="AU79" s="86"/>
      <c r="AV79" s="86"/>
      <c r="AW79" s="86"/>
      <c r="AX79" s="86"/>
      <c r="AY79" s="86"/>
      <c r="CM79" s="86"/>
      <c r="CN79" s="86"/>
    </row>
    <row r="80" spans="2:92" s="367" customFormat="1" ht="15.75" hidden="1" customHeight="1" outlineLevel="1">
      <c r="B80" s="852">
        <f ca="1">IF('C'!B80&lt;&gt;"",'C'!B80,)</f>
        <v>0</v>
      </c>
      <c r="C80" s="454">
        <f ca="1">'C'!C80</f>
        <v>0</v>
      </c>
      <c r="D80" s="74"/>
      <c r="E80" s="521"/>
      <c r="F80" s="858"/>
      <c r="H80" s="543"/>
      <c r="I80" s="853"/>
      <c r="J80" s="6"/>
      <c r="K80" s="541"/>
      <c r="L80" s="860"/>
      <c r="M80" s="20" t="str">
        <f>IF(J80="","",$M$5-SUM($J$7:J80))</f>
        <v/>
      </c>
      <c r="O80" s="7"/>
      <c r="P80" s="873">
        <f>IF('C'!Q80&lt;&gt;'C'!R80,IF('C'!Q80&lt;&gt;0,IF('C'!S80&lt;&gt;'C'!T80,'C'!P80,),),)</f>
        <v>0</v>
      </c>
      <c r="Q80" s="795">
        <f>IF('C'!Q80&lt;&gt;'C'!R80,IF('C'!Q80&lt;&gt;0,IF('C'!S80&lt;&gt;'C'!T80,'C'!Q80,),),)</f>
        <v>0</v>
      </c>
      <c r="R80" s="628">
        <f>IF('C'!Q80&lt;&gt;'C'!R80,IF('C'!Q80&lt;&gt;0,IF('C'!S80&lt;&gt;'C'!T80,0,Q80),Q80),Q80)</f>
        <v>0</v>
      </c>
      <c r="S80" s="796">
        <f>IF('C'!Q80&lt;&gt;'C'!R80,IF('C'!Q80&lt;&gt;0,IF('C'!S80&lt;&gt;'C'!T80,'C'!S80+1,),),)</f>
        <v>0</v>
      </c>
      <c r="T80" s="796">
        <f>IF('C'!Q80&lt;&gt;'C'!R80,IF('C'!Q80&lt;&gt;0,IF('C'!S80&lt;&gt;'C'!T80,'C'!T80,),),)</f>
        <v>0</v>
      </c>
      <c r="U80" s="797">
        <f>IF('C'!Q80&lt;&gt;'C'!R80,IF('C'!Q80&lt;&gt;0,IF('C'!S80&lt;&gt;'C'!T80,'C'!U80,),),)</f>
        <v>0</v>
      </c>
      <c r="V80" s="875">
        <f>IF('C'!Q80&lt;&gt;'C'!R80,IF('C'!Q80&lt;&gt;0,IF('C'!S80&lt;&gt;'C'!T80,'C'!V80,),),)</f>
        <v>0</v>
      </c>
      <c r="W80" s="633">
        <f>IF(Q80="","",$W$5-SUM($Q$7:$Q$45)-SUM($Q$64:Q80))</f>
        <v>0</v>
      </c>
      <c r="AO80" s="86"/>
      <c r="AP80" s="86"/>
      <c r="AQ80" s="86"/>
      <c r="AR80" s="86"/>
      <c r="AS80" s="86"/>
      <c r="AT80" s="86"/>
      <c r="AU80" s="86"/>
      <c r="AV80" s="86"/>
      <c r="AW80" s="86"/>
      <c r="AX80" s="86"/>
      <c r="AY80" s="86"/>
      <c r="CM80" s="86"/>
      <c r="CN80" s="86"/>
    </row>
    <row r="81" spans="2:92" s="367" customFormat="1" ht="15.75" hidden="1" customHeight="1" outlineLevel="1">
      <c r="B81" s="852">
        <f ca="1">IF('C'!B81&lt;&gt;"",'C'!B81,)</f>
        <v>0</v>
      </c>
      <c r="C81" s="454">
        <f ca="1">'C'!C81</f>
        <v>0</v>
      </c>
      <c r="D81" s="74"/>
      <c r="E81" s="521"/>
      <c r="F81" s="858"/>
      <c r="H81" s="543"/>
      <c r="I81" s="853"/>
      <c r="J81" s="6"/>
      <c r="K81" s="541"/>
      <c r="L81" s="860"/>
      <c r="M81" s="20" t="str">
        <f>IF(J81="","",$M$5-SUM($J$7:J81))</f>
        <v/>
      </c>
      <c r="O81" s="7"/>
      <c r="P81" s="873">
        <f>IF('C'!Q81&lt;&gt;'C'!R81,IF('C'!Q81&lt;&gt;0,IF('C'!S81&lt;&gt;'C'!T81,'C'!P81,),),)</f>
        <v>0</v>
      </c>
      <c r="Q81" s="795">
        <f>IF('C'!Q81&lt;&gt;'C'!R81,IF('C'!Q81&lt;&gt;0,IF('C'!S81&lt;&gt;'C'!T81,'C'!Q81,),),)</f>
        <v>0</v>
      </c>
      <c r="R81" s="628">
        <f>IF('C'!Q81&lt;&gt;'C'!R81,IF('C'!Q81&lt;&gt;0,IF('C'!S81&lt;&gt;'C'!T81,0,Q81),Q81),Q81)</f>
        <v>0</v>
      </c>
      <c r="S81" s="796">
        <f>IF('C'!Q81&lt;&gt;'C'!R81,IF('C'!Q81&lt;&gt;0,IF('C'!S81&lt;&gt;'C'!T81,'C'!S81+1,),),)</f>
        <v>0</v>
      </c>
      <c r="T81" s="796">
        <f>IF('C'!Q81&lt;&gt;'C'!R81,IF('C'!Q81&lt;&gt;0,IF('C'!S81&lt;&gt;'C'!T81,'C'!T81,),),)</f>
        <v>0</v>
      </c>
      <c r="U81" s="797">
        <f>IF('C'!Q81&lt;&gt;'C'!R81,IF('C'!Q81&lt;&gt;0,IF('C'!S81&lt;&gt;'C'!T81,'C'!U81,),),)</f>
        <v>0</v>
      </c>
      <c r="V81" s="875">
        <f>IF('C'!Q81&lt;&gt;'C'!R81,IF('C'!Q81&lt;&gt;0,IF('C'!S81&lt;&gt;'C'!T81,'C'!V81,),),)</f>
        <v>0</v>
      </c>
      <c r="W81" s="633">
        <f>IF(Q81="","",$W$5-SUM($Q$7:$Q$45)-SUM($Q$64:Q81))</f>
        <v>0</v>
      </c>
      <c r="AO81" s="86"/>
      <c r="AP81" s="86"/>
      <c r="AQ81" s="86"/>
      <c r="AR81" s="86"/>
      <c r="AS81" s="86"/>
      <c r="AT81" s="86"/>
      <c r="AU81" s="86"/>
      <c r="AV81" s="86"/>
      <c r="AW81" s="86"/>
      <c r="AX81" s="86"/>
      <c r="AY81" s="86"/>
      <c r="CM81" s="86"/>
      <c r="CN81" s="86"/>
    </row>
    <row r="82" spans="2:92" s="367" customFormat="1" ht="15.75" hidden="1" customHeight="1" outlineLevel="1">
      <c r="B82" s="852">
        <f ca="1">IF('C'!B82&lt;&gt;"",'C'!B82,)</f>
        <v>0</v>
      </c>
      <c r="C82" s="454">
        <f ca="1">'C'!C82</f>
        <v>0</v>
      </c>
      <c r="D82" s="74"/>
      <c r="E82" s="521"/>
      <c r="F82" s="858"/>
      <c r="H82" s="543"/>
      <c r="I82" s="853"/>
      <c r="J82" s="6"/>
      <c r="K82" s="541"/>
      <c r="L82" s="860"/>
      <c r="M82" s="20" t="str">
        <f>IF(J82="","",$M$5-SUM($J$7:J82))</f>
        <v/>
      </c>
      <c r="O82" s="7"/>
      <c r="P82" s="873">
        <f>IF('C'!Q82&lt;&gt;'C'!R82,IF('C'!Q82&lt;&gt;0,IF('C'!S82&lt;&gt;'C'!T82,'C'!P82,),),)</f>
        <v>0</v>
      </c>
      <c r="Q82" s="795">
        <f>IF('C'!Q82&lt;&gt;'C'!R82,IF('C'!Q82&lt;&gt;0,IF('C'!S82&lt;&gt;'C'!T82,'C'!Q82,),),)</f>
        <v>0</v>
      </c>
      <c r="R82" s="628">
        <f>IF('C'!Q82&lt;&gt;'C'!R82,IF('C'!Q82&lt;&gt;0,IF('C'!S82&lt;&gt;'C'!T82,0,Q82),Q82),Q82)</f>
        <v>0</v>
      </c>
      <c r="S82" s="796">
        <f>IF('C'!Q82&lt;&gt;'C'!R82,IF('C'!Q82&lt;&gt;0,IF('C'!S82&lt;&gt;'C'!T82,'C'!S82+1,),),)</f>
        <v>0</v>
      </c>
      <c r="T82" s="796">
        <f>IF('C'!Q82&lt;&gt;'C'!R82,IF('C'!Q82&lt;&gt;0,IF('C'!S82&lt;&gt;'C'!T82,'C'!T82,),),)</f>
        <v>0</v>
      </c>
      <c r="U82" s="797">
        <f>IF('C'!Q82&lt;&gt;'C'!R82,IF('C'!Q82&lt;&gt;0,IF('C'!S82&lt;&gt;'C'!T82,'C'!U82,),),)</f>
        <v>0</v>
      </c>
      <c r="V82" s="875">
        <f>IF('C'!Q82&lt;&gt;'C'!R82,IF('C'!Q82&lt;&gt;0,IF('C'!S82&lt;&gt;'C'!T82,'C'!V82,),),)</f>
        <v>0</v>
      </c>
      <c r="W82" s="633">
        <f>IF(Q82="","",$W$5-SUM($Q$7:$Q$45)-SUM($Q$64:Q82))</f>
        <v>0</v>
      </c>
      <c r="AO82" s="86"/>
      <c r="AP82" s="86"/>
      <c r="AQ82" s="86"/>
      <c r="AR82" s="86"/>
      <c r="AS82" s="86"/>
      <c r="AT82" s="86"/>
      <c r="AU82" s="86"/>
      <c r="AV82" s="86"/>
      <c r="AW82" s="86"/>
      <c r="AX82" s="86"/>
      <c r="AY82" s="86"/>
      <c r="CM82" s="86"/>
      <c r="CN82" s="86"/>
    </row>
    <row r="83" spans="2:92" s="367" customFormat="1" ht="15.75" hidden="1" customHeight="1" outlineLevel="1">
      <c r="B83" s="852">
        <f ca="1">IF('C'!B83&lt;&gt;"",'C'!B83,)</f>
        <v>0</v>
      </c>
      <c r="C83" s="454">
        <f ca="1">'C'!C83</f>
        <v>0</v>
      </c>
      <c r="D83" s="74"/>
      <c r="E83" s="521"/>
      <c r="F83" s="858"/>
      <c r="H83" s="543"/>
      <c r="I83" s="853"/>
      <c r="J83" s="6"/>
      <c r="K83" s="541"/>
      <c r="L83" s="860"/>
      <c r="M83" s="20" t="str">
        <f>IF(J83="","",$M$5-SUM($J$7:J83))</f>
        <v/>
      </c>
      <c r="O83" s="7"/>
      <c r="P83" s="873">
        <f>IF('C'!Q83&lt;&gt;'C'!R83,IF('C'!Q83&lt;&gt;0,IF('C'!S83&lt;&gt;'C'!T83,'C'!P83,),),)</f>
        <v>0</v>
      </c>
      <c r="Q83" s="795">
        <f>IF('C'!Q83&lt;&gt;'C'!R83,IF('C'!Q83&lt;&gt;0,IF('C'!S83&lt;&gt;'C'!T83,'C'!Q83,),),)</f>
        <v>0</v>
      </c>
      <c r="R83" s="628">
        <f>IF('C'!Q83&lt;&gt;'C'!R83,IF('C'!Q83&lt;&gt;0,IF('C'!S83&lt;&gt;'C'!T83,0,Q83),Q83),Q83)</f>
        <v>0</v>
      </c>
      <c r="S83" s="796">
        <f>IF('C'!Q83&lt;&gt;'C'!R83,IF('C'!Q83&lt;&gt;0,IF('C'!S83&lt;&gt;'C'!T83,'C'!S83+1,),),)</f>
        <v>0</v>
      </c>
      <c r="T83" s="796">
        <f>IF('C'!Q83&lt;&gt;'C'!R83,IF('C'!Q83&lt;&gt;0,IF('C'!S83&lt;&gt;'C'!T83,'C'!T83,),),)</f>
        <v>0</v>
      </c>
      <c r="U83" s="797">
        <f>IF('C'!Q83&lt;&gt;'C'!R83,IF('C'!Q83&lt;&gt;0,IF('C'!S83&lt;&gt;'C'!T83,'C'!U83,),),)</f>
        <v>0</v>
      </c>
      <c r="V83" s="875">
        <f>IF('C'!Q83&lt;&gt;'C'!R83,IF('C'!Q83&lt;&gt;0,IF('C'!S83&lt;&gt;'C'!T83,'C'!V83,),),)</f>
        <v>0</v>
      </c>
      <c r="W83" s="633">
        <f>IF(Q83="","",$W$5-SUM($Q$7:$Q$45)-SUM($Q$64:Q83))</f>
        <v>0</v>
      </c>
      <c r="AO83" s="86"/>
      <c r="AP83" s="86"/>
      <c r="AQ83" s="86"/>
      <c r="AR83" s="86"/>
      <c r="AS83" s="86"/>
      <c r="AT83" s="86"/>
      <c r="AU83" s="86"/>
      <c r="AV83" s="86"/>
      <c r="AW83" s="86"/>
      <c r="AX83" s="86"/>
      <c r="AY83" s="86"/>
      <c r="CM83" s="86"/>
      <c r="CN83" s="86"/>
    </row>
    <row r="84" spans="2:92" s="367" customFormat="1" ht="15.75" hidden="1" customHeight="1" outlineLevel="1">
      <c r="B84" s="852">
        <f ca="1">IF('C'!B84&lt;&gt;"",'C'!B84,)</f>
        <v>0</v>
      </c>
      <c r="C84" s="454">
        <f ca="1">'C'!C84</f>
        <v>0</v>
      </c>
      <c r="D84" s="74"/>
      <c r="E84" s="521"/>
      <c r="F84" s="858"/>
      <c r="H84" s="543"/>
      <c r="I84" s="853"/>
      <c r="J84" s="6"/>
      <c r="K84" s="541"/>
      <c r="L84" s="860"/>
      <c r="M84" s="20" t="str">
        <f>IF(J84="","",$M$5-SUM($J$7:J84))</f>
        <v/>
      </c>
      <c r="O84" s="7"/>
      <c r="P84" s="873">
        <f>IF('C'!Q84&lt;&gt;'C'!R84,IF('C'!Q84&lt;&gt;0,IF('C'!S84&lt;&gt;'C'!T84,'C'!P84,),),)</f>
        <v>0</v>
      </c>
      <c r="Q84" s="795">
        <f>IF('C'!Q84&lt;&gt;'C'!R84,IF('C'!Q84&lt;&gt;0,IF('C'!S84&lt;&gt;'C'!T84,'C'!Q84,),),)</f>
        <v>0</v>
      </c>
      <c r="R84" s="628">
        <f>IF('C'!Q84&lt;&gt;'C'!R84,IF('C'!Q84&lt;&gt;0,IF('C'!S84&lt;&gt;'C'!T84,0,Q84),Q84),Q84)</f>
        <v>0</v>
      </c>
      <c r="S84" s="796">
        <f>IF('C'!Q84&lt;&gt;'C'!R84,IF('C'!Q84&lt;&gt;0,IF('C'!S84&lt;&gt;'C'!T84,'C'!S84+1,),),)</f>
        <v>0</v>
      </c>
      <c r="T84" s="796">
        <f>IF('C'!Q84&lt;&gt;'C'!R84,IF('C'!Q84&lt;&gt;0,IF('C'!S84&lt;&gt;'C'!T84,'C'!T84,),),)</f>
        <v>0</v>
      </c>
      <c r="U84" s="797">
        <f>IF('C'!Q84&lt;&gt;'C'!R84,IF('C'!Q84&lt;&gt;0,IF('C'!S84&lt;&gt;'C'!T84,'C'!U84,),),)</f>
        <v>0</v>
      </c>
      <c r="V84" s="875">
        <f>IF('C'!Q84&lt;&gt;'C'!R84,IF('C'!Q84&lt;&gt;0,IF('C'!S84&lt;&gt;'C'!T84,'C'!V84,),),)</f>
        <v>0</v>
      </c>
      <c r="W84" s="633">
        <f>IF(Q84="","",$W$5-SUM($Q$7:$Q$45)-SUM($Q$64:Q84))</f>
        <v>0</v>
      </c>
      <c r="AO84" s="86"/>
      <c r="AP84" s="86"/>
      <c r="AQ84" s="86"/>
      <c r="AR84" s="86"/>
      <c r="AS84" s="86"/>
      <c r="AT84" s="86"/>
      <c r="AU84" s="86"/>
      <c r="AV84" s="86"/>
      <c r="AW84" s="86"/>
      <c r="AX84" s="86"/>
      <c r="AY84" s="86"/>
      <c r="CM84" s="86"/>
      <c r="CN84" s="86"/>
    </row>
    <row r="85" spans="2:92" s="367" customFormat="1" ht="15.75" hidden="1" customHeight="1" outlineLevel="1">
      <c r="B85" s="852">
        <f ca="1">IF('C'!B85&lt;&gt;"",'C'!B85,)</f>
        <v>0</v>
      </c>
      <c r="C85" s="454">
        <f ca="1">'C'!C85</f>
        <v>0</v>
      </c>
      <c r="D85" s="74"/>
      <c r="E85" s="521"/>
      <c r="F85" s="858"/>
      <c r="H85" s="543"/>
      <c r="I85" s="853"/>
      <c r="J85" s="6"/>
      <c r="K85" s="541"/>
      <c r="L85" s="860"/>
      <c r="M85" s="20" t="str">
        <f>IF(J85="","",$M$5-SUM($J$7:J85))</f>
        <v/>
      </c>
      <c r="O85" s="7"/>
      <c r="P85" s="873">
        <f>IF('C'!Q85&lt;&gt;'C'!R85,IF('C'!Q85&lt;&gt;0,IF('C'!S85&lt;&gt;'C'!T85,'C'!P85,),),)</f>
        <v>0</v>
      </c>
      <c r="Q85" s="795">
        <f>IF('C'!Q85&lt;&gt;'C'!R85,IF('C'!Q85&lt;&gt;0,IF('C'!S85&lt;&gt;'C'!T85,'C'!Q85,),),)</f>
        <v>0</v>
      </c>
      <c r="R85" s="628">
        <f>IF('C'!Q85&lt;&gt;'C'!R85,IF('C'!Q85&lt;&gt;0,IF('C'!S85&lt;&gt;'C'!T85,0,Q85),Q85),Q85)</f>
        <v>0</v>
      </c>
      <c r="S85" s="796">
        <f>IF('C'!Q85&lt;&gt;'C'!R85,IF('C'!Q85&lt;&gt;0,IF('C'!S85&lt;&gt;'C'!T85,'C'!S85+1,),),)</f>
        <v>0</v>
      </c>
      <c r="T85" s="796">
        <f>IF('C'!Q85&lt;&gt;'C'!R85,IF('C'!Q85&lt;&gt;0,IF('C'!S85&lt;&gt;'C'!T85,'C'!T85,),),)</f>
        <v>0</v>
      </c>
      <c r="U85" s="797">
        <f>IF('C'!Q85&lt;&gt;'C'!R85,IF('C'!Q85&lt;&gt;0,IF('C'!S85&lt;&gt;'C'!T85,'C'!U85,),),)</f>
        <v>0</v>
      </c>
      <c r="V85" s="875">
        <f>IF('C'!Q85&lt;&gt;'C'!R85,IF('C'!Q85&lt;&gt;0,IF('C'!S85&lt;&gt;'C'!T85,'C'!V85,),),)</f>
        <v>0</v>
      </c>
      <c r="W85" s="633">
        <f>IF(Q85="","",$W$5-SUM($Q$7:$Q$45)-SUM($Q$64:Q85))</f>
        <v>0</v>
      </c>
      <c r="AO85" s="86"/>
      <c r="AP85" s="86"/>
      <c r="AQ85" s="86"/>
      <c r="AR85" s="86"/>
      <c r="AS85" s="86"/>
      <c r="AT85" s="86"/>
      <c r="AU85" s="86"/>
      <c r="AV85" s="86"/>
      <c r="AW85" s="86"/>
      <c r="AX85" s="86"/>
      <c r="AY85" s="86"/>
      <c r="CM85" s="86"/>
      <c r="CN85" s="86"/>
    </row>
    <row r="86" spans="2:92" s="367" customFormat="1" ht="15.75" hidden="1" customHeight="1" outlineLevel="1">
      <c r="B86" s="852">
        <f ca="1">IF('C'!B86&lt;&gt;"",'C'!B86,)</f>
        <v>0</v>
      </c>
      <c r="C86" s="454">
        <f ca="1">'C'!C86</f>
        <v>0</v>
      </c>
      <c r="D86" s="74"/>
      <c r="E86" s="521"/>
      <c r="F86" s="858"/>
      <c r="H86" s="543"/>
      <c r="I86" s="854"/>
      <c r="J86" s="6"/>
      <c r="K86" s="541"/>
      <c r="L86" s="860"/>
      <c r="M86" s="20" t="str">
        <f>IF(J86="","",$M$5-SUM($J$7:J86))</f>
        <v/>
      </c>
      <c r="O86" s="7"/>
      <c r="P86" s="873">
        <f>IF('C'!Q86&lt;&gt;'C'!R86,IF('C'!Q86&lt;&gt;0,IF('C'!S86&lt;&gt;'C'!T86,'C'!P86,),),)</f>
        <v>0</v>
      </c>
      <c r="Q86" s="795">
        <f>IF('C'!Q86&lt;&gt;'C'!R86,IF('C'!Q86&lt;&gt;0,IF('C'!S86&lt;&gt;'C'!T86,'C'!Q86,),),)</f>
        <v>0</v>
      </c>
      <c r="R86" s="628">
        <f>IF('C'!Q86&lt;&gt;'C'!R86,IF('C'!Q86&lt;&gt;0,IF('C'!S86&lt;&gt;'C'!T86,0,Q86),Q86),Q86)</f>
        <v>0</v>
      </c>
      <c r="S86" s="796">
        <f>IF('C'!Q86&lt;&gt;'C'!R86,IF('C'!Q86&lt;&gt;0,IF('C'!S86&lt;&gt;'C'!T86,'C'!S86+1,),),)</f>
        <v>0</v>
      </c>
      <c r="T86" s="796">
        <f>IF('C'!Q86&lt;&gt;'C'!R86,IF('C'!Q86&lt;&gt;0,IF('C'!S86&lt;&gt;'C'!T86,'C'!T86,),),)</f>
        <v>0</v>
      </c>
      <c r="U86" s="797">
        <f>IF('C'!Q86&lt;&gt;'C'!R86,IF('C'!Q86&lt;&gt;0,IF('C'!S86&lt;&gt;'C'!T86,'C'!U86,),),)</f>
        <v>0</v>
      </c>
      <c r="V86" s="875">
        <f>IF('C'!Q86&lt;&gt;'C'!R86,IF('C'!Q86&lt;&gt;0,IF('C'!S86&lt;&gt;'C'!T86,'C'!V86,),),)</f>
        <v>0</v>
      </c>
      <c r="W86" s="633">
        <f>IF(Q86="","",$W$5-SUM($Q$7:$Q$45)-SUM($Q$64:Q86))</f>
        <v>0</v>
      </c>
      <c r="AO86" s="86"/>
      <c r="AP86" s="86"/>
      <c r="AQ86" s="86"/>
      <c r="AR86" s="86"/>
      <c r="AS86" s="86"/>
      <c r="AT86" s="86"/>
      <c r="AU86" s="86"/>
      <c r="AV86" s="86"/>
      <c r="AW86" s="86"/>
      <c r="AX86" s="86"/>
      <c r="AY86" s="86"/>
      <c r="CM86" s="86"/>
      <c r="CN86" s="86"/>
    </row>
    <row r="87" spans="2:92" s="367" customFormat="1" ht="15.75" hidden="1" customHeight="1" outlineLevel="1">
      <c r="H87" s="543"/>
      <c r="I87" s="853"/>
      <c r="J87" s="6"/>
      <c r="K87" s="541"/>
      <c r="L87" s="860"/>
      <c r="M87" s="20" t="str">
        <f>IF(J87="","",$M$5-SUM($J$7:J87))</f>
        <v/>
      </c>
      <c r="O87" s="7"/>
      <c r="P87" s="873">
        <f>IF('C'!Q87&lt;&gt;'C'!R87,IF('C'!Q87&lt;&gt;0,IF('C'!S87&lt;&gt;'C'!T87,'C'!P87,),),)</f>
        <v>0</v>
      </c>
      <c r="Q87" s="795">
        <f>IF('C'!Q87&lt;&gt;'C'!R87,IF('C'!Q87&lt;&gt;0,IF('C'!S87&lt;&gt;'C'!T87,'C'!Q87,),),)</f>
        <v>0</v>
      </c>
      <c r="R87" s="628">
        <f>IF('C'!Q87&lt;&gt;'C'!R87,IF('C'!Q87&lt;&gt;0,IF('C'!S87&lt;&gt;'C'!T87,0,Q87),Q87),Q87)</f>
        <v>0</v>
      </c>
      <c r="S87" s="796">
        <f>IF('C'!Q87&lt;&gt;'C'!R87,IF('C'!Q87&lt;&gt;0,IF('C'!S87&lt;&gt;'C'!T87,'C'!S87+1,),),)</f>
        <v>0</v>
      </c>
      <c r="T87" s="796">
        <f>IF('C'!Q87&lt;&gt;'C'!R87,IF('C'!Q87&lt;&gt;0,IF('C'!S87&lt;&gt;'C'!T87,'C'!T87,),),)</f>
        <v>0</v>
      </c>
      <c r="U87" s="797">
        <f>IF('C'!Q87&lt;&gt;'C'!R87,IF('C'!Q87&lt;&gt;0,IF('C'!S87&lt;&gt;'C'!T87,'C'!U87,),),)</f>
        <v>0</v>
      </c>
      <c r="V87" s="875">
        <f>IF('C'!Q87&lt;&gt;'C'!R87,IF('C'!Q87&lt;&gt;0,IF('C'!S87&lt;&gt;'C'!T87,'C'!V87,),),)</f>
        <v>0</v>
      </c>
      <c r="W87" s="633">
        <f>IF(Q87="","",$W$5-SUM($Q$7:$Q$45)-SUM($Q$64:Q87))</f>
        <v>0</v>
      </c>
      <c r="AO87" s="86"/>
      <c r="AP87" s="86"/>
      <c r="AQ87" s="86"/>
      <c r="AR87" s="86"/>
      <c r="AS87" s="86"/>
      <c r="AT87" s="86"/>
      <c r="AU87" s="86"/>
      <c r="AV87" s="86"/>
      <c r="AW87" s="86"/>
      <c r="AX87" s="86"/>
      <c r="AY87" s="86"/>
      <c r="CM87" s="86"/>
      <c r="CN87" s="86"/>
    </row>
    <row r="88" spans="2:92" s="367" customFormat="1" ht="15.75" hidden="1" customHeight="1" outlineLevel="1">
      <c r="H88" s="543"/>
      <c r="I88" s="853"/>
      <c r="J88" s="6"/>
      <c r="K88" s="541"/>
      <c r="L88" s="860"/>
      <c r="M88" s="20" t="str">
        <f>IF(J88="","",$M$5-SUM($J$7:J88))</f>
        <v/>
      </c>
      <c r="O88" s="7"/>
      <c r="P88" s="871">
        <f>IF('C'!Q88&lt;&gt;'C'!R88,IF('C'!Q88&lt;&gt;0,IF('C'!S88&lt;&gt;'C'!T88,'C'!P88,),),)</f>
        <v>0</v>
      </c>
      <c r="Q88" s="795">
        <f>IF('C'!Q88&lt;&gt;'C'!R88,IF('C'!Q88&lt;&gt;0,IF('C'!S88&lt;&gt;'C'!T88,'C'!Q88,),),)</f>
        <v>0</v>
      </c>
      <c r="R88" s="628">
        <f>IF('C'!Q88&lt;&gt;'C'!R88,IF('C'!Q88&lt;&gt;0,IF('C'!S88&lt;&gt;'C'!T88,0,Q88),Q88),Q88)</f>
        <v>0</v>
      </c>
      <c r="S88" s="796">
        <f>IF('C'!Q88&lt;&gt;'C'!R88,IF('C'!Q88&lt;&gt;0,IF('C'!S88&lt;&gt;'C'!T88,'C'!S88+1,),),)</f>
        <v>0</v>
      </c>
      <c r="T88" s="796">
        <f>IF('C'!Q88&lt;&gt;'C'!R88,IF('C'!Q88&lt;&gt;0,IF('C'!S88&lt;&gt;'C'!T88,'C'!T88,),),)</f>
        <v>0</v>
      </c>
      <c r="U88" s="797">
        <f>IF('C'!Q88&lt;&gt;'C'!R88,IF('C'!Q88&lt;&gt;0,IF('C'!S88&lt;&gt;'C'!T88,'C'!U88,),),)</f>
        <v>0</v>
      </c>
      <c r="V88" s="875">
        <f>IF('C'!Q88&lt;&gt;'C'!R88,IF('C'!Q88&lt;&gt;0,IF('C'!S88&lt;&gt;'C'!T88,'C'!V88,),),)</f>
        <v>0</v>
      </c>
      <c r="W88" s="633">
        <f>IF(Q88="","",$W$5-SUM($Q$7:$Q$45)-SUM($Q$64:Q88))</f>
        <v>0</v>
      </c>
      <c r="AO88" s="86"/>
      <c r="AP88" s="86"/>
      <c r="AQ88" s="86"/>
      <c r="AR88" s="86"/>
      <c r="AS88" s="86"/>
      <c r="AT88" s="86"/>
      <c r="AU88" s="86"/>
      <c r="AV88" s="86"/>
      <c r="AW88" s="86"/>
      <c r="AX88" s="86"/>
      <c r="AY88" s="86"/>
      <c r="CM88" s="86"/>
      <c r="CN88" s="86"/>
    </row>
    <row r="89" spans="2:92" s="367" customFormat="1" ht="15.75" hidden="1" customHeight="1" outlineLevel="1">
      <c r="H89" s="543"/>
      <c r="I89" s="853"/>
      <c r="J89" s="6"/>
      <c r="K89" s="541"/>
      <c r="L89" s="860"/>
      <c r="M89" s="20" t="str">
        <f>IF(J89="","",$M$5-SUM($J$7:J89))</f>
        <v/>
      </c>
      <c r="O89" s="7"/>
      <c r="P89" s="873">
        <f>IF('C'!Q89&lt;&gt;'C'!R89,IF('C'!Q89&lt;&gt;0,IF('C'!S89&lt;&gt;'C'!T89,'C'!P89,),),)</f>
        <v>0</v>
      </c>
      <c r="Q89" s="795">
        <f>IF('C'!Q89&lt;&gt;'C'!R89,IF('C'!Q89&lt;&gt;0,IF('C'!S89&lt;&gt;'C'!T89,'C'!Q89,),),)</f>
        <v>0</v>
      </c>
      <c r="R89" s="628">
        <f>IF('C'!Q89&lt;&gt;'C'!R89,IF('C'!Q89&lt;&gt;0,IF('C'!S89&lt;&gt;'C'!T89,0,Q89),Q89),Q89)</f>
        <v>0</v>
      </c>
      <c r="S89" s="796">
        <f>IF('C'!Q89&lt;&gt;'C'!R89,IF('C'!Q89&lt;&gt;0,IF('C'!S89&lt;&gt;'C'!T89,'C'!S89+1,),),)</f>
        <v>0</v>
      </c>
      <c r="T89" s="796">
        <f>IF('C'!Q89&lt;&gt;'C'!R89,IF('C'!Q89&lt;&gt;0,IF('C'!S89&lt;&gt;'C'!T89,'C'!T89,),),)</f>
        <v>0</v>
      </c>
      <c r="U89" s="797">
        <f>IF('C'!Q89&lt;&gt;'C'!R89,IF('C'!Q89&lt;&gt;0,IF('C'!S89&lt;&gt;'C'!T89,'C'!U89,),),)</f>
        <v>0</v>
      </c>
      <c r="V89" s="875">
        <f>IF('C'!Q89&lt;&gt;'C'!R89,IF('C'!Q89&lt;&gt;0,IF('C'!S89&lt;&gt;'C'!T89,'C'!V89,),),)</f>
        <v>0</v>
      </c>
      <c r="W89" s="633">
        <f>IF(Q89="","",$W$5-SUM($Q$7:$Q$45)-SUM($Q$64:Q89))</f>
        <v>0</v>
      </c>
      <c r="AO89" s="86"/>
      <c r="AP89" s="86"/>
      <c r="AQ89" s="86"/>
      <c r="AR89" s="86"/>
      <c r="AS89" s="86"/>
      <c r="AT89" s="86"/>
      <c r="AU89" s="86"/>
      <c r="AV89" s="86"/>
      <c r="AW89" s="86"/>
      <c r="AX89" s="86"/>
      <c r="AY89" s="86"/>
      <c r="CM89" s="86"/>
      <c r="CN89" s="86"/>
    </row>
    <row r="90" spans="2:92" s="367" customFormat="1" ht="15.75" hidden="1" customHeight="1" outlineLevel="1">
      <c r="H90" s="543"/>
      <c r="I90" s="853"/>
      <c r="J90" s="6"/>
      <c r="K90" s="541"/>
      <c r="L90" s="860"/>
      <c r="M90" s="20" t="str">
        <f>IF(J90="","",$M$5-SUM($J$7:J90))</f>
        <v/>
      </c>
      <c r="O90" s="7"/>
      <c r="P90" s="871">
        <f>IF('C'!Q90&lt;&gt;'C'!R90,IF('C'!Q90&lt;&gt;0,IF('C'!S90&lt;&gt;'C'!T90,'C'!P90,),),)</f>
        <v>0</v>
      </c>
      <c r="Q90" s="795">
        <f>IF('C'!Q90&lt;&gt;'C'!R90,IF('C'!Q90&lt;&gt;0,IF('C'!S90&lt;&gt;'C'!T90,'C'!Q90,),),)</f>
        <v>0</v>
      </c>
      <c r="R90" s="628">
        <f>IF('C'!Q90&lt;&gt;'C'!R90,IF('C'!Q90&lt;&gt;0,IF('C'!S90&lt;&gt;'C'!T90,0,Q90),Q90),Q90)</f>
        <v>0</v>
      </c>
      <c r="S90" s="796">
        <f>IF('C'!Q90&lt;&gt;'C'!R90,IF('C'!Q90&lt;&gt;0,IF('C'!S90&lt;&gt;'C'!T90,'C'!S90+1,),),)</f>
        <v>0</v>
      </c>
      <c r="T90" s="796">
        <f>IF('C'!Q90&lt;&gt;'C'!R90,IF('C'!Q90&lt;&gt;0,IF('C'!S90&lt;&gt;'C'!T90,'C'!T90,),),)</f>
        <v>0</v>
      </c>
      <c r="U90" s="797">
        <f>IF('C'!Q90&lt;&gt;'C'!R90,IF('C'!Q90&lt;&gt;0,IF('C'!S90&lt;&gt;'C'!T90,'C'!U90,),),)</f>
        <v>0</v>
      </c>
      <c r="V90" s="875">
        <f>IF('C'!Q90&lt;&gt;'C'!R90,IF('C'!Q90&lt;&gt;0,IF('C'!S90&lt;&gt;'C'!T90,'C'!V90,),),)</f>
        <v>0</v>
      </c>
      <c r="W90" s="633">
        <f>IF(Q90="","",$W$5-SUM($Q$7:$Q$45)-SUM($Q$64:Q90))</f>
        <v>0</v>
      </c>
      <c r="AO90" s="86"/>
      <c r="AP90" s="86"/>
      <c r="AQ90" s="86"/>
      <c r="AR90" s="86"/>
      <c r="AS90" s="86"/>
      <c r="AT90" s="86"/>
      <c r="AU90" s="86"/>
      <c r="AV90" s="86"/>
      <c r="AW90" s="86"/>
      <c r="AX90" s="86"/>
      <c r="AY90" s="86"/>
      <c r="CM90" s="86"/>
      <c r="CN90" s="86"/>
    </row>
    <row r="91" spans="2:92" s="367" customFormat="1" ht="15.75" hidden="1" customHeight="1" outlineLevel="1">
      <c r="H91" s="543"/>
      <c r="I91" s="853"/>
      <c r="J91" s="6"/>
      <c r="K91" s="541"/>
      <c r="L91" s="860"/>
      <c r="M91" s="20" t="str">
        <f>IF(J91="","",$M$5-SUM($J$7:J91))</f>
        <v/>
      </c>
      <c r="O91" s="7"/>
      <c r="P91" s="873">
        <f>IF('C'!Q91&lt;&gt;'C'!R91,IF('C'!Q91&lt;&gt;0,IF('C'!S91&lt;&gt;'C'!T91,'C'!P91,),),)</f>
        <v>0</v>
      </c>
      <c r="Q91" s="795">
        <f>IF('C'!Q91&lt;&gt;'C'!R91,IF('C'!Q91&lt;&gt;0,IF('C'!S91&lt;&gt;'C'!T91,'C'!Q91,),),)</f>
        <v>0</v>
      </c>
      <c r="R91" s="628">
        <f>IF('C'!Q91&lt;&gt;'C'!R91,IF('C'!Q91&lt;&gt;0,IF('C'!S91&lt;&gt;'C'!T91,0,Q91),Q91),Q91)</f>
        <v>0</v>
      </c>
      <c r="S91" s="796">
        <f>IF('C'!Q91&lt;&gt;'C'!R91,IF('C'!Q91&lt;&gt;0,IF('C'!S91&lt;&gt;'C'!T91,'C'!S91+1,),),)</f>
        <v>0</v>
      </c>
      <c r="T91" s="796">
        <f>IF('C'!Q91&lt;&gt;'C'!R91,IF('C'!Q91&lt;&gt;0,IF('C'!S91&lt;&gt;'C'!T91,'C'!T91,),),)</f>
        <v>0</v>
      </c>
      <c r="U91" s="797">
        <f>IF('C'!Q91&lt;&gt;'C'!R91,IF('C'!Q91&lt;&gt;0,IF('C'!S91&lt;&gt;'C'!T91,'C'!U91,),),)</f>
        <v>0</v>
      </c>
      <c r="V91" s="875">
        <f>IF('C'!Q91&lt;&gt;'C'!R91,IF('C'!Q91&lt;&gt;0,IF('C'!S91&lt;&gt;'C'!T91,'C'!V91,),),)</f>
        <v>0</v>
      </c>
      <c r="W91" s="633">
        <f>IF(Q91="","",$W$5-SUM($Q$7:$Q$45)-SUM($Q$64:Q91))</f>
        <v>0</v>
      </c>
      <c r="AO91" s="86"/>
      <c r="AP91" s="86"/>
      <c r="AQ91" s="86"/>
      <c r="AR91" s="86"/>
      <c r="AS91" s="86"/>
      <c r="AT91" s="86"/>
      <c r="AU91" s="86"/>
      <c r="AV91" s="86"/>
      <c r="AW91" s="86"/>
      <c r="AX91" s="86"/>
      <c r="AY91" s="86"/>
      <c r="CM91" s="86"/>
      <c r="CN91" s="86"/>
    </row>
    <row r="92" spans="2:92" s="367" customFormat="1" ht="15.75" hidden="1" customHeight="1" outlineLevel="1">
      <c r="H92" s="543"/>
      <c r="I92" s="853"/>
      <c r="J92" s="6"/>
      <c r="K92" s="541"/>
      <c r="L92" s="860"/>
      <c r="M92" s="20" t="str">
        <f>IF(J92="","",$M$5-SUM($J$7:J92))</f>
        <v/>
      </c>
      <c r="O92" s="7"/>
      <c r="P92" s="871">
        <f>IF('C'!Q92&lt;&gt;'C'!R92,IF('C'!Q92&lt;&gt;0,IF('C'!S92&lt;&gt;'C'!T92,'C'!P92,),),)</f>
        <v>0</v>
      </c>
      <c r="Q92" s="799">
        <f>IF('C'!Q92&lt;&gt;'C'!R92,IF('C'!Q92&lt;&gt;0,IF('C'!S92&lt;&gt;'C'!T92,'C'!Q92,),),)</f>
        <v>0</v>
      </c>
      <c r="R92" s="628">
        <f>IF('C'!Q92&lt;&gt;'C'!R92,IF('C'!Q92&lt;&gt;0,IF('C'!S92&lt;&gt;'C'!T92,0,Q92),Q92),Q92)</f>
        <v>0</v>
      </c>
      <c r="S92" s="796">
        <f>IF('C'!Q92&lt;&gt;'C'!R92,IF('C'!Q92&lt;&gt;0,IF('C'!S92&lt;&gt;'C'!T92,'C'!S92+1,),),)</f>
        <v>0</v>
      </c>
      <c r="T92" s="796">
        <f>IF('C'!Q92&lt;&gt;'C'!R92,IF('C'!Q92&lt;&gt;0,IF('C'!S92&lt;&gt;'C'!T92,'C'!T92,),),)</f>
        <v>0</v>
      </c>
      <c r="U92" s="797">
        <f>IF('C'!Q92&lt;&gt;'C'!R92,IF('C'!Q92&lt;&gt;0,IF('C'!S92&lt;&gt;'C'!T92,'C'!U92,),),)</f>
        <v>0</v>
      </c>
      <c r="V92" s="875">
        <f>IF('C'!Q92&lt;&gt;'C'!R92,IF('C'!Q92&lt;&gt;0,IF('C'!S92&lt;&gt;'C'!T92,'C'!V92,),),)</f>
        <v>0</v>
      </c>
      <c r="W92" s="634">
        <f>IF(Q92="","",$W$5-SUM($Q$7:$Q$45)-SUM($Q$64:Q92))</f>
        <v>0</v>
      </c>
      <c r="AO92" s="86"/>
      <c r="AP92" s="86"/>
      <c r="AQ92" s="86"/>
      <c r="AR92" s="86"/>
      <c r="AS92" s="86"/>
      <c r="AT92" s="86"/>
      <c r="AU92" s="86"/>
      <c r="AV92" s="86"/>
      <c r="AW92" s="86"/>
      <c r="AX92" s="86"/>
      <c r="AY92" s="86"/>
      <c r="CM92" s="86"/>
      <c r="CN92" s="86"/>
    </row>
    <row r="93" spans="2:92" s="367" customFormat="1" ht="15.75" hidden="1" customHeight="1" outlineLevel="1">
      <c r="H93" s="543"/>
      <c r="I93" s="853"/>
      <c r="J93" s="6"/>
      <c r="K93" s="541"/>
      <c r="L93" s="860"/>
      <c r="M93" s="20" t="str">
        <f>IF(J93="","",$M$5-SUM($J$7:J93))</f>
        <v/>
      </c>
      <c r="O93" s="7"/>
      <c r="P93" s="873">
        <f>IF('C'!Q93&lt;&gt;'C'!R93,IF('C'!Q93&lt;&gt;0,IF('C'!S93&lt;&gt;'C'!T93,'C'!P93,),),)</f>
        <v>0</v>
      </c>
      <c r="Q93" s="795">
        <f>IF('C'!Q93&lt;&gt;'C'!R93,IF('C'!Q93&lt;&gt;0,IF('C'!S93&lt;&gt;'C'!T93,'C'!Q93,),),)</f>
        <v>0</v>
      </c>
      <c r="R93" s="628">
        <f>IF('C'!Q93&lt;&gt;'C'!R93,IF('C'!Q93&lt;&gt;0,IF('C'!S93&lt;&gt;'C'!T93,0,Q93),Q93),Q93)</f>
        <v>0</v>
      </c>
      <c r="S93" s="796">
        <f>IF('C'!Q93&lt;&gt;'C'!R93,IF('C'!Q93&lt;&gt;0,IF('C'!S93&lt;&gt;'C'!T93,'C'!S93+1,),),)</f>
        <v>0</v>
      </c>
      <c r="T93" s="796">
        <f>IF('C'!Q93&lt;&gt;'C'!R93,IF('C'!Q93&lt;&gt;0,IF('C'!S93&lt;&gt;'C'!T93,'C'!T93,),),)</f>
        <v>0</v>
      </c>
      <c r="U93" s="797">
        <f>IF('C'!Q93&lt;&gt;'C'!R93,IF('C'!Q93&lt;&gt;0,IF('C'!S93&lt;&gt;'C'!T93,'C'!U93,),),)</f>
        <v>0</v>
      </c>
      <c r="V93" s="875">
        <f>IF('C'!Q93&lt;&gt;'C'!R93,IF('C'!Q93&lt;&gt;0,IF('C'!S93&lt;&gt;'C'!T93,'C'!V93,),),)</f>
        <v>0</v>
      </c>
      <c r="W93" s="633">
        <f>IF(Q93="","",$W$5-SUM($Q$7:$Q$45)-SUM($Q$64:Q93))</f>
        <v>0</v>
      </c>
      <c r="AO93" s="86"/>
      <c r="AP93" s="86"/>
      <c r="AQ93" s="86"/>
      <c r="AR93" s="86"/>
      <c r="AS93" s="86"/>
      <c r="AT93" s="86"/>
      <c r="AU93" s="86"/>
      <c r="AV93" s="86"/>
      <c r="AW93" s="86"/>
      <c r="AX93" s="86"/>
      <c r="AY93" s="86"/>
      <c r="CM93" s="86"/>
      <c r="CN93" s="86"/>
    </row>
    <row r="94" spans="2:92" s="367" customFormat="1" ht="15.75" hidden="1" customHeight="1" outlineLevel="1">
      <c r="H94" s="543"/>
      <c r="I94" s="853"/>
      <c r="J94" s="6"/>
      <c r="K94" s="541"/>
      <c r="L94" s="860"/>
      <c r="M94" s="20" t="str">
        <f>IF(J94="","",$M$5-SUM($J$7:J94))</f>
        <v/>
      </c>
      <c r="O94" s="7"/>
      <c r="P94" s="871">
        <f>IF('C'!Q94&lt;&gt;'C'!R94,IF('C'!Q94&lt;&gt;0,IF('C'!S94&lt;&gt;'C'!T94,'C'!P94,),),)</f>
        <v>0</v>
      </c>
      <c r="Q94" s="795">
        <f>IF('C'!Q94&lt;&gt;'C'!R94,IF('C'!Q94&lt;&gt;0,IF('C'!S94&lt;&gt;'C'!T94,'C'!Q94,),),)</f>
        <v>0</v>
      </c>
      <c r="R94" s="628">
        <f>IF('C'!Q94&lt;&gt;'C'!R94,IF('C'!Q94&lt;&gt;0,IF('C'!S94&lt;&gt;'C'!T94,0,Q94),Q94),Q94)</f>
        <v>0</v>
      </c>
      <c r="S94" s="796">
        <f>IF('C'!Q94&lt;&gt;'C'!R94,IF('C'!Q94&lt;&gt;0,IF('C'!S94&lt;&gt;'C'!T94,'C'!S94+1,),),)</f>
        <v>0</v>
      </c>
      <c r="T94" s="796">
        <f>IF('C'!Q94&lt;&gt;'C'!R94,IF('C'!Q94&lt;&gt;0,IF('C'!S94&lt;&gt;'C'!T94,'C'!T94,),),)</f>
        <v>0</v>
      </c>
      <c r="U94" s="797">
        <f>IF('C'!Q94&lt;&gt;'C'!R94,IF('C'!Q94&lt;&gt;0,IF('C'!S94&lt;&gt;'C'!T94,'C'!U94,),),)</f>
        <v>0</v>
      </c>
      <c r="V94" s="875">
        <f>IF('C'!Q94&lt;&gt;'C'!R94,IF('C'!Q94&lt;&gt;0,IF('C'!S94&lt;&gt;'C'!T94,'C'!V94,),),)</f>
        <v>0</v>
      </c>
      <c r="W94" s="633">
        <f>IF(Q94="","",$W$5-SUM($Q$7:$Q$45)-SUM($Q$64:Q94))</f>
        <v>0</v>
      </c>
      <c r="AO94" s="86"/>
      <c r="AP94" s="86"/>
      <c r="AQ94" s="86"/>
      <c r="AR94" s="86"/>
      <c r="AS94" s="86"/>
      <c r="AT94" s="86"/>
      <c r="AU94" s="86"/>
      <c r="AV94" s="86"/>
      <c r="AW94" s="86"/>
      <c r="AX94" s="86"/>
      <c r="AY94" s="86"/>
      <c r="CM94" s="86"/>
      <c r="CN94" s="86"/>
    </row>
    <row r="95" spans="2:92" s="367" customFormat="1" ht="15.75" hidden="1" customHeight="1" outlineLevel="1">
      <c r="H95" s="543"/>
      <c r="I95" s="853"/>
      <c r="J95" s="6"/>
      <c r="K95" s="541"/>
      <c r="L95" s="860"/>
      <c r="M95" s="20" t="str">
        <f>IF(J95="","",$M$5-SUM($J$7:J95))</f>
        <v/>
      </c>
      <c r="O95" s="7"/>
      <c r="P95" s="873">
        <f>IF('C'!Q95&lt;&gt;'C'!R95,IF('C'!Q95&lt;&gt;0,IF('C'!S95&lt;&gt;'C'!T95,'C'!P95,),),)</f>
        <v>0</v>
      </c>
      <c r="Q95" s="795">
        <f>IF('C'!Q95&lt;&gt;'C'!R95,IF('C'!Q95&lt;&gt;0,IF('C'!S95&lt;&gt;'C'!T95,'C'!Q95,),),)</f>
        <v>0</v>
      </c>
      <c r="R95" s="628">
        <f>IF('C'!Q95&lt;&gt;'C'!R95,IF('C'!Q95&lt;&gt;0,IF('C'!S95&lt;&gt;'C'!T95,0,Q95),Q95),Q95)</f>
        <v>0</v>
      </c>
      <c r="S95" s="796">
        <f>IF('C'!Q95&lt;&gt;'C'!R95,IF('C'!Q95&lt;&gt;0,IF('C'!S95&lt;&gt;'C'!T95,'C'!S95+1,),),)</f>
        <v>0</v>
      </c>
      <c r="T95" s="796">
        <f>IF('C'!Q95&lt;&gt;'C'!R95,IF('C'!Q95&lt;&gt;0,IF('C'!S95&lt;&gt;'C'!T95,'C'!T95,),),)</f>
        <v>0</v>
      </c>
      <c r="U95" s="797">
        <f>IF('C'!Q95&lt;&gt;'C'!R95,IF('C'!Q95&lt;&gt;0,IF('C'!S95&lt;&gt;'C'!T95,'C'!U95,),),)</f>
        <v>0</v>
      </c>
      <c r="V95" s="875">
        <f>IF('C'!Q95&lt;&gt;'C'!R95,IF('C'!Q95&lt;&gt;0,IF('C'!S95&lt;&gt;'C'!T95,'C'!V95,),),)</f>
        <v>0</v>
      </c>
      <c r="W95" s="633">
        <f>IF(Q95="","",$W$5-SUM($Q$7:$Q$45)-SUM($Q$64:Q95))</f>
        <v>0</v>
      </c>
      <c r="AO95" s="86"/>
      <c r="AP95" s="86"/>
      <c r="AQ95" s="86"/>
      <c r="AR95" s="86"/>
      <c r="AS95" s="86"/>
      <c r="AT95" s="86"/>
      <c r="AU95" s="86"/>
      <c r="AV95" s="86"/>
      <c r="AW95" s="86"/>
      <c r="AX95" s="86"/>
      <c r="AY95" s="86"/>
      <c r="CM95" s="86"/>
      <c r="CN95" s="86"/>
    </row>
    <row r="96" spans="2:92" s="367" customFormat="1" ht="15.75" hidden="1" customHeight="1" outlineLevel="1">
      <c r="H96" s="543"/>
      <c r="I96" s="853"/>
      <c r="J96" s="6"/>
      <c r="K96" s="541"/>
      <c r="L96" s="860"/>
      <c r="M96" s="20" t="str">
        <f>IF(J96="","",$M$5-SUM($J$7:J96))</f>
        <v/>
      </c>
      <c r="O96" s="7"/>
      <c r="P96" s="872">
        <f>IF('C'!Q96&lt;&gt;'C'!R96,IF('C'!Q96&lt;&gt;0,IF('C'!S96&lt;&gt;'C'!T96,'C'!P96,),),)</f>
        <v>0</v>
      </c>
      <c r="Q96" s="795">
        <f>IF('C'!Q96&lt;&gt;'C'!R96,IF('C'!Q96&lt;&gt;0,IF('C'!S96&lt;&gt;'C'!T96,'C'!Q96,),),)</f>
        <v>0</v>
      </c>
      <c r="R96" s="628">
        <f>IF('C'!Q96&lt;&gt;'C'!R96,IF('C'!Q96&lt;&gt;0,IF('C'!S96&lt;&gt;'C'!T96,0,Q96),Q96),Q96)</f>
        <v>0</v>
      </c>
      <c r="S96" s="796">
        <f>IF('C'!Q96&lt;&gt;'C'!R96,IF('C'!Q96&lt;&gt;0,IF('C'!S96&lt;&gt;'C'!T96,'C'!S96+1,),),)</f>
        <v>0</v>
      </c>
      <c r="T96" s="796">
        <f>IF('C'!Q96&lt;&gt;'C'!R96,IF('C'!Q96&lt;&gt;0,IF('C'!S96&lt;&gt;'C'!T96,'C'!T96,),),)</f>
        <v>0</v>
      </c>
      <c r="U96" s="797">
        <f>IF('C'!Q96&lt;&gt;'C'!R96,IF('C'!Q96&lt;&gt;0,IF('C'!S96&lt;&gt;'C'!T96,'C'!U96,),),)</f>
        <v>0</v>
      </c>
      <c r="V96" s="875">
        <f>IF('C'!Q96&lt;&gt;'C'!R96,IF('C'!Q96&lt;&gt;0,IF('C'!S96&lt;&gt;'C'!T96,'C'!V96,),),)</f>
        <v>0</v>
      </c>
      <c r="W96" s="633">
        <f>IF(Q96="","",$W$5-SUM($Q$7:$Q$45)-SUM($Q$64:Q96))</f>
        <v>0</v>
      </c>
      <c r="AO96" s="86"/>
      <c r="AP96" s="86"/>
      <c r="AQ96" s="86"/>
      <c r="AR96" s="86"/>
      <c r="AS96" s="86"/>
      <c r="AT96" s="86"/>
      <c r="AU96" s="86"/>
      <c r="AV96" s="86"/>
      <c r="AW96" s="86"/>
      <c r="AX96" s="86"/>
      <c r="AY96" s="86"/>
      <c r="CM96" s="86"/>
      <c r="CN96" s="86"/>
    </row>
    <row r="97" spans="8:92" s="367" customFormat="1" ht="15.75" hidden="1" customHeight="1" outlineLevel="1">
      <c r="H97" s="543"/>
      <c r="I97" s="853"/>
      <c r="J97" s="6"/>
      <c r="K97" s="541"/>
      <c r="L97" s="860"/>
      <c r="M97" s="20" t="str">
        <f>IF(J97="","",$M$5-SUM($J$7:J97))</f>
        <v/>
      </c>
      <c r="O97" s="7"/>
      <c r="P97" s="871">
        <f>IF('C'!Q97&lt;&gt;'C'!R97,IF('C'!Q97&lt;&gt;0,IF('C'!S97&lt;&gt;'C'!T97,'C'!P97,),),)</f>
        <v>0</v>
      </c>
      <c r="Q97" s="795">
        <f>IF('C'!Q97&lt;&gt;'C'!R97,IF('C'!Q97&lt;&gt;0,IF('C'!S97&lt;&gt;'C'!T97,'C'!Q97,),),)</f>
        <v>0</v>
      </c>
      <c r="R97" s="628">
        <f>IF('C'!Q97&lt;&gt;'C'!R97,IF('C'!Q97&lt;&gt;0,IF('C'!S97&lt;&gt;'C'!T97,0,Q97),Q97),Q97)</f>
        <v>0</v>
      </c>
      <c r="S97" s="796">
        <f>IF('C'!Q97&lt;&gt;'C'!R97,IF('C'!Q97&lt;&gt;0,IF('C'!S97&lt;&gt;'C'!T97,'C'!S97+1,),),)</f>
        <v>0</v>
      </c>
      <c r="T97" s="796">
        <f>IF('C'!Q97&lt;&gt;'C'!R97,IF('C'!Q97&lt;&gt;0,IF('C'!S97&lt;&gt;'C'!T97,'C'!T97,),),)</f>
        <v>0</v>
      </c>
      <c r="U97" s="797">
        <f>IF('C'!Q97&lt;&gt;'C'!R97,IF('C'!Q97&lt;&gt;0,IF('C'!S97&lt;&gt;'C'!T97,'C'!U97,),),)</f>
        <v>0</v>
      </c>
      <c r="V97" s="875">
        <f>IF('C'!Q97&lt;&gt;'C'!R97,IF('C'!Q97&lt;&gt;0,IF('C'!S97&lt;&gt;'C'!T97,'C'!V97,),),)</f>
        <v>0</v>
      </c>
      <c r="W97" s="633">
        <f>IF(Q97="","",$W$5-SUM($Q$7:$Q$45)-SUM($Q$64:Q97))</f>
        <v>0</v>
      </c>
      <c r="AO97" s="86"/>
      <c r="AP97" s="86"/>
      <c r="AQ97" s="86"/>
      <c r="AR97" s="86"/>
      <c r="AS97" s="86"/>
      <c r="AT97" s="86"/>
      <c r="AU97" s="86"/>
      <c r="AV97" s="86"/>
      <c r="AW97" s="86"/>
      <c r="AX97" s="86"/>
      <c r="AY97" s="86"/>
      <c r="CM97" s="86"/>
      <c r="CN97" s="86"/>
    </row>
    <row r="98" spans="8:92" s="367" customFormat="1" ht="15.75" hidden="1" customHeight="1" outlineLevel="1">
      <c r="H98" s="543"/>
      <c r="I98" s="853"/>
      <c r="J98" s="6"/>
      <c r="K98" s="541"/>
      <c r="L98" s="860"/>
      <c r="M98" s="20" t="str">
        <f>IF(J98="","",$M$5-SUM($J$7:J98))</f>
        <v/>
      </c>
      <c r="O98" s="7"/>
      <c r="P98" s="871">
        <f>IF('C'!Q98&lt;&gt;'C'!R98,IF('C'!Q98&lt;&gt;0,IF('C'!S98&lt;&gt;'C'!T98,'C'!P98,),),)</f>
        <v>0</v>
      </c>
      <c r="Q98" s="795">
        <f>IF('C'!Q98&lt;&gt;'C'!R98,IF('C'!Q98&lt;&gt;0,IF('C'!S98&lt;&gt;'C'!T98,'C'!Q98,),),)</f>
        <v>0</v>
      </c>
      <c r="R98" s="628">
        <f>IF('C'!Q98&lt;&gt;'C'!R98,IF('C'!Q98&lt;&gt;0,IF('C'!S98&lt;&gt;'C'!T98,0,Q98),Q98),Q98)</f>
        <v>0</v>
      </c>
      <c r="S98" s="796">
        <f>IF('C'!Q98&lt;&gt;'C'!R98,IF('C'!Q98&lt;&gt;0,IF('C'!S98&lt;&gt;'C'!T98,'C'!S98+1,),),)</f>
        <v>0</v>
      </c>
      <c r="T98" s="796">
        <f>IF('C'!Q98&lt;&gt;'C'!R98,IF('C'!Q98&lt;&gt;0,IF('C'!S98&lt;&gt;'C'!T98,'C'!T98,),),)</f>
        <v>0</v>
      </c>
      <c r="U98" s="797">
        <f>IF('C'!Q98&lt;&gt;'C'!R98,IF('C'!Q98&lt;&gt;0,IF('C'!S98&lt;&gt;'C'!T98,'C'!U98,),),)</f>
        <v>0</v>
      </c>
      <c r="V98" s="875">
        <f>IF('C'!Q98&lt;&gt;'C'!R98,IF('C'!Q98&lt;&gt;0,IF('C'!S98&lt;&gt;'C'!T98,'C'!V98,),),)</f>
        <v>0</v>
      </c>
      <c r="W98" s="633">
        <f>IF(Q98="","",$W$5-SUM($Q$7:$Q$45)-SUM($Q$64:Q98))</f>
        <v>0</v>
      </c>
      <c r="AO98" s="86"/>
      <c r="AP98" s="86"/>
      <c r="AQ98" s="86"/>
      <c r="AR98" s="86"/>
      <c r="AS98" s="86"/>
      <c r="AT98" s="86"/>
      <c r="AU98" s="86"/>
      <c r="AV98" s="86"/>
      <c r="AW98" s="86"/>
      <c r="AX98" s="86"/>
      <c r="AY98" s="86"/>
      <c r="CM98" s="86"/>
      <c r="CN98" s="86"/>
    </row>
    <row r="99" spans="8:92" s="367" customFormat="1" ht="15.75" hidden="1" customHeight="1" outlineLevel="1">
      <c r="H99" s="543"/>
      <c r="I99" s="853"/>
      <c r="J99" s="6"/>
      <c r="K99" s="541"/>
      <c r="L99" s="860"/>
      <c r="M99" s="20" t="str">
        <f>IF(J99="","",$M$5-SUM($J$7:J99))</f>
        <v/>
      </c>
      <c r="O99" s="7"/>
      <c r="P99" s="873">
        <f>IF('C'!Q99&lt;&gt;'C'!R99,IF('C'!Q99&lt;&gt;0,IF('C'!S99&lt;&gt;'C'!T99,'C'!P99,),),)</f>
        <v>0</v>
      </c>
      <c r="Q99" s="795">
        <f>IF('C'!Q99&lt;&gt;'C'!R99,IF('C'!Q99&lt;&gt;0,IF('C'!S99&lt;&gt;'C'!T99,'C'!Q99,),),)</f>
        <v>0</v>
      </c>
      <c r="R99" s="628">
        <f>IF('C'!Q99&lt;&gt;'C'!R99,IF('C'!Q99&lt;&gt;0,IF('C'!S99&lt;&gt;'C'!T99,0,Q99),Q99),Q99)</f>
        <v>0</v>
      </c>
      <c r="S99" s="796">
        <f>IF('C'!Q99&lt;&gt;'C'!R99,IF('C'!Q99&lt;&gt;0,IF('C'!S99&lt;&gt;'C'!T99,'C'!S99+1,),),)</f>
        <v>0</v>
      </c>
      <c r="T99" s="796">
        <f>IF('C'!Q99&lt;&gt;'C'!R99,IF('C'!Q99&lt;&gt;0,IF('C'!S99&lt;&gt;'C'!T99,'C'!T99,),),)</f>
        <v>0</v>
      </c>
      <c r="U99" s="797">
        <f>IF('C'!Q99&lt;&gt;'C'!R99,IF('C'!Q99&lt;&gt;0,IF('C'!S99&lt;&gt;'C'!T99,'C'!U99,),),)</f>
        <v>0</v>
      </c>
      <c r="V99" s="875">
        <f>IF('C'!Q99&lt;&gt;'C'!R99,IF('C'!Q99&lt;&gt;0,IF('C'!S99&lt;&gt;'C'!T99,'C'!V99,),),)</f>
        <v>0</v>
      </c>
      <c r="W99" s="633">
        <f>IF(Q99="","",$W$5-SUM($Q$7:$Q$45)-SUM($Q$64:Q99))</f>
        <v>0</v>
      </c>
      <c r="AO99" s="86"/>
      <c r="AP99" s="86"/>
      <c r="AQ99" s="86"/>
      <c r="AR99" s="86"/>
      <c r="AS99" s="86"/>
      <c r="AT99" s="86"/>
      <c r="AU99" s="86"/>
      <c r="AV99" s="86"/>
      <c r="AW99" s="86"/>
      <c r="AX99" s="86"/>
      <c r="AY99" s="86"/>
      <c r="CM99" s="86"/>
      <c r="CN99" s="86"/>
    </row>
    <row r="100" spans="8:92" s="367" customFormat="1" ht="15.75" hidden="1" customHeight="1" outlineLevel="1">
      <c r="H100" s="543"/>
      <c r="I100" s="854"/>
      <c r="J100" s="6"/>
      <c r="K100" s="541"/>
      <c r="L100" s="860"/>
      <c r="M100" s="20" t="str">
        <f>IF(J100="","",$M$5-SUM($J$7:J100))</f>
        <v/>
      </c>
      <c r="O100" s="7"/>
      <c r="P100" s="871">
        <f>IF('C'!Q100&lt;&gt;'C'!R100,IF('C'!Q100&lt;&gt;0,IF('C'!S100&lt;&gt;'C'!T100,'C'!P100,),),)</f>
        <v>0</v>
      </c>
      <c r="Q100" s="795">
        <f>IF('C'!Q100&lt;&gt;'C'!R100,IF('C'!Q100&lt;&gt;0,IF('C'!S100&lt;&gt;'C'!T100,'C'!Q100,),),)</f>
        <v>0</v>
      </c>
      <c r="R100" s="628">
        <f>IF('C'!Q100&lt;&gt;'C'!R100,IF('C'!Q100&lt;&gt;0,IF('C'!S100&lt;&gt;'C'!T100,0,Q100),Q100),Q100)</f>
        <v>0</v>
      </c>
      <c r="S100" s="796">
        <f>IF('C'!Q100&lt;&gt;'C'!R100,IF('C'!Q100&lt;&gt;0,IF('C'!S100&lt;&gt;'C'!T100,'C'!S100+1,),),)</f>
        <v>0</v>
      </c>
      <c r="T100" s="796">
        <f>IF('C'!Q100&lt;&gt;'C'!R100,IF('C'!Q100&lt;&gt;0,IF('C'!S100&lt;&gt;'C'!T100,'C'!T100,),),)</f>
        <v>0</v>
      </c>
      <c r="U100" s="797">
        <f>IF('C'!Q100&lt;&gt;'C'!R100,IF('C'!Q100&lt;&gt;0,IF('C'!S100&lt;&gt;'C'!T100,'C'!U100,),),)</f>
        <v>0</v>
      </c>
      <c r="V100" s="875">
        <f>IF('C'!Q100&lt;&gt;'C'!R100,IF('C'!Q100&lt;&gt;0,IF('C'!S100&lt;&gt;'C'!T100,'C'!V100,),),)</f>
        <v>0</v>
      </c>
      <c r="W100" s="633">
        <f>IF(Q100="","",$W$5-SUM($Q$7:$Q$45)-SUM($Q$64:Q100))</f>
        <v>0</v>
      </c>
      <c r="AO100" s="86"/>
      <c r="AP100" s="86"/>
      <c r="AQ100" s="86"/>
      <c r="AR100" s="86"/>
      <c r="AS100" s="86"/>
      <c r="AT100" s="86"/>
      <c r="AU100" s="86"/>
      <c r="AV100" s="86"/>
      <c r="AW100" s="86"/>
      <c r="AX100" s="86"/>
      <c r="AY100" s="86"/>
      <c r="CM100" s="86"/>
      <c r="CN100" s="86"/>
    </row>
    <row r="101" spans="8:92" s="367" customFormat="1" ht="15.75" hidden="1" customHeight="1" outlineLevel="1">
      <c r="H101" s="543"/>
      <c r="I101" s="853"/>
      <c r="J101" s="6"/>
      <c r="K101" s="541"/>
      <c r="L101" s="860"/>
      <c r="M101" s="20" t="str">
        <f>IF(J101="","",$M$5-SUM($J$7:J101))</f>
        <v/>
      </c>
      <c r="O101" s="7"/>
      <c r="P101" s="871">
        <f>IF('C'!Q101&lt;&gt;'C'!R101,IF('C'!Q101&lt;&gt;0,IF('C'!S101&lt;&gt;'C'!T101,'C'!P101,),),)</f>
        <v>0</v>
      </c>
      <c r="Q101" s="795">
        <f>IF('C'!Q101&lt;&gt;'C'!R101,IF('C'!Q101&lt;&gt;0,IF('C'!S101&lt;&gt;'C'!T101,'C'!Q101,),),)</f>
        <v>0</v>
      </c>
      <c r="R101" s="628">
        <f>IF('C'!Q101&lt;&gt;'C'!R101,IF('C'!Q101&lt;&gt;0,IF('C'!S101&lt;&gt;'C'!T101,0,Q101),Q101),Q101)</f>
        <v>0</v>
      </c>
      <c r="S101" s="796">
        <f>IF('C'!Q101&lt;&gt;'C'!R101,IF('C'!Q101&lt;&gt;0,IF('C'!S101&lt;&gt;'C'!T101,'C'!S101+1,),),)</f>
        <v>0</v>
      </c>
      <c r="T101" s="796">
        <f>IF('C'!Q101&lt;&gt;'C'!R101,IF('C'!Q101&lt;&gt;0,IF('C'!S101&lt;&gt;'C'!T101,'C'!T101,),),)</f>
        <v>0</v>
      </c>
      <c r="U101" s="797">
        <f>IF('C'!Q101&lt;&gt;'C'!R101,IF('C'!Q101&lt;&gt;0,IF('C'!S101&lt;&gt;'C'!T101,'C'!U101,),),)</f>
        <v>0</v>
      </c>
      <c r="V101" s="875">
        <f>IF('C'!Q101&lt;&gt;'C'!R101,IF('C'!Q101&lt;&gt;0,IF('C'!S101&lt;&gt;'C'!T101,'C'!V101,),),)</f>
        <v>0</v>
      </c>
      <c r="W101" s="633">
        <f>IF(Q101="","",$W$5-SUM($Q$7:$Q$45)-SUM($Q$64:Q101))</f>
        <v>0</v>
      </c>
      <c r="AO101" s="86"/>
      <c r="AP101" s="86"/>
      <c r="AQ101" s="86"/>
      <c r="AR101" s="86"/>
      <c r="AS101" s="86"/>
      <c r="AT101" s="86"/>
      <c r="AU101" s="86"/>
      <c r="AV101" s="86"/>
      <c r="AW101" s="86"/>
      <c r="AX101" s="86"/>
      <c r="AY101" s="86"/>
      <c r="CM101" s="86"/>
      <c r="CN101" s="86"/>
    </row>
    <row r="102" spans="8:92" s="367" customFormat="1" ht="15.75" hidden="1" customHeight="1" outlineLevel="1">
      <c r="H102" s="543"/>
      <c r="I102" s="853"/>
      <c r="J102" s="6"/>
      <c r="K102" s="541"/>
      <c r="L102" s="860"/>
      <c r="M102" s="20" t="str">
        <f>IF(J102="","",$M$5-SUM($J$7:J102))</f>
        <v/>
      </c>
      <c r="O102" s="7"/>
      <c r="P102" s="873">
        <f>IF('C'!Q102&lt;&gt;'C'!R102,IF('C'!Q102&lt;&gt;0,IF('C'!S102&lt;&gt;'C'!T102,'C'!P102,),),)</f>
        <v>0</v>
      </c>
      <c r="Q102" s="795">
        <f>IF('C'!Q102&lt;&gt;'C'!R102,IF('C'!Q102&lt;&gt;0,IF('C'!S102&lt;&gt;'C'!T102,'C'!Q102,),),)</f>
        <v>0</v>
      </c>
      <c r="R102" s="628">
        <f>IF('C'!Q102&lt;&gt;'C'!R102,IF('C'!Q102&lt;&gt;0,IF('C'!S102&lt;&gt;'C'!T102,0,Q102),Q102),Q102)</f>
        <v>0</v>
      </c>
      <c r="S102" s="796">
        <f>IF('C'!Q102&lt;&gt;'C'!R102,IF('C'!Q102&lt;&gt;0,IF('C'!S102&lt;&gt;'C'!T102,'C'!S102+1,),),)</f>
        <v>0</v>
      </c>
      <c r="T102" s="796">
        <f>IF('C'!Q102&lt;&gt;'C'!R102,IF('C'!Q102&lt;&gt;0,IF('C'!S102&lt;&gt;'C'!T102,'C'!T102,),),)</f>
        <v>0</v>
      </c>
      <c r="U102" s="797">
        <f>IF('C'!Q102&lt;&gt;'C'!R102,IF('C'!Q102&lt;&gt;0,IF('C'!S102&lt;&gt;'C'!T102,'C'!U102,),),)</f>
        <v>0</v>
      </c>
      <c r="V102" s="875">
        <f>IF('C'!Q102&lt;&gt;'C'!R102,IF('C'!Q102&lt;&gt;0,IF('C'!S102&lt;&gt;'C'!T102,'C'!V102,),),)</f>
        <v>0</v>
      </c>
      <c r="W102" s="633">
        <f>IF(Q102="","",$W$5-SUM($Q$7:$Q$45)-SUM($Q$64:Q102))</f>
        <v>0</v>
      </c>
      <c r="AO102" s="86"/>
      <c r="AP102" s="86"/>
      <c r="AQ102" s="86"/>
      <c r="AR102" s="86"/>
      <c r="AS102" s="86"/>
      <c r="AT102" s="86"/>
      <c r="AU102" s="86"/>
      <c r="AV102" s="86"/>
      <c r="AW102" s="86"/>
      <c r="AX102" s="86"/>
      <c r="AY102" s="86"/>
      <c r="CM102" s="86"/>
      <c r="CN102" s="86"/>
    </row>
    <row r="103" spans="8:92" s="367" customFormat="1" ht="15.75" hidden="1" customHeight="1" outlineLevel="1">
      <c r="H103" s="543"/>
      <c r="I103" s="853"/>
      <c r="J103" s="6"/>
      <c r="K103" s="541"/>
      <c r="L103" s="860"/>
      <c r="M103" s="20" t="str">
        <f>IF(J103="","",$M$5-SUM($J$7:J103))</f>
        <v/>
      </c>
      <c r="O103" s="7"/>
      <c r="P103" s="871">
        <f>IF('C'!Q103&lt;&gt;'C'!R103,IF('C'!Q103&lt;&gt;0,IF('C'!S103&lt;&gt;'C'!T103,'C'!P103,),),)</f>
        <v>0</v>
      </c>
      <c r="Q103" s="795">
        <f>IF('C'!Q103&lt;&gt;'C'!R103,IF('C'!Q103&lt;&gt;0,IF('C'!S103&lt;&gt;'C'!T103,'C'!Q103,),),)</f>
        <v>0</v>
      </c>
      <c r="R103" s="628">
        <f>IF('C'!Q103&lt;&gt;'C'!R103,IF('C'!Q103&lt;&gt;0,IF('C'!S103&lt;&gt;'C'!T103,0,Q103),Q103),Q103)</f>
        <v>0</v>
      </c>
      <c r="S103" s="796">
        <f>IF('C'!Q103&lt;&gt;'C'!R103,IF('C'!Q103&lt;&gt;0,IF('C'!S103&lt;&gt;'C'!T103,'C'!S103+1,),),)</f>
        <v>0</v>
      </c>
      <c r="T103" s="796">
        <f>IF('C'!Q103&lt;&gt;'C'!R103,IF('C'!Q103&lt;&gt;0,IF('C'!S103&lt;&gt;'C'!T103,'C'!T103,),),)</f>
        <v>0</v>
      </c>
      <c r="U103" s="797">
        <f>IF('C'!Q103&lt;&gt;'C'!R103,IF('C'!Q103&lt;&gt;0,IF('C'!S103&lt;&gt;'C'!T103,'C'!U103,),),)</f>
        <v>0</v>
      </c>
      <c r="V103" s="875">
        <f>IF('C'!Q103&lt;&gt;'C'!R103,IF('C'!Q103&lt;&gt;0,IF('C'!S103&lt;&gt;'C'!T103,'C'!V103,),),)</f>
        <v>0</v>
      </c>
      <c r="W103" s="633">
        <f>IF(Q103="","",$W$5-SUM($Q$7:$Q$45)-SUM($Q$64:Q103))</f>
        <v>0</v>
      </c>
      <c r="AO103" s="86"/>
      <c r="AP103" s="86"/>
      <c r="AQ103" s="86"/>
      <c r="AR103" s="86"/>
      <c r="AS103" s="86"/>
      <c r="AT103" s="86"/>
      <c r="AU103" s="86"/>
      <c r="AV103" s="86"/>
      <c r="AW103" s="86"/>
      <c r="AX103" s="86"/>
      <c r="AY103" s="86"/>
      <c r="CM103" s="86"/>
      <c r="CN103" s="86"/>
    </row>
    <row r="104" spans="8:92" s="367" customFormat="1" ht="15.75" hidden="1" customHeight="1" outlineLevel="1">
      <c r="H104" s="543"/>
      <c r="I104" s="853"/>
      <c r="J104" s="6"/>
      <c r="K104" s="541"/>
      <c r="L104" s="860"/>
      <c r="M104" s="20" t="str">
        <f>IF(J104="","",$M$5-SUM($J$7:J104))</f>
        <v/>
      </c>
      <c r="O104" s="7"/>
      <c r="P104" s="873">
        <f>IF('C'!Q104&lt;&gt;'C'!R104,IF('C'!Q104&lt;&gt;0,IF('C'!S104&lt;&gt;'C'!T104,'C'!P104,),),)</f>
        <v>0</v>
      </c>
      <c r="Q104" s="795">
        <f>IF('C'!Q104&lt;&gt;'C'!R104,IF('C'!Q104&lt;&gt;0,IF('C'!S104&lt;&gt;'C'!T104,'C'!Q104,),),)</f>
        <v>0</v>
      </c>
      <c r="R104" s="628">
        <f>IF('C'!Q104&lt;&gt;'C'!R104,IF('C'!Q104&lt;&gt;0,IF('C'!S104&lt;&gt;'C'!T104,0,Q104),Q104),Q104)</f>
        <v>0</v>
      </c>
      <c r="S104" s="796">
        <f>IF('C'!Q104&lt;&gt;'C'!R104,IF('C'!Q104&lt;&gt;0,IF('C'!S104&lt;&gt;'C'!T104,'C'!S104+1,),),)</f>
        <v>0</v>
      </c>
      <c r="T104" s="796">
        <f>IF('C'!Q104&lt;&gt;'C'!R104,IF('C'!Q104&lt;&gt;0,IF('C'!S104&lt;&gt;'C'!T104,'C'!T104,),),)</f>
        <v>0</v>
      </c>
      <c r="U104" s="797">
        <f>IF('C'!Q104&lt;&gt;'C'!R104,IF('C'!Q104&lt;&gt;0,IF('C'!S104&lt;&gt;'C'!T104,'C'!U104,),),)</f>
        <v>0</v>
      </c>
      <c r="V104" s="875">
        <f>IF('C'!Q104&lt;&gt;'C'!R104,IF('C'!Q104&lt;&gt;0,IF('C'!S104&lt;&gt;'C'!T104,'C'!V104,),),)</f>
        <v>0</v>
      </c>
      <c r="W104" s="633">
        <f>IF(Q104="","",$W$5-SUM($Q$7:$Q$45)-SUM($Q$64:Q104))</f>
        <v>0</v>
      </c>
      <c r="AO104" s="86"/>
      <c r="AP104" s="86"/>
      <c r="AQ104" s="86"/>
      <c r="AR104" s="86"/>
      <c r="AS104" s="86"/>
      <c r="AT104" s="86"/>
      <c r="AU104" s="86"/>
      <c r="AV104" s="86"/>
      <c r="AW104" s="86"/>
      <c r="AX104" s="86"/>
      <c r="AY104" s="86"/>
      <c r="CM104" s="86"/>
      <c r="CN104" s="86"/>
    </row>
    <row r="105" spans="8:92" s="367" customFormat="1" ht="15.75" hidden="1" customHeight="1" outlineLevel="1">
      <c r="H105" s="543"/>
      <c r="I105" s="853"/>
      <c r="J105" s="6"/>
      <c r="K105" s="541"/>
      <c r="L105" s="860"/>
      <c r="M105" s="20" t="str">
        <f>IF(J105="","",$M$5-SUM($J$7:J105))</f>
        <v/>
      </c>
      <c r="O105" s="7"/>
      <c r="P105" s="872">
        <f>IF('C'!Q105&lt;&gt;'C'!R105,IF('C'!Q105&lt;&gt;0,IF('C'!S105&lt;&gt;'C'!T105,'C'!P105,),),)</f>
        <v>0</v>
      </c>
      <c r="Q105" s="795">
        <f>IF('C'!Q105&lt;&gt;'C'!R105,IF('C'!Q105&lt;&gt;0,IF('C'!S105&lt;&gt;'C'!T105,'C'!Q105,),),)</f>
        <v>0</v>
      </c>
      <c r="R105" s="628">
        <f>IF('C'!Q105&lt;&gt;'C'!R105,IF('C'!Q105&lt;&gt;0,IF('C'!S105&lt;&gt;'C'!T105,0,Q105),Q105),Q105)</f>
        <v>0</v>
      </c>
      <c r="S105" s="796">
        <f>IF('C'!Q105&lt;&gt;'C'!R105,IF('C'!Q105&lt;&gt;0,IF('C'!S105&lt;&gt;'C'!T105,'C'!S105+1,),),)</f>
        <v>0</v>
      </c>
      <c r="T105" s="796">
        <f>IF('C'!Q105&lt;&gt;'C'!R105,IF('C'!Q105&lt;&gt;0,IF('C'!S105&lt;&gt;'C'!T105,'C'!T105,),),)</f>
        <v>0</v>
      </c>
      <c r="U105" s="797">
        <f>IF('C'!Q105&lt;&gt;'C'!R105,IF('C'!Q105&lt;&gt;0,IF('C'!S105&lt;&gt;'C'!T105,'C'!U105,),),)</f>
        <v>0</v>
      </c>
      <c r="V105" s="875">
        <f>IF('C'!Q105&lt;&gt;'C'!R105,IF('C'!Q105&lt;&gt;0,IF('C'!S105&lt;&gt;'C'!T105,'C'!V105,),),)</f>
        <v>0</v>
      </c>
      <c r="W105" s="633">
        <f>IF(Q105="","",$W$5-SUM($Q$7:$Q$45)-SUM($Q$64:Q105))</f>
        <v>0</v>
      </c>
      <c r="AO105" s="86"/>
      <c r="AP105" s="86"/>
      <c r="AQ105" s="86"/>
      <c r="AR105" s="86"/>
      <c r="AS105" s="86"/>
      <c r="AT105" s="86"/>
      <c r="AU105" s="86"/>
      <c r="AV105" s="86"/>
      <c r="AW105" s="86"/>
      <c r="AX105" s="86"/>
      <c r="AY105" s="86"/>
      <c r="CM105" s="86"/>
      <c r="CN105" s="86"/>
    </row>
    <row r="106" spans="8:92" s="367" customFormat="1" ht="15.75" hidden="1" customHeight="1" outlineLevel="1">
      <c r="H106" s="543"/>
      <c r="I106" s="853"/>
      <c r="J106" s="6"/>
      <c r="K106" s="541"/>
      <c r="L106" s="860"/>
      <c r="M106" s="20" t="str">
        <f>IF(J106="","",$M$5-SUM($J$7:J106))</f>
        <v/>
      </c>
      <c r="O106" s="7"/>
      <c r="P106" s="871">
        <f>IF('C'!Q106&lt;&gt;'C'!R106,IF('C'!Q106&lt;&gt;0,IF('C'!S106&lt;&gt;'C'!T106,'C'!P106,),),)</f>
        <v>0</v>
      </c>
      <c r="Q106" s="795">
        <f>IF('C'!Q106&lt;&gt;'C'!R106,IF('C'!Q106&lt;&gt;0,IF('C'!S106&lt;&gt;'C'!T106,'C'!Q106,),),)</f>
        <v>0</v>
      </c>
      <c r="R106" s="628">
        <f>IF('C'!Q106&lt;&gt;'C'!R106,IF('C'!Q106&lt;&gt;0,IF('C'!S106&lt;&gt;'C'!T106,0,Q106),Q106),Q106)</f>
        <v>0</v>
      </c>
      <c r="S106" s="796">
        <f>IF('C'!Q106&lt;&gt;'C'!R106,IF('C'!Q106&lt;&gt;0,IF('C'!S106&lt;&gt;'C'!T106,'C'!S106+1,),),)</f>
        <v>0</v>
      </c>
      <c r="T106" s="796">
        <f>IF('C'!Q106&lt;&gt;'C'!R106,IF('C'!Q106&lt;&gt;0,IF('C'!S106&lt;&gt;'C'!T106,'C'!T106,),),)</f>
        <v>0</v>
      </c>
      <c r="U106" s="797">
        <f>IF('C'!Q106&lt;&gt;'C'!R106,IF('C'!Q106&lt;&gt;0,IF('C'!S106&lt;&gt;'C'!T106,'C'!U106,),),)</f>
        <v>0</v>
      </c>
      <c r="V106" s="875">
        <f>IF('C'!Q106&lt;&gt;'C'!R106,IF('C'!Q106&lt;&gt;0,IF('C'!S106&lt;&gt;'C'!T106,'C'!V106,),),)</f>
        <v>0</v>
      </c>
      <c r="W106" s="633">
        <f>IF(Q106="","",$W$5-SUM($Q$7:$Q$45)-SUM($Q$64:Q106))</f>
        <v>0</v>
      </c>
      <c r="AO106" s="86"/>
      <c r="AP106" s="86"/>
      <c r="AQ106" s="86"/>
      <c r="AR106" s="86"/>
      <c r="AS106" s="86"/>
      <c r="AT106" s="86"/>
      <c r="AU106" s="86"/>
      <c r="AV106" s="86"/>
      <c r="AW106" s="86"/>
      <c r="AX106" s="86"/>
      <c r="AY106" s="86"/>
      <c r="CM106" s="86"/>
      <c r="CN106" s="86"/>
    </row>
    <row r="107" spans="8:92" s="367" customFormat="1" ht="15.75" hidden="1" customHeight="1" outlineLevel="1">
      <c r="H107" s="543"/>
      <c r="I107" s="853"/>
      <c r="J107" s="6"/>
      <c r="K107" s="541"/>
      <c r="L107" s="860"/>
      <c r="M107" s="20" t="str">
        <f>IF(J107="","",$M$5-SUM($J$7:J107))</f>
        <v/>
      </c>
      <c r="O107" s="7"/>
      <c r="P107" s="871">
        <f>IF('C'!Q107&lt;&gt;'C'!R107,IF('C'!Q107&lt;&gt;0,IF('C'!S107&lt;&gt;'C'!T107,'C'!P107,),),)</f>
        <v>0</v>
      </c>
      <c r="Q107" s="795">
        <f>IF('C'!Q107&lt;&gt;'C'!R107,IF('C'!Q107&lt;&gt;0,IF('C'!S107&lt;&gt;'C'!T107,'C'!Q107,),),)</f>
        <v>0</v>
      </c>
      <c r="R107" s="628">
        <f>IF('C'!Q107&lt;&gt;'C'!R107,IF('C'!Q107&lt;&gt;0,IF('C'!S107&lt;&gt;'C'!T107,0,Q107),Q107),Q107)</f>
        <v>0</v>
      </c>
      <c r="S107" s="796">
        <f>IF('C'!Q107&lt;&gt;'C'!R107,IF('C'!Q107&lt;&gt;0,IF('C'!S107&lt;&gt;'C'!T107,'C'!S107+1,),),)</f>
        <v>0</v>
      </c>
      <c r="T107" s="796">
        <f>IF('C'!Q107&lt;&gt;'C'!R107,IF('C'!Q107&lt;&gt;0,IF('C'!S107&lt;&gt;'C'!T107,'C'!T107,),),)</f>
        <v>0</v>
      </c>
      <c r="U107" s="797">
        <f>IF('C'!Q107&lt;&gt;'C'!R107,IF('C'!Q107&lt;&gt;0,IF('C'!S107&lt;&gt;'C'!T107,'C'!U107,),),)</f>
        <v>0</v>
      </c>
      <c r="V107" s="875">
        <f>IF('C'!Q107&lt;&gt;'C'!R107,IF('C'!Q107&lt;&gt;0,IF('C'!S107&lt;&gt;'C'!T107,'C'!V107,),),)</f>
        <v>0</v>
      </c>
      <c r="W107" s="633">
        <f>IF(Q107="","",$W$5-SUM($Q$7:$Q$45)-SUM($Q$64:Q107))</f>
        <v>0</v>
      </c>
      <c r="AO107" s="86"/>
      <c r="AP107" s="86"/>
      <c r="AQ107" s="86"/>
      <c r="AR107" s="86"/>
      <c r="AS107" s="86"/>
      <c r="AT107" s="86"/>
      <c r="AU107" s="86"/>
      <c r="AV107" s="86"/>
      <c r="AW107" s="86"/>
      <c r="AX107" s="86"/>
      <c r="AY107" s="86"/>
      <c r="CM107" s="86"/>
      <c r="CN107" s="86"/>
    </row>
    <row r="108" spans="8:92" s="367" customFormat="1" ht="15.75" hidden="1" customHeight="1" outlineLevel="1">
      <c r="H108" s="543"/>
      <c r="I108" s="853"/>
      <c r="J108" s="6"/>
      <c r="K108" s="541"/>
      <c r="L108" s="860"/>
      <c r="M108" s="20" t="str">
        <f>IF(J108="","",$M$5-SUM($J$7:J108))</f>
        <v/>
      </c>
      <c r="O108" s="7"/>
      <c r="P108" s="873">
        <f>IF('C'!Q108&lt;&gt;'C'!R108,IF('C'!Q108&lt;&gt;0,IF('C'!S108&lt;&gt;'C'!T108,'C'!P108,),),)</f>
        <v>0</v>
      </c>
      <c r="Q108" s="795">
        <f>IF('C'!Q108&lt;&gt;'C'!R108,IF('C'!Q108&lt;&gt;0,IF('C'!S108&lt;&gt;'C'!T108,'C'!Q108,),),)</f>
        <v>0</v>
      </c>
      <c r="R108" s="628">
        <f>IF('C'!Q108&lt;&gt;'C'!R108,IF('C'!Q108&lt;&gt;0,IF('C'!S108&lt;&gt;'C'!T108,0,Q108),Q108),Q108)</f>
        <v>0</v>
      </c>
      <c r="S108" s="796">
        <f>IF('C'!Q108&lt;&gt;'C'!R108,IF('C'!Q108&lt;&gt;0,IF('C'!S108&lt;&gt;'C'!T108,'C'!S108+1,),),)</f>
        <v>0</v>
      </c>
      <c r="T108" s="796">
        <f>IF('C'!Q108&lt;&gt;'C'!R108,IF('C'!Q108&lt;&gt;0,IF('C'!S108&lt;&gt;'C'!T108,'C'!T108,),),)</f>
        <v>0</v>
      </c>
      <c r="U108" s="797">
        <f>IF('C'!Q108&lt;&gt;'C'!R108,IF('C'!Q108&lt;&gt;0,IF('C'!S108&lt;&gt;'C'!T108,'C'!U108,),),)</f>
        <v>0</v>
      </c>
      <c r="V108" s="875">
        <f>IF('C'!Q108&lt;&gt;'C'!R108,IF('C'!Q108&lt;&gt;0,IF('C'!S108&lt;&gt;'C'!T108,'C'!V108,),),)</f>
        <v>0</v>
      </c>
      <c r="W108" s="633">
        <f>IF(Q108="","",$W$5-SUM($Q$7:$Q$45)-SUM($Q$64:Q108))</f>
        <v>0</v>
      </c>
      <c r="AO108" s="86"/>
      <c r="AP108" s="86"/>
      <c r="AQ108" s="86"/>
      <c r="AR108" s="86"/>
      <c r="AS108" s="86"/>
      <c r="AT108" s="86"/>
      <c r="AU108" s="86"/>
      <c r="AV108" s="86"/>
      <c r="AW108" s="86"/>
      <c r="AX108" s="86"/>
      <c r="AY108" s="86"/>
      <c r="CM108" s="86"/>
      <c r="CN108" s="86"/>
    </row>
    <row r="109" spans="8:92" s="367" customFormat="1" ht="15.75" hidden="1" customHeight="1" outlineLevel="1">
      <c r="H109" s="543"/>
      <c r="I109" s="853"/>
      <c r="J109" s="6"/>
      <c r="K109" s="541"/>
      <c r="L109" s="860"/>
      <c r="M109" s="20" t="str">
        <f>IF(J109="","",$M$5-SUM($J$7:J109))</f>
        <v/>
      </c>
      <c r="O109" s="7"/>
      <c r="P109" s="871">
        <f>IF('C'!Q109&lt;&gt;'C'!R109,IF('C'!Q109&lt;&gt;0,IF('C'!S109&lt;&gt;'C'!T109,'C'!P109,),),)</f>
        <v>0</v>
      </c>
      <c r="Q109" s="795">
        <f>IF('C'!Q109&lt;&gt;'C'!R109,IF('C'!Q109&lt;&gt;0,IF('C'!S109&lt;&gt;'C'!T109,'C'!Q109,),),)</f>
        <v>0</v>
      </c>
      <c r="R109" s="628">
        <f>IF('C'!Q109&lt;&gt;'C'!R109,IF('C'!Q109&lt;&gt;0,IF('C'!S109&lt;&gt;'C'!T109,0,Q109),Q109),Q109)</f>
        <v>0</v>
      </c>
      <c r="S109" s="796">
        <f>IF('C'!Q109&lt;&gt;'C'!R109,IF('C'!Q109&lt;&gt;0,IF('C'!S109&lt;&gt;'C'!T109,'C'!S109+1,),),)</f>
        <v>0</v>
      </c>
      <c r="T109" s="796">
        <f>IF('C'!Q109&lt;&gt;'C'!R109,IF('C'!Q109&lt;&gt;0,IF('C'!S109&lt;&gt;'C'!T109,'C'!T109,),),)</f>
        <v>0</v>
      </c>
      <c r="U109" s="797">
        <f>IF('C'!Q109&lt;&gt;'C'!R109,IF('C'!Q109&lt;&gt;0,IF('C'!S109&lt;&gt;'C'!T109,'C'!U109,),),)</f>
        <v>0</v>
      </c>
      <c r="V109" s="875">
        <f>IF('C'!Q109&lt;&gt;'C'!R109,IF('C'!Q109&lt;&gt;0,IF('C'!S109&lt;&gt;'C'!T109,'C'!V109,),),)</f>
        <v>0</v>
      </c>
      <c r="W109" s="633">
        <f>IF(Q109="","",$W$5-SUM($Q$7:$Q$45)-SUM($Q$64:Q109))</f>
        <v>0</v>
      </c>
      <c r="AO109" s="86"/>
      <c r="AP109" s="86"/>
      <c r="AQ109" s="86"/>
      <c r="AR109" s="86"/>
      <c r="AS109" s="86"/>
      <c r="AT109" s="86"/>
      <c r="AU109" s="86"/>
      <c r="AV109" s="86"/>
      <c r="AW109" s="86"/>
      <c r="AX109" s="86"/>
      <c r="AY109" s="86"/>
      <c r="CM109" s="86"/>
      <c r="CN109" s="86"/>
    </row>
    <row r="110" spans="8:92" s="367" customFormat="1" ht="16.5" hidden="1" customHeight="1" outlineLevel="1" thickBot="1">
      <c r="H110" s="544"/>
      <c r="I110" s="857"/>
      <c r="J110" s="545"/>
      <c r="K110" s="601"/>
      <c r="L110" s="861"/>
      <c r="M110" s="546" t="str">
        <f>IF(J110="","",$M$5-SUM($J$7:J110))</f>
        <v/>
      </c>
      <c r="O110" s="523"/>
      <c r="P110" s="874">
        <f>IF('C'!Q110&lt;&gt;'C'!R110,IF('C'!Q110&lt;&gt;0,IF('C'!S110&lt;&gt;'C'!T110,'C'!P110,),),)</f>
        <v>0</v>
      </c>
      <c r="Q110" s="800">
        <f>IF('C'!Q110&lt;&gt;'C'!R110,IF('C'!Q110&lt;&gt;0,IF('C'!S110&lt;&gt;'C'!T110,'C'!Q110,),),)</f>
        <v>0</v>
      </c>
      <c r="R110" s="630">
        <f>IF('C'!Q110&lt;&gt;'C'!R110,IF('C'!Q110&lt;&gt;0,IF('C'!S110&lt;&gt;'C'!T110,0,Q110),Q110),Q110)</f>
        <v>0</v>
      </c>
      <c r="S110" s="801">
        <f>IF('C'!Q110&lt;&gt;'C'!R110,IF('C'!Q110&lt;&gt;0,IF('C'!S110&lt;&gt;'C'!T110,'C'!S110+1,),),)</f>
        <v>0</v>
      </c>
      <c r="T110" s="801">
        <f>IF('C'!Q110&lt;&gt;'C'!R110,IF('C'!Q110&lt;&gt;0,IF('C'!S110&lt;&gt;'C'!T110,'C'!T110,),),)</f>
        <v>0</v>
      </c>
      <c r="U110" s="802">
        <f>IF('C'!Q110&lt;&gt;'C'!R110,IF('C'!Q110&lt;&gt;0,IF('C'!S110&lt;&gt;'C'!T110,'C'!U110,),),)</f>
        <v>0</v>
      </c>
      <c r="V110" s="876">
        <f>IF('C'!Q110&lt;&gt;'C'!R110,IF('C'!Q110&lt;&gt;0,IF('C'!S110&lt;&gt;'C'!T110,'C'!V110,),),)</f>
        <v>0</v>
      </c>
      <c r="W110" s="635">
        <f>IF(Q110="","",$W$5-SUM($Q$7:$Q$45)-SUM($Q$64:Q110))</f>
        <v>0</v>
      </c>
      <c r="AO110" s="86"/>
      <c r="AP110" s="86"/>
      <c r="AQ110" s="86"/>
      <c r="AR110" s="86"/>
      <c r="AS110" s="86"/>
      <c r="AT110" s="86"/>
      <c r="AU110" s="86"/>
      <c r="AV110" s="86"/>
      <c r="AW110" s="86"/>
      <c r="AX110" s="86"/>
      <c r="AY110" s="86"/>
      <c r="CM110" s="86"/>
      <c r="CN110" s="86"/>
    </row>
    <row r="111" spans="8:92" s="367" customFormat="1">
      <c r="K111" s="593"/>
      <c r="L111" s="593"/>
      <c r="O111" s="511"/>
      <c r="S111" s="371"/>
      <c r="T111" s="371"/>
      <c r="U111" s="371"/>
      <c r="V111" s="371"/>
      <c r="AO111" s="86"/>
      <c r="AP111" s="86"/>
      <c r="AQ111" s="86"/>
      <c r="AR111" s="86"/>
      <c r="AS111" s="86"/>
      <c r="AT111" s="86"/>
      <c r="AU111" s="86"/>
      <c r="AV111" s="86"/>
      <c r="AW111" s="86"/>
      <c r="AX111" s="86"/>
      <c r="AY111" s="86"/>
      <c r="CM111" s="86"/>
      <c r="CN111" s="86"/>
    </row>
    <row r="112" spans="8:92" s="367" customFormat="1">
      <c r="O112" s="511"/>
      <c r="S112" s="371"/>
      <c r="T112" s="371"/>
      <c r="U112" s="371"/>
      <c r="V112" s="371"/>
      <c r="AO112" s="86"/>
      <c r="AP112" s="86"/>
      <c r="AQ112" s="86"/>
      <c r="AR112" s="86"/>
      <c r="AS112" s="86"/>
      <c r="AT112" s="86"/>
      <c r="AU112" s="86"/>
      <c r="AV112" s="86"/>
      <c r="AW112" s="86"/>
      <c r="AX112" s="86"/>
      <c r="AY112" s="86"/>
      <c r="CM112" s="86"/>
      <c r="CN112" s="86"/>
    </row>
    <row r="113" spans="15:92" s="367" customFormat="1">
      <c r="O113" s="511"/>
      <c r="S113" s="371"/>
      <c r="T113" s="371"/>
      <c r="U113" s="371"/>
      <c r="V113" s="371"/>
      <c r="AO113" s="86"/>
      <c r="AP113" s="86"/>
      <c r="AQ113" s="86"/>
      <c r="AR113" s="86"/>
      <c r="AS113" s="86"/>
      <c r="AT113" s="86"/>
      <c r="AU113" s="86"/>
      <c r="AV113" s="86"/>
      <c r="AW113" s="86"/>
      <c r="AX113" s="86"/>
      <c r="AY113" s="86"/>
      <c r="CM113" s="86"/>
      <c r="CN113" s="86"/>
    </row>
    <row r="114" spans="15:92" s="367" customFormat="1">
      <c r="O114" s="511"/>
      <c r="S114" s="371"/>
      <c r="T114" s="371"/>
      <c r="U114" s="371"/>
      <c r="V114" s="371"/>
      <c r="AO114" s="86"/>
      <c r="AP114" s="86"/>
      <c r="AQ114" s="86"/>
      <c r="AR114" s="86"/>
      <c r="AS114" s="86"/>
      <c r="AT114" s="86"/>
      <c r="AU114" s="86"/>
      <c r="AV114" s="86"/>
      <c r="AW114" s="86"/>
      <c r="AX114" s="86"/>
      <c r="AY114" s="86"/>
      <c r="CM114" s="86"/>
      <c r="CN114" s="86"/>
    </row>
    <row r="115" spans="15:92" s="367" customFormat="1">
      <c r="O115" s="511"/>
      <c r="S115" s="371"/>
      <c r="T115" s="371"/>
      <c r="U115" s="371"/>
      <c r="V115" s="371"/>
      <c r="AO115" s="86"/>
      <c r="AP115" s="86"/>
      <c r="AQ115" s="86"/>
      <c r="AR115" s="86"/>
      <c r="AS115" s="86"/>
      <c r="AT115" s="86"/>
      <c r="AU115" s="86"/>
      <c r="AV115" s="86"/>
      <c r="AW115" s="86"/>
      <c r="AX115" s="86"/>
      <c r="AY115" s="86"/>
      <c r="CM115" s="86"/>
      <c r="CN115" s="86"/>
    </row>
    <row r="116" spans="15:92" s="367" customFormat="1">
      <c r="O116" s="511"/>
      <c r="S116" s="371"/>
      <c r="T116" s="371"/>
      <c r="U116" s="371"/>
      <c r="V116" s="371"/>
      <c r="AO116" s="86"/>
      <c r="AP116" s="86"/>
      <c r="AQ116" s="86"/>
      <c r="AR116" s="86"/>
      <c r="AS116" s="86"/>
      <c r="AT116" s="86"/>
      <c r="AU116" s="86"/>
      <c r="AV116" s="86"/>
      <c r="AW116" s="86"/>
      <c r="AX116" s="86"/>
      <c r="AY116" s="86"/>
      <c r="CM116" s="86"/>
      <c r="CN116" s="86"/>
    </row>
    <row r="117" spans="15:92" s="367" customFormat="1">
      <c r="O117" s="511"/>
      <c r="S117" s="371"/>
      <c r="T117" s="371"/>
      <c r="U117" s="371"/>
      <c r="V117" s="371"/>
      <c r="AO117" s="86"/>
      <c r="AP117" s="86"/>
      <c r="AQ117" s="86"/>
      <c r="AR117" s="86"/>
      <c r="AS117" s="86"/>
      <c r="AT117" s="86"/>
      <c r="AU117" s="86"/>
      <c r="AV117" s="86"/>
      <c r="AW117" s="86"/>
      <c r="AX117" s="86"/>
      <c r="AY117" s="86"/>
      <c r="CM117" s="86"/>
      <c r="CN117" s="86"/>
    </row>
    <row r="118" spans="15:92" s="367" customFormat="1">
      <c r="O118" s="511"/>
      <c r="S118" s="371"/>
      <c r="T118" s="371"/>
      <c r="U118" s="371"/>
      <c r="V118" s="371"/>
      <c r="AO118" s="86"/>
      <c r="AP118" s="86"/>
      <c r="AQ118" s="86"/>
      <c r="AR118" s="86"/>
      <c r="AS118" s="86"/>
      <c r="AT118" s="86"/>
      <c r="AU118" s="86"/>
      <c r="AV118" s="86"/>
      <c r="AW118" s="86"/>
      <c r="AX118" s="86"/>
      <c r="AY118" s="86"/>
      <c r="CM118" s="86"/>
      <c r="CN118" s="86"/>
    </row>
    <row r="119" spans="15:92" s="367" customFormat="1">
      <c r="O119" s="511"/>
      <c r="S119" s="371"/>
      <c r="T119" s="371"/>
      <c r="U119" s="371"/>
      <c r="V119" s="371"/>
      <c r="AO119" s="86"/>
      <c r="AP119" s="86"/>
      <c r="AQ119" s="86"/>
      <c r="AR119" s="86"/>
      <c r="AS119" s="86"/>
      <c r="AT119" s="86"/>
      <c r="AU119" s="86"/>
      <c r="AV119" s="86"/>
      <c r="AW119" s="86"/>
      <c r="AX119" s="86"/>
      <c r="AY119" s="86"/>
      <c r="CM119" s="86"/>
      <c r="CN119" s="86"/>
    </row>
    <row r="120" spans="15:92" s="367" customFormat="1">
      <c r="O120" s="511"/>
      <c r="S120" s="371"/>
      <c r="T120" s="371"/>
      <c r="U120" s="371"/>
      <c r="V120" s="371"/>
      <c r="AO120" s="86"/>
      <c r="AP120" s="86"/>
      <c r="AQ120" s="86"/>
      <c r="AR120" s="86"/>
      <c r="AS120" s="86"/>
      <c r="AT120" s="86"/>
      <c r="AU120" s="86"/>
      <c r="AV120" s="86"/>
      <c r="AW120" s="86"/>
      <c r="AX120" s="86"/>
      <c r="AY120" s="86"/>
      <c r="CM120" s="86"/>
      <c r="CN120" s="86"/>
    </row>
    <row r="121" spans="15:92" s="367" customFormat="1">
      <c r="O121" s="511"/>
      <c r="S121" s="371"/>
      <c r="T121" s="371"/>
      <c r="U121" s="371"/>
      <c r="V121" s="371"/>
      <c r="AO121" s="86"/>
      <c r="AP121" s="86"/>
      <c r="AQ121" s="86"/>
      <c r="AR121" s="86"/>
      <c r="AS121" s="86"/>
      <c r="AT121" s="86"/>
      <c r="AU121" s="86"/>
      <c r="AV121" s="86"/>
      <c r="AW121" s="86"/>
      <c r="AX121" s="86"/>
      <c r="AY121" s="86"/>
      <c r="CM121" s="86"/>
      <c r="CN121" s="86"/>
    </row>
    <row r="122" spans="15:92" s="367" customFormat="1">
      <c r="O122" s="511"/>
      <c r="S122" s="371"/>
      <c r="T122" s="371"/>
      <c r="U122" s="371"/>
      <c r="V122" s="371"/>
      <c r="AO122" s="86"/>
      <c r="AP122" s="86"/>
      <c r="AQ122" s="86"/>
      <c r="AR122" s="86"/>
      <c r="AS122" s="86"/>
      <c r="AT122" s="86"/>
      <c r="AU122" s="86"/>
      <c r="AV122" s="86"/>
      <c r="AW122" s="86"/>
      <c r="AX122" s="86"/>
      <c r="AY122" s="86"/>
      <c r="CM122" s="86"/>
      <c r="CN122" s="86"/>
    </row>
    <row r="123" spans="15:92" s="367" customFormat="1">
      <c r="O123" s="511"/>
      <c r="S123" s="371"/>
      <c r="T123" s="371"/>
      <c r="U123" s="371"/>
      <c r="V123" s="371"/>
      <c r="AO123" s="86"/>
      <c r="AP123" s="86"/>
      <c r="AQ123" s="86"/>
      <c r="AR123" s="86"/>
      <c r="AS123" s="86"/>
      <c r="AT123" s="86"/>
      <c r="AU123" s="86"/>
      <c r="AV123" s="86"/>
      <c r="AW123" s="86"/>
      <c r="AX123" s="86"/>
      <c r="AY123" s="86"/>
      <c r="CM123" s="86"/>
      <c r="CN123" s="86"/>
    </row>
    <row r="124" spans="15:92" s="367" customFormat="1">
      <c r="O124" s="511"/>
      <c r="S124" s="371"/>
      <c r="T124" s="371"/>
      <c r="U124" s="371"/>
      <c r="V124" s="371"/>
      <c r="AO124" s="86"/>
      <c r="AP124" s="86"/>
      <c r="AQ124" s="86"/>
      <c r="AR124" s="86"/>
      <c r="AS124" s="86"/>
      <c r="AT124" s="86"/>
      <c r="AU124" s="86"/>
      <c r="AV124" s="86"/>
      <c r="AW124" s="86"/>
      <c r="AX124" s="86"/>
      <c r="AY124" s="86"/>
      <c r="CM124" s="86"/>
      <c r="CN124" s="86"/>
    </row>
    <row r="125" spans="15:92" s="367" customFormat="1">
      <c r="O125" s="511"/>
      <c r="S125" s="371"/>
      <c r="T125" s="371"/>
      <c r="U125" s="371"/>
      <c r="V125" s="371"/>
      <c r="AO125" s="86"/>
      <c r="AP125" s="86"/>
      <c r="AQ125" s="86"/>
      <c r="AR125" s="86"/>
      <c r="AS125" s="86"/>
      <c r="AT125" s="86"/>
      <c r="AU125" s="86"/>
      <c r="AV125" s="86"/>
      <c r="AW125" s="86"/>
      <c r="AX125" s="86"/>
      <c r="AY125" s="86"/>
      <c r="CM125" s="86"/>
      <c r="CN125" s="86"/>
    </row>
    <row r="126" spans="15:92" s="367" customFormat="1">
      <c r="O126" s="511"/>
      <c r="S126" s="371"/>
      <c r="T126" s="371"/>
      <c r="U126" s="371"/>
      <c r="V126" s="371"/>
      <c r="AO126" s="86"/>
      <c r="AP126" s="86"/>
      <c r="AQ126" s="86"/>
      <c r="AR126" s="86"/>
      <c r="AS126" s="86"/>
      <c r="AT126" s="86"/>
      <c r="AU126" s="86"/>
      <c r="AV126" s="86"/>
      <c r="AW126" s="86"/>
      <c r="AX126" s="86"/>
      <c r="AY126" s="86"/>
      <c r="CM126" s="86"/>
      <c r="CN126" s="86"/>
    </row>
    <row r="127" spans="15:92" s="367" customFormat="1">
      <c r="O127" s="511"/>
      <c r="S127" s="371"/>
      <c r="T127" s="371"/>
      <c r="U127" s="371"/>
      <c r="V127" s="371"/>
      <c r="AO127" s="86"/>
      <c r="AP127" s="86"/>
      <c r="AQ127" s="86"/>
      <c r="AR127" s="86"/>
      <c r="AS127" s="86"/>
      <c r="AT127" s="86"/>
      <c r="AU127" s="86"/>
      <c r="AV127" s="86"/>
      <c r="AW127" s="86"/>
      <c r="AX127" s="86"/>
      <c r="AY127" s="86"/>
      <c r="CM127" s="86"/>
      <c r="CN127" s="86"/>
    </row>
    <row r="128" spans="15:92" s="367" customFormat="1">
      <c r="O128" s="511"/>
      <c r="S128" s="371"/>
      <c r="T128" s="371"/>
      <c r="U128" s="371"/>
      <c r="V128" s="371"/>
      <c r="AO128" s="86"/>
      <c r="AP128" s="86"/>
      <c r="AQ128" s="86"/>
      <c r="AR128" s="86"/>
      <c r="AS128" s="86"/>
      <c r="AT128" s="86"/>
      <c r="AU128" s="86"/>
      <c r="AV128" s="86"/>
      <c r="AW128" s="86"/>
      <c r="AX128" s="86"/>
      <c r="AY128" s="86"/>
      <c r="CM128" s="86"/>
      <c r="CN128" s="86"/>
    </row>
    <row r="129" spans="15:92" s="367" customFormat="1">
      <c r="O129" s="511"/>
      <c r="S129" s="371"/>
      <c r="T129" s="371"/>
      <c r="U129" s="371"/>
      <c r="V129" s="371"/>
      <c r="AO129" s="86"/>
      <c r="AP129" s="86"/>
      <c r="AQ129" s="86"/>
      <c r="AR129" s="86"/>
      <c r="AS129" s="86"/>
      <c r="AT129" s="86"/>
      <c r="AU129" s="86"/>
      <c r="AV129" s="86"/>
      <c r="AW129" s="86"/>
      <c r="AX129" s="86"/>
      <c r="AY129" s="86"/>
      <c r="CM129" s="86"/>
      <c r="CN129" s="86"/>
    </row>
    <row r="130" spans="15:92" s="367" customFormat="1">
      <c r="O130" s="511"/>
      <c r="S130" s="371"/>
      <c r="T130" s="371"/>
      <c r="U130" s="371"/>
      <c r="V130" s="371"/>
      <c r="AO130" s="86"/>
      <c r="AP130" s="86"/>
      <c r="AQ130" s="86"/>
      <c r="AR130" s="86"/>
      <c r="AS130" s="86"/>
      <c r="AT130" s="86"/>
      <c r="AU130" s="86"/>
      <c r="AV130" s="86"/>
      <c r="AW130" s="86"/>
      <c r="AX130" s="86"/>
      <c r="AY130" s="86"/>
      <c r="CM130" s="86"/>
      <c r="CN130" s="86"/>
    </row>
    <row r="131" spans="15:92" s="367" customFormat="1">
      <c r="O131" s="511"/>
      <c r="S131" s="371"/>
      <c r="T131" s="371"/>
      <c r="U131" s="371"/>
      <c r="V131" s="371"/>
      <c r="AO131" s="86"/>
      <c r="AP131" s="86"/>
      <c r="AQ131" s="86"/>
      <c r="AR131" s="86"/>
      <c r="AS131" s="86"/>
      <c r="AT131" s="86"/>
      <c r="AU131" s="86"/>
      <c r="AV131" s="86"/>
      <c r="AW131" s="86"/>
      <c r="AX131" s="86"/>
      <c r="AY131" s="86"/>
      <c r="CM131" s="86"/>
      <c r="CN131" s="86"/>
    </row>
    <row r="132" spans="15:92" s="367" customFormat="1">
      <c r="O132" s="511"/>
      <c r="S132" s="371"/>
      <c r="T132" s="371"/>
      <c r="U132" s="371"/>
      <c r="V132" s="371"/>
      <c r="AO132" s="86"/>
      <c r="AP132" s="86"/>
      <c r="AQ132" s="86"/>
      <c r="AR132" s="86"/>
      <c r="AS132" s="86"/>
      <c r="AT132" s="86"/>
      <c r="AU132" s="86"/>
      <c r="AV132" s="86"/>
      <c r="AW132" s="86"/>
      <c r="AX132" s="86"/>
      <c r="AY132" s="86"/>
      <c r="CM132" s="86"/>
      <c r="CN132" s="86"/>
    </row>
    <row r="133" spans="15:92" s="367" customFormat="1">
      <c r="O133" s="511"/>
      <c r="S133" s="371"/>
      <c r="T133" s="371"/>
      <c r="U133" s="371"/>
      <c r="V133" s="371"/>
      <c r="AO133" s="86"/>
      <c r="AP133" s="86"/>
      <c r="AQ133" s="86"/>
      <c r="AR133" s="86"/>
      <c r="AS133" s="86"/>
      <c r="AT133" s="86"/>
      <c r="AU133" s="86"/>
      <c r="AV133" s="86"/>
      <c r="AW133" s="86"/>
      <c r="AX133" s="86"/>
      <c r="AY133" s="86"/>
      <c r="CM133" s="86"/>
      <c r="CN133" s="86"/>
    </row>
    <row r="134" spans="15:92" s="367" customFormat="1">
      <c r="O134" s="511"/>
      <c r="S134" s="371"/>
      <c r="T134" s="371"/>
      <c r="U134" s="371"/>
      <c r="V134" s="371"/>
      <c r="AO134" s="86"/>
      <c r="AP134" s="86"/>
      <c r="AQ134" s="86"/>
      <c r="AR134" s="86"/>
      <c r="AS134" s="86"/>
      <c r="AT134" s="86"/>
      <c r="AU134" s="86"/>
      <c r="AV134" s="86"/>
      <c r="AW134" s="86"/>
      <c r="AX134" s="86"/>
      <c r="AY134" s="86"/>
      <c r="CM134" s="86"/>
      <c r="CN134" s="86"/>
    </row>
    <row r="135" spans="15:92" s="367" customFormat="1">
      <c r="O135" s="511"/>
      <c r="S135" s="371"/>
      <c r="T135" s="371"/>
      <c r="U135" s="371"/>
      <c r="V135" s="371"/>
      <c r="AO135" s="86"/>
      <c r="AP135" s="86"/>
      <c r="AQ135" s="86"/>
      <c r="AR135" s="86"/>
      <c r="AS135" s="86"/>
      <c r="AT135" s="86"/>
      <c r="AU135" s="86"/>
      <c r="AV135" s="86"/>
      <c r="AW135" s="86"/>
      <c r="AX135" s="86"/>
      <c r="AY135" s="86"/>
      <c r="CM135" s="86"/>
      <c r="CN135" s="86"/>
    </row>
    <row r="136" spans="15:92" s="367" customFormat="1">
      <c r="O136" s="511"/>
      <c r="S136" s="371"/>
      <c r="T136" s="371"/>
      <c r="U136" s="371"/>
      <c r="V136" s="371"/>
      <c r="AO136" s="86"/>
      <c r="AP136" s="86"/>
      <c r="AQ136" s="86"/>
      <c r="AR136" s="86"/>
      <c r="AS136" s="86"/>
      <c r="AT136" s="86"/>
      <c r="AU136" s="86"/>
      <c r="AV136" s="86"/>
      <c r="AW136" s="86"/>
      <c r="AX136" s="86"/>
      <c r="AY136" s="86"/>
      <c r="CM136" s="86"/>
      <c r="CN136" s="86"/>
    </row>
    <row r="137" spans="15:92" s="367" customFormat="1">
      <c r="O137" s="511"/>
      <c r="S137" s="371"/>
      <c r="T137" s="371"/>
      <c r="U137" s="371"/>
      <c r="V137" s="371"/>
      <c r="AO137" s="86"/>
      <c r="AP137" s="86"/>
      <c r="AQ137" s="86"/>
      <c r="AR137" s="86"/>
      <c r="AS137" s="86"/>
      <c r="AT137" s="86"/>
      <c r="AU137" s="86"/>
      <c r="AV137" s="86"/>
      <c r="AW137" s="86"/>
      <c r="AX137" s="86"/>
      <c r="AY137" s="86"/>
      <c r="CM137" s="86"/>
      <c r="CN137" s="86"/>
    </row>
    <row r="138" spans="15:92" s="367" customFormat="1">
      <c r="O138" s="511"/>
      <c r="S138" s="371"/>
      <c r="T138" s="371"/>
      <c r="U138" s="371"/>
      <c r="V138" s="371"/>
      <c r="AO138" s="86"/>
      <c r="AP138" s="86"/>
      <c r="AQ138" s="86"/>
      <c r="AR138" s="86"/>
      <c r="AS138" s="86"/>
      <c r="AT138" s="86"/>
      <c r="AU138" s="86"/>
      <c r="AV138" s="86"/>
      <c r="AW138" s="86"/>
      <c r="AX138" s="86"/>
      <c r="AY138" s="86"/>
      <c r="CM138" s="86"/>
      <c r="CN138" s="86"/>
    </row>
    <row r="139" spans="15:92" s="367" customFormat="1">
      <c r="O139" s="511"/>
      <c r="S139" s="371"/>
      <c r="T139" s="371"/>
      <c r="U139" s="371"/>
      <c r="V139" s="371"/>
      <c r="AO139" s="86"/>
      <c r="AP139" s="86"/>
      <c r="AQ139" s="86"/>
      <c r="AR139" s="86"/>
      <c r="AS139" s="86"/>
      <c r="AT139" s="86"/>
      <c r="AU139" s="86"/>
      <c r="AV139" s="86"/>
      <c r="AW139" s="86"/>
      <c r="AX139" s="86"/>
      <c r="AY139" s="86"/>
      <c r="CM139" s="86"/>
      <c r="CN139" s="86"/>
    </row>
    <row r="140" spans="15:92" s="367" customFormat="1">
      <c r="O140" s="511"/>
      <c r="S140" s="371"/>
      <c r="T140" s="371"/>
      <c r="U140" s="371"/>
      <c r="V140" s="371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CM140" s="86"/>
      <c r="CN140" s="86"/>
    </row>
    <row r="141" spans="15:92" s="367" customFormat="1">
      <c r="O141" s="511"/>
      <c r="S141" s="371"/>
      <c r="T141" s="371"/>
      <c r="U141" s="371"/>
      <c r="V141" s="371"/>
      <c r="AO141" s="86"/>
      <c r="AP141" s="86"/>
      <c r="AQ141" s="86"/>
      <c r="AR141" s="86"/>
      <c r="AS141" s="86"/>
      <c r="AT141" s="86"/>
      <c r="AU141" s="86"/>
      <c r="AV141" s="86"/>
      <c r="AW141" s="86"/>
      <c r="AX141" s="86"/>
      <c r="AY141" s="86"/>
      <c r="CM141" s="86"/>
      <c r="CN141" s="86"/>
    </row>
    <row r="142" spans="15:92" s="367" customFormat="1">
      <c r="O142" s="511"/>
      <c r="S142" s="371"/>
      <c r="T142" s="371"/>
      <c r="U142" s="371"/>
      <c r="V142" s="371"/>
      <c r="AO142" s="86"/>
      <c r="AP142" s="86"/>
      <c r="AQ142" s="86"/>
      <c r="AR142" s="86"/>
      <c r="AS142" s="86"/>
      <c r="AT142" s="86"/>
      <c r="AU142" s="86"/>
      <c r="AV142" s="86"/>
      <c r="AW142" s="86"/>
      <c r="AX142" s="86"/>
      <c r="AY142" s="86"/>
      <c r="CM142" s="86"/>
      <c r="CN142" s="86"/>
    </row>
    <row r="143" spans="15:92" s="367" customFormat="1">
      <c r="O143" s="511"/>
      <c r="S143" s="371"/>
      <c r="T143" s="371"/>
      <c r="U143" s="371"/>
      <c r="V143" s="371"/>
      <c r="AO143" s="86"/>
      <c r="AP143" s="86"/>
      <c r="AQ143" s="86"/>
      <c r="AR143" s="86"/>
      <c r="AS143" s="86"/>
      <c r="AT143" s="86"/>
      <c r="AU143" s="86"/>
      <c r="AV143" s="86"/>
      <c r="AW143" s="86"/>
      <c r="AX143" s="86"/>
      <c r="AY143" s="86"/>
      <c r="CM143" s="86"/>
      <c r="CN143" s="86"/>
    </row>
    <row r="144" spans="15:92" s="367" customFormat="1">
      <c r="O144" s="511"/>
      <c r="S144" s="371"/>
      <c r="T144" s="371"/>
      <c r="U144" s="371"/>
      <c r="V144" s="371"/>
      <c r="AO144" s="86"/>
      <c r="AP144" s="86"/>
      <c r="AQ144" s="86"/>
      <c r="AR144" s="86"/>
      <c r="AS144" s="86"/>
      <c r="AT144" s="86"/>
      <c r="AU144" s="86"/>
      <c r="AV144" s="86"/>
      <c r="AW144" s="86"/>
      <c r="AX144" s="86"/>
      <c r="AY144" s="86"/>
      <c r="CM144" s="86"/>
      <c r="CN144" s="86"/>
    </row>
    <row r="145" spans="1:92" s="367" customFormat="1">
      <c r="O145" s="511"/>
      <c r="S145" s="371"/>
      <c r="T145" s="371"/>
      <c r="U145" s="371"/>
      <c r="V145" s="371"/>
      <c r="AO145" s="86"/>
      <c r="AP145" s="86"/>
      <c r="AQ145" s="86"/>
      <c r="AR145" s="86"/>
      <c r="AS145" s="86"/>
      <c r="AT145" s="86"/>
      <c r="AU145" s="86"/>
      <c r="AV145" s="86"/>
      <c r="AW145" s="86"/>
      <c r="AX145" s="86"/>
      <c r="AY145" s="86"/>
      <c r="CM145" s="86"/>
      <c r="CN145" s="86"/>
    </row>
    <row r="146" spans="1:92" s="367" customFormat="1">
      <c r="O146" s="511"/>
      <c r="S146" s="371"/>
      <c r="T146" s="371"/>
      <c r="U146" s="371"/>
      <c r="V146" s="371"/>
      <c r="AO146" s="86"/>
      <c r="AP146" s="86"/>
      <c r="AQ146" s="86"/>
      <c r="AR146" s="86"/>
      <c r="AS146" s="86"/>
      <c r="AT146" s="86"/>
      <c r="AU146" s="86"/>
      <c r="AV146" s="86"/>
      <c r="AW146" s="86"/>
      <c r="AX146" s="86"/>
      <c r="AY146" s="86"/>
      <c r="CM146" s="86"/>
      <c r="CN146" s="86"/>
    </row>
    <row r="147" spans="1:92" s="367" customFormat="1">
      <c r="O147" s="511"/>
      <c r="S147" s="371"/>
      <c r="T147" s="371"/>
      <c r="U147" s="371"/>
      <c r="V147" s="371"/>
      <c r="AO147" s="86"/>
      <c r="AP147" s="86"/>
      <c r="AQ147" s="86"/>
      <c r="AR147" s="86"/>
      <c r="AS147" s="86"/>
      <c r="AT147" s="86"/>
      <c r="AU147" s="86"/>
      <c r="AV147" s="86"/>
      <c r="AW147" s="86"/>
      <c r="AX147" s="86"/>
      <c r="AY147" s="86"/>
      <c r="CM147" s="86"/>
      <c r="CN147" s="86"/>
    </row>
    <row r="148" spans="1:92" s="367" customFormat="1">
      <c r="O148" s="511"/>
      <c r="S148" s="371"/>
      <c r="T148" s="371"/>
      <c r="U148" s="371"/>
      <c r="V148" s="371"/>
      <c r="AO148" s="86"/>
      <c r="AP148" s="86"/>
      <c r="AQ148" s="86"/>
      <c r="AR148" s="86"/>
      <c r="AS148" s="86"/>
      <c r="AT148" s="86"/>
      <c r="AU148" s="86"/>
      <c r="AV148" s="86"/>
      <c r="AW148" s="86"/>
      <c r="AX148" s="86"/>
      <c r="AY148" s="86"/>
      <c r="CM148" s="86"/>
      <c r="CN148" s="86"/>
    </row>
    <row r="149" spans="1:92" s="367" customFormat="1">
      <c r="O149" s="511"/>
      <c r="S149" s="371"/>
      <c r="T149" s="371"/>
      <c r="U149" s="371"/>
      <c r="V149" s="371"/>
      <c r="AO149" s="86"/>
      <c r="AP149" s="86"/>
      <c r="AQ149" s="86"/>
      <c r="AR149" s="86"/>
      <c r="AS149" s="86"/>
      <c r="AT149" s="86"/>
      <c r="AU149" s="86"/>
      <c r="AV149" s="86"/>
      <c r="AW149" s="86"/>
      <c r="AX149" s="86"/>
      <c r="AY149" s="86"/>
      <c r="CM149" s="86"/>
      <c r="CN149" s="86"/>
    </row>
    <row r="150" spans="1:92" s="367" customFormat="1">
      <c r="O150" s="511"/>
      <c r="S150" s="371"/>
      <c r="T150" s="371"/>
      <c r="U150" s="371"/>
      <c r="V150" s="371"/>
      <c r="AO150" s="86"/>
      <c r="AP150" s="86"/>
      <c r="AQ150" s="86"/>
      <c r="AR150" s="86"/>
      <c r="AS150" s="86"/>
      <c r="AT150" s="86"/>
      <c r="AU150" s="86"/>
      <c r="AV150" s="86"/>
      <c r="AW150" s="86"/>
      <c r="AX150" s="86"/>
      <c r="AY150" s="86"/>
      <c r="CM150" s="86"/>
      <c r="CN150" s="86"/>
    </row>
    <row r="151" spans="1:92" s="367" customFormat="1">
      <c r="O151" s="511"/>
      <c r="S151" s="371"/>
      <c r="T151" s="371"/>
      <c r="U151" s="371"/>
      <c r="V151" s="371"/>
      <c r="AO151" s="86"/>
      <c r="AP151" s="86"/>
      <c r="AQ151" s="86"/>
      <c r="AR151" s="86"/>
      <c r="AS151" s="86"/>
      <c r="AT151" s="86"/>
      <c r="AU151" s="86"/>
      <c r="AV151" s="86"/>
      <c r="AW151" s="86"/>
      <c r="AX151" s="86"/>
      <c r="AY151" s="86"/>
      <c r="CM151" s="86"/>
      <c r="CN151" s="86"/>
    </row>
    <row r="152" spans="1:92">
      <c r="A152" s="367"/>
      <c r="B152" s="367"/>
      <c r="C152" s="367"/>
      <c r="D152" s="367"/>
      <c r="E152" s="367"/>
      <c r="F152" s="367"/>
      <c r="G152" s="367"/>
      <c r="H152" s="367"/>
      <c r="I152" s="367"/>
      <c r="J152" s="367"/>
      <c r="K152" s="367"/>
      <c r="L152" s="367"/>
      <c r="M152" s="367"/>
      <c r="N152" s="367"/>
      <c r="O152" s="377"/>
      <c r="P152" s="367"/>
      <c r="Q152" s="367"/>
      <c r="R152" s="367"/>
      <c r="S152" s="371"/>
      <c r="T152" s="371"/>
      <c r="U152" s="371"/>
      <c r="V152" s="371"/>
      <c r="W152" s="367"/>
      <c r="X152" s="367"/>
      <c r="Y152" s="367"/>
      <c r="Z152" s="367"/>
      <c r="AA152" s="367"/>
      <c r="AB152" s="367"/>
      <c r="AC152" s="367"/>
      <c r="AD152" s="367"/>
      <c r="AE152" s="367"/>
      <c r="AF152" s="367"/>
      <c r="AG152" s="367"/>
      <c r="AH152" s="367"/>
      <c r="AI152" s="367"/>
      <c r="AJ152" s="367"/>
      <c r="AK152" s="367"/>
      <c r="AL152" s="367"/>
      <c r="AM152" s="367"/>
      <c r="AN152" s="367"/>
      <c r="AO152" s="86"/>
    </row>
  </sheetData>
  <sheetProtection password="D37A" sheet="1" scenarios="1" formatCells="0" formatColumns="0" formatRows="0" insertColumns="0" insertRows="0" sort="0" autoFilter="0"/>
  <mergeCells count="72">
    <mergeCell ref="S51:T51"/>
    <mergeCell ref="S52:T52"/>
    <mergeCell ref="S59:T59"/>
    <mergeCell ref="S53:T53"/>
    <mergeCell ref="S54:T54"/>
    <mergeCell ref="S55:T55"/>
    <mergeCell ref="S56:T56"/>
    <mergeCell ref="S58:T58"/>
    <mergeCell ref="N2:O2"/>
    <mergeCell ref="H54:H56"/>
    <mergeCell ref="C41:D41"/>
    <mergeCell ref="I56:J56"/>
    <mergeCell ref="B42:D42"/>
    <mergeCell ref="B3:C3"/>
    <mergeCell ref="B23:B24"/>
    <mergeCell ref="B25:B26"/>
    <mergeCell ref="N53:O54"/>
    <mergeCell ref="E5:E6"/>
    <mergeCell ref="C5:C6"/>
    <mergeCell ref="F5:F6"/>
    <mergeCell ref="K5:K6"/>
    <mergeCell ref="Y3:AA3"/>
    <mergeCell ref="C58:D58"/>
    <mergeCell ref="C23:D24"/>
    <mergeCell ref="D25:D26"/>
    <mergeCell ref="C25:C26"/>
    <mergeCell ref="F25:F26"/>
    <mergeCell ref="E25:E26"/>
    <mergeCell ref="E23:F24"/>
    <mergeCell ref="C4:D4"/>
    <mergeCell ref="Y4:Z4"/>
    <mergeCell ref="E4:F4"/>
    <mergeCell ref="D5:D6"/>
    <mergeCell ref="H5:H6"/>
    <mergeCell ref="O5:O6"/>
    <mergeCell ref="B43:C43"/>
    <mergeCell ref="L5:L6"/>
    <mergeCell ref="AR21:AR22"/>
    <mergeCell ref="AE15:AE20"/>
    <mergeCell ref="AE21:AE22"/>
    <mergeCell ref="Y21:Y22"/>
    <mergeCell ref="Z21:Z22"/>
    <mergeCell ref="AG21:AG22"/>
    <mergeCell ref="AD21:AD22"/>
    <mergeCell ref="AA21:AA22"/>
    <mergeCell ref="AP12:AX12"/>
    <mergeCell ref="Y18:Z18"/>
    <mergeCell ref="Y20:AA20"/>
    <mergeCell ref="AQ20:AT20"/>
    <mergeCell ref="P5:Q6"/>
    <mergeCell ref="AE5:AE7"/>
    <mergeCell ref="AE10:AE12"/>
    <mergeCell ref="U5:U6"/>
    <mergeCell ref="S4:S5"/>
    <mergeCell ref="R5:R6"/>
    <mergeCell ref="T4:T5"/>
    <mergeCell ref="AB4:AC4"/>
    <mergeCell ref="V5:V6"/>
    <mergeCell ref="W5:W6"/>
    <mergeCell ref="B63:B64"/>
    <mergeCell ref="C63:C64"/>
    <mergeCell ref="D63:D64"/>
    <mergeCell ref="E63:E64"/>
    <mergeCell ref="F63:F64"/>
    <mergeCell ref="S49:T49"/>
    <mergeCell ref="S50:T50"/>
    <mergeCell ref="S48:T48"/>
    <mergeCell ref="Z46:AA46"/>
    <mergeCell ref="B5:B6"/>
    <mergeCell ref="B20:D20"/>
    <mergeCell ref="I5:J6"/>
    <mergeCell ref="M5:M6"/>
  </mergeCells>
  <conditionalFormatting sqref="AE23:AE44 Q56:S56 S50:S55">
    <cfRule type="cellIs" dxfId="4053" priority="6" stopIfTrue="1" operator="lessThan">
      <formula>0</formula>
    </cfRule>
  </conditionalFormatting>
  <conditionalFormatting sqref="AE13:AE14">
    <cfRule type="containsText" dxfId="4052" priority="364" stopIfTrue="1" operator="containsText" text="חריגה">
      <formula>NOT(ISERROR(SEARCH("חריגה",AE13)))</formula>
    </cfRule>
  </conditionalFormatting>
  <conditionalFormatting sqref="AI23:AI44">
    <cfRule type="cellIs" dxfId="4051" priority="363" stopIfTrue="1" operator="equal">
      <formula>1</formula>
    </cfRule>
  </conditionalFormatting>
  <conditionalFormatting sqref="E20:F20 E42:F42">
    <cfRule type="containsText" dxfId="4050" priority="362" stopIfTrue="1" operator="containsText" text="חיובי">
      <formula>NOT(ISERROR(SEARCH("חיובי",E20)))</formula>
    </cfRule>
  </conditionalFormatting>
  <conditionalFormatting sqref="W46 K54:M54 K58:M58 D19 C41">
    <cfRule type="cellIs" dxfId="4049" priority="361" stopIfTrue="1" operator="lessThan">
      <formula>0</formula>
    </cfRule>
  </conditionalFormatting>
  <conditionalFormatting sqref="D45">
    <cfRule type="cellIs" dxfId="4048" priority="382" stopIfTrue="1" operator="greaterThan">
      <formula>$C$45</formula>
    </cfRule>
  </conditionalFormatting>
  <conditionalFormatting sqref="D46">
    <cfRule type="cellIs" dxfId="4047" priority="383" stopIfTrue="1" operator="greaterThan">
      <formula>$C$46</formula>
    </cfRule>
  </conditionalFormatting>
  <conditionalFormatting sqref="D47">
    <cfRule type="cellIs" dxfId="4046" priority="384" stopIfTrue="1" operator="greaterThan">
      <formula>$C$47</formula>
    </cfRule>
  </conditionalFormatting>
  <conditionalFormatting sqref="D48">
    <cfRule type="cellIs" dxfId="4045" priority="385" stopIfTrue="1" operator="greaterThan">
      <formula>$C$48</formula>
    </cfRule>
  </conditionalFormatting>
  <conditionalFormatting sqref="D49">
    <cfRule type="cellIs" dxfId="4044" priority="386" stopIfTrue="1" operator="greaterThan">
      <formula>$C$49</formula>
    </cfRule>
  </conditionalFormatting>
  <conditionalFormatting sqref="D50">
    <cfRule type="cellIs" dxfId="4043" priority="387" stopIfTrue="1" operator="greaterThan">
      <formula>$C$50</formula>
    </cfRule>
  </conditionalFormatting>
  <conditionalFormatting sqref="D51">
    <cfRule type="cellIs" dxfId="4042" priority="388" stopIfTrue="1" operator="greaterThan">
      <formula>$C$51</formula>
    </cfRule>
  </conditionalFormatting>
  <conditionalFormatting sqref="D52">
    <cfRule type="cellIs" dxfId="4041" priority="389" stopIfTrue="1" operator="greaterThan">
      <formula>$C$52</formula>
    </cfRule>
  </conditionalFormatting>
  <conditionalFormatting sqref="D53">
    <cfRule type="cellIs" dxfId="4040" priority="390" stopIfTrue="1" operator="greaterThan">
      <formula>$C$53</formula>
    </cfRule>
  </conditionalFormatting>
  <conditionalFormatting sqref="D54">
    <cfRule type="cellIs" dxfId="4039" priority="391" stopIfTrue="1" operator="greaterThan">
      <formula>$C$54</formula>
    </cfRule>
  </conditionalFormatting>
  <conditionalFormatting sqref="D55">
    <cfRule type="cellIs" dxfId="4038" priority="392" stopIfTrue="1" operator="greaterThan">
      <formula>$C$55</formula>
    </cfRule>
  </conditionalFormatting>
  <conditionalFormatting sqref="D56">
    <cfRule type="cellIs" dxfId="4037" priority="393" stopIfTrue="1" operator="greaterThan">
      <formula>$C$56</formula>
    </cfRule>
  </conditionalFormatting>
  <conditionalFormatting sqref="C7">
    <cfRule type="expression" dxfId="4036" priority="357" stopIfTrue="1">
      <formula>AND(C7&lt;&gt;0, NOT(ISTEXT(B7)))</formula>
    </cfRule>
    <cfRule type="cellIs" dxfId="4035" priority="358" stopIfTrue="1" operator="lessThan">
      <formula>0</formula>
    </cfRule>
  </conditionalFormatting>
  <conditionalFormatting sqref="C8">
    <cfRule type="expression" dxfId="4034" priority="355" stopIfTrue="1">
      <formula>AND(C8&lt;&gt;0, NOT(ISTEXT(B8)))</formula>
    </cfRule>
    <cfRule type="cellIs" dxfId="4033" priority="356" stopIfTrue="1" operator="lessThan">
      <formula>0</formula>
    </cfRule>
  </conditionalFormatting>
  <conditionalFormatting sqref="C9">
    <cfRule type="expression" dxfId="4032" priority="353" stopIfTrue="1">
      <formula>AND(C9&lt;&gt;0, NOT(ISTEXT(B9)))</formula>
    </cfRule>
    <cfRule type="cellIs" dxfId="4031" priority="354" stopIfTrue="1" operator="lessThan">
      <formula>0</formula>
    </cfRule>
  </conditionalFormatting>
  <conditionalFormatting sqref="C10">
    <cfRule type="expression" dxfId="4030" priority="351" stopIfTrue="1">
      <formula>AND(C10&lt;&gt;0, NOT(ISTEXT(B10)))</formula>
    </cfRule>
    <cfRule type="cellIs" dxfId="4029" priority="352" stopIfTrue="1" operator="lessThan">
      <formula>0</formula>
    </cfRule>
  </conditionalFormatting>
  <conditionalFormatting sqref="C11">
    <cfRule type="expression" dxfId="4028" priority="349" stopIfTrue="1">
      <formula>AND(C11&lt;&gt;0, NOT(ISTEXT(B11)))</formula>
    </cfRule>
    <cfRule type="cellIs" dxfId="4027" priority="350" stopIfTrue="1" operator="lessThan">
      <formula>0</formula>
    </cfRule>
  </conditionalFormatting>
  <conditionalFormatting sqref="C12">
    <cfRule type="expression" dxfId="4026" priority="347" stopIfTrue="1">
      <formula>AND(C12&lt;&gt;0, NOT(ISTEXT(B12)))</formula>
    </cfRule>
    <cfRule type="cellIs" dxfId="4025" priority="348" stopIfTrue="1" operator="lessThan">
      <formula>0</formula>
    </cfRule>
  </conditionalFormatting>
  <conditionalFormatting sqref="C13">
    <cfRule type="expression" dxfId="4024" priority="345" stopIfTrue="1">
      <formula>AND(C13&lt;&gt;0, NOT(ISTEXT(B13)))</formula>
    </cfRule>
    <cfRule type="cellIs" dxfId="4023" priority="346" stopIfTrue="1" operator="lessThan">
      <formula>0</formula>
    </cfRule>
  </conditionalFormatting>
  <conditionalFormatting sqref="C14">
    <cfRule type="expression" dxfId="4022" priority="343" stopIfTrue="1">
      <formula>AND(C14&lt;&gt;0, NOT(ISTEXT(B14)))</formula>
    </cfRule>
    <cfRule type="cellIs" dxfId="4021" priority="344" stopIfTrue="1" operator="lessThan">
      <formula>0</formula>
    </cfRule>
  </conditionalFormatting>
  <conditionalFormatting sqref="C15">
    <cfRule type="expression" dxfId="4020" priority="341" stopIfTrue="1">
      <formula>AND(C15&lt;&gt;0, NOT(ISTEXT(B15)))</formula>
    </cfRule>
    <cfRule type="cellIs" dxfId="4019" priority="342" stopIfTrue="1" operator="lessThan">
      <formula>0</formula>
    </cfRule>
  </conditionalFormatting>
  <conditionalFormatting sqref="C16">
    <cfRule type="expression" dxfId="4018" priority="339" stopIfTrue="1">
      <formula>AND(C16&lt;&gt;0, NOT(ISTEXT(B16)))</formula>
    </cfRule>
    <cfRule type="cellIs" dxfId="4017" priority="340" stopIfTrue="1" operator="lessThan">
      <formula>0</formula>
    </cfRule>
  </conditionalFormatting>
  <conditionalFormatting sqref="C17">
    <cfRule type="expression" dxfId="4016" priority="337" stopIfTrue="1">
      <formula>AND(C17&lt;&gt;0, NOT(ISTEXT(B17)))</formula>
    </cfRule>
    <cfRule type="cellIs" dxfId="4015" priority="338" stopIfTrue="1" operator="lessThan">
      <formula>0</formula>
    </cfRule>
  </conditionalFormatting>
  <conditionalFormatting sqref="C27">
    <cfRule type="expression" dxfId="4014" priority="335" stopIfTrue="1">
      <formula>AND(C27&lt;&gt;0, NOT(ISTEXT(B27)))</formula>
    </cfRule>
    <cfRule type="cellIs" dxfId="4013" priority="336" stopIfTrue="1" operator="lessThan">
      <formula>0</formula>
    </cfRule>
  </conditionalFormatting>
  <conditionalFormatting sqref="C39">
    <cfRule type="expression" dxfId="4012" priority="333" stopIfTrue="1">
      <formula>AND(C39&lt;&gt;0, NOT(ISTEXT(B39)))</formula>
    </cfRule>
    <cfRule type="cellIs" dxfId="4011" priority="334" stopIfTrue="1" operator="lessThan">
      <formula>0</formula>
    </cfRule>
  </conditionalFormatting>
  <conditionalFormatting sqref="C28">
    <cfRule type="expression" dxfId="4010" priority="331" stopIfTrue="1">
      <formula>AND(C28&lt;&gt;0, NOT(ISTEXT(B28)))</formula>
    </cfRule>
    <cfRule type="cellIs" dxfId="4009" priority="332" stopIfTrue="1" operator="lessThan">
      <formula>0</formula>
    </cfRule>
  </conditionalFormatting>
  <conditionalFormatting sqref="C29">
    <cfRule type="expression" dxfId="4008" priority="329" stopIfTrue="1">
      <formula>AND(C29&lt;&gt;0, NOT(ISTEXT(B29)))</formula>
    </cfRule>
    <cfRule type="cellIs" dxfId="4007" priority="330" stopIfTrue="1" operator="lessThan">
      <formula>0</formula>
    </cfRule>
  </conditionalFormatting>
  <conditionalFormatting sqref="C30">
    <cfRule type="expression" dxfId="4006" priority="327" stopIfTrue="1">
      <formula>AND(C30&lt;&gt;0, NOT(ISTEXT(B30)))</formula>
    </cfRule>
    <cfRule type="cellIs" dxfId="4005" priority="328" stopIfTrue="1" operator="lessThan">
      <formula>0</formula>
    </cfRule>
  </conditionalFormatting>
  <conditionalFormatting sqref="C31">
    <cfRule type="expression" dxfId="4004" priority="325" stopIfTrue="1">
      <formula>AND(C31&lt;&gt;0, NOT(ISTEXT(B31)))</formula>
    </cfRule>
    <cfRule type="cellIs" dxfId="4003" priority="326" stopIfTrue="1" operator="lessThan">
      <formula>0</formula>
    </cfRule>
  </conditionalFormatting>
  <conditionalFormatting sqref="C32">
    <cfRule type="expression" dxfId="4002" priority="323" stopIfTrue="1">
      <formula>AND(C32&lt;&gt;0, NOT(ISTEXT(B32)))</formula>
    </cfRule>
    <cfRule type="cellIs" dxfId="4001" priority="324" stopIfTrue="1" operator="lessThan">
      <formula>0</formula>
    </cfRule>
  </conditionalFormatting>
  <conditionalFormatting sqref="C33">
    <cfRule type="expression" dxfId="4000" priority="321" stopIfTrue="1">
      <formula>AND(C33&lt;&gt;0, NOT(ISTEXT(B33)))</formula>
    </cfRule>
    <cfRule type="cellIs" dxfId="3999" priority="322" stopIfTrue="1" operator="lessThan">
      <formula>0</formula>
    </cfRule>
  </conditionalFormatting>
  <conditionalFormatting sqref="C34">
    <cfRule type="expression" dxfId="3998" priority="319" stopIfTrue="1">
      <formula>AND(C34&lt;&gt;0, NOT(ISTEXT(B34)))</formula>
    </cfRule>
    <cfRule type="cellIs" dxfId="3997" priority="320" stopIfTrue="1" operator="lessThan">
      <formula>0</formula>
    </cfRule>
  </conditionalFormatting>
  <conditionalFormatting sqref="C35">
    <cfRule type="expression" dxfId="3996" priority="317" stopIfTrue="1">
      <formula>AND(C35&lt;&gt;0, NOT(ISTEXT(B35)))</formula>
    </cfRule>
    <cfRule type="cellIs" dxfId="3995" priority="318" stopIfTrue="1" operator="lessThan">
      <formula>0</formula>
    </cfRule>
  </conditionalFormatting>
  <conditionalFormatting sqref="C36">
    <cfRule type="expression" dxfId="3994" priority="315" stopIfTrue="1">
      <formula>AND(C36&lt;&gt;0, NOT(ISTEXT(B36)))</formula>
    </cfRule>
    <cfRule type="cellIs" dxfId="3993" priority="316" stopIfTrue="1" operator="lessThan">
      <formula>0</formula>
    </cfRule>
  </conditionalFormatting>
  <conditionalFormatting sqref="C37">
    <cfRule type="expression" dxfId="3992" priority="313" stopIfTrue="1">
      <formula>AND(C37&lt;&gt;0, NOT(ISTEXT(B37)))</formula>
    </cfRule>
    <cfRule type="cellIs" dxfId="3991" priority="314" stopIfTrue="1" operator="lessThan">
      <formula>0</formula>
    </cfRule>
  </conditionalFormatting>
  <conditionalFormatting sqref="C38">
    <cfRule type="expression" dxfId="3990" priority="311" stopIfTrue="1">
      <formula>AND(C38&lt;&gt;0, NOT(ISTEXT(B38)))</formula>
    </cfRule>
    <cfRule type="cellIs" dxfId="3989" priority="312" stopIfTrue="1" operator="lessThan">
      <formula>0</formula>
    </cfRule>
  </conditionalFormatting>
  <conditionalFormatting sqref="C45">
    <cfRule type="expression" dxfId="3988" priority="309" stopIfTrue="1">
      <formula>AND(C45&lt;&gt;0, NOT(ISTEXT(B45)))</formula>
    </cfRule>
    <cfRule type="cellIs" dxfId="3987" priority="310" stopIfTrue="1" operator="lessThan">
      <formula>0</formula>
    </cfRule>
  </conditionalFormatting>
  <conditionalFormatting sqref="C56">
    <cfRule type="expression" dxfId="3986" priority="307" stopIfTrue="1">
      <formula>AND(C56&lt;&gt;0, NOT(ISTEXT(B56)))</formula>
    </cfRule>
    <cfRule type="cellIs" dxfId="3985" priority="308" stopIfTrue="1" operator="lessThan">
      <formula>0</formula>
    </cfRule>
  </conditionalFormatting>
  <conditionalFormatting sqref="C46">
    <cfRule type="expression" dxfId="3984" priority="305" stopIfTrue="1">
      <formula>AND(C46&lt;&gt;0, NOT(ISTEXT(B46)))</formula>
    </cfRule>
    <cfRule type="cellIs" dxfId="3983" priority="306" stopIfTrue="1" operator="lessThan">
      <formula>0</formula>
    </cfRule>
  </conditionalFormatting>
  <conditionalFormatting sqref="C47">
    <cfRule type="expression" dxfId="3982" priority="303" stopIfTrue="1">
      <formula>AND(C47&lt;&gt;0, NOT(ISTEXT(B47)))</formula>
    </cfRule>
    <cfRule type="cellIs" dxfId="3981" priority="304" stopIfTrue="1" operator="lessThan">
      <formula>0</formula>
    </cfRule>
  </conditionalFormatting>
  <conditionalFormatting sqref="C48">
    <cfRule type="expression" dxfId="3980" priority="301" stopIfTrue="1">
      <formula>AND(C48&lt;&gt;0, NOT(ISTEXT(B48)))</formula>
    </cfRule>
    <cfRule type="cellIs" dxfId="3979" priority="302" stopIfTrue="1" operator="lessThan">
      <formula>0</formula>
    </cfRule>
  </conditionalFormatting>
  <conditionalFormatting sqref="C49">
    <cfRule type="expression" dxfId="3978" priority="299" stopIfTrue="1">
      <formula>AND(C49&lt;&gt;0, NOT(ISTEXT(B49)))</formula>
    </cfRule>
    <cfRule type="cellIs" dxfId="3977" priority="300" stopIfTrue="1" operator="lessThan">
      <formula>0</formula>
    </cfRule>
  </conditionalFormatting>
  <conditionalFormatting sqref="C50">
    <cfRule type="expression" dxfId="3976" priority="297" stopIfTrue="1">
      <formula>AND(C50&lt;&gt;0, NOT(ISTEXT(B50)))</formula>
    </cfRule>
    <cfRule type="cellIs" dxfId="3975" priority="298" stopIfTrue="1" operator="lessThan">
      <formula>0</formula>
    </cfRule>
  </conditionalFormatting>
  <conditionalFormatting sqref="C51">
    <cfRule type="expression" dxfId="3974" priority="295" stopIfTrue="1">
      <formula>AND(C51&lt;&gt;0, NOT(ISTEXT(B51)))</formula>
    </cfRule>
    <cfRule type="cellIs" dxfId="3973" priority="296" stopIfTrue="1" operator="lessThan">
      <formula>0</formula>
    </cfRule>
  </conditionalFormatting>
  <conditionalFormatting sqref="C52">
    <cfRule type="expression" dxfId="3972" priority="293" stopIfTrue="1">
      <formula>AND(C52&lt;&gt;0, NOT(ISTEXT(B52)))</formula>
    </cfRule>
    <cfRule type="cellIs" dxfId="3971" priority="294" stopIfTrue="1" operator="lessThan">
      <formula>0</formula>
    </cfRule>
  </conditionalFormatting>
  <conditionalFormatting sqref="C53">
    <cfRule type="expression" dxfId="3970" priority="291" stopIfTrue="1">
      <formula>AND(C53&lt;&gt;0, NOT(ISTEXT(B53)))</formula>
    </cfRule>
    <cfRule type="cellIs" dxfId="3969" priority="292" stopIfTrue="1" operator="lessThan">
      <formula>0</formula>
    </cfRule>
  </conditionalFormatting>
  <conditionalFormatting sqref="C54">
    <cfRule type="expression" dxfId="3968" priority="289" stopIfTrue="1">
      <formula>AND(C54&lt;&gt;0, NOT(ISTEXT(B54)))</formula>
    </cfRule>
    <cfRule type="cellIs" dxfId="3967" priority="290" stopIfTrue="1" operator="lessThan">
      <formula>0</formula>
    </cfRule>
  </conditionalFormatting>
  <conditionalFormatting sqref="C55">
    <cfRule type="expression" dxfId="3966" priority="287" stopIfTrue="1">
      <formula>AND(C55&lt;&gt;0, NOT(ISTEXT(B55)))</formula>
    </cfRule>
    <cfRule type="cellIs" dxfId="3965" priority="288" stopIfTrue="1" operator="lessThan">
      <formula>0</formula>
    </cfRule>
  </conditionalFormatting>
  <conditionalFormatting sqref="Z6">
    <cfRule type="expression" dxfId="3964" priority="285" stopIfTrue="1">
      <formula>AND(Z6&lt;&gt;0, NOT(ISTEXT(Y6)))</formula>
    </cfRule>
    <cfRule type="cellIs" dxfId="3963" priority="286" stopIfTrue="1" operator="lessThan">
      <formula>0</formula>
    </cfRule>
  </conditionalFormatting>
  <conditionalFormatting sqref="Z16">
    <cfRule type="expression" dxfId="3962" priority="283" stopIfTrue="1">
      <formula>AND(Z16&lt;&gt;0, NOT(ISTEXT(Y16)))</formula>
    </cfRule>
    <cfRule type="cellIs" dxfId="3961" priority="284" stopIfTrue="1" operator="lessThan">
      <formula>0</formula>
    </cfRule>
  </conditionalFormatting>
  <conditionalFormatting sqref="Z7">
    <cfRule type="expression" dxfId="3960" priority="281" stopIfTrue="1">
      <formula>AND(Z7&lt;&gt;0, NOT(ISTEXT(Y7)))</formula>
    </cfRule>
    <cfRule type="cellIs" dxfId="3959" priority="282" stopIfTrue="1" operator="lessThan">
      <formula>0</formula>
    </cfRule>
  </conditionalFormatting>
  <conditionalFormatting sqref="Z8">
    <cfRule type="expression" dxfId="3958" priority="279" stopIfTrue="1">
      <formula>AND(Z8&lt;&gt;0, NOT(ISTEXT(Y8)))</formula>
    </cfRule>
    <cfRule type="cellIs" dxfId="3957" priority="280" stopIfTrue="1" operator="lessThan">
      <formula>0</formula>
    </cfRule>
  </conditionalFormatting>
  <conditionalFormatting sqref="Z9">
    <cfRule type="expression" dxfId="3956" priority="277" stopIfTrue="1">
      <formula>AND(Z9&lt;&gt;0, NOT(ISTEXT(Y9)))</formula>
    </cfRule>
    <cfRule type="cellIs" dxfId="3955" priority="278" stopIfTrue="1" operator="lessThan">
      <formula>0</formula>
    </cfRule>
  </conditionalFormatting>
  <conditionalFormatting sqref="Z10">
    <cfRule type="expression" dxfId="3954" priority="275" stopIfTrue="1">
      <formula>AND(Z10&lt;&gt;0, NOT(ISTEXT(Y10)))</formula>
    </cfRule>
    <cfRule type="cellIs" dxfId="3953" priority="276" stopIfTrue="1" operator="lessThan">
      <formula>0</formula>
    </cfRule>
  </conditionalFormatting>
  <conditionalFormatting sqref="Z11">
    <cfRule type="expression" dxfId="3952" priority="273" stopIfTrue="1">
      <formula>AND(Z11&lt;&gt;0, NOT(ISTEXT(Y11)))</formula>
    </cfRule>
    <cfRule type="cellIs" dxfId="3951" priority="274" stopIfTrue="1" operator="lessThan">
      <formula>0</formula>
    </cfRule>
  </conditionalFormatting>
  <conditionalFormatting sqref="Z12">
    <cfRule type="expression" dxfId="3950" priority="271" stopIfTrue="1">
      <formula>AND(Z12&lt;&gt;0, NOT(ISTEXT(Y12)))</formula>
    </cfRule>
    <cfRule type="cellIs" dxfId="3949" priority="272" stopIfTrue="1" operator="lessThan">
      <formula>0</formula>
    </cfRule>
  </conditionalFormatting>
  <conditionalFormatting sqref="Z13">
    <cfRule type="expression" dxfId="3948" priority="269" stopIfTrue="1">
      <formula>AND(Z13&lt;&gt;0, NOT(ISTEXT(Y13)))</formula>
    </cfRule>
    <cfRule type="cellIs" dxfId="3947" priority="270" stopIfTrue="1" operator="lessThan">
      <formula>0</formula>
    </cfRule>
  </conditionalFormatting>
  <conditionalFormatting sqref="Z14">
    <cfRule type="expression" dxfId="3946" priority="267" stopIfTrue="1">
      <formula>AND(Z14&lt;&gt;0, NOT(ISTEXT(Y14)))</formula>
    </cfRule>
    <cfRule type="cellIs" dxfId="3945" priority="268" stopIfTrue="1" operator="lessThan">
      <formula>0</formula>
    </cfRule>
  </conditionalFormatting>
  <conditionalFormatting sqref="Z15">
    <cfRule type="expression" dxfId="3944" priority="265" stopIfTrue="1">
      <formula>AND(Z15&lt;&gt;0, NOT(ISTEXT(Y15)))</formula>
    </cfRule>
    <cfRule type="cellIs" dxfId="3943" priority="266" stopIfTrue="1" operator="lessThan">
      <formula>0</formula>
    </cfRule>
  </conditionalFormatting>
  <conditionalFormatting sqref="Z23">
    <cfRule type="expression" dxfId="3942" priority="263" stopIfTrue="1">
      <formula>AND(Z23&lt;&gt;0, NOT(ISTEXT(Y23)))</formula>
    </cfRule>
    <cfRule type="cellIs" dxfId="3941" priority="264" stopIfTrue="1" operator="lessThan">
      <formula>0</formula>
    </cfRule>
  </conditionalFormatting>
  <conditionalFormatting sqref="Z44">
    <cfRule type="expression" dxfId="3940" priority="261" stopIfTrue="1">
      <formula>AND(Z44&lt;&gt;0, NOT(ISTEXT(Y44)))</formula>
    </cfRule>
    <cfRule type="cellIs" dxfId="3939" priority="262" stopIfTrue="1" operator="lessThan">
      <formula>0</formula>
    </cfRule>
  </conditionalFormatting>
  <conditionalFormatting sqref="Z24">
    <cfRule type="expression" dxfId="3938" priority="259" stopIfTrue="1">
      <formula>AND(Z24&lt;&gt;0, NOT(ISTEXT(Y24)))</formula>
    </cfRule>
    <cfRule type="cellIs" dxfId="3937" priority="260" stopIfTrue="1" operator="lessThan">
      <formula>0</formula>
    </cfRule>
  </conditionalFormatting>
  <conditionalFormatting sqref="Z25">
    <cfRule type="expression" dxfId="3936" priority="257" stopIfTrue="1">
      <formula>AND(Z25&lt;&gt;0, NOT(ISTEXT(Y25)))</formula>
    </cfRule>
    <cfRule type="cellIs" dxfId="3935" priority="258" stopIfTrue="1" operator="lessThan">
      <formula>0</formula>
    </cfRule>
  </conditionalFormatting>
  <conditionalFormatting sqref="Z26">
    <cfRule type="expression" dxfId="3934" priority="255" stopIfTrue="1">
      <formula>AND(Z26&lt;&gt;0, NOT(ISTEXT(Y26)))</formula>
    </cfRule>
    <cfRule type="cellIs" dxfId="3933" priority="256" stopIfTrue="1" operator="lessThan">
      <formula>0</formula>
    </cfRule>
  </conditionalFormatting>
  <conditionalFormatting sqref="Z27">
    <cfRule type="expression" dxfId="3932" priority="253" stopIfTrue="1">
      <formula>AND(Z27&lt;&gt;0, NOT(ISTEXT(Y27)))</formula>
    </cfRule>
    <cfRule type="cellIs" dxfId="3931" priority="254" stopIfTrue="1" operator="lessThan">
      <formula>0</formula>
    </cfRule>
  </conditionalFormatting>
  <conditionalFormatting sqref="Z28">
    <cfRule type="expression" dxfId="3930" priority="251" stopIfTrue="1">
      <formula>AND(Z28&lt;&gt;0, NOT(ISTEXT(Y28)))</formula>
    </cfRule>
    <cfRule type="cellIs" dxfId="3929" priority="252" stopIfTrue="1" operator="lessThan">
      <formula>0</formula>
    </cfRule>
  </conditionalFormatting>
  <conditionalFormatting sqref="Z29">
    <cfRule type="expression" dxfId="3928" priority="249" stopIfTrue="1">
      <formula>AND(Z29&lt;&gt;0, NOT(ISTEXT(Y29)))</formula>
    </cfRule>
    <cfRule type="cellIs" dxfId="3927" priority="250" stopIfTrue="1" operator="lessThan">
      <formula>0</formula>
    </cfRule>
  </conditionalFormatting>
  <conditionalFormatting sqref="Z30">
    <cfRule type="expression" dxfId="3926" priority="247" stopIfTrue="1">
      <formula>AND(Z30&lt;&gt;0, NOT(ISTEXT(Y30)))</formula>
    </cfRule>
    <cfRule type="cellIs" dxfId="3925" priority="248" stopIfTrue="1" operator="lessThan">
      <formula>0</formula>
    </cfRule>
  </conditionalFormatting>
  <conditionalFormatting sqref="Z31">
    <cfRule type="expression" dxfId="3924" priority="245" stopIfTrue="1">
      <formula>AND(Z31&lt;&gt;0, NOT(ISTEXT(Y31)))</formula>
    </cfRule>
    <cfRule type="cellIs" dxfId="3923" priority="246" stopIfTrue="1" operator="lessThan">
      <formula>0</formula>
    </cfRule>
  </conditionalFormatting>
  <conditionalFormatting sqref="Z32">
    <cfRule type="expression" dxfId="3922" priority="243" stopIfTrue="1">
      <formula>AND(Z32&lt;&gt;0, NOT(ISTEXT(Y32)))</formula>
    </cfRule>
    <cfRule type="cellIs" dxfId="3921" priority="244" stopIfTrue="1" operator="lessThan">
      <formula>0</formula>
    </cfRule>
  </conditionalFormatting>
  <conditionalFormatting sqref="Z33">
    <cfRule type="expression" dxfId="3920" priority="241" stopIfTrue="1">
      <formula>AND(Z33&lt;&gt;0, NOT(ISTEXT(Y33)))</formula>
    </cfRule>
    <cfRule type="cellIs" dxfId="3919" priority="242" stopIfTrue="1" operator="lessThan">
      <formula>0</formula>
    </cfRule>
  </conditionalFormatting>
  <conditionalFormatting sqref="Z34">
    <cfRule type="expression" dxfId="3918" priority="239" stopIfTrue="1">
      <formula>AND(Z34&lt;&gt;0, NOT(ISTEXT(Y34)))</formula>
    </cfRule>
    <cfRule type="cellIs" dxfId="3917" priority="240" stopIfTrue="1" operator="lessThan">
      <formula>0</formula>
    </cfRule>
  </conditionalFormatting>
  <conditionalFormatting sqref="Z35">
    <cfRule type="expression" dxfId="3916" priority="237" stopIfTrue="1">
      <formula>AND(Z35&lt;&gt;0, NOT(ISTEXT(Y35)))</formula>
    </cfRule>
    <cfRule type="cellIs" dxfId="3915" priority="238" stopIfTrue="1" operator="lessThan">
      <formula>0</formula>
    </cfRule>
  </conditionalFormatting>
  <conditionalFormatting sqref="Z36">
    <cfRule type="expression" dxfId="3914" priority="235" stopIfTrue="1">
      <formula>AND(Z36&lt;&gt;0, NOT(ISTEXT(Y36)))</formula>
    </cfRule>
    <cfRule type="cellIs" dxfId="3913" priority="236" stopIfTrue="1" operator="lessThan">
      <formula>0</formula>
    </cfRule>
  </conditionalFormatting>
  <conditionalFormatting sqref="Z37">
    <cfRule type="expression" dxfId="3912" priority="233" stopIfTrue="1">
      <formula>AND(Z37&lt;&gt;0, NOT(ISTEXT(Y37)))</formula>
    </cfRule>
    <cfRule type="cellIs" dxfId="3911" priority="234" stopIfTrue="1" operator="lessThan">
      <formula>0</formula>
    </cfRule>
  </conditionalFormatting>
  <conditionalFormatting sqref="Z38">
    <cfRule type="expression" dxfId="3910" priority="231" stopIfTrue="1">
      <formula>AND(Z38&lt;&gt;0, NOT(ISTEXT(Y38)))</formula>
    </cfRule>
    <cfRule type="cellIs" dxfId="3909" priority="232" stopIfTrue="1" operator="lessThan">
      <formula>0</formula>
    </cfRule>
  </conditionalFormatting>
  <conditionalFormatting sqref="Z39">
    <cfRule type="expression" dxfId="3908" priority="229" stopIfTrue="1">
      <formula>AND(Z39&lt;&gt;0, NOT(ISTEXT(Y39)))</formula>
    </cfRule>
    <cfRule type="cellIs" dxfId="3907" priority="230" stopIfTrue="1" operator="lessThan">
      <formula>0</formula>
    </cfRule>
  </conditionalFormatting>
  <conditionalFormatting sqref="Z40">
    <cfRule type="expression" dxfId="3906" priority="227" stopIfTrue="1">
      <formula>AND(Z40&lt;&gt;0, NOT(ISTEXT(Y40)))</formula>
    </cfRule>
    <cfRule type="cellIs" dxfId="3905" priority="228" stopIfTrue="1" operator="lessThan">
      <formula>0</formula>
    </cfRule>
  </conditionalFormatting>
  <conditionalFormatting sqref="Z41">
    <cfRule type="expression" dxfId="3904" priority="225" stopIfTrue="1">
      <formula>AND(Z41&lt;&gt;0, NOT(ISTEXT(Y41)))</formula>
    </cfRule>
    <cfRule type="cellIs" dxfId="3903" priority="226" stopIfTrue="1" operator="lessThan">
      <formula>0</formula>
    </cfRule>
  </conditionalFormatting>
  <conditionalFormatting sqref="Z42">
    <cfRule type="expression" dxfId="3902" priority="223" stopIfTrue="1">
      <formula>AND(Z42&lt;&gt;0, NOT(ISTEXT(Y42)))</formula>
    </cfRule>
    <cfRule type="cellIs" dxfId="3901" priority="224" stopIfTrue="1" operator="lessThan">
      <formula>0</formula>
    </cfRule>
  </conditionalFormatting>
  <conditionalFormatting sqref="Z43">
    <cfRule type="expression" dxfId="3900" priority="221" stopIfTrue="1">
      <formula>AND(Z43&lt;&gt;0, NOT(ISTEXT(Y43)))</formula>
    </cfRule>
    <cfRule type="cellIs" dxfId="3899" priority="222" stopIfTrue="1" operator="lessThan">
      <formula>0</formula>
    </cfRule>
  </conditionalFormatting>
  <conditionalFormatting sqref="N53:O54">
    <cfRule type="containsText" dxfId="3898" priority="219" stopIfTrue="1" operator="containsText" text="הפרש">
      <formula>NOT(ISERROR(SEARCH("הפרש",N53)))</formula>
    </cfRule>
  </conditionalFormatting>
  <conditionalFormatting sqref="Z23:Z44 Q64:Q110 Q7:Q45 J7:J53 D27:D39 C45:C56 J64:J110 D65:D86 C7:D17 Z6:AA16">
    <cfRule type="expression" dxfId="3897" priority="217" stopIfTrue="1">
      <formula>ISTEXT(C6)</formula>
    </cfRule>
  </conditionalFormatting>
  <conditionalFormatting sqref="C7">
    <cfRule type="expression" dxfId="3896" priority="215" stopIfTrue="1">
      <formula>AND(C7&lt;&gt;0, NOT(ISTEXT(B7)))</formula>
    </cfRule>
    <cfRule type="cellIs" dxfId="3895" priority="216" stopIfTrue="1" operator="lessThan">
      <formula>0</formula>
    </cfRule>
  </conditionalFormatting>
  <conditionalFormatting sqref="C8">
    <cfRule type="expression" dxfId="3894" priority="213" stopIfTrue="1">
      <formula>AND(C8&lt;&gt;0, NOT(ISTEXT(B8)))</formula>
    </cfRule>
    <cfRule type="cellIs" dxfId="3893" priority="214" stopIfTrue="1" operator="lessThan">
      <formula>0</formula>
    </cfRule>
  </conditionalFormatting>
  <conditionalFormatting sqref="C9">
    <cfRule type="expression" dxfId="3892" priority="211" stopIfTrue="1">
      <formula>AND(C9&lt;&gt;0, NOT(ISTEXT(B9)))</formula>
    </cfRule>
    <cfRule type="cellIs" dxfId="3891" priority="212" stopIfTrue="1" operator="lessThan">
      <formula>0</formula>
    </cfRule>
  </conditionalFormatting>
  <conditionalFormatting sqref="C10">
    <cfRule type="expression" dxfId="3890" priority="209" stopIfTrue="1">
      <formula>AND(C10&lt;&gt;0, NOT(ISTEXT(B10)))</formula>
    </cfRule>
    <cfRule type="cellIs" dxfId="3889" priority="210" stopIfTrue="1" operator="lessThan">
      <formula>0</formula>
    </cfRule>
  </conditionalFormatting>
  <conditionalFormatting sqref="C11">
    <cfRule type="expression" dxfId="3888" priority="207" stopIfTrue="1">
      <formula>AND(C11&lt;&gt;0, NOT(ISTEXT(B11)))</formula>
    </cfRule>
    <cfRule type="cellIs" dxfId="3887" priority="208" stopIfTrue="1" operator="lessThan">
      <formula>0</formula>
    </cfRule>
  </conditionalFormatting>
  <conditionalFormatting sqref="C12">
    <cfRule type="expression" dxfId="3886" priority="205" stopIfTrue="1">
      <formula>AND(C12&lt;&gt;0, NOT(ISTEXT(B12)))</formula>
    </cfRule>
    <cfRule type="cellIs" dxfId="3885" priority="206" stopIfTrue="1" operator="lessThan">
      <formula>0</formula>
    </cfRule>
  </conditionalFormatting>
  <conditionalFormatting sqref="C13">
    <cfRule type="expression" dxfId="3884" priority="203" stopIfTrue="1">
      <formula>AND(C13&lt;&gt;0, NOT(ISTEXT(B13)))</formula>
    </cfRule>
    <cfRule type="cellIs" dxfId="3883" priority="204" stopIfTrue="1" operator="lessThan">
      <formula>0</formula>
    </cfRule>
  </conditionalFormatting>
  <conditionalFormatting sqref="C14">
    <cfRule type="expression" dxfId="3882" priority="201" stopIfTrue="1">
      <formula>AND(C14&lt;&gt;0, NOT(ISTEXT(B14)))</formula>
    </cfRule>
    <cfRule type="cellIs" dxfId="3881" priority="202" stopIfTrue="1" operator="lessThan">
      <formula>0</formula>
    </cfRule>
  </conditionalFormatting>
  <conditionalFormatting sqref="C15">
    <cfRule type="expression" dxfId="3880" priority="199" stopIfTrue="1">
      <formula>AND(C15&lt;&gt;0, NOT(ISTEXT(B15)))</formula>
    </cfRule>
    <cfRule type="cellIs" dxfId="3879" priority="200" stopIfTrue="1" operator="lessThan">
      <formula>0</formula>
    </cfRule>
  </conditionalFormatting>
  <conditionalFormatting sqref="C16">
    <cfRule type="expression" dxfId="3878" priority="197" stopIfTrue="1">
      <formula>AND(C16&lt;&gt;0, NOT(ISTEXT(B16)))</formula>
    </cfRule>
    <cfRule type="cellIs" dxfId="3877" priority="198" stopIfTrue="1" operator="lessThan">
      <formula>0</formula>
    </cfRule>
  </conditionalFormatting>
  <conditionalFormatting sqref="C17">
    <cfRule type="expression" dxfId="3876" priority="195" stopIfTrue="1">
      <formula>AND(C17&lt;&gt;0, NOT(ISTEXT(B17)))</formula>
    </cfRule>
    <cfRule type="cellIs" dxfId="3875" priority="196" stopIfTrue="1" operator="lessThan">
      <formula>0</formula>
    </cfRule>
  </conditionalFormatting>
  <conditionalFormatting sqref="C7">
    <cfRule type="expression" dxfId="3874" priority="192" stopIfTrue="1">
      <formula>AND(C7&lt;&gt;0, NOT(ISTEXT(B7)))</formula>
    </cfRule>
    <cfRule type="cellIs" dxfId="3873" priority="193" stopIfTrue="1" operator="lessThan">
      <formula>0</formula>
    </cfRule>
  </conditionalFormatting>
  <conditionalFormatting sqref="C8">
    <cfRule type="expression" dxfId="3872" priority="190" stopIfTrue="1">
      <formula>AND(C8&lt;&gt;0, NOT(ISTEXT(B8)))</formula>
    </cfRule>
    <cfRule type="cellIs" dxfId="3871" priority="191" stopIfTrue="1" operator="lessThan">
      <formula>0</formula>
    </cfRule>
  </conditionalFormatting>
  <conditionalFormatting sqref="C9">
    <cfRule type="expression" dxfId="3870" priority="188" stopIfTrue="1">
      <formula>AND(C9&lt;&gt;0, NOT(ISTEXT(B9)))</formula>
    </cfRule>
    <cfRule type="cellIs" dxfId="3869" priority="189" stopIfTrue="1" operator="lessThan">
      <formula>0</formula>
    </cfRule>
  </conditionalFormatting>
  <conditionalFormatting sqref="C10">
    <cfRule type="expression" dxfId="3868" priority="186" stopIfTrue="1">
      <formula>AND(C10&lt;&gt;0, NOT(ISTEXT(B10)))</formula>
    </cfRule>
    <cfRule type="cellIs" dxfId="3867" priority="187" stopIfTrue="1" operator="lessThan">
      <formula>0</formula>
    </cfRule>
  </conditionalFormatting>
  <conditionalFormatting sqref="C11">
    <cfRule type="expression" dxfId="3866" priority="184" stopIfTrue="1">
      <formula>AND(C11&lt;&gt;0, NOT(ISTEXT(B11)))</formula>
    </cfRule>
    <cfRule type="cellIs" dxfId="3865" priority="185" stopIfTrue="1" operator="lessThan">
      <formula>0</formula>
    </cfRule>
  </conditionalFormatting>
  <conditionalFormatting sqref="C12">
    <cfRule type="expression" dxfId="3864" priority="182" stopIfTrue="1">
      <formula>AND(C12&lt;&gt;0, NOT(ISTEXT(B12)))</formula>
    </cfRule>
    <cfRule type="cellIs" dxfId="3863" priority="183" stopIfTrue="1" operator="lessThan">
      <formula>0</formula>
    </cfRule>
  </conditionalFormatting>
  <conditionalFormatting sqref="C13">
    <cfRule type="expression" dxfId="3862" priority="180" stopIfTrue="1">
      <formula>AND(C13&lt;&gt;0, NOT(ISTEXT(B13)))</formula>
    </cfRule>
    <cfRule type="cellIs" dxfId="3861" priority="181" stopIfTrue="1" operator="lessThan">
      <formula>0</formula>
    </cfRule>
  </conditionalFormatting>
  <conditionalFormatting sqref="C14">
    <cfRule type="expression" dxfId="3860" priority="178" stopIfTrue="1">
      <formula>AND(C14&lt;&gt;0, NOT(ISTEXT(B14)))</formula>
    </cfRule>
    <cfRule type="cellIs" dxfId="3859" priority="179" stopIfTrue="1" operator="lessThan">
      <formula>0</formula>
    </cfRule>
  </conditionalFormatting>
  <conditionalFormatting sqref="C15">
    <cfRule type="expression" dxfId="3858" priority="176" stopIfTrue="1">
      <formula>AND(C15&lt;&gt;0, NOT(ISTEXT(B15)))</formula>
    </cfRule>
    <cfRule type="cellIs" dxfId="3857" priority="177" stopIfTrue="1" operator="lessThan">
      <formula>0</formula>
    </cfRule>
  </conditionalFormatting>
  <conditionalFormatting sqref="C16">
    <cfRule type="expression" dxfId="3856" priority="174" stopIfTrue="1">
      <formula>AND(C16&lt;&gt;0, NOT(ISTEXT(B16)))</formula>
    </cfRule>
    <cfRule type="cellIs" dxfId="3855" priority="175" stopIfTrue="1" operator="lessThan">
      <formula>0</formula>
    </cfRule>
  </conditionalFormatting>
  <conditionalFormatting sqref="C17">
    <cfRule type="expression" dxfId="3854" priority="172" stopIfTrue="1">
      <formula>AND(C17&lt;&gt;0, NOT(ISTEXT(B17)))</formula>
    </cfRule>
    <cfRule type="cellIs" dxfId="3853" priority="173" stopIfTrue="1" operator="lessThan">
      <formula>0</formula>
    </cfRule>
  </conditionalFormatting>
  <conditionalFormatting sqref="C45">
    <cfRule type="expression" dxfId="3852" priority="169" stopIfTrue="1">
      <formula>AND(C45&lt;&gt;0, NOT(ISTEXT(B45)))</formula>
    </cfRule>
    <cfRule type="cellIs" dxfId="3851" priority="170" stopIfTrue="1" operator="lessThan">
      <formula>0</formula>
    </cfRule>
  </conditionalFormatting>
  <conditionalFormatting sqref="C56">
    <cfRule type="expression" dxfId="3850" priority="167" stopIfTrue="1">
      <formula>AND(C56&lt;&gt;0, NOT(ISTEXT(B56)))</formula>
    </cfRule>
    <cfRule type="cellIs" dxfId="3849" priority="168" stopIfTrue="1" operator="lessThan">
      <formula>0</formula>
    </cfRule>
  </conditionalFormatting>
  <conditionalFormatting sqref="C46">
    <cfRule type="expression" dxfId="3848" priority="165" stopIfTrue="1">
      <formula>AND(C46&lt;&gt;0, NOT(ISTEXT(B46)))</formula>
    </cfRule>
    <cfRule type="cellIs" dxfId="3847" priority="166" stopIfTrue="1" operator="lessThan">
      <formula>0</formula>
    </cfRule>
  </conditionalFormatting>
  <conditionalFormatting sqref="C47">
    <cfRule type="expression" dxfId="3846" priority="163" stopIfTrue="1">
      <formula>AND(C47&lt;&gt;0, NOT(ISTEXT(B47)))</formula>
    </cfRule>
    <cfRule type="cellIs" dxfId="3845" priority="164" stopIfTrue="1" operator="lessThan">
      <formula>0</formula>
    </cfRule>
  </conditionalFormatting>
  <conditionalFormatting sqref="C48">
    <cfRule type="expression" dxfId="3844" priority="161" stopIfTrue="1">
      <formula>AND(C48&lt;&gt;0, NOT(ISTEXT(B48)))</formula>
    </cfRule>
    <cfRule type="cellIs" dxfId="3843" priority="162" stopIfTrue="1" operator="lessThan">
      <formula>0</formula>
    </cfRule>
  </conditionalFormatting>
  <conditionalFormatting sqref="C49">
    <cfRule type="expression" dxfId="3842" priority="159" stopIfTrue="1">
      <formula>AND(C49&lt;&gt;0, NOT(ISTEXT(B49)))</formula>
    </cfRule>
    <cfRule type="cellIs" dxfId="3841" priority="160" stopIfTrue="1" operator="lessThan">
      <formula>0</formula>
    </cfRule>
  </conditionalFormatting>
  <conditionalFormatting sqref="C50">
    <cfRule type="expression" dxfId="3840" priority="157" stopIfTrue="1">
      <formula>AND(C50&lt;&gt;0, NOT(ISTEXT(B50)))</formula>
    </cfRule>
    <cfRule type="cellIs" dxfId="3839" priority="158" stopIfTrue="1" operator="lessThan">
      <formula>0</formula>
    </cfRule>
  </conditionalFormatting>
  <conditionalFormatting sqref="C51">
    <cfRule type="expression" dxfId="3838" priority="155" stopIfTrue="1">
      <formula>AND(C51&lt;&gt;0, NOT(ISTEXT(B51)))</formula>
    </cfRule>
    <cfRule type="cellIs" dxfId="3837" priority="156" stopIfTrue="1" operator="lessThan">
      <formula>0</formula>
    </cfRule>
  </conditionalFormatting>
  <conditionalFormatting sqref="C52">
    <cfRule type="expression" dxfId="3836" priority="153" stopIfTrue="1">
      <formula>AND(C52&lt;&gt;0, NOT(ISTEXT(B52)))</formula>
    </cfRule>
    <cfRule type="cellIs" dxfId="3835" priority="154" stopIfTrue="1" operator="lessThan">
      <formula>0</formula>
    </cfRule>
  </conditionalFormatting>
  <conditionalFormatting sqref="C53">
    <cfRule type="expression" dxfId="3834" priority="151" stopIfTrue="1">
      <formula>AND(C53&lt;&gt;0, NOT(ISTEXT(B53)))</formula>
    </cfRule>
    <cfRule type="cellIs" dxfId="3833" priority="152" stopIfTrue="1" operator="lessThan">
      <formula>0</formula>
    </cfRule>
  </conditionalFormatting>
  <conditionalFormatting sqref="C54">
    <cfRule type="expression" dxfId="3832" priority="149" stopIfTrue="1">
      <formula>AND(C54&lt;&gt;0, NOT(ISTEXT(B54)))</formula>
    </cfRule>
    <cfRule type="cellIs" dxfId="3831" priority="150" stopIfTrue="1" operator="lessThan">
      <formula>0</formula>
    </cfRule>
  </conditionalFormatting>
  <conditionalFormatting sqref="C55">
    <cfRule type="expression" dxfId="3830" priority="147" stopIfTrue="1">
      <formula>AND(C55&lt;&gt;0, NOT(ISTEXT(B55)))</formula>
    </cfRule>
    <cfRule type="cellIs" dxfId="3829" priority="148" stopIfTrue="1" operator="lessThan">
      <formula>0</formula>
    </cfRule>
  </conditionalFormatting>
  <conditionalFormatting sqref="Z6">
    <cfRule type="expression" dxfId="3828" priority="144" stopIfTrue="1">
      <formula>AND(Z6&lt;&gt;0, NOT(ISTEXT(Y6)))</formula>
    </cfRule>
    <cfRule type="cellIs" dxfId="3827" priority="145" stopIfTrue="1" operator="lessThan">
      <formula>0</formula>
    </cfRule>
  </conditionalFormatting>
  <conditionalFormatting sqref="Z16">
    <cfRule type="expression" dxfId="3826" priority="142" stopIfTrue="1">
      <formula>AND(Z16&lt;&gt;0, NOT(ISTEXT(Y16)))</formula>
    </cfRule>
    <cfRule type="cellIs" dxfId="3825" priority="143" stopIfTrue="1" operator="lessThan">
      <formula>0</formula>
    </cfRule>
  </conditionalFormatting>
  <conditionalFormatting sqref="Z7">
    <cfRule type="expression" dxfId="3824" priority="140" stopIfTrue="1">
      <formula>AND(Z7&lt;&gt;0, NOT(ISTEXT(Y7)))</formula>
    </cfRule>
    <cfRule type="cellIs" dxfId="3823" priority="141" stopIfTrue="1" operator="lessThan">
      <formula>0</formula>
    </cfRule>
  </conditionalFormatting>
  <conditionalFormatting sqref="Z8">
    <cfRule type="expression" dxfId="3822" priority="138" stopIfTrue="1">
      <formula>AND(Z8&lt;&gt;0, NOT(ISTEXT(Y8)))</formula>
    </cfRule>
    <cfRule type="cellIs" dxfId="3821" priority="139" stopIfTrue="1" operator="lessThan">
      <formula>0</formula>
    </cfRule>
  </conditionalFormatting>
  <conditionalFormatting sqref="Z9">
    <cfRule type="expression" dxfId="3820" priority="136" stopIfTrue="1">
      <formula>AND(Z9&lt;&gt;0, NOT(ISTEXT(Y9)))</formula>
    </cfRule>
    <cfRule type="cellIs" dxfId="3819" priority="137" stopIfTrue="1" operator="lessThan">
      <formula>0</formula>
    </cfRule>
  </conditionalFormatting>
  <conditionalFormatting sqref="Z10">
    <cfRule type="expression" dxfId="3818" priority="134" stopIfTrue="1">
      <formula>AND(Z10&lt;&gt;0, NOT(ISTEXT(Y10)))</formula>
    </cfRule>
    <cfRule type="cellIs" dxfId="3817" priority="135" stopIfTrue="1" operator="lessThan">
      <formula>0</formula>
    </cfRule>
  </conditionalFormatting>
  <conditionalFormatting sqref="Z11">
    <cfRule type="expression" dxfId="3816" priority="132" stopIfTrue="1">
      <formula>AND(Z11&lt;&gt;0, NOT(ISTEXT(Y11)))</formula>
    </cfRule>
    <cfRule type="cellIs" dxfId="3815" priority="133" stopIfTrue="1" operator="lessThan">
      <formula>0</formula>
    </cfRule>
  </conditionalFormatting>
  <conditionalFormatting sqref="Z12">
    <cfRule type="expression" dxfId="3814" priority="130" stopIfTrue="1">
      <formula>AND(Z12&lt;&gt;0, NOT(ISTEXT(Y12)))</formula>
    </cfRule>
    <cfRule type="cellIs" dxfId="3813" priority="131" stopIfTrue="1" operator="lessThan">
      <formula>0</formula>
    </cfRule>
  </conditionalFormatting>
  <conditionalFormatting sqref="Z13">
    <cfRule type="expression" dxfId="3812" priority="128" stopIfTrue="1">
      <formula>AND(Z13&lt;&gt;0, NOT(ISTEXT(Y13)))</formula>
    </cfRule>
    <cfRule type="cellIs" dxfId="3811" priority="129" stopIfTrue="1" operator="lessThan">
      <formula>0</formula>
    </cfRule>
  </conditionalFormatting>
  <conditionalFormatting sqref="Z14">
    <cfRule type="expression" dxfId="3810" priority="126" stopIfTrue="1">
      <formula>AND(Z14&lt;&gt;0, NOT(ISTEXT(Y14)))</formula>
    </cfRule>
    <cfRule type="cellIs" dxfId="3809" priority="127" stopIfTrue="1" operator="lessThan">
      <formula>0</formula>
    </cfRule>
  </conditionalFormatting>
  <conditionalFormatting sqref="Z15">
    <cfRule type="expression" dxfId="3808" priority="124" stopIfTrue="1">
      <formula>AND(Z15&lt;&gt;0, NOT(ISTEXT(Y15)))</formula>
    </cfRule>
    <cfRule type="cellIs" dxfId="3807" priority="125" stopIfTrue="1" operator="lessThan">
      <formula>0</formula>
    </cfRule>
  </conditionalFormatting>
  <conditionalFormatting sqref="Z23">
    <cfRule type="expression" dxfId="3806" priority="121" stopIfTrue="1">
      <formula>AND(Z23&lt;&gt;0, NOT(ISTEXT(Y23)))</formula>
    </cfRule>
    <cfRule type="cellIs" dxfId="3805" priority="122" stopIfTrue="1" operator="lessThan">
      <formula>0</formula>
    </cfRule>
  </conditionalFormatting>
  <conditionalFormatting sqref="Z44">
    <cfRule type="expression" dxfId="3804" priority="119" stopIfTrue="1">
      <formula>AND(Z44&lt;&gt;0, NOT(ISTEXT(Y44)))</formula>
    </cfRule>
    <cfRule type="cellIs" dxfId="3803" priority="120" stopIfTrue="1" operator="lessThan">
      <formula>0</formula>
    </cfRule>
  </conditionalFormatting>
  <conditionalFormatting sqref="Z24">
    <cfRule type="expression" dxfId="3802" priority="117" stopIfTrue="1">
      <formula>AND(Z24&lt;&gt;0, NOT(ISTEXT(Y24)))</formula>
    </cfRule>
    <cfRule type="cellIs" dxfId="3801" priority="118" stopIfTrue="1" operator="lessThan">
      <formula>0</formula>
    </cfRule>
  </conditionalFormatting>
  <conditionalFormatting sqref="Z25">
    <cfRule type="expression" dxfId="3800" priority="115" stopIfTrue="1">
      <formula>AND(Z25&lt;&gt;0, NOT(ISTEXT(Y25)))</formula>
    </cfRule>
    <cfRule type="cellIs" dxfId="3799" priority="116" stopIfTrue="1" operator="lessThan">
      <formula>0</formula>
    </cfRule>
  </conditionalFormatting>
  <conditionalFormatting sqref="Z26">
    <cfRule type="expression" dxfId="3798" priority="113" stopIfTrue="1">
      <formula>AND(Z26&lt;&gt;0, NOT(ISTEXT(Y26)))</formula>
    </cfRule>
    <cfRule type="cellIs" dxfId="3797" priority="114" stopIfTrue="1" operator="lessThan">
      <formula>0</formula>
    </cfRule>
  </conditionalFormatting>
  <conditionalFormatting sqref="Z27">
    <cfRule type="expression" dxfId="3796" priority="111" stopIfTrue="1">
      <formula>AND(Z27&lt;&gt;0, NOT(ISTEXT(Y27)))</formula>
    </cfRule>
    <cfRule type="cellIs" dxfId="3795" priority="112" stopIfTrue="1" operator="lessThan">
      <formula>0</formula>
    </cfRule>
  </conditionalFormatting>
  <conditionalFormatting sqref="Z28">
    <cfRule type="expression" dxfId="3794" priority="109" stopIfTrue="1">
      <formula>AND(Z28&lt;&gt;0, NOT(ISTEXT(Y28)))</formula>
    </cfRule>
    <cfRule type="cellIs" dxfId="3793" priority="110" stopIfTrue="1" operator="lessThan">
      <formula>0</formula>
    </cfRule>
  </conditionalFormatting>
  <conditionalFormatting sqref="Z29">
    <cfRule type="expression" dxfId="3792" priority="107" stopIfTrue="1">
      <formula>AND(Z29&lt;&gt;0, NOT(ISTEXT(Y29)))</formula>
    </cfRule>
    <cfRule type="cellIs" dxfId="3791" priority="108" stopIfTrue="1" operator="lessThan">
      <formula>0</formula>
    </cfRule>
  </conditionalFormatting>
  <conditionalFormatting sqref="Z30">
    <cfRule type="expression" dxfId="3790" priority="105" stopIfTrue="1">
      <formula>AND(Z30&lt;&gt;0, NOT(ISTEXT(Y30)))</formula>
    </cfRule>
    <cfRule type="cellIs" dxfId="3789" priority="106" stopIfTrue="1" operator="lessThan">
      <formula>0</formula>
    </cfRule>
  </conditionalFormatting>
  <conditionalFormatting sqref="Z31">
    <cfRule type="expression" dxfId="3788" priority="103" stopIfTrue="1">
      <formula>AND(Z31&lt;&gt;0, NOT(ISTEXT(Y31)))</formula>
    </cfRule>
    <cfRule type="cellIs" dxfId="3787" priority="104" stopIfTrue="1" operator="lessThan">
      <formula>0</formula>
    </cfRule>
  </conditionalFormatting>
  <conditionalFormatting sqref="Z32">
    <cfRule type="expression" dxfId="3786" priority="101" stopIfTrue="1">
      <formula>AND(Z32&lt;&gt;0, NOT(ISTEXT(Y32)))</formula>
    </cfRule>
    <cfRule type="cellIs" dxfId="3785" priority="102" stopIfTrue="1" operator="lessThan">
      <formula>0</formula>
    </cfRule>
  </conditionalFormatting>
  <conditionalFormatting sqref="Z33">
    <cfRule type="expression" dxfId="3784" priority="99" stopIfTrue="1">
      <formula>AND(Z33&lt;&gt;0, NOT(ISTEXT(Y33)))</formula>
    </cfRule>
    <cfRule type="cellIs" dxfId="3783" priority="100" stopIfTrue="1" operator="lessThan">
      <formula>0</formula>
    </cfRule>
  </conditionalFormatting>
  <conditionalFormatting sqref="Z34">
    <cfRule type="expression" dxfId="3782" priority="97" stopIfTrue="1">
      <formula>AND(Z34&lt;&gt;0, NOT(ISTEXT(Y34)))</formula>
    </cfRule>
    <cfRule type="cellIs" dxfId="3781" priority="98" stopIfTrue="1" operator="lessThan">
      <formula>0</formula>
    </cfRule>
  </conditionalFormatting>
  <conditionalFormatting sqref="Z35">
    <cfRule type="expression" dxfId="3780" priority="95" stopIfTrue="1">
      <formula>AND(Z35&lt;&gt;0, NOT(ISTEXT(Y35)))</formula>
    </cfRule>
    <cfRule type="cellIs" dxfId="3779" priority="96" stopIfTrue="1" operator="lessThan">
      <formula>0</formula>
    </cfRule>
  </conditionalFormatting>
  <conditionalFormatting sqref="Z36">
    <cfRule type="expression" dxfId="3778" priority="93" stopIfTrue="1">
      <formula>AND(Z36&lt;&gt;0, NOT(ISTEXT(Y36)))</formula>
    </cfRule>
    <cfRule type="cellIs" dxfId="3777" priority="94" stopIfTrue="1" operator="lessThan">
      <formula>0</formula>
    </cfRule>
  </conditionalFormatting>
  <conditionalFormatting sqref="Z37">
    <cfRule type="expression" dxfId="3776" priority="91" stopIfTrue="1">
      <formula>AND(Z37&lt;&gt;0, NOT(ISTEXT(Y37)))</formula>
    </cfRule>
    <cfRule type="cellIs" dxfId="3775" priority="92" stopIfTrue="1" operator="lessThan">
      <formula>0</formula>
    </cfRule>
  </conditionalFormatting>
  <conditionalFormatting sqref="Z38">
    <cfRule type="expression" dxfId="3774" priority="89" stopIfTrue="1">
      <formula>AND(Z38&lt;&gt;0, NOT(ISTEXT(Y38)))</formula>
    </cfRule>
    <cfRule type="cellIs" dxfId="3773" priority="90" stopIfTrue="1" operator="lessThan">
      <formula>0</formula>
    </cfRule>
  </conditionalFormatting>
  <conditionalFormatting sqref="Z39">
    <cfRule type="expression" dxfId="3772" priority="87" stopIfTrue="1">
      <formula>AND(Z39&lt;&gt;0, NOT(ISTEXT(Y39)))</formula>
    </cfRule>
    <cfRule type="cellIs" dxfId="3771" priority="88" stopIfTrue="1" operator="lessThan">
      <formula>0</formula>
    </cfRule>
  </conditionalFormatting>
  <conditionalFormatting sqref="Z40">
    <cfRule type="expression" dxfId="3770" priority="85" stopIfTrue="1">
      <formula>AND(Z40&lt;&gt;0, NOT(ISTEXT(Y40)))</formula>
    </cfRule>
    <cfRule type="cellIs" dxfId="3769" priority="86" stopIfTrue="1" operator="lessThan">
      <formula>0</formula>
    </cfRule>
  </conditionalFormatting>
  <conditionalFormatting sqref="Z41">
    <cfRule type="expression" dxfId="3768" priority="83" stopIfTrue="1">
      <formula>AND(Z41&lt;&gt;0, NOT(ISTEXT(Y41)))</formula>
    </cfRule>
    <cfRule type="cellIs" dxfId="3767" priority="84" stopIfTrue="1" operator="lessThan">
      <formula>0</formula>
    </cfRule>
  </conditionalFormatting>
  <conditionalFormatting sqref="Z42">
    <cfRule type="expression" dxfId="3766" priority="81" stopIfTrue="1">
      <formula>AND(Z42&lt;&gt;0, NOT(ISTEXT(Y42)))</formula>
    </cfRule>
    <cfRule type="cellIs" dxfId="3765" priority="82" stopIfTrue="1" operator="lessThan">
      <formula>0</formula>
    </cfRule>
  </conditionalFormatting>
  <conditionalFormatting sqref="Z43">
    <cfRule type="expression" dxfId="3764" priority="79" stopIfTrue="1">
      <formula>AND(Z43&lt;&gt;0, NOT(ISTEXT(Y43)))</formula>
    </cfRule>
    <cfRule type="cellIs" dxfId="3763" priority="80" stopIfTrue="1" operator="lessThan">
      <formula>0</formula>
    </cfRule>
  </conditionalFormatting>
  <conditionalFormatting sqref="D7:D17 D27:D39 AA6:AA16">
    <cfRule type="expression" dxfId="3762" priority="71" stopIfTrue="1">
      <formula>AND(D6&lt;&gt;0,NOT(ISTEXT(B6)))</formula>
    </cfRule>
  </conditionalFormatting>
  <conditionalFormatting sqref="C65">
    <cfRule type="expression" dxfId="3761" priority="67" stopIfTrue="1">
      <formula>AND(C65&lt;&gt;0, NOT(ISTEXT(B65)))</formula>
    </cfRule>
    <cfRule type="cellIs" dxfId="3760" priority="68" stopIfTrue="1" operator="lessThan">
      <formula>0</formula>
    </cfRule>
  </conditionalFormatting>
  <conditionalFormatting sqref="C77">
    <cfRule type="expression" dxfId="3759" priority="65" stopIfTrue="1">
      <formula>AND(C77&lt;&gt;0, NOT(ISTEXT(B77)))</formula>
    </cfRule>
    <cfRule type="cellIs" dxfId="3758" priority="66" stopIfTrue="1" operator="lessThan">
      <formula>0</formula>
    </cfRule>
  </conditionalFormatting>
  <conditionalFormatting sqref="C66">
    <cfRule type="expression" dxfId="3757" priority="63" stopIfTrue="1">
      <formula>AND(C66&lt;&gt;0, NOT(ISTEXT(B66)))</formula>
    </cfRule>
    <cfRule type="cellIs" dxfId="3756" priority="64" stopIfTrue="1" operator="lessThan">
      <formula>0</formula>
    </cfRule>
  </conditionalFormatting>
  <conditionalFormatting sqref="C67">
    <cfRule type="expression" dxfId="3755" priority="61" stopIfTrue="1">
      <formula>AND(C67&lt;&gt;0, NOT(ISTEXT(B67)))</formula>
    </cfRule>
    <cfRule type="cellIs" dxfId="3754" priority="62" stopIfTrue="1" operator="lessThan">
      <formula>0</formula>
    </cfRule>
  </conditionalFormatting>
  <conditionalFormatting sqref="C68">
    <cfRule type="expression" dxfId="3753" priority="59" stopIfTrue="1">
      <formula>AND(C68&lt;&gt;0, NOT(ISTEXT(B68)))</formula>
    </cfRule>
    <cfRule type="cellIs" dxfId="3752" priority="60" stopIfTrue="1" operator="lessThan">
      <formula>0</formula>
    </cfRule>
  </conditionalFormatting>
  <conditionalFormatting sqref="C69">
    <cfRule type="expression" dxfId="3751" priority="57" stopIfTrue="1">
      <formula>AND(C69&lt;&gt;0, NOT(ISTEXT(B69)))</formula>
    </cfRule>
    <cfRule type="cellIs" dxfId="3750" priority="58" stopIfTrue="1" operator="lessThan">
      <formula>0</formula>
    </cfRule>
  </conditionalFormatting>
  <conditionalFormatting sqref="C70">
    <cfRule type="expression" dxfId="3749" priority="55" stopIfTrue="1">
      <formula>AND(C70&lt;&gt;0, NOT(ISTEXT(B70)))</formula>
    </cfRule>
    <cfRule type="cellIs" dxfId="3748" priority="56" stopIfTrue="1" operator="lessThan">
      <formula>0</formula>
    </cfRule>
  </conditionalFormatting>
  <conditionalFormatting sqref="C71">
    <cfRule type="expression" dxfId="3747" priority="53" stopIfTrue="1">
      <formula>AND(C71&lt;&gt;0, NOT(ISTEXT(B71)))</formula>
    </cfRule>
    <cfRule type="cellIs" dxfId="3746" priority="54" stopIfTrue="1" operator="lessThan">
      <formula>0</formula>
    </cfRule>
  </conditionalFormatting>
  <conditionalFormatting sqref="C72">
    <cfRule type="expression" dxfId="3745" priority="51" stopIfTrue="1">
      <formula>AND(C72&lt;&gt;0, NOT(ISTEXT(B72)))</formula>
    </cfRule>
    <cfRule type="cellIs" dxfId="3744" priority="52" stopIfTrue="1" operator="lessThan">
      <formula>0</formula>
    </cfRule>
  </conditionalFormatting>
  <conditionalFormatting sqref="C73">
    <cfRule type="expression" dxfId="3743" priority="49" stopIfTrue="1">
      <formula>AND(C73&lt;&gt;0, NOT(ISTEXT(B73)))</formula>
    </cfRule>
    <cfRule type="cellIs" dxfId="3742" priority="50" stopIfTrue="1" operator="lessThan">
      <formula>0</formula>
    </cfRule>
  </conditionalFormatting>
  <conditionalFormatting sqref="C74">
    <cfRule type="expression" dxfId="3741" priority="47" stopIfTrue="1">
      <formula>AND(C74&lt;&gt;0, NOT(ISTEXT(B74)))</formula>
    </cfRule>
    <cfRule type="cellIs" dxfId="3740" priority="48" stopIfTrue="1" operator="lessThan">
      <formula>0</formula>
    </cfRule>
  </conditionalFormatting>
  <conditionalFormatting sqref="C75">
    <cfRule type="expression" dxfId="3739" priority="45" stopIfTrue="1">
      <formula>AND(C75&lt;&gt;0, NOT(ISTEXT(B75)))</formula>
    </cfRule>
    <cfRule type="cellIs" dxfId="3738" priority="46" stopIfTrue="1" operator="lessThan">
      <formula>0</formula>
    </cfRule>
  </conditionalFormatting>
  <conditionalFormatting sqref="C76">
    <cfRule type="expression" dxfId="3737" priority="43" stopIfTrue="1">
      <formula>AND(C76&lt;&gt;0, NOT(ISTEXT(B76)))</formula>
    </cfRule>
    <cfRule type="cellIs" dxfId="3736" priority="44" stopIfTrue="1" operator="lessThan">
      <formula>0</formula>
    </cfRule>
  </conditionalFormatting>
  <conditionalFormatting sqref="D65:D77">
    <cfRule type="expression" dxfId="3735" priority="41" stopIfTrue="1">
      <formula>AND(D65&lt;&gt;0,NOT(ISTEXT(B65)))</formula>
    </cfRule>
  </conditionalFormatting>
  <conditionalFormatting sqref="C86">
    <cfRule type="expression" dxfId="3734" priority="37" stopIfTrue="1">
      <formula>AND(C86&lt;&gt;0, NOT(ISTEXT(B86)))</formula>
    </cfRule>
    <cfRule type="cellIs" dxfId="3733" priority="38" stopIfTrue="1" operator="lessThan">
      <formula>0</formula>
    </cfRule>
  </conditionalFormatting>
  <conditionalFormatting sqref="C78">
    <cfRule type="expression" dxfId="3732" priority="35" stopIfTrue="1">
      <formula>AND(C78&lt;&gt;0, NOT(ISTEXT(B78)))</formula>
    </cfRule>
    <cfRule type="cellIs" dxfId="3731" priority="36" stopIfTrue="1" operator="lessThan">
      <formula>0</formula>
    </cfRule>
  </conditionalFormatting>
  <conditionalFormatting sqref="C79">
    <cfRule type="expression" dxfId="3730" priority="33" stopIfTrue="1">
      <formula>AND(C79&lt;&gt;0, NOT(ISTEXT(B79)))</formula>
    </cfRule>
    <cfRule type="cellIs" dxfId="3729" priority="34" stopIfTrue="1" operator="lessThan">
      <formula>0</formula>
    </cfRule>
  </conditionalFormatting>
  <conditionalFormatting sqref="C80">
    <cfRule type="expression" dxfId="3728" priority="31" stopIfTrue="1">
      <formula>AND(C80&lt;&gt;0, NOT(ISTEXT(B80)))</formula>
    </cfRule>
    <cfRule type="cellIs" dxfId="3727" priority="32" stopIfTrue="1" operator="lessThan">
      <formula>0</formula>
    </cfRule>
  </conditionalFormatting>
  <conditionalFormatting sqref="C81">
    <cfRule type="expression" dxfId="3726" priority="29" stopIfTrue="1">
      <formula>AND(C81&lt;&gt;0, NOT(ISTEXT(B81)))</formula>
    </cfRule>
    <cfRule type="cellIs" dxfId="3725" priority="30" stopIfTrue="1" operator="lessThan">
      <formula>0</formula>
    </cfRule>
  </conditionalFormatting>
  <conditionalFormatting sqref="C82">
    <cfRule type="expression" dxfId="3724" priority="27" stopIfTrue="1">
      <formula>AND(C82&lt;&gt;0, NOT(ISTEXT(B82)))</formula>
    </cfRule>
    <cfRule type="cellIs" dxfId="3723" priority="28" stopIfTrue="1" operator="lessThan">
      <formula>0</formula>
    </cfRule>
  </conditionalFormatting>
  <conditionalFormatting sqref="C83">
    <cfRule type="expression" dxfId="3722" priority="25" stopIfTrue="1">
      <formula>AND(C83&lt;&gt;0, NOT(ISTEXT(B83)))</formula>
    </cfRule>
    <cfRule type="cellIs" dxfId="3721" priority="26" stopIfTrue="1" operator="lessThan">
      <formula>0</formula>
    </cfRule>
  </conditionalFormatting>
  <conditionalFormatting sqref="C84">
    <cfRule type="expression" dxfId="3720" priority="23" stopIfTrue="1">
      <formula>AND(C84&lt;&gt;0, NOT(ISTEXT(B84)))</formula>
    </cfRule>
    <cfRule type="cellIs" dxfId="3719" priority="24" stopIfTrue="1" operator="lessThan">
      <formula>0</formula>
    </cfRule>
  </conditionalFormatting>
  <conditionalFormatting sqref="C85">
    <cfRule type="expression" dxfId="3718" priority="21" stopIfTrue="1">
      <formula>AND(C85&lt;&gt;0, NOT(ISTEXT(B85)))</formula>
    </cfRule>
    <cfRule type="cellIs" dxfId="3717" priority="22" stopIfTrue="1" operator="lessThan">
      <formula>0</formula>
    </cfRule>
  </conditionalFormatting>
  <conditionalFormatting sqref="D78:D86">
    <cfRule type="expression" dxfId="3716" priority="19" stopIfTrue="1">
      <formula>AND(D78&lt;&gt;0,NOT(ISTEXT(B78)))</formula>
    </cfRule>
  </conditionalFormatting>
  <conditionalFormatting sqref="D7:D17 D27:D39 D65:D86">
    <cfRule type="cellIs" dxfId="3715" priority="16" stopIfTrue="1" operator="greaterThan">
      <formula>C7</formula>
    </cfRule>
  </conditionalFormatting>
  <conditionalFormatting sqref="AE23:AE44">
    <cfRule type="expression" dxfId="3714" priority="7" stopIfTrue="1">
      <formula>((Z23*(12-$AR$19))-AE23)/(Z23*(12-$AR$19)+0.00001)&gt;0.9</formula>
    </cfRule>
    <cfRule type="expression" dxfId="3713" priority="8" stopIfTrue="1">
      <formula>((Z23*(12-$AR$19))-AE23)/(Z23*(12-$AR$19)+0.00001)&gt;0.8</formula>
    </cfRule>
    <cfRule type="expression" dxfId="3712" priority="9" stopIfTrue="1">
      <formula>((Z23*(12-$AR$19))-AE23)/(Z23*(12-$AR$19)+0.00001)&gt;0.7</formula>
    </cfRule>
    <cfRule type="expression" dxfId="3711" priority="10" stopIfTrue="1">
      <formula>((Z23*(12-$AR$19))-AE23)/(Z23*(12-$AR$19)+0.00001)&gt;0.6</formula>
    </cfRule>
    <cfRule type="expression" dxfId="3710" priority="11" stopIfTrue="1">
      <formula>((Z23*(12-$AR$19))-AE23)/(Z23*(12-$AR$19)+0.00001)&gt;0.5</formula>
    </cfRule>
    <cfRule type="expression" dxfId="3709" priority="12" stopIfTrue="1">
      <formula>((Z23*(12-$AR$19))-AE23)/(Z23*(12-$AR$19)+0.00001)&gt;0.4</formula>
    </cfRule>
    <cfRule type="expression" dxfId="3708" priority="13" stopIfTrue="1">
      <formula>((Z23*(12-$AR$19))-AE23)/(Z23*(12-$AR$19)+0.00001)&gt;0.3</formula>
    </cfRule>
    <cfRule type="expression" dxfId="3707" priority="377" stopIfTrue="1">
      <formula>((Z23*(12-$AR$19))-AE23)/(Z23*(12-$AR$19)+0.00001)&gt;0.2</formula>
    </cfRule>
  </conditionalFormatting>
  <conditionalFormatting sqref="N55:N56">
    <cfRule type="containsText" dxfId="3706" priority="4" stopIfTrue="1" operator="containsText" text="No">
      <formula>NOT(ISERROR(SEARCH("No",N55)))</formula>
    </cfRule>
  </conditionalFormatting>
  <conditionalFormatting sqref="AE15:AE20">
    <cfRule type="containsText" dxfId="3705" priority="3" stopIfTrue="1" operator="containsText" text="Over">
      <formula>NOT(ISERROR(SEARCH("Over",AE15)))</formula>
    </cfRule>
  </conditionalFormatting>
  <conditionalFormatting sqref="B20:D20">
    <cfRule type="containsText" dxfId="3704" priority="2" stopIfTrue="1" operator="containsText" text="Check">
      <formula>NOT(ISERROR(SEARCH("Check",B20)))</formula>
    </cfRule>
  </conditionalFormatting>
  <conditionalFormatting sqref="B42:D42">
    <cfRule type="containsText" dxfId="3703" priority="1" stopIfTrue="1" operator="containsText" text="Check">
      <formula>NOT(ISERROR(SEARCH("Check",B42)))</formula>
    </cfRule>
  </conditionalFormatting>
  <dataValidations count="14">
    <dataValidation type="custom" showInputMessage="1" showErrorMessage="1" errorTitle="שגיאה" error="חובה למלא את שם ההוצאה לפני מילוי הסכום." sqref="J64:J110 Q7:Q45 J7:J53 Q64:Q110">
      <formula1>ISTEXT(I7)</formula1>
    </dataValidation>
    <dataValidation type="custom" showInputMessage="1" showErrorMessage="1" errorTitle="שגיאה" error="חובה לתת שם לכל סעיף שנרשם בו תקציב" sqref="C7:C17 C27:C39 C45:C56 Z6:Z16 Z23:Z44 C65:C86">
      <formula1>ISTEXT(B6)</formula1>
    </dataValidation>
    <dataValidation type="custom" showInputMessage="1" showErrorMessage="1" errorTitle="שגיאה" error="חובה לתת שם לכל סעיף שנרשם בו ביצוע" sqref="D65:D86 D7:D17 D27:D39 AA6:AA16 AC17">
      <formula1>ISTEXT(B6)</formula1>
    </dataValidation>
    <dataValidation type="whole" allowBlank="1" showInputMessage="1" showErrorMessage="1" errorTitle="ערך לא חוקי" error="התא יכול לקבל 0 או 1. ערכים אחרים אינם חוקיים." prompt="שים לב!_x000a_שינוי תא זה עלול להשפיע על התקציב המתוכנן לשוטפות בחודש הבא." sqref="AI23:AI44">
      <formula1>0</formula1>
      <formula2>1</formula2>
    </dataValidation>
    <dataValidation type="list" errorStyle="information" allowBlank="1" showInputMessage="1" sqref="K64:K110 U64:U110 U7:U45 E7:E17 E27:E39 E65:E86 K7:K53 AB6:AB16">
      <formula1>$AT$5:$AT$9</formula1>
    </dataValidation>
    <dataValidation type="whole" allowBlank="1" showInputMessage="1" showErrorMessage="1" error="מס' יום לא חוקי" sqref="O7:O45 H7:H53 H64:H110 O64:O110">
      <formula1>1</formula1>
      <formula2>31</formula2>
    </dataValidation>
    <dataValidation type="list" allowBlank="1" showInputMessage="1" showErrorMessage="1" error="חובה לבחור בהתפריט הנפתח" sqref="P7:P45 P64:P110">
      <formula1>$Y$23:$Y$44</formula1>
    </dataValidation>
    <dataValidation type="list" allowBlank="1" showInputMessage="1" showErrorMessage="1" error="חובה לבחור כן/לא." sqref="N55:N56">
      <formula1>$AP$55:$AP$56</formula1>
    </dataValidation>
    <dataValidation type="list" allowBlank="1" showInputMessage="1" showErrorMessage="1" error="חובה לבחור מהתפריט הנפתח" sqref="I7:I53 I64:I110">
      <formula1>$B$45:$B$56</formula1>
    </dataValidation>
    <dataValidation allowBlank="1" showInputMessage="1" showErrorMessage="1" prompt="שים לב! שינוי תא זה יבטל את החישוב האוטומטי לסה&quot;כ ביצוע הוצאות קבועות לחודש הנוכחי. " sqref="D18"/>
    <dataValidation allowBlank="1" showInputMessage="1" showErrorMessage="1" prompt="שים לב! שינוי תא זה יבטל את החישוב האוטומטי לסה&quot;כ ביצוע החזרי החובות לחודש הנוכחי. " sqref="D40"/>
    <dataValidation type="custom" errorStyle="warning" allowBlank="1" showInputMessage="1" showErrorMessage="1" errorTitle="סעיף כבר בשימוש" error="שם סעיף זה כבר בשימוש בקטגוריה זו או בקטגוריה אחרת. יתכן גם שנרשמה עליו שם כבר הוצאה בחודש זה." sqref="Y23:Y44 B45:B56 B27:B39 B65:B86 B7:B17">
      <formula1>(COUNTIF($B$7:$B$17,B7)+COUNTIF($B$27:$B$39,B7)+COUNTIF($B$45:$B$56,B7)+COUNTIF($I$7:$I$53,B7)+COUNTIF($Y$23:$Y$44,B7)+COUNTIF($P$7:$P$45,B7))&lt;=1</formula1>
    </dataValidation>
    <dataValidation type="list" allowBlank="1" showInputMessage="1" showErrorMessage="1" error="חובה לבחור מהתפריט הנפתח" sqref="N58">
      <formula1>$AQ$55:$AQ$56</formula1>
    </dataValidation>
    <dataValidation type="custom" errorStyle="information" allowBlank="1" showInputMessage="1" showErrorMessage="1" error="אתם מזינים עיסקת תשלומים. _x000a_חובה למלא את עמודות &quot;מספר התשלום&quot; ו- &quot;מתוך&quot; כדי שהתשלומים הבאים יוכנסו אוטומטית." prompt="שנה תא זה רק בהזנת עיסקת תשלומים._x000a_בחודש הראשון - הזן את סכום העיסקה הכולל._x000a_בחודשי התשלום הבאים - יוכנס אוטומטית 0 (יוצג כ &quot;-&quot;)." sqref="R7:R45 R64:R110">
      <formula1>R7=Q7</formula1>
    </dataValidation>
  </dataValidations>
  <hyperlinks>
    <hyperlink ref="Q3" location="D!Y21:Z46" tooltip="To Summary Table" display="List Periodic Expenses"/>
    <hyperlink ref="I3" location="D!B44:C58" tooltip="To Summary Table" display="List Everyday Expenses"/>
  </hyperlink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  <outlinePr summaryBelow="0" summaryRight="0"/>
  </sheetPr>
  <dimension ref="A1:CN152"/>
  <sheetViews>
    <sheetView showZeros="0" zoomScale="75" zoomScaleNormal="75" workbookViewId="0"/>
  </sheetViews>
  <sheetFormatPr defaultColWidth="9.125" defaultRowHeight="14.25" outlineLevelRow="1" outlineLevelCol="1"/>
  <cols>
    <col min="1" max="1" width="0.625" style="2" customWidth="1"/>
    <col min="2" max="2" width="22.125" style="2" customWidth="1"/>
    <col min="3" max="3" width="8.125" style="2" customWidth="1"/>
    <col min="4" max="4" width="9.75" style="2" customWidth="1" collapsed="1"/>
    <col min="5" max="5" width="12.25" style="2" hidden="1" customWidth="1" outlineLevel="1"/>
    <col min="6" max="6" width="20.75" style="2" hidden="1" customWidth="1" outlineLevel="1"/>
    <col min="7" max="7" width="1.125" style="2" customWidth="1"/>
    <col min="8" max="8" width="5.375" style="2" customWidth="1"/>
    <col min="9" max="9" width="22.125" style="2" customWidth="1"/>
    <col min="10" max="10" width="8.125" style="2" customWidth="1" collapsed="1"/>
    <col min="11" max="11" width="12.25" style="2" hidden="1" customWidth="1" outlineLevel="1"/>
    <col min="12" max="12" width="20.75" style="2" hidden="1" customWidth="1" outlineLevel="1"/>
    <col min="13" max="13" width="10.75" style="2" customWidth="1" collapsed="1"/>
    <col min="14" max="14" width="4.875" style="2" customWidth="1"/>
    <col min="15" max="15" width="5" style="3" customWidth="1"/>
    <col min="16" max="16" width="22.125" style="2" customWidth="1"/>
    <col min="17" max="17" width="10.875" style="2" customWidth="1"/>
    <col min="18" max="18" width="9.875" style="2" bestFit="1" customWidth="1"/>
    <col min="19" max="19" width="4.625" style="26" customWidth="1" collapsed="1"/>
    <col min="20" max="20" width="3.75" style="26" customWidth="1" collapsed="1"/>
    <col min="21" max="21" width="12.25" style="26" hidden="1" customWidth="1" outlineLevel="1"/>
    <col min="22" max="22" width="20.75" style="26" hidden="1" customWidth="1" outlineLevel="1"/>
    <col min="23" max="23" width="10.75" style="2" customWidth="1"/>
    <col min="24" max="24" width="1.125" style="2" customWidth="1"/>
    <col min="25" max="25" width="24.125" style="2" customWidth="1"/>
    <col min="26" max="26" width="9.875" style="2" bestFit="1" customWidth="1"/>
    <col min="27" max="27" width="10.875" style="2" bestFit="1" customWidth="1" collapsed="1"/>
    <col min="28" max="28" width="13.375" style="2" hidden="1" customWidth="1" outlineLevel="1"/>
    <col min="29" max="29" width="15" style="2" hidden="1" customWidth="1" outlineLevel="1"/>
    <col min="30" max="30" width="10.875" style="2" hidden="1" customWidth="1"/>
    <col min="31" max="31" width="13.875" style="2" customWidth="1"/>
    <col min="32" max="32" width="3" style="2" customWidth="1"/>
    <col min="33" max="33" width="9.75" style="2" customWidth="1"/>
    <col min="34" max="34" width="5.625" style="2" customWidth="1"/>
    <col min="35" max="35" width="4.25" style="2" customWidth="1"/>
    <col min="36" max="36" width="9.125" style="2"/>
    <col min="37" max="37" width="11.875" style="2" customWidth="1"/>
    <col min="38" max="38" width="13.875" style="2" customWidth="1"/>
    <col min="39" max="40" width="9.125" style="2"/>
    <col min="41" max="41" width="9.125" style="52" customWidth="1"/>
    <col min="42" max="42" width="13.875" style="52" hidden="1" customWidth="1"/>
    <col min="43" max="43" width="15.875" style="52" hidden="1" customWidth="1"/>
    <col min="44" max="44" width="18.125" style="52" hidden="1" customWidth="1"/>
    <col min="45" max="45" width="16" style="52" hidden="1" customWidth="1"/>
    <col min="46" max="46" width="11.75" style="52" hidden="1" customWidth="1"/>
    <col min="47" max="47" width="9.125" style="52" hidden="1" customWidth="1"/>
    <col min="48" max="48" width="14" style="52" hidden="1" customWidth="1"/>
    <col min="49" max="49" width="16.75" style="52" hidden="1" customWidth="1"/>
    <col min="50" max="50" width="17.375" style="52" hidden="1" customWidth="1"/>
    <col min="51" max="51" width="9.125" style="52" hidden="1" customWidth="1"/>
    <col min="52" max="53" width="9.125" style="2" hidden="1" customWidth="1"/>
    <col min="54" max="60" width="9.125" style="2"/>
    <col min="61" max="61" width="2.875" style="2" customWidth="1"/>
    <col min="62" max="90" width="9.125" style="2"/>
    <col min="91" max="92" width="0" style="52" hidden="1" customWidth="1"/>
    <col min="93" max="16384" width="9.125" style="2"/>
  </cols>
  <sheetData>
    <row r="1" spans="1:92" s="367" customFormat="1" ht="15">
      <c r="B1" s="880" t="s">
        <v>381</v>
      </c>
      <c r="O1" s="512"/>
      <c r="S1" s="371"/>
      <c r="T1" s="371"/>
      <c r="U1" s="371"/>
      <c r="V1" s="371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CM1" s="86"/>
      <c r="CN1" s="86"/>
    </row>
    <row r="2" spans="1:92" ht="20.25">
      <c r="A2" s="367"/>
      <c r="B2" s="809" t="s">
        <v>468</v>
      </c>
      <c r="C2" s="890" t="s">
        <v>475</v>
      </c>
      <c r="E2" s="367"/>
      <c r="F2" s="367"/>
      <c r="G2" s="367"/>
      <c r="H2" s="367"/>
      <c r="I2" s="367"/>
      <c r="J2" s="368"/>
      <c r="K2" s="596"/>
      <c r="L2" s="585"/>
      <c r="M2" s="67" t="str">
        <f>IF('Month A'!M2="Month","",VLOOKUP(D!M2,'Month A'!CM3:CN14,2,FALSE))</f>
        <v/>
      </c>
      <c r="N2" s="1232" t="str">
        <f>IF('Month A'!N2:O2="Year","",IF(M2="Jan",D!N2:O2+1,D!N2:O2))</f>
        <v/>
      </c>
      <c r="O2" s="1232"/>
      <c r="Q2" s="367"/>
      <c r="R2" s="878" t="s">
        <v>491</v>
      </c>
      <c r="S2" s="371"/>
      <c r="U2" s="371"/>
      <c r="V2" s="371"/>
      <c r="W2" s="367"/>
      <c r="X2" s="367"/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86"/>
    </row>
    <row r="3" spans="1:92" ht="19.5" customHeight="1" thickBot="1">
      <c r="A3" s="367"/>
      <c r="B3" s="1162" t="s">
        <v>348</v>
      </c>
      <c r="C3" s="1163"/>
      <c r="D3" s="378"/>
      <c r="E3" s="378"/>
      <c r="F3" s="378"/>
      <c r="G3" s="367"/>
      <c r="I3" s="830" t="s">
        <v>345</v>
      </c>
      <c r="J3" s="380"/>
      <c r="K3" s="384"/>
      <c r="L3" s="586"/>
      <c r="M3" s="384"/>
      <c r="N3" s="367"/>
      <c r="O3" s="377"/>
      <c r="P3" s="381"/>
      <c r="Q3" s="830" t="s">
        <v>346</v>
      </c>
      <c r="R3" s="641"/>
      <c r="S3" s="513"/>
      <c r="T3" s="381"/>
      <c r="U3" s="513"/>
      <c r="V3" s="513"/>
      <c r="W3" s="555"/>
      <c r="X3" s="382"/>
      <c r="Y3" s="1218" t="s">
        <v>296</v>
      </c>
      <c r="Z3" s="1218"/>
      <c r="AA3" s="1218"/>
      <c r="AB3" s="554"/>
      <c r="AC3" s="554"/>
      <c r="AD3" s="383"/>
      <c r="AE3" s="367"/>
      <c r="AF3" s="367"/>
      <c r="AG3" s="367"/>
      <c r="AH3" s="367"/>
      <c r="AI3" s="367"/>
      <c r="AJ3" s="367"/>
      <c r="AK3" s="367"/>
      <c r="AL3" s="367"/>
      <c r="AM3" s="367"/>
      <c r="AN3" s="367"/>
      <c r="AO3" s="86"/>
    </row>
    <row r="4" spans="1:92" s="614" customFormat="1" ht="34.5" customHeight="1" thickBot="1">
      <c r="A4" s="602"/>
      <c r="B4" s="879" t="s">
        <v>352</v>
      </c>
      <c r="C4" s="1230">
        <f>C18</f>
        <v>0</v>
      </c>
      <c r="D4" s="1167"/>
      <c r="E4" s="1158"/>
      <c r="F4" s="1159"/>
      <c r="G4" s="602"/>
      <c r="H4" s="603" t="s">
        <v>356</v>
      </c>
      <c r="I4" s="604" t="s">
        <v>357</v>
      </c>
      <c r="J4" s="605" t="s">
        <v>494</v>
      </c>
      <c r="K4" s="606" t="s">
        <v>380</v>
      </c>
      <c r="L4" s="607" t="s">
        <v>335</v>
      </c>
      <c r="M4" s="608" t="s">
        <v>389</v>
      </c>
      <c r="N4" s="602"/>
      <c r="O4" s="609" t="s">
        <v>356</v>
      </c>
      <c r="P4" s="610" t="s">
        <v>357</v>
      </c>
      <c r="Q4" s="806" t="s">
        <v>494</v>
      </c>
      <c r="R4" s="610" t="s">
        <v>359</v>
      </c>
      <c r="S4" s="1176" t="s">
        <v>360</v>
      </c>
      <c r="T4" s="1155" t="s">
        <v>361</v>
      </c>
      <c r="U4" s="787" t="s">
        <v>380</v>
      </c>
      <c r="V4" s="639" t="s">
        <v>335</v>
      </c>
      <c r="W4" s="640" t="s">
        <v>389</v>
      </c>
      <c r="X4" s="623"/>
      <c r="Y4" s="1208" t="s">
        <v>363</v>
      </c>
      <c r="Z4" s="1231"/>
      <c r="AA4" s="611">
        <f>Z17</f>
        <v>0</v>
      </c>
      <c r="AB4" s="1174"/>
      <c r="AC4" s="1175"/>
      <c r="AD4" s="612"/>
      <c r="AF4" s="602"/>
      <c r="AG4" s="602"/>
      <c r="AH4" s="602"/>
      <c r="AI4" s="602"/>
      <c r="AJ4" s="602"/>
      <c r="AK4" s="602"/>
      <c r="AL4" s="602"/>
      <c r="AM4" s="602"/>
      <c r="AN4" s="602"/>
      <c r="AO4" s="703"/>
      <c r="AP4" s="704"/>
      <c r="AQ4" s="704"/>
      <c r="AR4" s="704"/>
      <c r="AS4" s="704"/>
      <c r="AT4" s="705" t="s">
        <v>30</v>
      </c>
      <c r="AU4" s="704"/>
      <c r="AV4" s="704"/>
      <c r="AW4" s="704"/>
      <c r="AX4" s="704"/>
      <c r="AY4" s="704"/>
      <c r="CM4" s="704"/>
      <c r="CN4" s="704"/>
    </row>
    <row r="5" spans="1:92" ht="15" customHeight="1">
      <c r="A5" s="367"/>
      <c r="B5" s="1219" t="s">
        <v>353</v>
      </c>
      <c r="C5" s="1108" t="s">
        <v>354</v>
      </c>
      <c r="D5" s="1168" t="s">
        <v>494</v>
      </c>
      <c r="E5" s="1109" t="s">
        <v>380</v>
      </c>
      <c r="F5" s="1108" t="s">
        <v>335</v>
      </c>
      <c r="G5" s="367"/>
      <c r="H5" s="1157"/>
      <c r="I5" s="1221" t="s">
        <v>427</v>
      </c>
      <c r="J5" s="1150"/>
      <c r="K5" s="1193"/>
      <c r="L5" s="1160"/>
      <c r="M5" s="1153">
        <f ca="1">C57+IF(D!N58=AQ55,D!M58,0)+D!AP45</f>
        <v>0</v>
      </c>
      <c r="N5" s="14"/>
      <c r="O5" s="1182"/>
      <c r="P5" s="1183" t="s">
        <v>467</v>
      </c>
      <c r="Q5" s="1184"/>
      <c r="R5" s="1191"/>
      <c r="S5" s="1177"/>
      <c r="T5" s="1156"/>
      <c r="U5" s="1192"/>
      <c r="V5" s="1191"/>
      <c r="W5" s="1195">
        <f>D!W46+E!Z45-D!AP45</f>
        <v>0</v>
      </c>
      <c r="X5" s="621"/>
      <c r="Y5" s="5" t="s">
        <v>364</v>
      </c>
      <c r="Z5" s="105" t="s">
        <v>354</v>
      </c>
      <c r="AA5" s="914" t="s">
        <v>494</v>
      </c>
      <c r="AB5" s="803" t="s">
        <v>386</v>
      </c>
      <c r="AC5" s="718" t="s">
        <v>335</v>
      </c>
      <c r="AD5" s="31"/>
      <c r="AE5" s="1223" t="s">
        <v>365</v>
      </c>
      <c r="AF5" s="367"/>
      <c r="AG5" s="367"/>
      <c r="AH5" s="367"/>
      <c r="AI5" s="367"/>
      <c r="AJ5" s="367"/>
      <c r="AK5" s="367"/>
      <c r="AL5" s="367"/>
      <c r="AM5" s="367"/>
      <c r="AN5" s="367"/>
      <c r="AO5" s="86"/>
      <c r="AT5" s="52" t="s">
        <v>476</v>
      </c>
    </row>
    <row r="6" spans="1:92" ht="15" customHeight="1">
      <c r="A6" s="367"/>
      <c r="B6" s="1220"/>
      <c r="C6" s="1234"/>
      <c r="D6" s="1169"/>
      <c r="E6" s="1109"/>
      <c r="F6" s="1108"/>
      <c r="G6" s="367"/>
      <c r="H6" s="1157"/>
      <c r="I6" s="1222"/>
      <c r="J6" s="1152"/>
      <c r="K6" s="1194"/>
      <c r="L6" s="1161"/>
      <c r="M6" s="1154"/>
      <c r="N6" s="367"/>
      <c r="O6" s="1182"/>
      <c r="P6" s="1185"/>
      <c r="Q6" s="1186"/>
      <c r="R6" s="1192"/>
      <c r="S6" s="638"/>
      <c r="T6" s="786"/>
      <c r="U6" s="1197"/>
      <c r="V6" s="1191"/>
      <c r="W6" s="1196"/>
      <c r="X6" s="395"/>
      <c r="Y6" s="144" t="str">
        <f>IF(D!Y6&lt;&gt;"",D!Y6,)</f>
        <v>Husband job 1</v>
      </c>
      <c r="Z6" s="456">
        <f>D!Z6</f>
        <v>0</v>
      </c>
      <c r="AA6" s="69"/>
      <c r="AB6" s="715"/>
      <c r="AC6" s="877"/>
      <c r="AD6" s="32"/>
      <c r="AE6" s="1224"/>
      <c r="AF6" s="367"/>
      <c r="AG6" s="367"/>
      <c r="AH6" s="367"/>
      <c r="AI6" s="367"/>
      <c r="AJ6" s="367"/>
      <c r="AK6" s="367"/>
      <c r="AL6" s="367"/>
      <c r="AM6" s="367"/>
      <c r="AN6" s="367"/>
      <c r="AO6" s="86"/>
      <c r="AT6" s="52" t="s">
        <v>477</v>
      </c>
    </row>
    <row r="7" spans="1:92" ht="15" customHeight="1" thickBot="1">
      <c r="A7" s="367"/>
      <c r="B7" s="901" t="str">
        <f>IF(D!B7&lt;&gt;"",D!B7,)</f>
        <v>Mortgage Payments</v>
      </c>
      <c r="C7" s="451">
        <f>D!C7</f>
        <v>0</v>
      </c>
      <c r="D7" s="78"/>
      <c r="E7" s="521"/>
      <c r="F7" s="858"/>
      <c r="G7" s="367"/>
      <c r="H7" s="542"/>
      <c r="I7" s="853"/>
      <c r="J7" s="6"/>
      <c r="K7" s="541"/>
      <c r="L7" s="860"/>
      <c r="M7" s="20" t="str">
        <f>IF(J7="","",$M$5-SUM($J$7:J7))</f>
        <v/>
      </c>
      <c r="N7" s="367"/>
      <c r="O7" s="106"/>
      <c r="P7" s="871">
        <f>IF(D!Q7&lt;&gt;D!R7,IF(D!Q7&lt;&gt;0,IF(D!S7&lt;&gt;D!T7,D!P7,),),)</f>
        <v>0</v>
      </c>
      <c r="Q7" s="795">
        <f>IF(D!Q7&lt;&gt;D!R7,IF(D!Q7&lt;&gt;0,IF(D!S7&lt;&gt;D!T7,D!Q7,),),)</f>
        <v>0</v>
      </c>
      <c r="R7" s="628">
        <f>IF(D!Q7&lt;&gt;D!R7,IF(D!Q7&lt;&gt;0,IF(D!S7&lt;&gt;D!T7,0,Q7),Q7),Q7)</f>
        <v>0</v>
      </c>
      <c r="S7" s="796">
        <f>IF(D!Q7&lt;&gt;D!R7,IF(D!Q7&lt;&gt;0,IF(D!S7&lt;&gt;D!T7,D!S7+1,),),)</f>
        <v>0</v>
      </c>
      <c r="T7" s="796">
        <f>IF(D!Q7&lt;&gt;D!R7,IF(D!Q7&lt;&gt;0,IF(D!S7&lt;&gt;D!T7,D!T7,),),)</f>
        <v>0</v>
      </c>
      <c r="U7" s="797">
        <f>IF(D!Q7&lt;&gt;D!R7,IF(D!Q7&lt;&gt;0,IF(D!S7&lt;&gt;D!T7,D!U7,),),)</f>
        <v>0</v>
      </c>
      <c r="V7" s="875">
        <f>IF(D!Q7&lt;&gt;D!R7,IF(D!Q7&lt;&gt;0,IF(D!S7&lt;&gt;D!T7,D!V7,),),)</f>
        <v>0</v>
      </c>
      <c r="W7" s="622">
        <f>IF(Q7="","",$W$5-SUM($Q$7:Q7))</f>
        <v>0</v>
      </c>
      <c r="X7" s="395"/>
      <c r="Y7" s="144" t="str">
        <f>IF(D!Y7&lt;&gt;"",D!Y7,)</f>
        <v>Husband job 2</v>
      </c>
      <c r="Z7" s="456">
        <f>D!Z7</f>
        <v>0</v>
      </c>
      <c r="AA7" s="69"/>
      <c r="AB7" s="521"/>
      <c r="AC7" s="858"/>
      <c r="AD7" s="32"/>
      <c r="AE7" s="1225"/>
      <c r="AF7" s="367"/>
      <c r="AG7" s="367"/>
      <c r="AH7" s="367"/>
      <c r="AI7" s="367"/>
      <c r="AJ7" s="367"/>
      <c r="AK7" s="367"/>
      <c r="AL7" s="367"/>
      <c r="AM7" s="367"/>
      <c r="AN7" s="367"/>
      <c r="AO7" s="86"/>
      <c r="AT7" s="52" t="s">
        <v>478</v>
      </c>
    </row>
    <row r="8" spans="1:92" ht="15" customHeight="1" thickBot="1">
      <c r="A8" s="367"/>
      <c r="B8" s="901" t="str">
        <f>IF(D!B8&lt;&gt;"",D!B8,)</f>
        <v>Mortgage Insurance</v>
      </c>
      <c r="C8" s="451">
        <f>D!C8</f>
        <v>0</v>
      </c>
      <c r="D8" s="78"/>
      <c r="E8" s="521"/>
      <c r="F8" s="858"/>
      <c r="G8" s="367"/>
      <c r="H8" s="543"/>
      <c r="I8" s="853"/>
      <c r="J8" s="6"/>
      <c r="K8" s="541"/>
      <c r="L8" s="860"/>
      <c r="M8" s="20" t="str">
        <f>IF(J8="","",$M$5-SUM($J$7:J8))</f>
        <v/>
      </c>
      <c r="N8" s="367"/>
      <c r="O8" s="7"/>
      <c r="P8" s="872">
        <f>IF(D!Q8&lt;&gt;D!R8,IF(D!Q8&lt;&gt;0,IF(D!S8&lt;&gt;D!T8,D!P8,),),)</f>
        <v>0</v>
      </c>
      <c r="Q8" s="795">
        <f>IF(D!Q8&lt;&gt;D!R8,IF(D!Q8&lt;&gt;0,IF(D!S8&lt;&gt;D!T8,D!Q8,),),)</f>
        <v>0</v>
      </c>
      <c r="R8" s="628">
        <f>IF(D!Q8&lt;&gt;D!R8,IF(D!Q8&lt;&gt;0,IF(D!S8&lt;&gt;D!T8,0,Q8),Q8),Q8)</f>
        <v>0</v>
      </c>
      <c r="S8" s="796">
        <f>IF(D!Q8&lt;&gt;D!R8,IF(D!Q8&lt;&gt;0,IF(D!S8&lt;&gt;D!T8,D!S8+1,),),)</f>
        <v>0</v>
      </c>
      <c r="T8" s="796">
        <f>IF(D!Q8&lt;&gt;D!R8,IF(D!Q8&lt;&gt;0,IF(D!S8&lt;&gt;D!T8,D!T8,),),)</f>
        <v>0</v>
      </c>
      <c r="U8" s="797">
        <f>IF(D!Q8&lt;&gt;D!R8,IF(D!Q8&lt;&gt;0,IF(D!S8&lt;&gt;D!T8,D!U8,),),)</f>
        <v>0</v>
      </c>
      <c r="V8" s="875">
        <f>IF(D!Q8&lt;&gt;D!R8,IF(D!Q8&lt;&gt;0,IF(D!S8&lt;&gt;D!T8,D!V8,),),)</f>
        <v>0</v>
      </c>
      <c r="W8" s="622">
        <f>IF(Q8="","",$W$5-SUM($Q$7:Q8))</f>
        <v>0</v>
      </c>
      <c r="X8" s="395"/>
      <c r="Y8" s="144" t="str">
        <f>IF(D!Y8&lt;&gt;"",D!Y8,)</f>
        <v>Wife job 1</v>
      </c>
      <c r="Z8" s="456">
        <f>D!Z8</f>
        <v>0</v>
      </c>
      <c r="AA8" s="69"/>
      <c r="AB8" s="521"/>
      <c r="AC8" s="858"/>
      <c r="AD8" s="32"/>
      <c r="AE8" s="363">
        <f>(AA17+'Month A'!AA17+B!AA17+'C'!AA17+D!AA17)/AR19</f>
        <v>0</v>
      </c>
      <c r="AF8" s="367"/>
      <c r="AG8" s="367"/>
      <c r="AH8" s="367"/>
      <c r="AI8" s="367"/>
      <c r="AJ8" s="367"/>
      <c r="AK8" s="367"/>
      <c r="AL8" s="367"/>
      <c r="AM8" s="367"/>
      <c r="AN8" s="367"/>
      <c r="AO8" s="86"/>
      <c r="AT8" s="52" t="s">
        <v>480</v>
      </c>
    </row>
    <row r="9" spans="1:92" ht="15" customHeight="1" thickBot="1">
      <c r="A9" s="367"/>
      <c r="B9" s="901" t="str">
        <f>IF(D!B9&lt;&gt;"",D!B9,)</f>
        <v>Rent</v>
      </c>
      <c r="C9" s="451">
        <f>D!C9</f>
        <v>0</v>
      </c>
      <c r="D9" s="78"/>
      <c r="E9" s="521"/>
      <c r="F9" s="858"/>
      <c r="G9" s="367"/>
      <c r="H9" s="543"/>
      <c r="I9" s="853"/>
      <c r="J9" s="6"/>
      <c r="K9" s="541"/>
      <c r="L9" s="860"/>
      <c r="M9" s="20" t="str">
        <f>IF(J9="","",$M$5-SUM($J$7:J9))</f>
        <v/>
      </c>
      <c r="N9" s="367"/>
      <c r="O9" s="7"/>
      <c r="P9" s="871">
        <f>IF(D!Q9&lt;&gt;D!R9,IF(D!Q9&lt;&gt;0,IF(D!S9&lt;&gt;D!T9,D!P9,),),)</f>
        <v>0</v>
      </c>
      <c r="Q9" s="795">
        <f>IF(D!Q9&lt;&gt;D!R9,IF(D!Q9&lt;&gt;0,IF(D!S9&lt;&gt;D!T9,D!Q9,),),)</f>
        <v>0</v>
      </c>
      <c r="R9" s="628">
        <f>IF(D!Q9&lt;&gt;D!R9,IF(D!Q9&lt;&gt;0,IF(D!S9&lt;&gt;D!T9,0,Q9),Q9),Q9)</f>
        <v>0</v>
      </c>
      <c r="S9" s="796">
        <f>IF(D!Q9&lt;&gt;D!R9,IF(D!Q9&lt;&gt;0,IF(D!S9&lt;&gt;D!T9,D!S9+1,),),)</f>
        <v>0</v>
      </c>
      <c r="T9" s="796">
        <f>IF(D!Q9&lt;&gt;D!R9,IF(D!Q9&lt;&gt;0,IF(D!S9&lt;&gt;D!T9,D!T9,),),)</f>
        <v>0</v>
      </c>
      <c r="U9" s="797">
        <f>IF(D!Q9&lt;&gt;D!R9,IF(D!Q9&lt;&gt;0,IF(D!S9&lt;&gt;D!T9,D!U9,),),)</f>
        <v>0</v>
      </c>
      <c r="V9" s="875">
        <f>IF(D!Q9&lt;&gt;D!R9,IF(D!Q9&lt;&gt;0,IF(D!S9&lt;&gt;D!T9,D!V9,),),)</f>
        <v>0</v>
      </c>
      <c r="W9" s="622">
        <f>IF(Q9="","",$W$5-SUM($Q$7:Q9))</f>
        <v>0</v>
      </c>
      <c r="X9" s="395"/>
      <c r="Y9" s="144" t="str">
        <f>IF(D!Y9&lt;&gt;"",D!Y9,)</f>
        <v>Wife job 2</v>
      </c>
      <c r="Z9" s="456">
        <f>D!Z9</f>
        <v>0</v>
      </c>
      <c r="AA9" s="69"/>
      <c r="AB9" s="521"/>
      <c r="AC9" s="858"/>
      <c r="AD9" s="32"/>
      <c r="AE9" s="404"/>
      <c r="AF9" s="367"/>
      <c r="AG9" s="367"/>
      <c r="AH9" s="367"/>
      <c r="AI9" s="367"/>
      <c r="AJ9" s="367"/>
      <c r="AK9" s="367"/>
      <c r="AL9" s="367"/>
      <c r="AM9" s="367"/>
      <c r="AN9" s="367"/>
      <c r="AO9" s="86"/>
      <c r="AT9" s="52" t="s">
        <v>479</v>
      </c>
    </row>
    <row r="10" spans="1:92" ht="15" customHeight="1">
      <c r="A10" s="367"/>
      <c r="B10" s="902" t="str">
        <f>IF(D!B10&lt;&gt;"",D!B10,)</f>
        <v>Town Taxes / Maintenance Fees</v>
      </c>
      <c r="C10" s="451">
        <f>D!C10</f>
        <v>0</v>
      </c>
      <c r="D10" s="79"/>
      <c r="E10" s="522"/>
      <c r="F10" s="859"/>
      <c r="G10" s="367"/>
      <c r="H10" s="543"/>
      <c r="I10" s="853"/>
      <c r="J10" s="6"/>
      <c r="K10" s="541"/>
      <c r="L10" s="860"/>
      <c r="M10" s="20" t="str">
        <f>IF(J10="","",$M$5-SUM($J$7:J10))</f>
        <v/>
      </c>
      <c r="N10" s="367"/>
      <c r="O10" s="7"/>
      <c r="P10" s="871">
        <f>IF(D!Q10&lt;&gt;D!R10,IF(D!Q10&lt;&gt;0,IF(D!S10&lt;&gt;D!T10,D!P10,),),)</f>
        <v>0</v>
      </c>
      <c r="Q10" s="798">
        <f>IF(D!Q10&lt;&gt;D!R10,IF(D!Q10&lt;&gt;0,IF(D!S10&lt;&gt;D!T10,D!Q10,),),)</f>
        <v>0</v>
      </c>
      <c r="R10" s="628">
        <f>IF(D!Q10&lt;&gt;D!R10,IF(D!Q10&lt;&gt;0,IF(D!S10&lt;&gt;D!T10,0,Q10),Q10),Q10)</f>
        <v>0</v>
      </c>
      <c r="S10" s="796">
        <f>IF(D!Q10&lt;&gt;D!R10,IF(D!Q10&lt;&gt;0,IF(D!S10&lt;&gt;D!T10,D!S10+1,),),)</f>
        <v>0</v>
      </c>
      <c r="T10" s="796">
        <f>IF(D!Q10&lt;&gt;D!R10,IF(D!Q10&lt;&gt;0,IF(D!S10&lt;&gt;D!T10,D!T10,),),)</f>
        <v>0</v>
      </c>
      <c r="U10" s="797">
        <f>IF(D!Q10&lt;&gt;D!R10,IF(D!Q10&lt;&gt;0,IF(D!S10&lt;&gt;D!T10,D!U10,),),)</f>
        <v>0</v>
      </c>
      <c r="V10" s="875">
        <f>IF(D!Q10&lt;&gt;D!R10,IF(D!Q10&lt;&gt;0,IF(D!S10&lt;&gt;D!T10,D!V10,),),)</f>
        <v>0</v>
      </c>
      <c r="W10" s="624">
        <f>IF(Q10="","",$W$5-SUM($Q$7:Q10))</f>
        <v>0</v>
      </c>
      <c r="X10" s="621"/>
      <c r="Y10" s="144" t="str">
        <f>IF(D!Y10&lt;&gt;"",D!Y10,)</f>
        <v>National Social Security for Children</v>
      </c>
      <c r="Z10" s="456">
        <f>D!Z10</f>
        <v>0</v>
      </c>
      <c r="AA10" s="69"/>
      <c r="AB10" s="522"/>
      <c r="AC10" s="859"/>
      <c r="AD10" s="32"/>
      <c r="AE10" s="1226" t="s">
        <v>366</v>
      </c>
      <c r="AF10" s="367"/>
      <c r="AG10" s="367"/>
      <c r="AH10" s="367"/>
      <c r="AI10" s="367"/>
      <c r="AJ10" s="367"/>
      <c r="AK10" s="367"/>
      <c r="AL10" s="367"/>
      <c r="AM10" s="367"/>
      <c r="AN10" s="367"/>
      <c r="AO10" s="86"/>
    </row>
    <row r="11" spans="1:92" ht="15" customHeight="1" thickBot="1">
      <c r="A11" s="367"/>
      <c r="B11" s="901" t="str">
        <f>IF(D!B11&lt;&gt;"",D!B11,)</f>
        <v xml:space="preserve">Insurance (excl. car) </v>
      </c>
      <c r="C11" s="451">
        <f>D!C11</f>
        <v>0</v>
      </c>
      <c r="D11" s="78"/>
      <c r="E11" s="521"/>
      <c r="F11" s="858"/>
      <c r="G11" s="367"/>
      <c r="H11" s="543"/>
      <c r="I11" s="853"/>
      <c r="J11" s="6"/>
      <c r="K11" s="541"/>
      <c r="L11" s="860"/>
      <c r="M11" s="20" t="str">
        <f>IF(J11="","",$M$5-SUM($J$7:J11))</f>
        <v/>
      </c>
      <c r="N11" s="367"/>
      <c r="O11" s="7"/>
      <c r="P11" s="871">
        <f>IF(D!Q11&lt;&gt;D!R11,IF(D!Q11&lt;&gt;0,IF(D!S11&lt;&gt;D!T11,D!P11,),),)</f>
        <v>0</v>
      </c>
      <c r="Q11" s="795">
        <f>IF(D!Q11&lt;&gt;D!R11,IF(D!Q11&lt;&gt;0,IF(D!S11&lt;&gt;D!T11,D!Q11,),),)</f>
        <v>0</v>
      </c>
      <c r="R11" s="628">
        <f>IF(D!Q11&lt;&gt;D!R11,IF(D!Q11&lt;&gt;0,IF(D!S11&lt;&gt;D!T11,0,Q11),Q11),Q11)</f>
        <v>0</v>
      </c>
      <c r="S11" s="796">
        <f>IF(D!Q11&lt;&gt;D!R11,IF(D!Q11&lt;&gt;0,IF(D!S11&lt;&gt;D!T11,D!S11+1,),),)</f>
        <v>0</v>
      </c>
      <c r="T11" s="796">
        <f>IF(D!Q11&lt;&gt;D!R11,IF(D!Q11&lt;&gt;0,IF(D!S11&lt;&gt;D!T11,D!T11,),),)</f>
        <v>0</v>
      </c>
      <c r="U11" s="797">
        <f>IF(D!Q11&lt;&gt;D!R11,IF(D!Q11&lt;&gt;0,IF(D!S11&lt;&gt;D!T11,D!U11,),),)</f>
        <v>0</v>
      </c>
      <c r="V11" s="875">
        <f>IF(D!Q11&lt;&gt;D!R11,IF(D!Q11&lt;&gt;0,IF(D!S11&lt;&gt;D!T11,D!V11,),),)</f>
        <v>0</v>
      </c>
      <c r="W11" s="622">
        <f>IF(Q11="","",$W$5-SUM($Q$7:Q11))</f>
        <v>0</v>
      </c>
      <c r="X11" s="395"/>
      <c r="Y11" s="144" t="str">
        <f>IF(D!Y11&lt;&gt;"",D!Y11,)</f>
        <v>other Allowances</v>
      </c>
      <c r="Z11" s="456">
        <f>D!Z11</f>
        <v>0</v>
      </c>
      <c r="AA11" s="69"/>
      <c r="AB11" s="521"/>
      <c r="AC11" s="858"/>
      <c r="AD11" s="32"/>
      <c r="AE11" s="1227"/>
      <c r="AF11" s="367"/>
      <c r="AG11" s="367"/>
      <c r="AH11" s="367"/>
      <c r="AI11" s="367"/>
      <c r="AJ11" s="367"/>
      <c r="AK11" s="367"/>
      <c r="AL11" s="367"/>
      <c r="AM11" s="367"/>
      <c r="AN11" s="367"/>
      <c r="AO11" s="86"/>
    </row>
    <row r="12" spans="1:92" ht="15" customHeight="1" thickBot="1">
      <c r="A12" s="367"/>
      <c r="B12" s="901" t="str">
        <f>IF(D!B12&lt;&gt;"",D!B12,)</f>
        <v>Bank Savings Program</v>
      </c>
      <c r="C12" s="451">
        <f>D!C12</f>
        <v>0</v>
      </c>
      <c r="D12" s="78"/>
      <c r="E12" s="521"/>
      <c r="F12" s="858"/>
      <c r="G12" s="367"/>
      <c r="H12" s="543"/>
      <c r="I12" s="853"/>
      <c r="J12" s="6"/>
      <c r="K12" s="541"/>
      <c r="L12" s="860"/>
      <c r="M12" s="20" t="str">
        <f>IF(J12="","",$M$5-SUM($J$7:J12))</f>
        <v/>
      </c>
      <c r="N12" s="367"/>
      <c r="O12" s="7"/>
      <c r="P12" s="871">
        <f>IF(D!Q12&lt;&gt;D!R12,IF(D!Q12&lt;&gt;0,IF(D!S12&lt;&gt;D!T12,D!P12,),),)</f>
        <v>0</v>
      </c>
      <c r="Q12" s="795">
        <f>IF(D!Q12&lt;&gt;D!R12,IF(D!Q12&lt;&gt;0,IF(D!S12&lt;&gt;D!T12,D!Q12,),),)</f>
        <v>0</v>
      </c>
      <c r="R12" s="628">
        <f>IF(D!Q12&lt;&gt;D!R12,IF(D!Q12&lt;&gt;0,IF(D!S12&lt;&gt;D!T12,0,Q12),Q12),Q12)</f>
        <v>0</v>
      </c>
      <c r="S12" s="796">
        <f>IF(D!Q12&lt;&gt;D!R12,IF(D!Q12&lt;&gt;0,IF(D!S12&lt;&gt;D!T12,D!S12+1,),),)</f>
        <v>0</v>
      </c>
      <c r="T12" s="796">
        <f>IF(D!Q12&lt;&gt;D!R12,IF(D!Q12&lt;&gt;0,IF(D!S12&lt;&gt;D!T12,D!T12,),),)</f>
        <v>0</v>
      </c>
      <c r="U12" s="797">
        <f>IF(D!Q12&lt;&gt;D!R12,IF(D!Q12&lt;&gt;0,IF(D!S12&lt;&gt;D!T12,D!U12,),),)</f>
        <v>0</v>
      </c>
      <c r="V12" s="875">
        <f>IF(D!Q12&lt;&gt;D!R12,IF(D!Q12&lt;&gt;0,IF(D!S12&lt;&gt;D!T12,D!V12,),),)</f>
        <v>0</v>
      </c>
      <c r="W12" s="622">
        <f>IF(Q12="","",$W$5-SUM($Q$7:Q12))</f>
        <v>0</v>
      </c>
      <c r="X12" s="395"/>
      <c r="Y12" s="144" t="str">
        <f>IF(D!Y12&lt;&gt;"",D!Y12,)</f>
        <v>Rent Assistance</v>
      </c>
      <c r="Z12" s="456">
        <f>D!Z12</f>
        <v>0</v>
      </c>
      <c r="AA12" s="69"/>
      <c r="AB12" s="521"/>
      <c r="AC12" s="858"/>
      <c r="AD12" s="32"/>
      <c r="AE12" s="1228"/>
      <c r="AF12" s="367"/>
      <c r="AG12" s="367"/>
      <c r="AH12" s="367"/>
      <c r="AI12" s="367"/>
      <c r="AJ12" s="367"/>
      <c r="AK12" s="367"/>
      <c r="AL12" s="367"/>
      <c r="AM12" s="367"/>
      <c r="AN12" s="367"/>
      <c r="AO12" s="86"/>
      <c r="AP12" s="1138" t="s">
        <v>20</v>
      </c>
      <c r="AQ12" s="1139"/>
      <c r="AR12" s="1139"/>
      <c r="AS12" s="1139"/>
      <c r="AT12" s="1139"/>
      <c r="AU12" s="1139"/>
      <c r="AV12" s="1139"/>
      <c r="AW12" s="1139"/>
      <c r="AX12" s="1140"/>
    </row>
    <row r="13" spans="1:92" ht="15" customHeight="1" thickBot="1">
      <c r="A13" s="367"/>
      <c r="B13" s="901" t="str">
        <f>IF(D!B13&lt;&gt;"",D!B13,)</f>
        <v>Subscriptions</v>
      </c>
      <c r="C13" s="451">
        <f>D!C13</f>
        <v>0</v>
      </c>
      <c r="D13" s="78"/>
      <c r="E13" s="521"/>
      <c r="F13" s="858"/>
      <c r="G13" s="367"/>
      <c r="H13" s="543"/>
      <c r="I13" s="853"/>
      <c r="J13" s="6"/>
      <c r="K13" s="541"/>
      <c r="L13" s="860"/>
      <c r="M13" s="20" t="str">
        <f>IF(J13="","",$M$5-SUM($J$7:J13))</f>
        <v/>
      </c>
      <c r="N13" s="367"/>
      <c r="O13" s="7"/>
      <c r="P13" s="871">
        <f>IF(D!Q13&lt;&gt;D!R13,IF(D!Q13&lt;&gt;0,IF(D!S13&lt;&gt;D!T13,D!P13,),),)</f>
        <v>0</v>
      </c>
      <c r="Q13" s="795">
        <f>IF(D!Q13&lt;&gt;D!R13,IF(D!Q13&lt;&gt;0,IF(D!S13&lt;&gt;D!T13,D!Q13,),),)</f>
        <v>0</v>
      </c>
      <c r="R13" s="628">
        <f>IF(D!Q13&lt;&gt;D!R13,IF(D!Q13&lt;&gt;0,IF(D!S13&lt;&gt;D!T13,0,Q13),Q13),Q13)</f>
        <v>0</v>
      </c>
      <c r="S13" s="796">
        <f>IF(D!Q13&lt;&gt;D!R13,IF(D!Q13&lt;&gt;0,IF(D!S13&lt;&gt;D!T13,D!S13+1,),),)</f>
        <v>0</v>
      </c>
      <c r="T13" s="796">
        <f>IF(D!Q13&lt;&gt;D!R13,IF(D!Q13&lt;&gt;0,IF(D!S13&lt;&gt;D!T13,D!T13,),),)</f>
        <v>0</v>
      </c>
      <c r="U13" s="797">
        <f>IF(D!Q13&lt;&gt;D!R13,IF(D!Q13&lt;&gt;0,IF(D!S13&lt;&gt;D!T13,D!U13,),),)</f>
        <v>0</v>
      </c>
      <c r="V13" s="875">
        <f>IF(D!Q13&lt;&gt;D!R13,IF(D!Q13&lt;&gt;0,IF(D!S13&lt;&gt;D!T13,D!V13,),),)</f>
        <v>0</v>
      </c>
      <c r="W13" s="622">
        <f>IF(Q13="","",$W$5-SUM($Q$7:Q13))</f>
        <v>0</v>
      </c>
      <c r="X13" s="395"/>
      <c r="Y13" s="144" t="str">
        <f>IF(D!Y13&lt;&gt;"",D!Y13,)</f>
        <v>Food Packages</v>
      </c>
      <c r="Z13" s="456">
        <f>D!Z13</f>
        <v>0</v>
      </c>
      <c r="AA13" s="69"/>
      <c r="AB13" s="521"/>
      <c r="AC13" s="858"/>
      <c r="AD13" s="32"/>
      <c r="AE13" s="363">
        <f>AA18+'Month A'!AA18+B!AA18+'C'!AA18+D!AA18</f>
        <v>0</v>
      </c>
      <c r="AF13" s="367"/>
      <c r="AG13" s="367"/>
      <c r="AH13" s="367"/>
      <c r="AI13" s="367"/>
      <c r="AJ13" s="367"/>
      <c r="AK13" s="367"/>
      <c r="AL13" s="367"/>
      <c r="AM13" s="367"/>
      <c r="AN13" s="367"/>
      <c r="AO13" s="86"/>
    </row>
    <row r="14" spans="1:92" ht="15" customHeight="1">
      <c r="A14" s="367"/>
      <c r="B14" s="901" t="str">
        <f>IF(D!B14&lt;&gt;"",D!B14,)</f>
        <v>Donations</v>
      </c>
      <c r="C14" s="451">
        <f>D!C14</f>
        <v>0</v>
      </c>
      <c r="D14" s="78"/>
      <c r="E14" s="521"/>
      <c r="F14" s="858"/>
      <c r="G14" s="367"/>
      <c r="H14" s="543"/>
      <c r="I14" s="853"/>
      <c r="J14" s="6"/>
      <c r="K14" s="541"/>
      <c r="L14" s="860"/>
      <c r="M14" s="20" t="str">
        <f>IF(J14="","",$M$5-SUM($J$7:J14))</f>
        <v/>
      </c>
      <c r="N14" s="367"/>
      <c r="O14" s="7"/>
      <c r="P14" s="871">
        <f>IF(D!Q14&lt;&gt;D!R14,IF(D!Q14&lt;&gt;0,IF(D!S14&lt;&gt;D!T14,D!P14,),),)</f>
        <v>0</v>
      </c>
      <c r="Q14" s="795">
        <f>IF(D!Q14&lt;&gt;D!R14,IF(D!Q14&lt;&gt;0,IF(D!S14&lt;&gt;D!T14,D!Q14,),),)</f>
        <v>0</v>
      </c>
      <c r="R14" s="628">
        <f>IF(D!Q14&lt;&gt;D!R14,IF(D!Q14&lt;&gt;0,IF(D!S14&lt;&gt;D!T14,0,Q14),Q14),Q14)</f>
        <v>0</v>
      </c>
      <c r="S14" s="796">
        <f>IF(D!Q14&lt;&gt;D!R14,IF(D!Q14&lt;&gt;0,IF(D!S14&lt;&gt;D!T14,D!S14+1,),),)</f>
        <v>0</v>
      </c>
      <c r="T14" s="796">
        <f>IF(D!Q14&lt;&gt;D!R14,IF(D!Q14&lt;&gt;0,IF(D!S14&lt;&gt;D!T14,D!T14,),),)</f>
        <v>0</v>
      </c>
      <c r="U14" s="797">
        <f>IF(D!Q14&lt;&gt;D!R14,IF(D!Q14&lt;&gt;0,IF(D!S14&lt;&gt;D!T14,D!U14,),),)</f>
        <v>0</v>
      </c>
      <c r="V14" s="875">
        <f>IF(D!Q14&lt;&gt;D!R14,IF(D!Q14&lt;&gt;0,IF(D!S14&lt;&gt;D!T14,D!V14,),),)</f>
        <v>0</v>
      </c>
      <c r="W14" s="622">
        <f>IF(Q14="","",$W$5-SUM($Q$7:Q14))</f>
        <v>0</v>
      </c>
      <c r="X14" s="395"/>
      <c r="Y14" s="144" t="str">
        <f>IF(D!Y14&lt;&gt;"",D!Y14,)</f>
        <v>Income from Property</v>
      </c>
      <c r="Z14" s="456">
        <f>D!Z14</f>
        <v>0</v>
      </c>
      <c r="AA14" s="69"/>
      <c r="AB14" s="521"/>
      <c r="AC14" s="858"/>
      <c r="AD14" s="32"/>
      <c r="AE14" s="403"/>
      <c r="AF14" s="367"/>
      <c r="AG14" s="367"/>
      <c r="AH14" s="367"/>
      <c r="AI14" s="367"/>
      <c r="AJ14" s="367"/>
      <c r="AK14" s="367"/>
      <c r="AL14" s="367"/>
      <c r="AM14" s="367"/>
      <c r="AN14" s="367"/>
      <c r="AO14" s="86"/>
      <c r="AW14" s="52" t="s">
        <v>12</v>
      </c>
    </row>
    <row r="15" spans="1:92" ht="15" customHeight="1">
      <c r="A15" s="367"/>
      <c r="B15" s="901">
        <f>IF(D!B15&lt;&gt;"",D!B15,)</f>
        <v>0</v>
      </c>
      <c r="C15" s="451">
        <f>D!C15</f>
        <v>0</v>
      </c>
      <c r="D15" s="78"/>
      <c r="E15" s="521"/>
      <c r="F15" s="858"/>
      <c r="G15" s="367"/>
      <c r="H15" s="543"/>
      <c r="I15" s="853"/>
      <c r="J15" s="6"/>
      <c r="K15" s="541"/>
      <c r="L15" s="860"/>
      <c r="M15" s="20" t="str">
        <f>IF(J15="","",$M$5-SUM($J$7:J15))</f>
        <v/>
      </c>
      <c r="N15" s="367"/>
      <c r="O15" s="7"/>
      <c r="P15" s="871">
        <f>IF(D!Q15&lt;&gt;D!R15,IF(D!Q15&lt;&gt;0,IF(D!S15&lt;&gt;D!T15,D!P15,),),)</f>
        <v>0</v>
      </c>
      <c r="Q15" s="795">
        <f>IF(D!Q15&lt;&gt;D!R15,IF(D!Q15&lt;&gt;0,IF(D!S15&lt;&gt;D!T15,D!Q15,),),)</f>
        <v>0</v>
      </c>
      <c r="R15" s="628">
        <f>IF(D!Q15&lt;&gt;D!R15,IF(D!Q15&lt;&gt;0,IF(D!S15&lt;&gt;D!T15,0,Q15),Q15),Q15)</f>
        <v>0</v>
      </c>
      <c r="S15" s="796">
        <f>IF(D!Q15&lt;&gt;D!R15,IF(D!Q15&lt;&gt;0,IF(D!S15&lt;&gt;D!T15,D!S15+1,),),)</f>
        <v>0</v>
      </c>
      <c r="T15" s="796">
        <f>IF(D!Q15&lt;&gt;D!R15,IF(D!Q15&lt;&gt;0,IF(D!S15&lt;&gt;D!T15,D!T15,),),)</f>
        <v>0</v>
      </c>
      <c r="U15" s="797">
        <f>IF(D!Q15&lt;&gt;D!R15,IF(D!Q15&lt;&gt;0,IF(D!S15&lt;&gt;D!T15,D!U15,),),)</f>
        <v>0</v>
      </c>
      <c r="V15" s="875">
        <f>IF(D!Q15&lt;&gt;D!R15,IF(D!Q15&lt;&gt;0,IF(D!S15&lt;&gt;D!T15,D!V15,),),)</f>
        <v>0</v>
      </c>
      <c r="W15" s="625">
        <f>IF(Q15="","",$W$5-SUM($Q$7:Q15))</f>
        <v>0</v>
      </c>
      <c r="X15" s="621"/>
      <c r="Y15" s="144" t="str">
        <f>IF(D!Y15&lt;&gt;"",D!Y15,)</f>
        <v>Help from parents</v>
      </c>
      <c r="Z15" s="456">
        <f>D!Z15</f>
        <v>0</v>
      </c>
      <c r="AA15" s="69"/>
      <c r="AB15" s="521"/>
      <c r="AC15" s="858"/>
      <c r="AD15" s="32"/>
      <c r="AE15" s="1137" t="str">
        <f>IF(COUNTIF(AE23:AE44,"&lt;0")&gt;0,"Over yearly budget!
Take an action from the options to your right.","")</f>
        <v/>
      </c>
      <c r="AF15" s="367"/>
      <c r="AG15" s="367"/>
      <c r="AH15" s="367"/>
      <c r="AI15" s="367"/>
      <c r="AJ15" s="367"/>
      <c r="AK15" s="367"/>
      <c r="AL15" s="367"/>
      <c r="AM15" s="367"/>
      <c r="AN15" s="367"/>
      <c r="AO15" s="86"/>
      <c r="AW15" s="52" t="s">
        <v>13</v>
      </c>
    </row>
    <row r="16" spans="1:92" ht="15" customHeight="1">
      <c r="A16" s="367"/>
      <c r="B16" s="849">
        <f>IF(D!B16&lt;&gt;"",D!B16,)</f>
        <v>0</v>
      </c>
      <c r="C16" s="451">
        <f>D!C16</f>
        <v>0</v>
      </c>
      <c r="D16" s="78"/>
      <c r="E16" s="521"/>
      <c r="F16" s="858"/>
      <c r="G16" s="367"/>
      <c r="H16" s="543"/>
      <c r="I16" s="853"/>
      <c r="J16" s="6"/>
      <c r="K16" s="541"/>
      <c r="L16" s="860"/>
      <c r="M16" s="20" t="str">
        <f>IF(J16="","",$M$5-SUM($J$7:J16))</f>
        <v/>
      </c>
      <c r="N16" s="367"/>
      <c r="O16" s="7"/>
      <c r="P16" s="873">
        <f>IF(D!Q16&lt;&gt;D!R16,IF(D!Q16&lt;&gt;0,IF(D!S16&lt;&gt;D!T16,D!P16,),),)</f>
        <v>0</v>
      </c>
      <c r="Q16" s="795">
        <f>IF(D!Q16&lt;&gt;D!R16,IF(D!Q16&lt;&gt;0,IF(D!S16&lt;&gt;D!T16,D!Q16,),),)</f>
        <v>0</v>
      </c>
      <c r="R16" s="628">
        <f>IF(D!Q16&lt;&gt;D!R16,IF(D!Q16&lt;&gt;0,IF(D!S16&lt;&gt;D!T16,0,Q16),Q16),Q16)</f>
        <v>0</v>
      </c>
      <c r="S16" s="796">
        <f>IF(D!Q16&lt;&gt;D!R16,IF(D!Q16&lt;&gt;0,IF(D!S16&lt;&gt;D!T16,D!S16+1,),),)</f>
        <v>0</v>
      </c>
      <c r="T16" s="796">
        <f>IF(D!Q16&lt;&gt;D!R16,IF(D!Q16&lt;&gt;0,IF(D!S16&lt;&gt;D!T16,D!T16,),),)</f>
        <v>0</v>
      </c>
      <c r="U16" s="797">
        <f>IF(D!Q16&lt;&gt;D!R16,IF(D!Q16&lt;&gt;0,IF(D!S16&lt;&gt;D!T16,D!U16,),),)</f>
        <v>0</v>
      </c>
      <c r="V16" s="875">
        <f>IF(D!Q16&lt;&gt;D!R16,IF(D!Q16&lt;&gt;0,IF(D!S16&lt;&gt;D!T16,D!V16,),),)</f>
        <v>0</v>
      </c>
      <c r="W16" s="622">
        <f>IF(Q16="","",$W$5-SUM($Q$7:Q16))</f>
        <v>0</v>
      </c>
      <c r="X16" s="395"/>
      <c r="Y16" s="144" t="str">
        <f>IF(D!Y16&lt;&gt;"",D!Y16,)</f>
        <v>Other Income</v>
      </c>
      <c r="Z16" s="456">
        <f>D!Z16</f>
        <v>0</v>
      </c>
      <c r="AA16" s="69"/>
      <c r="AB16" s="645"/>
      <c r="AC16" s="870"/>
      <c r="AD16" s="32"/>
      <c r="AE16" s="1137"/>
      <c r="AF16" s="367"/>
      <c r="AG16" s="367"/>
      <c r="AH16" s="367"/>
      <c r="AI16" s="367"/>
      <c r="AJ16" s="367"/>
      <c r="AK16" s="367"/>
      <c r="AL16" s="367"/>
      <c r="AM16" s="367"/>
      <c r="AN16" s="367"/>
      <c r="AO16" s="86"/>
      <c r="AW16" s="90">
        <f>13-AR19</f>
        <v>8</v>
      </c>
    </row>
    <row r="17" spans="1:63" ht="15" customHeight="1">
      <c r="A17" s="367"/>
      <c r="B17" s="849">
        <f>IF(D!B17&lt;&gt;"",D!B17,)</f>
        <v>0</v>
      </c>
      <c r="C17" s="451">
        <f>D!C17</f>
        <v>0</v>
      </c>
      <c r="D17" s="78"/>
      <c r="E17" s="521"/>
      <c r="F17" s="858"/>
      <c r="G17" s="367"/>
      <c r="H17" s="543"/>
      <c r="I17" s="853"/>
      <c r="J17" s="6"/>
      <c r="K17" s="541"/>
      <c r="L17" s="860"/>
      <c r="M17" s="20" t="str">
        <f>IF(J17="","",$M$5-SUM($J$7:J17))</f>
        <v/>
      </c>
      <c r="N17" s="367"/>
      <c r="O17" s="7"/>
      <c r="P17" s="871">
        <f>IF(D!Q17&lt;&gt;D!R17,IF(D!Q17&lt;&gt;0,IF(D!S17&lt;&gt;D!T17,D!P17,),),)</f>
        <v>0</v>
      </c>
      <c r="Q17" s="795">
        <f>IF(D!Q17&lt;&gt;D!R17,IF(D!Q17&lt;&gt;0,IF(D!S17&lt;&gt;D!T17,D!Q17,),),)</f>
        <v>0</v>
      </c>
      <c r="R17" s="628">
        <f>IF(D!Q17&lt;&gt;D!R17,IF(D!Q17&lt;&gt;0,IF(D!S17&lt;&gt;D!T17,0,Q17),Q17),Q17)</f>
        <v>0</v>
      </c>
      <c r="S17" s="796">
        <f>IF(D!Q17&lt;&gt;D!R17,IF(D!Q17&lt;&gt;0,IF(D!S17&lt;&gt;D!T17,D!S17+1,),),)</f>
        <v>0</v>
      </c>
      <c r="T17" s="796">
        <f>IF(D!Q17&lt;&gt;D!R17,IF(D!Q17&lt;&gt;0,IF(D!S17&lt;&gt;D!T17,D!T17,),),)</f>
        <v>0</v>
      </c>
      <c r="U17" s="797">
        <f>IF(D!Q17&lt;&gt;D!R17,IF(D!Q17&lt;&gt;0,IF(D!S17&lt;&gt;D!T17,D!U17,),),)</f>
        <v>0</v>
      </c>
      <c r="V17" s="875">
        <f>IF(D!Q17&lt;&gt;D!R17,IF(D!Q17&lt;&gt;0,IF(D!S17&lt;&gt;D!T17,D!V17,),),)</f>
        <v>0</v>
      </c>
      <c r="W17" s="624">
        <f>IF(Q17="","",$W$5-SUM($Q$7:Q17))</f>
        <v>0</v>
      </c>
      <c r="X17" s="621"/>
      <c r="Y17" s="18" t="s">
        <v>179</v>
      </c>
      <c r="Z17" s="17">
        <f>SUM(Z6:Z16)</f>
        <v>0</v>
      </c>
      <c r="AA17" s="19">
        <f>SUM(AA6:AA16)</f>
        <v>0</v>
      </c>
      <c r="AB17" s="642"/>
      <c r="AC17" s="642"/>
      <c r="AD17" s="33"/>
      <c r="AE17" s="1137"/>
      <c r="AF17" s="367"/>
      <c r="AG17" s="367"/>
      <c r="AH17" s="367"/>
      <c r="AI17" s="367"/>
      <c r="AJ17" s="367"/>
      <c r="AK17" s="367"/>
      <c r="AL17" s="367"/>
      <c r="AM17" s="367"/>
      <c r="AN17" s="367"/>
      <c r="AO17" s="86"/>
    </row>
    <row r="18" spans="1:63" ht="15" customHeight="1" thickBot="1">
      <c r="A18" s="367"/>
      <c r="B18" s="16" t="s">
        <v>179</v>
      </c>
      <c r="C18" s="77">
        <f>SUM(C7:C17)</f>
        <v>0</v>
      </c>
      <c r="D18" s="75">
        <f>SUM(D7:D17)</f>
        <v>0</v>
      </c>
      <c r="E18" s="515"/>
      <c r="F18" s="515"/>
      <c r="G18" s="367"/>
      <c r="H18" s="543"/>
      <c r="I18" s="853"/>
      <c r="J18" s="6"/>
      <c r="K18" s="541"/>
      <c r="L18" s="860"/>
      <c r="M18" s="20" t="str">
        <f>IF(J18="","",$M$5-SUM($J$7:J18))</f>
        <v/>
      </c>
      <c r="N18" s="367"/>
      <c r="O18" s="7"/>
      <c r="P18" s="873">
        <f>IF(D!Q18&lt;&gt;D!R18,IF(D!Q18&lt;&gt;0,IF(D!S18&lt;&gt;D!T18,D!P18,),),)</f>
        <v>0</v>
      </c>
      <c r="Q18" s="795">
        <f>IF(D!Q18&lt;&gt;D!R18,IF(D!Q18&lt;&gt;0,IF(D!S18&lt;&gt;D!T18,D!Q18,),),)</f>
        <v>0</v>
      </c>
      <c r="R18" s="628">
        <f>IF(D!Q18&lt;&gt;D!R18,IF(D!Q18&lt;&gt;0,IF(D!S18&lt;&gt;D!T18,0,Q18),Q18),Q18)</f>
        <v>0</v>
      </c>
      <c r="S18" s="796">
        <f>IF(D!Q18&lt;&gt;D!R18,IF(D!Q18&lt;&gt;0,IF(D!S18&lt;&gt;D!T18,D!S18+1,),),)</f>
        <v>0</v>
      </c>
      <c r="T18" s="796">
        <f>IF(D!Q18&lt;&gt;D!R18,IF(D!Q18&lt;&gt;0,IF(D!S18&lt;&gt;D!T18,D!T18,),),)</f>
        <v>0</v>
      </c>
      <c r="U18" s="797">
        <f>IF(D!Q18&lt;&gt;D!R18,IF(D!Q18&lt;&gt;0,IF(D!S18&lt;&gt;D!T18,D!U18,),),)</f>
        <v>0</v>
      </c>
      <c r="V18" s="875">
        <f>IF(D!Q18&lt;&gt;D!R18,IF(D!Q18&lt;&gt;0,IF(D!S18&lt;&gt;D!T18,D!V18,),),)</f>
        <v>0</v>
      </c>
      <c r="W18" s="622">
        <f>IF(Q18="","",$W$5-SUM($Q$7:Q18))</f>
        <v>0</v>
      </c>
      <c r="X18" s="395"/>
      <c r="Y18" s="1204" t="s">
        <v>367</v>
      </c>
      <c r="Z18" s="1205"/>
      <c r="AA18" s="121">
        <f>AA17-AA4</f>
        <v>0</v>
      </c>
      <c r="AB18" s="643"/>
      <c r="AC18" s="643"/>
      <c r="AD18" s="34"/>
      <c r="AE18" s="1137"/>
      <c r="AF18" s="367"/>
      <c r="AG18" s="376"/>
      <c r="AH18" s="885" t="s">
        <v>401</v>
      </c>
      <c r="AI18" s="367"/>
      <c r="AJ18" s="367"/>
      <c r="AK18" s="367"/>
      <c r="AL18" s="367"/>
      <c r="AM18" s="367"/>
      <c r="AN18" s="367"/>
      <c r="AO18" s="86"/>
      <c r="AR18" s="52" t="s">
        <v>5</v>
      </c>
    </row>
    <row r="19" spans="1:63" ht="15" customHeight="1" thickBot="1">
      <c r="A19" s="367"/>
      <c r="B19" s="95" t="s">
        <v>367</v>
      </c>
      <c r="C19" s="98"/>
      <c r="D19" s="97">
        <f>C18-D18</f>
        <v>0</v>
      </c>
      <c r="E19" s="516"/>
      <c r="F19" s="516"/>
      <c r="G19" s="367"/>
      <c r="H19" s="543"/>
      <c r="I19" s="853"/>
      <c r="J19" s="6"/>
      <c r="K19" s="541"/>
      <c r="L19" s="860"/>
      <c r="M19" s="20" t="str">
        <f>IF(J19="","",$M$5-SUM($J$7:J19))</f>
        <v/>
      </c>
      <c r="N19" s="367"/>
      <c r="O19" s="7"/>
      <c r="P19" s="871">
        <f>IF(D!Q19&lt;&gt;D!R19,IF(D!Q19&lt;&gt;0,IF(D!S19&lt;&gt;D!T19,D!P19,),),)</f>
        <v>0</v>
      </c>
      <c r="Q19" s="795">
        <f>IF(D!Q19&lt;&gt;D!R19,IF(D!Q19&lt;&gt;0,IF(D!S19&lt;&gt;D!T19,D!Q19,),),)</f>
        <v>0</v>
      </c>
      <c r="R19" s="628">
        <f>IF(D!Q19&lt;&gt;D!R19,IF(D!Q19&lt;&gt;0,IF(D!S19&lt;&gt;D!T19,0,Q19),Q19),Q19)</f>
        <v>0</v>
      </c>
      <c r="S19" s="796">
        <f>IF(D!Q19&lt;&gt;D!R19,IF(D!Q19&lt;&gt;0,IF(D!S19&lt;&gt;D!T19,D!S19+1,),),)</f>
        <v>0</v>
      </c>
      <c r="T19" s="796">
        <f>IF(D!Q19&lt;&gt;D!R19,IF(D!Q19&lt;&gt;0,IF(D!S19&lt;&gt;D!T19,D!T19,),),)</f>
        <v>0</v>
      </c>
      <c r="U19" s="797">
        <f>IF(D!Q19&lt;&gt;D!R19,IF(D!Q19&lt;&gt;0,IF(D!S19&lt;&gt;D!T19,D!U19,),),)</f>
        <v>0</v>
      </c>
      <c r="V19" s="875">
        <f>IF(D!Q19&lt;&gt;D!R19,IF(D!Q19&lt;&gt;0,IF(D!S19&lt;&gt;D!T19,D!V19,),),)</f>
        <v>0</v>
      </c>
      <c r="W19" s="622">
        <f>IF(Q19="","",$W$5-SUM($Q$7:Q19))</f>
        <v>0</v>
      </c>
      <c r="X19" s="395"/>
      <c r="Y19" s="378"/>
      <c r="Z19" s="378"/>
      <c r="AA19" s="378"/>
      <c r="AB19" s="378"/>
      <c r="AC19" s="378"/>
      <c r="AD19" s="9"/>
      <c r="AE19" s="1137"/>
      <c r="AF19" s="367"/>
      <c r="AG19" s="373"/>
      <c r="AH19" s="886" t="s">
        <v>402</v>
      </c>
      <c r="AI19" s="367"/>
      <c r="AJ19" s="367"/>
      <c r="AK19" s="367"/>
      <c r="AL19" s="367"/>
      <c r="AM19" s="367"/>
      <c r="AN19" s="367"/>
      <c r="AO19" s="86"/>
      <c r="AR19" s="88">
        <v>5</v>
      </c>
      <c r="AV19" s="476" t="s">
        <v>14</v>
      </c>
    </row>
    <row r="20" spans="1:63" ht="15" customHeight="1" thickBot="1">
      <c r="A20" s="367"/>
      <c r="B20" s="1095" t="str">
        <f>IF(D19&gt;0,"Unexpected positive difference - Check why!","")</f>
        <v/>
      </c>
      <c r="C20" s="1095"/>
      <c r="D20" s="1095"/>
      <c r="E20" s="514"/>
      <c r="F20" s="514"/>
      <c r="G20" s="367"/>
      <c r="H20" s="543"/>
      <c r="I20" s="853"/>
      <c r="J20" s="6"/>
      <c r="K20" s="541"/>
      <c r="L20" s="860"/>
      <c r="M20" s="20" t="str">
        <f>IF(J20="","",$M$5-SUM($J$7:J20))</f>
        <v/>
      </c>
      <c r="N20" s="367"/>
      <c r="O20" s="7"/>
      <c r="P20" s="871">
        <f>IF(D!Q20&lt;&gt;D!R20,IF(D!Q20&lt;&gt;0,IF(D!S20&lt;&gt;D!T20,D!P20,),),)</f>
        <v>0</v>
      </c>
      <c r="Q20" s="795">
        <f>IF(D!Q20&lt;&gt;D!R20,IF(D!Q20&lt;&gt;0,IF(D!S20&lt;&gt;D!T20,D!Q20,),),)</f>
        <v>0</v>
      </c>
      <c r="R20" s="628">
        <f>IF(D!Q20&lt;&gt;D!R20,IF(D!Q20&lt;&gt;0,IF(D!S20&lt;&gt;D!T20,0,Q20),Q20),Q20)</f>
        <v>0</v>
      </c>
      <c r="S20" s="796">
        <f>IF(D!Q20&lt;&gt;D!R20,IF(D!Q20&lt;&gt;0,IF(D!S20&lt;&gt;D!T20,D!S20+1,),),)</f>
        <v>0</v>
      </c>
      <c r="T20" s="796">
        <f>IF(D!Q20&lt;&gt;D!R20,IF(D!Q20&lt;&gt;0,IF(D!S20&lt;&gt;D!T20,D!T20,),),)</f>
        <v>0</v>
      </c>
      <c r="U20" s="797">
        <f>IF(D!Q20&lt;&gt;D!R20,IF(D!Q20&lt;&gt;0,IF(D!S20&lt;&gt;D!T20,D!U20,),),)</f>
        <v>0</v>
      </c>
      <c r="V20" s="875">
        <f>IF(D!Q20&lt;&gt;D!R20,IF(D!Q20&lt;&gt;0,IF(D!S20&lt;&gt;D!T20,D!V20,),),)</f>
        <v>0</v>
      </c>
      <c r="W20" s="622">
        <f>IF(Q20="","",$W$5-SUM($Q$7:Q20))</f>
        <v>0</v>
      </c>
      <c r="X20" s="395"/>
      <c r="Y20" s="1206" t="s">
        <v>350</v>
      </c>
      <c r="Z20" s="1207"/>
      <c r="AA20" s="1207"/>
      <c r="AB20" s="552"/>
      <c r="AC20" s="552"/>
      <c r="AD20" s="27"/>
      <c r="AE20" s="1137"/>
      <c r="AF20" s="367"/>
      <c r="AG20" s="374"/>
      <c r="AH20" s="887" t="s">
        <v>466</v>
      </c>
      <c r="AI20" s="367"/>
      <c r="AJ20" s="367"/>
      <c r="AK20" s="367"/>
      <c r="AL20" s="367"/>
      <c r="AM20" s="367"/>
      <c r="AN20" s="367"/>
      <c r="AO20" s="86"/>
      <c r="AQ20" s="1240" t="s">
        <v>29</v>
      </c>
      <c r="AR20" s="1139"/>
      <c r="AS20" s="1139"/>
      <c r="AT20" s="1140"/>
      <c r="AV20" s="476" t="s">
        <v>15</v>
      </c>
    </row>
    <row r="21" spans="1:63" ht="15" customHeight="1">
      <c r="A21" s="367"/>
      <c r="B21" s="399"/>
      <c r="C21" s="400"/>
      <c r="D21" s="400"/>
      <c r="E21" s="400"/>
      <c r="F21" s="400"/>
      <c r="G21" s="367"/>
      <c r="H21" s="543"/>
      <c r="I21" s="853"/>
      <c r="J21" s="6"/>
      <c r="K21" s="541"/>
      <c r="L21" s="860"/>
      <c r="M21" s="20" t="str">
        <f>IF(J21="","",$M$5-SUM($J$7:J21))</f>
        <v/>
      </c>
      <c r="N21" s="367"/>
      <c r="O21" s="7"/>
      <c r="P21" s="873">
        <f>IF(D!Q21&lt;&gt;D!R21,IF(D!Q21&lt;&gt;0,IF(D!S21&lt;&gt;D!T21,D!P21,),),)</f>
        <v>0</v>
      </c>
      <c r="Q21" s="795">
        <f>IF(D!Q21&lt;&gt;D!R21,IF(D!Q21&lt;&gt;0,IF(D!S21&lt;&gt;D!T21,D!Q21,),),)</f>
        <v>0</v>
      </c>
      <c r="R21" s="628">
        <f>IF(D!Q21&lt;&gt;D!R21,IF(D!Q21&lt;&gt;0,IF(D!S21&lt;&gt;D!T21,0,Q21),Q21),Q21)</f>
        <v>0</v>
      </c>
      <c r="S21" s="796">
        <f>IF(D!Q21&lt;&gt;D!R21,IF(D!Q21&lt;&gt;0,IF(D!S21&lt;&gt;D!T21,D!S21+1,),),)</f>
        <v>0</v>
      </c>
      <c r="T21" s="796">
        <f>IF(D!Q21&lt;&gt;D!R21,IF(D!Q21&lt;&gt;0,IF(D!S21&lt;&gt;D!T21,D!T21,),),)</f>
        <v>0</v>
      </c>
      <c r="U21" s="797">
        <f>IF(D!Q21&lt;&gt;D!R21,IF(D!Q21&lt;&gt;0,IF(D!S21&lt;&gt;D!T21,D!U21,),),)</f>
        <v>0</v>
      </c>
      <c r="V21" s="875">
        <f>IF(D!Q21&lt;&gt;D!R21,IF(D!Q21&lt;&gt;0,IF(D!S21&lt;&gt;D!T21,D!V21,),),)</f>
        <v>0</v>
      </c>
      <c r="W21" s="622">
        <f>IF(Q21="","",$W$5-SUM($Q$7:Q21))</f>
        <v>0</v>
      </c>
      <c r="X21" s="395"/>
      <c r="Y21" s="1187" t="s">
        <v>353</v>
      </c>
      <c r="Z21" s="1189" t="s">
        <v>354</v>
      </c>
      <c r="AA21" s="1210" t="s">
        <v>494</v>
      </c>
      <c r="AB21" s="719"/>
      <c r="AC21" s="720"/>
      <c r="AD21" s="1148" t="s">
        <v>2</v>
      </c>
      <c r="AE21" s="1141" t="s">
        <v>406</v>
      </c>
      <c r="AG21" s="1242" t="s">
        <v>405</v>
      </c>
      <c r="AH21" s="887" t="s">
        <v>403</v>
      </c>
      <c r="AI21" s="367"/>
      <c r="AJ21" s="367"/>
      <c r="AK21" s="367"/>
      <c r="AL21" s="367"/>
      <c r="AM21" s="367"/>
      <c r="AN21" s="367"/>
      <c r="AO21" s="86"/>
      <c r="AP21" s="89" t="s">
        <v>3</v>
      </c>
      <c r="AQ21" s="475" t="s">
        <v>7</v>
      </c>
      <c r="AR21" s="1229" t="s">
        <v>11</v>
      </c>
      <c r="AS21" s="476"/>
      <c r="AT21" s="476"/>
      <c r="AU21" s="476"/>
      <c r="AV21" s="476" t="s">
        <v>16</v>
      </c>
      <c r="AW21" s="476"/>
      <c r="AX21" s="90" t="s">
        <v>0</v>
      </c>
    </row>
    <row r="22" spans="1:63" ht="15.75" customHeight="1" thickBot="1">
      <c r="A22" s="367"/>
      <c r="B22" s="401" t="s">
        <v>349</v>
      </c>
      <c r="C22" s="402"/>
      <c r="D22" s="378"/>
      <c r="E22" s="378"/>
      <c r="F22" s="378"/>
      <c r="G22" s="367"/>
      <c r="H22" s="543"/>
      <c r="I22" s="853"/>
      <c r="J22" s="6"/>
      <c r="K22" s="541"/>
      <c r="L22" s="860"/>
      <c r="M22" s="20" t="str">
        <f>IF(J22="","",$M$5-SUM($J$7:J22))</f>
        <v/>
      </c>
      <c r="N22" s="367"/>
      <c r="O22" s="7"/>
      <c r="P22" s="871">
        <f>IF(D!Q22&lt;&gt;D!R22,IF(D!Q22&lt;&gt;0,IF(D!S22&lt;&gt;D!T22,D!P22,),),)</f>
        <v>0</v>
      </c>
      <c r="Q22" s="795">
        <f>IF(D!Q22&lt;&gt;D!R22,IF(D!Q22&lt;&gt;0,IF(D!S22&lt;&gt;D!T22,D!Q22,),),)</f>
        <v>0</v>
      </c>
      <c r="R22" s="628">
        <f>IF(D!Q22&lt;&gt;D!R22,IF(D!Q22&lt;&gt;0,IF(D!S22&lt;&gt;D!T22,0,Q22),Q22),Q22)</f>
        <v>0</v>
      </c>
      <c r="S22" s="796">
        <f>IF(D!Q22&lt;&gt;D!R22,IF(D!Q22&lt;&gt;0,IF(D!S22&lt;&gt;D!T22,D!S22+1,),),)</f>
        <v>0</v>
      </c>
      <c r="T22" s="796">
        <f>IF(D!Q22&lt;&gt;D!R22,IF(D!Q22&lt;&gt;0,IF(D!S22&lt;&gt;D!T22,D!T22,),),)</f>
        <v>0</v>
      </c>
      <c r="U22" s="797">
        <f>IF(D!Q22&lt;&gt;D!R22,IF(D!Q22&lt;&gt;0,IF(D!S22&lt;&gt;D!T22,D!U22,),),)</f>
        <v>0</v>
      </c>
      <c r="V22" s="875">
        <f>IF(D!Q22&lt;&gt;D!R22,IF(D!Q22&lt;&gt;0,IF(D!S22&lt;&gt;D!T22,D!V22,),),)</f>
        <v>0</v>
      </c>
      <c r="W22" s="622">
        <f>IF(Q22="","",$W$5-SUM($Q$7:Q22))</f>
        <v>0</v>
      </c>
      <c r="X22" s="395"/>
      <c r="Y22" s="1188"/>
      <c r="Z22" s="1241"/>
      <c r="AA22" s="1211"/>
      <c r="AB22" s="719"/>
      <c r="AC22" s="721"/>
      <c r="AD22" s="1148"/>
      <c r="AE22" s="1141"/>
      <c r="AF22" s="367"/>
      <c r="AG22" s="1243"/>
      <c r="AH22" s="367"/>
      <c r="AI22" s="367"/>
      <c r="AJ22" s="367"/>
      <c r="AK22" s="367"/>
      <c r="AL22" s="367"/>
      <c r="AM22" s="367"/>
      <c r="AN22" s="367"/>
      <c r="AO22" s="86"/>
      <c r="AP22" s="90" t="s">
        <v>9</v>
      </c>
      <c r="AQ22" s="475" t="s">
        <v>10</v>
      </c>
      <c r="AR22" s="1229"/>
      <c r="AS22" s="475" t="s">
        <v>8</v>
      </c>
      <c r="AT22" s="475" t="s">
        <v>6</v>
      </c>
      <c r="AU22" s="476"/>
      <c r="AV22" s="475" t="s">
        <v>17</v>
      </c>
      <c r="AW22" s="475" t="s">
        <v>18</v>
      </c>
      <c r="AX22" s="706" t="s">
        <v>19</v>
      </c>
      <c r="AZ22" s="725" t="s">
        <v>31</v>
      </c>
      <c r="BA22" s="724"/>
      <c r="BB22" s="724"/>
      <c r="BC22" s="724"/>
      <c r="BD22" s="724"/>
      <c r="BE22" s="724"/>
      <c r="BF22" s="724"/>
      <c r="BG22" s="724"/>
      <c r="BH22" s="724"/>
      <c r="BJ22" s="724"/>
      <c r="BK22" s="724"/>
    </row>
    <row r="23" spans="1:63" ht="15.75">
      <c r="A23" s="367"/>
      <c r="B23" s="1102" t="s">
        <v>428</v>
      </c>
      <c r="C23" s="1104">
        <f ca="1">C40</f>
        <v>0</v>
      </c>
      <c r="D23" s="1105"/>
      <c r="E23" s="1091"/>
      <c r="F23" s="1092"/>
      <c r="G23" s="367"/>
      <c r="H23" s="543"/>
      <c r="I23" s="853"/>
      <c r="J23" s="6"/>
      <c r="K23" s="541"/>
      <c r="L23" s="860"/>
      <c r="M23" s="20" t="str">
        <f>IF(J23="","",$M$5-SUM($J$7:J23))</f>
        <v/>
      </c>
      <c r="N23" s="367"/>
      <c r="O23" s="7"/>
      <c r="P23" s="873">
        <f>IF(D!Q23&lt;&gt;D!R23,IF(D!Q23&lt;&gt;0,IF(D!S23&lt;&gt;D!T23,D!P23,),),)</f>
        <v>0</v>
      </c>
      <c r="Q23" s="795">
        <f>IF(D!Q23&lt;&gt;D!R23,IF(D!Q23&lt;&gt;0,IF(D!S23&lt;&gt;D!T23,D!Q23,),),)</f>
        <v>0</v>
      </c>
      <c r="R23" s="628">
        <f>IF(D!Q23&lt;&gt;D!R23,IF(D!Q23&lt;&gt;0,IF(D!S23&lt;&gt;D!T23,0,Q23),Q23),Q23)</f>
        <v>0</v>
      </c>
      <c r="S23" s="796">
        <f>IF(D!Q23&lt;&gt;D!R23,IF(D!Q23&lt;&gt;0,IF(D!S23&lt;&gt;D!T23,D!S23+1,),),)</f>
        <v>0</v>
      </c>
      <c r="T23" s="796">
        <f>IF(D!Q23&lt;&gt;D!R23,IF(D!Q23&lt;&gt;0,IF(D!S23&lt;&gt;D!T23,D!T23,),),)</f>
        <v>0</v>
      </c>
      <c r="U23" s="797">
        <f>IF(D!Q23&lt;&gt;D!R23,IF(D!Q23&lt;&gt;0,IF(D!S23&lt;&gt;D!T23,D!U23,),),)</f>
        <v>0</v>
      </c>
      <c r="V23" s="875">
        <f>IF(D!Q23&lt;&gt;D!R23,IF(D!Q23&lt;&gt;0,IF(D!S23&lt;&gt;D!T23,D!V23,),),)</f>
        <v>0</v>
      </c>
      <c r="W23" s="622">
        <f>IF(Q23="","",$W$5-SUM($Q$7:Q23))</f>
        <v>0</v>
      </c>
      <c r="X23" s="395"/>
      <c r="Y23" s="905" t="str">
        <f>IF(D!Y23&lt;&gt;"",D!Y23,)</f>
        <v>Municipal Taxes</v>
      </c>
      <c r="Z23" s="457">
        <f>D!Z23</f>
        <v>0</v>
      </c>
      <c r="AA23" s="21">
        <f t="shared" ref="AA23:AA44" si="0">SUMIF($P$7:$P$110,Y23,$Q$7:$Q$110)</f>
        <v>0</v>
      </c>
      <c r="AB23" s="722"/>
      <c r="AC23" s="722"/>
      <c r="AD23" s="35">
        <f t="shared" ref="AD23:AD44" si="1">SUMIF($P$7:$P$110,Y23,$R$7:$R$110)</f>
        <v>0</v>
      </c>
      <c r="AE23" s="23">
        <f>IF(AI23=0,AX23,0)</f>
        <v>0</v>
      </c>
      <c r="AF23" s="367"/>
      <c r="AG23" s="728">
        <f t="shared" ref="AG23:AG44" si="2">IF(AZ23&gt;1,"overrun",IF(AZ23&lt;0,"OK",AZ23))</f>
        <v>0</v>
      </c>
      <c r="AH23" s="367"/>
      <c r="AI23" s="375">
        <v>0</v>
      </c>
      <c r="AJ23" s="367"/>
      <c r="AK23" s="367"/>
      <c r="AL23" s="367"/>
      <c r="AM23" s="367"/>
      <c r="AN23" s="367"/>
      <c r="AO23" s="86"/>
      <c r="AP23" s="51">
        <f t="shared" ref="AP23:AP44" si="3">IF(AI23=1,AX23,0)</f>
        <v>0</v>
      </c>
      <c r="AQ23" s="476">
        <f>D!AQ23+D!AP23</f>
        <v>0</v>
      </c>
      <c r="AR23" s="476">
        <f t="shared" ref="AR23:AR44" si="4">Z23*12-AS23-AQ23</f>
        <v>0</v>
      </c>
      <c r="AS23" s="477">
        <f>AD23+D!AS23</f>
        <v>0</v>
      </c>
      <c r="AT23" s="477">
        <f>AA23+D!AT23</f>
        <v>0</v>
      </c>
      <c r="AU23" s="476"/>
      <c r="AV23" s="477">
        <f>D!AV23-D!AD23+E!Z23-D!AP23</f>
        <v>0</v>
      </c>
      <c r="AW23" s="476">
        <f>IF(AE23&lt;0,AE23,0)</f>
        <v>0</v>
      </c>
      <c r="AX23" s="52">
        <f>IF(Z23=D!Z23,D!AE23-AD23,D!AE23+(Z23-D!Z23)*$AW$16-AD23)</f>
        <v>0</v>
      </c>
      <c r="AZ23" s="726">
        <f>(($Z23*(12-$AR$19))-$AE23)/($Z23*(12-$AR$19)+0.00001)</f>
        <v>0</v>
      </c>
    </row>
    <row r="24" spans="1:63" ht="15.75">
      <c r="A24" s="367"/>
      <c r="B24" s="1103"/>
      <c r="C24" s="1106"/>
      <c r="D24" s="1107"/>
      <c r="E24" s="1091"/>
      <c r="F24" s="1092"/>
      <c r="G24" s="367"/>
      <c r="H24" s="543"/>
      <c r="I24" s="853"/>
      <c r="J24" s="6"/>
      <c r="K24" s="541"/>
      <c r="L24" s="860"/>
      <c r="M24" s="20" t="str">
        <f>IF(J24="","",$M$5-SUM($J$7:J24))</f>
        <v/>
      </c>
      <c r="N24" s="367"/>
      <c r="O24" s="7"/>
      <c r="P24" s="873">
        <f>IF(D!Q24&lt;&gt;D!R24,IF(D!Q24&lt;&gt;0,IF(D!S24&lt;&gt;D!T24,D!P24,),),)</f>
        <v>0</v>
      </c>
      <c r="Q24" s="795">
        <f>IF(D!Q24&lt;&gt;D!R24,IF(D!Q24&lt;&gt;0,IF(D!S24&lt;&gt;D!T24,D!Q24,),),)</f>
        <v>0</v>
      </c>
      <c r="R24" s="628">
        <f>IF(D!Q24&lt;&gt;D!R24,IF(D!Q24&lt;&gt;0,IF(D!S24&lt;&gt;D!T24,0,Q24),Q24),Q24)</f>
        <v>0</v>
      </c>
      <c r="S24" s="796">
        <f>IF(D!Q24&lt;&gt;D!R24,IF(D!Q24&lt;&gt;0,IF(D!S24&lt;&gt;D!T24,D!S24+1,),),)</f>
        <v>0</v>
      </c>
      <c r="T24" s="796">
        <f>IF(D!Q24&lt;&gt;D!R24,IF(D!Q24&lt;&gt;0,IF(D!S24&lt;&gt;D!T24,D!T24,),),)</f>
        <v>0</v>
      </c>
      <c r="U24" s="797">
        <f>IF(D!Q24&lt;&gt;D!R24,IF(D!Q24&lt;&gt;0,IF(D!S24&lt;&gt;D!T24,D!U24,),),)</f>
        <v>0</v>
      </c>
      <c r="V24" s="875">
        <f>IF(D!Q24&lt;&gt;D!R24,IF(D!Q24&lt;&gt;0,IF(D!S24&lt;&gt;D!T24,D!V24,),),)</f>
        <v>0</v>
      </c>
      <c r="W24" s="622">
        <f>IF(Q24="","",$W$5-SUM($Q$7:Q24))</f>
        <v>0</v>
      </c>
      <c r="X24" s="395"/>
      <c r="Y24" s="905" t="str">
        <f>IF(D!Y24&lt;&gt;"",D!Y24,)</f>
        <v>Water and Sewage</v>
      </c>
      <c r="Z24" s="457">
        <f>D!Z24</f>
        <v>0</v>
      </c>
      <c r="AA24" s="20">
        <f t="shared" si="0"/>
        <v>0</v>
      </c>
      <c r="AB24" s="723"/>
      <c r="AC24" s="723"/>
      <c r="AD24" s="36">
        <f t="shared" si="1"/>
        <v>0</v>
      </c>
      <c r="AE24" s="23">
        <f t="shared" ref="AE24:AE44" si="5">IF(AI24=0,AX24,0)</f>
        <v>0</v>
      </c>
      <c r="AF24" s="367"/>
      <c r="AG24" s="728">
        <f t="shared" si="2"/>
        <v>0</v>
      </c>
      <c r="AH24" s="367"/>
      <c r="AI24" s="375">
        <v>0</v>
      </c>
      <c r="AJ24" s="367"/>
      <c r="AK24" s="367"/>
      <c r="AL24" s="367"/>
      <c r="AM24" s="367"/>
      <c r="AN24" s="367"/>
      <c r="AO24" s="86"/>
      <c r="AP24" s="51">
        <f t="shared" si="3"/>
        <v>0</v>
      </c>
      <c r="AQ24" s="476">
        <f>D!AQ24+D!AP24</f>
        <v>0</v>
      </c>
      <c r="AR24" s="476">
        <f t="shared" si="4"/>
        <v>0</v>
      </c>
      <c r="AS24" s="477">
        <f>AD24+D!AS24</f>
        <v>0</v>
      </c>
      <c r="AT24" s="477">
        <f>AA24+D!AT24</f>
        <v>0</v>
      </c>
      <c r="AU24" s="476"/>
      <c r="AV24" s="477">
        <f>D!AV24-D!AD24+E!Z24-D!AP24</f>
        <v>0</v>
      </c>
      <c r="AW24" s="476">
        <f t="shared" ref="AW24:AW44" si="6">IF(AE24&lt;0,AE24,0)</f>
        <v>0</v>
      </c>
      <c r="AX24" s="52">
        <f>IF(Z24=D!Z24,D!AE24-AD24,D!AE24+(Z24-D!Z24)*$AW$16-AD24)</f>
        <v>0</v>
      </c>
      <c r="AZ24" s="726">
        <f t="shared" ref="AZ24:AZ44" si="7">(($Z24*(12-$AR$19))-$AE24)/($Z24*(12-$AR$19)+0.00001)</f>
        <v>0</v>
      </c>
    </row>
    <row r="25" spans="1:63" ht="16.5" thickBot="1">
      <c r="A25" s="367"/>
      <c r="B25" s="1178" t="s">
        <v>388</v>
      </c>
      <c r="C25" s="1118" t="s">
        <v>354</v>
      </c>
      <c r="D25" s="1180" t="s">
        <v>494</v>
      </c>
      <c r="E25" s="1109" t="s">
        <v>380</v>
      </c>
      <c r="F25" s="1108" t="s">
        <v>335</v>
      </c>
      <c r="G25" s="367"/>
      <c r="H25" s="543"/>
      <c r="I25" s="853"/>
      <c r="J25" s="6"/>
      <c r="K25" s="541"/>
      <c r="L25" s="860"/>
      <c r="M25" s="20" t="str">
        <f>IF(J25="","",$M$5-SUM($J$7:J25))</f>
        <v/>
      </c>
      <c r="N25" s="367"/>
      <c r="O25" s="7"/>
      <c r="P25" s="873">
        <f>IF(D!Q25&lt;&gt;D!R25,IF(D!Q25&lt;&gt;0,IF(D!S25&lt;&gt;D!T25,D!P25,),),)</f>
        <v>0</v>
      </c>
      <c r="Q25" s="795">
        <f>IF(D!Q25&lt;&gt;D!R25,IF(D!Q25&lt;&gt;0,IF(D!S25&lt;&gt;D!T25,D!Q25,),),)</f>
        <v>0</v>
      </c>
      <c r="R25" s="628">
        <f>IF(D!Q25&lt;&gt;D!R25,IF(D!Q25&lt;&gt;0,IF(D!S25&lt;&gt;D!T25,0,Q25),Q25),Q25)</f>
        <v>0</v>
      </c>
      <c r="S25" s="796">
        <f>IF(D!Q25&lt;&gt;D!R25,IF(D!Q25&lt;&gt;0,IF(D!S25&lt;&gt;D!T25,D!S25+1,),),)</f>
        <v>0</v>
      </c>
      <c r="T25" s="796">
        <f>IF(D!Q25&lt;&gt;D!R25,IF(D!Q25&lt;&gt;0,IF(D!S25&lt;&gt;D!T25,D!T25,),),)</f>
        <v>0</v>
      </c>
      <c r="U25" s="797">
        <f>IF(D!Q25&lt;&gt;D!R25,IF(D!Q25&lt;&gt;0,IF(D!S25&lt;&gt;D!T25,D!U25,),),)</f>
        <v>0</v>
      </c>
      <c r="V25" s="875">
        <f>IF(D!Q25&lt;&gt;D!R25,IF(D!Q25&lt;&gt;0,IF(D!S25&lt;&gt;D!T25,D!V25,),),)</f>
        <v>0</v>
      </c>
      <c r="W25" s="622">
        <f>IF(Q25="","",$W$5-SUM($Q$7:Q25))</f>
        <v>0</v>
      </c>
      <c r="X25" s="395"/>
      <c r="Y25" s="905" t="str">
        <f>IF(D!Y25&lt;&gt;"",D!Y25,)</f>
        <v>Electricity</v>
      </c>
      <c r="Z25" s="457">
        <f>D!Z25</f>
        <v>0</v>
      </c>
      <c r="AA25" s="20">
        <f t="shared" si="0"/>
        <v>0</v>
      </c>
      <c r="AB25" s="723"/>
      <c r="AC25" s="723"/>
      <c r="AD25" s="36">
        <f t="shared" si="1"/>
        <v>0</v>
      </c>
      <c r="AE25" s="23">
        <f t="shared" si="5"/>
        <v>0</v>
      </c>
      <c r="AF25" s="367"/>
      <c r="AG25" s="728">
        <f t="shared" si="2"/>
        <v>0</v>
      </c>
      <c r="AH25" s="367"/>
      <c r="AI25" s="375">
        <v>0</v>
      </c>
      <c r="AJ25" s="367"/>
      <c r="AK25" s="367"/>
      <c r="AL25" s="367"/>
      <c r="AM25" s="367"/>
      <c r="AN25" s="367"/>
      <c r="AO25" s="86"/>
      <c r="AP25" s="51">
        <f t="shared" si="3"/>
        <v>0</v>
      </c>
      <c r="AQ25" s="476">
        <f>D!AQ25+D!AP25</f>
        <v>0</v>
      </c>
      <c r="AR25" s="476">
        <f t="shared" si="4"/>
        <v>0</v>
      </c>
      <c r="AS25" s="477">
        <f>AD25+D!AS25</f>
        <v>0</v>
      </c>
      <c r="AT25" s="477">
        <f>AA25+D!AT25</f>
        <v>0</v>
      </c>
      <c r="AU25" s="476"/>
      <c r="AV25" s="477">
        <f>D!AV25-D!AD25+E!Z25-D!AP25</f>
        <v>0</v>
      </c>
      <c r="AW25" s="476">
        <f t="shared" si="6"/>
        <v>0</v>
      </c>
      <c r="AX25" s="52">
        <f>IF(Z25=D!Z25,D!AE25-AD25,D!AE25+(Z25-D!Z25)*$AW$16-AD25)</f>
        <v>0</v>
      </c>
      <c r="AZ25" s="726">
        <f t="shared" si="7"/>
        <v>0</v>
      </c>
    </row>
    <row r="26" spans="1:63" ht="15.75">
      <c r="A26" s="367"/>
      <c r="B26" s="1179"/>
      <c r="C26" s="1119"/>
      <c r="D26" s="1181"/>
      <c r="E26" s="1109"/>
      <c r="F26" s="1108"/>
      <c r="G26" s="367"/>
      <c r="H26" s="543"/>
      <c r="I26" s="853"/>
      <c r="J26" s="6"/>
      <c r="K26" s="541"/>
      <c r="L26" s="860"/>
      <c r="M26" s="20" t="str">
        <f>IF(J26="","",$M$5-SUM($J$7:J26))</f>
        <v/>
      </c>
      <c r="N26" s="367"/>
      <c r="O26" s="7"/>
      <c r="P26" s="873">
        <f>IF(D!Q26&lt;&gt;D!R26,IF(D!Q26&lt;&gt;0,IF(D!S26&lt;&gt;D!T26,D!P26,),),)</f>
        <v>0</v>
      </c>
      <c r="Q26" s="795">
        <f>IF(D!Q26&lt;&gt;D!R26,IF(D!Q26&lt;&gt;0,IF(D!S26&lt;&gt;D!T26,D!Q26,),),)</f>
        <v>0</v>
      </c>
      <c r="R26" s="628">
        <f>IF(D!Q26&lt;&gt;D!R26,IF(D!Q26&lt;&gt;0,IF(D!S26&lt;&gt;D!T26,0,Q26),Q26),Q26)</f>
        <v>0</v>
      </c>
      <c r="S26" s="796">
        <f>IF(D!Q26&lt;&gt;D!R26,IF(D!Q26&lt;&gt;0,IF(D!S26&lt;&gt;D!T26,D!S26+1,),),)</f>
        <v>0</v>
      </c>
      <c r="T26" s="796">
        <f>IF(D!Q26&lt;&gt;D!R26,IF(D!Q26&lt;&gt;0,IF(D!S26&lt;&gt;D!T26,D!T26,),),)</f>
        <v>0</v>
      </c>
      <c r="U26" s="797">
        <f>IF(D!Q26&lt;&gt;D!R26,IF(D!Q26&lt;&gt;0,IF(D!S26&lt;&gt;D!T26,D!U26,),),)</f>
        <v>0</v>
      </c>
      <c r="V26" s="875">
        <f>IF(D!Q26&lt;&gt;D!R26,IF(D!Q26&lt;&gt;0,IF(D!S26&lt;&gt;D!T26,D!V26,),),)</f>
        <v>0</v>
      </c>
      <c r="W26" s="622">
        <f>IF(Q26="","",$W$5-SUM($Q$7:Q26))</f>
        <v>0</v>
      </c>
      <c r="X26" s="395"/>
      <c r="Y26" s="905" t="str">
        <f>IF(D!Y26&lt;&gt;"",D!Y26,)</f>
        <v>Gas</v>
      </c>
      <c r="Z26" s="457">
        <f>D!Z26</f>
        <v>0</v>
      </c>
      <c r="AA26" s="20">
        <f t="shared" si="0"/>
        <v>0</v>
      </c>
      <c r="AB26" s="723"/>
      <c r="AC26" s="723"/>
      <c r="AD26" s="36">
        <f t="shared" si="1"/>
        <v>0</v>
      </c>
      <c r="AE26" s="23">
        <f t="shared" si="5"/>
        <v>0</v>
      </c>
      <c r="AF26" s="367"/>
      <c r="AG26" s="728">
        <f t="shared" si="2"/>
        <v>0</v>
      </c>
      <c r="AH26" s="367"/>
      <c r="AI26" s="375">
        <v>0</v>
      </c>
      <c r="AJ26" s="367"/>
      <c r="AK26" s="525" t="s">
        <v>404</v>
      </c>
      <c r="AL26" s="526"/>
      <c r="AM26" s="367"/>
      <c r="AN26" s="367"/>
      <c r="AO26" s="86"/>
      <c r="AP26" s="51">
        <f t="shared" si="3"/>
        <v>0</v>
      </c>
      <c r="AQ26" s="476">
        <f>D!AQ26+D!AP26</f>
        <v>0</v>
      </c>
      <c r="AR26" s="476">
        <f t="shared" si="4"/>
        <v>0</v>
      </c>
      <c r="AS26" s="477">
        <f>AD26+D!AS26</f>
        <v>0</v>
      </c>
      <c r="AT26" s="477">
        <f>AA26+D!AT26</f>
        <v>0</v>
      </c>
      <c r="AU26" s="476"/>
      <c r="AV26" s="477">
        <f>D!AV26-D!AD26+E!Z26-D!AP26</f>
        <v>0</v>
      </c>
      <c r="AW26" s="476">
        <f t="shared" si="6"/>
        <v>0</v>
      </c>
      <c r="AX26" s="52">
        <f>IF(Z26=D!Z26,D!AE26-AD26,D!AE26+(Z26-D!Z26)*$AW$16-AD26)</f>
        <v>0</v>
      </c>
      <c r="AZ26" s="726">
        <f t="shared" si="7"/>
        <v>0</v>
      </c>
    </row>
    <row r="27" spans="1:63" ht="15.75">
      <c r="A27" s="367"/>
      <c r="B27" s="850">
        <f>IF(D!B27&lt;&gt;"",D!B27,)</f>
        <v>0</v>
      </c>
      <c r="C27" s="454">
        <f>D!C27</f>
        <v>0</v>
      </c>
      <c r="D27" s="74"/>
      <c r="E27" s="521"/>
      <c r="F27" s="858"/>
      <c r="G27" s="367"/>
      <c r="H27" s="543"/>
      <c r="I27" s="853"/>
      <c r="J27" s="6"/>
      <c r="K27" s="541"/>
      <c r="L27" s="860"/>
      <c r="M27" s="20" t="str">
        <f>IF(J27="","",$M$5-SUM($J$7:J27))</f>
        <v/>
      </c>
      <c r="N27" s="367"/>
      <c r="O27" s="7"/>
      <c r="P27" s="873">
        <f>IF(D!Q27&lt;&gt;D!R27,IF(D!Q27&lt;&gt;0,IF(D!S27&lt;&gt;D!T27,D!P27,),),)</f>
        <v>0</v>
      </c>
      <c r="Q27" s="795">
        <f>IF(D!Q27&lt;&gt;D!R27,IF(D!Q27&lt;&gt;0,IF(D!S27&lt;&gt;D!T27,D!Q27,),),)</f>
        <v>0</v>
      </c>
      <c r="R27" s="628">
        <f>IF(D!Q27&lt;&gt;D!R27,IF(D!Q27&lt;&gt;0,IF(D!S27&lt;&gt;D!T27,0,Q27),Q27),Q27)</f>
        <v>0</v>
      </c>
      <c r="S27" s="796">
        <f>IF(D!Q27&lt;&gt;D!R27,IF(D!Q27&lt;&gt;0,IF(D!S27&lt;&gt;D!T27,D!S27+1,),),)</f>
        <v>0</v>
      </c>
      <c r="T27" s="796">
        <f>IF(D!Q27&lt;&gt;D!R27,IF(D!Q27&lt;&gt;0,IF(D!S27&lt;&gt;D!T27,D!T27,),),)</f>
        <v>0</v>
      </c>
      <c r="U27" s="797">
        <f>IF(D!Q27&lt;&gt;D!R27,IF(D!Q27&lt;&gt;0,IF(D!S27&lt;&gt;D!T27,D!U27,),),)</f>
        <v>0</v>
      </c>
      <c r="V27" s="875">
        <f>IF(D!Q27&lt;&gt;D!R27,IF(D!Q27&lt;&gt;0,IF(D!S27&lt;&gt;D!T27,D!V27,),),)</f>
        <v>0</v>
      </c>
      <c r="W27" s="622">
        <f>IF(Q27="","",$W$5-SUM($Q$7:Q27))</f>
        <v>0</v>
      </c>
      <c r="X27" s="395"/>
      <c r="Y27" s="905" t="str">
        <f>IF(D!Y27&lt;&gt;"",D!Y27,)</f>
        <v>Heating</v>
      </c>
      <c r="Z27" s="457">
        <f>D!Z27</f>
        <v>0</v>
      </c>
      <c r="AA27" s="20">
        <f t="shared" si="0"/>
        <v>0</v>
      </c>
      <c r="AB27" s="723"/>
      <c r="AC27" s="723"/>
      <c r="AD27" s="36">
        <f t="shared" si="1"/>
        <v>0</v>
      </c>
      <c r="AE27" s="23">
        <f t="shared" si="5"/>
        <v>0</v>
      </c>
      <c r="AF27" s="367"/>
      <c r="AG27" s="728">
        <f t="shared" si="2"/>
        <v>0</v>
      </c>
      <c r="AH27" s="367"/>
      <c r="AI27" s="375">
        <v>0</v>
      </c>
      <c r="AJ27" s="367"/>
      <c r="AK27" s="527"/>
      <c r="AL27" s="394"/>
      <c r="AM27" s="367"/>
      <c r="AN27" s="367"/>
      <c r="AO27" s="86"/>
      <c r="AP27" s="51">
        <f t="shared" si="3"/>
        <v>0</v>
      </c>
      <c r="AQ27" s="476">
        <f>D!AQ27+D!AP27</f>
        <v>0</v>
      </c>
      <c r="AR27" s="476">
        <f t="shared" si="4"/>
        <v>0</v>
      </c>
      <c r="AS27" s="477">
        <f>AD27+D!AS27</f>
        <v>0</v>
      </c>
      <c r="AT27" s="477">
        <f>AA27+D!AT27</f>
        <v>0</v>
      </c>
      <c r="AU27" s="476"/>
      <c r="AV27" s="477">
        <f>D!AV27-D!AD27+E!Z27-D!AP27</f>
        <v>0</v>
      </c>
      <c r="AW27" s="476">
        <f t="shared" si="6"/>
        <v>0</v>
      </c>
      <c r="AX27" s="52">
        <f>IF(Z27=D!Z27,D!AE27-AD27,D!AE27+(Z27-D!Z27)*$AW$16-AD27)</f>
        <v>0</v>
      </c>
      <c r="AZ27" s="726">
        <f t="shared" si="7"/>
        <v>0</v>
      </c>
    </row>
    <row r="28" spans="1:63" ht="15" customHeight="1">
      <c r="A28" s="367"/>
      <c r="B28" s="850">
        <f ca="1">IF(D!B28&lt;&gt;"",D!B28,)</f>
        <v>0</v>
      </c>
      <c r="C28" s="454">
        <f ca="1">D!C28</f>
        <v>0</v>
      </c>
      <c r="D28" s="74"/>
      <c r="E28" s="521"/>
      <c r="F28" s="858"/>
      <c r="G28" s="367"/>
      <c r="H28" s="543"/>
      <c r="I28" s="853"/>
      <c r="J28" s="6"/>
      <c r="K28" s="541"/>
      <c r="L28" s="860"/>
      <c r="M28" s="20" t="str">
        <f>IF(J28="","",$M$5-SUM($J$7:J28))</f>
        <v/>
      </c>
      <c r="N28" s="367"/>
      <c r="O28" s="7"/>
      <c r="P28" s="873">
        <f>IF(D!Q28&lt;&gt;D!R28,IF(D!Q28&lt;&gt;0,IF(D!S28&lt;&gt;D!T28,D!P28,),),)</f>
        <v>0</v>
      </c>
      <c r="Q28" s="795">
        <f>IF(D!Q28&lt;&gt;D!R28,IF(D!Q28&lt;&gt;0,IF(D!S28&lt;&gt;D!T28,D!Q28,),),)</f>
        <v>0</v>
      </c>
      <c r="R28" s="628">
        <f>IF(D!Q28&lt;&gt;D!R28,IF(D!Q28&lt;&gt;0,IF(D!S28&lt;&gt;D!T28,0,Q28),Q28),Q28)</f>
        <v>0</v>
      </c>
      <c r="S28" s="796">
        <f>IF(D!Q28&lt;&gt;D!R28,IF(D!Q28&lt;&gt;0,IF(D!S28&lt;&gt;D!T28,D!S28+1,),),)</f>
        <v>0</v>
      </c>
      <c r="T28" s="796">
        <f>IF(D!Q28&lt;&gt;D!R28,IF(D!Q28&lt;&gt;0,IF(D!S28&lt;&gt;D!T28,D!T28,),),)</f>
        <v>0</v>
      </c>
      <c r="U28" s="797">
        <f>IF(D!Q28&lt;&gt;D!R28,IF(D!Q28&lt;&gt;0,IF(D!S28&lt;&gt;D!T28,D!U28,),),)</f>
        <v>0</v>
      </c>
      <c r="V28" s="875">
        <f>IF(D!Q28&lt;&gt;D!R28,IF(D!Q28&lt;&gt;0,IF(D!S28&lt;&gt;D!T28,D!V28,),),)</f>
        <v>0</v>
      </c>
      <c r="W28" s="622">
        <f>IF(Q28="","",$W$5-SUM($Q$7:Q28))</f>
        <v>0</v>
      </c>
      <c r="X28" s="395"/>
      <c r="Y28" s="906" t="str">
        <f>IF(D!Y28&lt;&gt;"",D!Y28,)</f>
        <v>Education/Schoolbooks</v>
      </c>
      <c r="Z28" s="457">
        <f>D!Z28</f>
        <v>0</v>
      </c>
      <c r="AA28" s="20">
        <f t="shared" si="0"/>
        <v>0</v>
      </c>
      <c r="AB28" s="723"/>
      <c r="AC28" s="723"/>
      <c r="AD28" s="36">
        <f t="shared" si="1"/>
        <v>0</v>
      </c>
      <c r="AE28" s="23">
        <f>IF(AI28=0,AX28,0)</f>
        <v>0</v>
      </c>
      <c r="AF28" s="367"/>
      <c r="AG28" s="728">
        <f t="shared" si="2"/>
        <v>0</v>
      </c>
      <c r="AH28" s="367"/>
      <c r="AI28" s="375">
        <v>0</v>
      </c>
      <c r="AJ28" s="367"/>
      <c r="AK28" s="528" t="s">
        <v>405</v>
      </c>
      <c r="AL28" s="529" t="s">
        <v>407</v>
      </c>
      <c r="AM28" s="367"/>
      <c r="AN28" s="367"/>
      <c r="AO28" s="86"/>
      <c r="AP28" s="51">
        <f t="shared" si="3"/>
        <v>0</v>
      </c>
      <c r="AQ28" s="476">
        <f>D!AQ28+D!AP28</f>
        <v>0</v>
      </c>
      <c r="AR28" s="476">
        <f t="shared" si="4"/>
        <v>0</v>
      </c>
      <c r="AS28" s="477">
        <f>AD28+D!AS28</f>
        <v>0</v>
      </c>
      <c r="AT28" s="477">
        <f>AA28+D!AT28</f>
        <v>0</v>
      </c>
      <c r="AU28" s="476"/>
      <c r="AV28" s="477">
        <f>D!AV28-D!AD28+E!Z28-D!AP28</f>
        <v>0</v>
      </c>
      <c r="AW28" s="476">
        <f t="shared" si="6"/>
        <v>0</v>
      </c>
      <c r="AX28" s="52">
        <f>IF(Z28=D!Z28,D!AE28-AD28,D!AE28+(Z28-D!Z28)*$AW$16-AD28)</f>
        <v>0</v>
      </c>
      <c r="AZ28" s="726">
        <f t="shared" si="7"/>
        <v>0</v>
      </c>
    </row>
    <row r="29" spans="1:63" ht="15" customHeight="1">
      <c r="A29" s="367"/>
      <c r="B29" s="850">
        <f ca="1">IF(D!B29&lt;&gt;"",D!B29,)</f>
        <v>0</v>
      </c>
      <c r="C29" s="454">
        <f ca="1">D!C29</f>
        <v>0</v>
      </c>
      <c r="D29" s="74"/>
      <c r="E29" s="521"/>
      <c r="F29" s="858"/>
      <c r="G29" s="367"/>
      <c r="H29" s="543"/>
      <c r="I29" s="854"/>
      <c r="J29" s="6"/>
      <c r="K29" s="541"/>
      <c r="L29" s="860"/>
      <c r="M29" s="20" t="str">
        <f>IF(J29="","",$M$5-SUM($J$7:J29))</f>
        <v/>
      </c>
      <c r="N29" s="367"/>
      <c r="O29" s="7"/>
      <c r="P29" s="873">
        <f>IF(D!Q29&lt;&gt;D!R29,IF(D!Q29&lt;&gt;0,IF(D!S29&lt;&gt;D!T29,D!P29,),),)</f>
        <v>0</v>
      </c>
      <c r="Q29" s="795">
        <f>IF(D!Q29&lt;&gt;D!R29,IF(D!Q29&lt;&gt;0,IF(D!S29&lt;&gt;D!T29,D!Q29,),),)</f>
        <v>0</v>
      </c>
      <c r="R29" s="628">
        <f>IF(D!Q29&lt;&gt;D!R29,IF(D!Q29&lt;&gt;0,IF(D!S29&lt;&gt;D!T29,0,Q29),Q29),Q29)</f>
        <v>0</v>
      </c>
      <c r="S29" s="796">
        <f>IF(D!Q29&lt;&gt;D!R29,IF(D!Q29&lt;&gt;0,IF(D!S29&lt;&gt;D!T29,D!S29+1,),),)</f>
        <v>0</v>
      </c>
      <c r="T29" s="796">
        <f>IF(D!Q29&lt;&gt;D!R29,IF(D!Q29&lt;&gt;0,IF(D!S29&lt;&gt;D!T29,D!T29,),),)</f>
        <v>0</v>
      </c>
      <c r="U29" s="797">
        <f>IF(D!Q29&lt;&gt;D!R29,IF(D!Q29&lt;&gt;0,IF(D!S29&lt;&gt;D!T29,D!U29,),),)</f>
        <v>0</v>
      </c>
      <c r="V29" s="875">
        <f>IF(D!Q29&lt;&gt;D!R29,IF(D!Q29&lt;&gt;0,IF(D!S29&lt;&gt;D!T29,D!V29,),),)</f>
        <v>0</v>
      </c>
      <c r="W29" s="622">
        <f>IF(Q29="","",$W$5-SUM($Q$7:Q29))</f>
        <v>0</v>
      </c>
      <c r="X29" s="395"/>
      <c r="Y29" s="906" t="str">
        <f>IF(D!Y29&lt;&gt;"",D!Y29,)</f>
        <v>Extracurricular Activities/Camps/Pool</v>
      </c>
      <c r="Z29" s="457">
        <f>D!Z29</f>
        <v>0</v>
      </c>
      <c r="AA29" s="20">
        <f t="shared" si="0"/>
        <v>0</v>
      </c>
      <c r="AB29" s="723"/>
      <c r="AC29" s="723"/>
      <c r="AD29" s="36">
        <f t="shared" si="1"/>
        <v>0</v>
      </c>
      <c r="AE29" s="23">
        <f t="shared" si="5"/>
        <v>0</v>
      </c>
      <c r="AF29" s="367"/>
      <c r="AG29" s="728">
        <f t="shared" si="2"/>
        <v>0</v>
      </c>
      <c r="AH29" s="367"/>
      <c r="AI29" s="375">
        <v>0</v>
      </c>
      <c r="AJ29" s="367"/>
      <c r="AK29" s="530" t="s">
        <v>32</v>
      </c>
      <c r="AL29" s="531" t="s">
        <v>33</v>
      </c>
      <c r="AM29" s="367"/>
      <c r="AN29" s="367"/>
      <c r="AO29" s="86"/>
      <c r="AP29" s="51">
        <f t="shared" si="3"/>
        <v>0</v>
      </c>
      <c r="AQ29" s="476">
        <f>D!AQ29+D!AP29</f>
        <v>0</v>
      </c>
      <c r="AR29" s="476">
        <f t="shared" si="4"/>
        <v>0</v>
      </c>
      <c r="AS29" s="477">
        <f>AD29+D!AS29</f>
        <v>0</v>
      </c>
      <c r="AT29" s="477">
        <f>AA29+D!AT29</f>
        <v>0</v>
      </c>
      <c r="AU29" s="476"/>
      <c r="AV29" s="477">
        <f>D!AV29-D!AD29+E!Z29-D!AP29</f>
        <v>0</v>
      </c>
      <c r="AW29" s="476">
        <f t="shared" si="6"/>
        <v>0</v>
      </c>
      <c r="AX29" s="52">
        <f>IF(Z29=D!Z29,D!AE29-AD29,D!AE29+(Z29-D!Z29)*$AW$16-AD29)</f>
        <v>0</v>
      </c>
      <c r="AZ29" s="726">
        <f t="shared" si="7"/>
        <v>0</v>
      </c>
    </row>
    <row r="30" spans="1:63" ht="15" customHeight="1">
      <c r="A30" s="367"/>
      <c r="B30" s="850">
        <f ca="1">IF(D!B30&lt;&gt;"",D!B30,)</f>
        <v>0</v>
      </c>
      <c r="C30" s="454">
        <f ca="1">D!C30</f>
        <v>0</v>
      </c>
      <c r="D30" s="74"/>
      <c r="E30" s="521"/>
      <c r="F30" s="858"/>
      <c r="G30" s="367"/>
      <c r="H30" s="543"/>
      <c r="I30" s="853"/>
      <c r="J30" s="6"/>
      <c r="K30" s="541"/>
      <c r="L30" s="860"/>
      <c r="M30" s="20" t="str">
        <f>IF(J30="","",$M$5-SUM($J$7:J30))</f>
        <v/>
      </c>
      <c r="N30" s="367"/>
      <c r="O30" s="7"/>
      <c r="P30" s="873">
        <f>IF(D!Q30&lt;&gt;D!R30,IF(D!Q30&lt;&gt;0,IF(D!S30&lt;&gt;D!T30,D!P30,),),)</f>
        <v>0</v>
      </c>
      <c r="Q30" s="795">
        <f>IF(D!Q30&lt;&gt;D!R30,IF(D!Q30&lt;&gt;0,IF(D!S30&lt;&gt;D!T30,D!Q30,),),)</f>
        <v>0</v>
      </c>
      <c r="R30" s="628">
        <f>IF(D!Q30&lt;&gt;D!R30,IF(D!Q30&lt;&gt;0,IF(D!S30&lt;&gt;D!T30,0,Q30),Q30),Q30)</f>
        <v>0</v>
      </c>
      <c r="S30" s="796">
        <f>IF(D!Q30&lt;&gt;D!R30,IF(D!Q30&lt;&gt;0,IF(D!S30&lt;&gt;D!T30,D!S30+1,),),)</f>
        <v>0</v>
      </c>
      <c r="T30" s="796">
        <f>IF(D!Q30&lt;&gt;D!R30,IF(D!Q30&lt;&gt;0,IF(D!S30&lt;&gt;D!T30,D!T30,),),)</f>
        <v>0</v>
      </c>
      <c r="U30" s="797">
        <f>IF(D!Q30&lt;&gt;D!R30,IF(D!Q30&lt;&gt;0,IF(D!S30&lt;&gt;D!T30,D!U30,),),)</f>
        <v>0</v>
      </c>
      <c r="V30" s="875">
        <f>IF(D!Q30&lt;&gt;D!R30,IF(D!Q30&lt;&gt;0,IF(D!S30&lt;&gt;D!T30,D!V30,),),)</f>
        <v>0</v>
      </c>
      <c r="W30" s="622">
        <f>IF(Q30="","",$W$5-SUM($Q$7:Q30))</f>
        <v>0</v>
      </c>
      <c r="X30" s="395"/>
      <c r="Y30" s="906" t="str">
        <f>IF(D!Y30&lt;&gt;"",D!Y30,)</f>
        <v xml:space="preserve">  Car Insurance and Licensing</v>
      </c>
      <c r="Z30" s="457">
        <f>D!Z30</f>
        <v>0</v>
      </c>
      <c r="AA30" s="20">
        <f t="shared" si="0"/>
        <v>0</v>
      </c>
      <c r="AB30" s="723"/>
      <c r="AC30" s="723"/>
      <c r="AD30" s="36">
        <f t="shared" si="1"/>
        <v>0</v>
      </c>
      <c r="AE30" s="23">
        <f t="shared" si="5"/>
        <v>0</v>
      </c>
      <c r="AF30" s="367"/>
      <c r="AG30" s="728">
        <f t="shared" si="2"/>
        <v>0</v>
      </c>
      <c r="AH30" s="367"/>
      <c r="AI30" s="375">
        <v>0</v>
      </c>
      <c r="AJ30" s="367"/>
      <c r="AK30" s="530" t="s">
        <v>34</v>
      </c>
      <c r="AL30" s="532" t="s">
        <v>33</v>
      </c>
      <c r="AM30" s="367"/>
      <c r="AN30" s="367"/>
      <c r="AO30" s="86"/>
      <c r="AP30" s="51">
        <f t="shared" si="3"/>
        <v>0</v>
      </c>
      <c r="AQ30" s="476">
        <f>D!AQ30+D!AP30</f>
        <v>0</v>
      </c>
      <c r="AR30" s="476">
        <f t="shared" si="4"/>
        <v>0</v>
      </c>
      <c r="AS30" s="477">
        <f>AD30+D!AS30</f>
        <v>0</v>
      </c>
      <c r="AT30" s="477">
        <f>AA30+D!AT30</f>
        <v>0</v>
      </c>
      <c r="AU30" s="476"/>
      <c r="AV30" s="477">
        <f>D!AV30-D!AD30+E!Z30-D!AP30</f>
        <v>0</v>
      </c>
      <c r="AW30" s="476">
        <f t="shared" si="6"/>
        <v>0</v>
      </c>
      <c r="AX30" s="52">
        <f>IF(Z30=D!Z30,D!AE30-AD30,D!AE30+(Z30-D!Z30)*$AW$16-AD30)</f>
        <v>0</v>
      </c>
      <c r="AZ30" s="726">
        <f t="shared" si="7"/>
        <v>0</v>
      </c>
    </row>
    <row r="31" spans="1:63" ht="15" customHeight="1">
      <c r="A31" s="367"/>
      <c r="B31" s="850">
        <f ca="1">IF(D!B31&lt;&gt;"",D!B31,)</f>
        <v>0</v>
      </c>
      <c r="C31" s="454">
        <f ca="1">D!C31</f>
        <v>0</v>
      </c>
      <c r="D31" s="74"/>
      <c r="E31" s="521"/>
      <c r="F31" s="858"/>
      <c r="G31" s="367"/>
      <c r="H31" s="543"/>
      <c r="I31" s="853"/>
      <c r="J31" s="6"/>
      <c r="K31" s="541"/>
      <c r="L31" s="860"/>
      <c r="M31" s="20" t="str">
        <f>IF(J31="","",$M$5-SUM($J$7:J31))</f>
        <v/>
      </c>
      <c r="N31" s="367"/>
      <c r="O31" s="7"/>
      <c r="P31" s="871">
        <f>IF(D!Q31&lt;&gt;D!R31,IF(D!Q31&lt;&gt;0,IF(D!S31&lt;&gt;D!T31,D!P31,),),)</f>
        <v>0</v>
      </c>
      <c r="Q31" s="795">
        <f>IF(D!Q31&lt;&gt;D!R31,IF(D!Q31&lt;&gt;0,IF(D!S31&lt;&gt;D!T31,D!Q31,),),)</f>
        <v>0</v>
      </c>
      <c r="R31" s="628">
        <f>IF(D!Q31&lt;&gt;D!R31,IF(D!Q31&lt;&gt;0,IF(D!S31&lt;&gt;D!T31,0,Q31),Q31),Q31)</f>
        <v>0</v>
      </c>
      <c r="S31" s="796">
        <f>IF(D!Q31&lt;&gt;D!R31,IF(D!Q31&lt;&gt;0,IF(D!S31&lt;&gt;D!T31,D!S31+1,),),)</f>
        <v>0</v>
      </c>
      <c r="T31" s="796">
        <f>IF(D!Q31&lt;&gt;D!R31,IF(D!Q31&lt;&gt;0,IF(D!S31&lt;&gt;D!T31,D!T31,),),)</f>
        <v>0</v>
      </c>
      <c r="U31" s="797">
        <f>IF(D!Q31&lt;&gt;D!R31,IF(D!Q31&lt;&gt;0,IF(D!S31&lt;&gt;D!T31,D!U31,),),)</f>
        <v>0</v>
      </c>
      <c r="V31" s="875">
        <f>IF(D!Q31&lt;&gt;D!R31,IF(D!Q31&lt;&gt;0,IF(D!S31&lt;&gt;D!T31,D!V31,),),)</f>
        <v>0</v>
      </c>
      <c r="W31" s="622">
        <f>IF(Q31="","",$W$5-SUM($Q$7:Q31))</f>
        <v>0</v>
      </c>
      <c r="X31" s="395"/>
      <c r="Y31" s="906" t="str">
        <f>IF(D!Y31&lt;&gt;"",D!Y31,)</f>
        <v>Car Maintenance</v>
      </c>
      <c r="Z31" s="457">
        <f>D!Z31</f>
        <v>0</v>
      </c>
      <c r="AA31" s="20">
        <f t="shared" si="0"/>
        <v>0</v>
      </c>
      <c r="AB31" s="723"/>
      <c r="AC31" s="723"/>
      <c r="AD31" s="36">
        <f t="shared" si="1"/>
        <v>0</v>
      </c>
      <c r="AE31" s="23">
        <f t="shared" si="5"/>
        <v>0</v>
      </c>
      <c r="AF31" s="367"/>
      <c r="AG31" s="728">
        <f t="shared" si="2"/>
        <v>0</v>
      </c>
      <c r="AH31" s="367"/>
      <c r="AI31" s="375">
        <v>0</v>
      </c>
      <c r="AJ31" s="367"/>
      <c r="AK31" s="530" t="s">
        <v>35</v>
      </c>
      <c r="AL31" s="533" t="s">
        <v>33</v>
      </c>
      <c r="AM31" s="367"/>
      <c r="AN31" s="367"/>
      <c r="AO31" s="86"/>
      <c r="AP31" s="51">
        <f t="shared" si="3"/>
        <v>0</v>
      </c>
      <c r="AQ31" s="476">
        <f>D!AQ31+D!AP31</f>
        <v>0</v>
      </c>
      <c r="AR31" s="476">
        <f t="shared" si="4"/>
        <v>0</v>
      </c>
      <c r="AS31" s="477">
        <f>AD31+D!AS31</f>
        <v>0</v>
      </c>
      <c r="AT31" s="477">
        <f>AA31+D!AT31</f>
        <v>0</v>
      </c>
      <c r="AU31" s="476"/>
      <c r="AV31" s="477">
        <f>D!AV31-D!AD31+E!Z31-D!AP31</f>
        <v>0</v>
      </c>
      <c r="AW31" s="476">
        <f t="shared" si="6"/>
        <v>0</v>
      </c>
      <c r="AX31" s="52">
        <f>IF(Z31=D!Z31,D!AE31-AD31,D!AE31+(Z31-D!Z31)*$AW$16-AD31)</f>
        <v>0</v>
      </c>
      <c r="AZ31" s="726">
        <f t="shared" si="7"/>
        <v>0</v>
      </c>
    </row>
    <row r="32" spans="1:63" ht="15" customHeight="1">
      <c r="A32" s="367"/>
      <c r="B32" s="850">
        <f ca="1">IF(D!B32&lt;&gt;"",D!B32,)</f>
        <v>0</v>
      </c>
      <c r="C32" s="454">
        <f ca="1">D!C32</f>
        <v>0</v>
      </c>
      <c r="D32" s="74"/>
      <c r="E32" s="521"/>
      <c r="F32" s="858"/>
      <c r="G32" s="367"/>
      <c r="H32" s="543"/>
      <c r="I32" s="853"/>
      <c r="J32" s="6"/>
      <c r="K32" s="541"/>
      <c r="L32" s="860"/>
      <c r="M32" s="20" t="str">
        <f>IF(J32="","",$M$5-SUM($J$7:J32))</f>
        <v/>
      </c>
      <c r="N32" s="367"/>
      <c r="O32" s="7"/>
      <c r="P32" s="873">
        <f>IF(D!Q32&lt;&gt;D!R32,IF(D!Q32&lt;&gt;0,IF(D!S32&lt;&gt;D!T32,D!P32,),),)</f>
        <v>0</v>
      </c>
      <c r="Q32" s="795">
        <f>IF(D!Q32&lt;&gt;D!R32,IF(D!Q32&lt;&gt;0,IF(D!S32&lt;&gt;D!T32,D!Q32,),),)</f>
        <v>0</v>
      </c>
      <c r="R32" s="628">
        <f>IF(D!Q32&lt;&gt;D!R32,IF(D!Q32&lt;&gt;0,IF(D!S32&lt;&gt;D!T32,0,Q32),Q32),Q32)</f>
        <v>0</v>
      </c>
      <c r="S32" s="796">
        <f>IF(D!Q32&lt;&gt;D!R32,IF(D!Q32&lt;&gt;0,IF(D!S32&lt;&gt;D!T32,D!S32+1,),),)</f>
        <v>0</v>
      </c>
      <c r="T32" s="796">
        <f>IF(D!Q32&lt;&gt;D!R32,IF(D!Q32&lt;&gt;0,IF(D!S32&lt;&gt;D!T32,D!T32,),),)</f>
        <v>0</v>
      </c>
      <c r="U32" s="797">
        <f>IF(D!Q32&lt;&gt;D!R32,IF(D!Q32&lt;&gt;0,IF(D!S32&lt;&gt;D!T32,D!U32,),),)</f>
        <v>0</v>
      </c>
      <c r="V32" s="875">
        <f>IF(D!Q32&lt;&gt;D!R32,IF(D!Q32&lt;&gt;0,IF(D!S32&lt;&gt;D!T32,D!V32,),),)</f>
        <v>0</v>
      </c>
      <c r="W32" s="622">
        <f>IF(Q32="","",$W$5-SUM($Q$7:Q32))</f>
        <v>0</v>
      </c>
      <c r="X32" s="389"/>
      <c r="Y32" s="906" t="str">
        <f>IF(D!Y32&lt;&gt;"",D!Y32,)</f>
        <v>Clothing and Shoes</v>
      </c>
      <c r="Z32" s="457">
        <f>D!Z32</f>
        <v>0</v>
      </c>
      <c r="AA32" s="20">
        <f t="shared" si="0"/>
        <v>0</v>
      </c>
      <c r="AB32" s="723"/>
      <c r="AC32" s="723"/>
      <c r="AD32" s="36">
        <f t="shared" si="1"/>
        <v>0</v>
      </c>
      <c r="AE32" s="23">
        <f t="shared" si="5"/>
        <v>0</v>
      </c>
      <c r="AF32" s="367"/>
      <c r="AG32" s="728">
        <f t="shared" si="2"/>
        <v>0</v>
      </c>
      <c r="AH32" s="367"/>
      <c r="AI32" s="375">
        <v>0</v>
      </c>
      <c r="AJ32" s="367"/>
      <c r="AK32" s="530" t="s">
        <v>36</v>
      </c>
      <c r="AL32" s="534" t="s">
        <v>33</v>
      </c>
      <c r="AM32" s="367"/>
      <c r="AN32" s="367"/>
      <c r="AO32" s="86"/>
      <c r="AP32" s="51">
        <f t="shared" si="3"/>
        <v>0</v>
      </c>
      <c r="AQ32" s="476">
        <f>D!AQ32+D!AP32</f>
        <v>0</v>
      </c>
      <c r="AR32" s="476">
        <f t="shared" si="4"/>
        <v>0</v>
      </c>
      <c r="AS32" s="477">
        <f>AD32+D!AS32</f>
        <v>0</v>
      </c>
      <c r="AT32" s="477">
        <f>AA32+D!AT32</f>
        <v>0</v>
      </c>
      <c r="AU32" s="476"/>
      <c r="AV32" s="477">
        <f>D!AV32-D!AD32+E!Z32-D!AP32</f>
        <v>0</v>
      </c>
      <c r="AW32" s="476">
        <f t="shared" si="6"/>
        <v>0</v>
      </c>
      <c r="AX32" s="52">
        <f>IF(Z32=D!Z32,D!AE32-AD32,D!AE32+(Z32-D!Z32)*$AW$16-AD32)</f>
        <v>0</v>
      </c>
      <c r="AZ32" s="726">
        <f t="shared" si="7"/>
        <v>0</v>
      </c>
    </row>
    <row r="33" spans="1:52" ht="15" customHeight="1">
      <c r="A33" s="367"/>
      <c r="B33" s="850">
        <f ca="1">IF(D!B33&lt;&gt;"",D!B33,)</f>
        <v>0</v>
      </c>
      <c r="C33" s="454">
        <f ca="1">D!C33</f>
        <v>0</v>
      </c>
      <c r="D33" s="74"/>
      <c r="E33" s="521"/>
      <c r="F33" s="858"/>
      <c r="G33" s="367"/>
      <c r="H33" s="543"/>
      <c r="I33" s="853"/>
      <c r="J33" s="6"/>
      <c r="K33" s="541"/>
      <c r="L33" s="860"/>
      <c r="M33" s="20" t="str">
        <f>IF(J33="","",$M$5-SUM($J$7:J33))</f>
        <v/>
      </c>
      <c r="N33" s="367"/>
      <c r="O33" s="7"/>
      <c r="P33" s="871">
        <f>IF(D!Q33&lt;&gt;D!R33,IF(D!Q33&lt;&gt;0,IF(D!S33&lt;&gt;D!T33,D!P33,),),)</f>
        <v>0</v>
      </c>
      <c r="Q33" s="795">
        <f>IF(D!Q33&lt;&gt;D!R33,IF(D!Q33&lt;&gt;0,IF(D!S33&lt;&gt;D!T33,D!Q33,),),)</f>
        <v>0</v>
      </c>
      <c r="R33" s="628">
        <f>IF(D!Q33&lt;&gt;D!R33,IF(D!Q33&lt;&gt;0,IF(D!S33&lt;&gt;D!T33,0,Q33),Q33),Q33)</f>
        <v>0</v>
      </c>
      <c r="S33" s="796">
        <f>IF(D!Q33&lt;&gt;D!R33,IF(D!Q33&lt;&gt;0,IF(D!S33&lt;&gt;D!T33,D!S33+1,),),)</f>
        <v>0</v>
      </c>
      <c r="T33" s="796">
        <f>IF(D!Q33&lt;&gt;D!R33,IF(D!Q33&lt;&gt;0,IF(D!S33&lt;&gt;D!T33,D!T33,),),)</f>
        <v>0</v>
      </c>
      <c r="U33" s="797">
        <f>IF(D!Q33&lt;&gt;D!R33,IF(D!Q33&lt;&gt;0,IF(D!S33&lt;&gt;D!T33,D!U33,),),)</f>
        <v>0</v>
      </c>
      <c r="V33" s="875">
        <f>IF(D!Q33&lt;&gt;D!R33,IF(D!Q33&lt;&gt;0,IF(D!S33&lt;&gt;D!T33,D!V33,),),)</f>
        <v>0</v>
      </c>
      <c r="W33" s="622">
        <f>IF(Q33="","",$W$5-SUM($Q$7:Q33))</f>
        <v>0</v>
      </c>
      <c r="X33" s="10"/>
      <c r="Y33" s="906" t="str">
        <f>IF(D!Y33&lt;&gt;"",D!Y33,)</f>
        <v>Medicine/Treatment</v>
      </c>
      <c r="Z33" s="457">
        <f>D!Z33</f>
        <v>0</v>
      </c>
      <c r="AA33" s="20">
        <f t="shared" si="0"/>
        <v>0</v>
      </c>
      <c r="AB33" s="723"/>
      <c r="AC33" s="723"/>
      <c r="AD33" s="36">
        <f t="shared" si="1"/>
        <v>0</v>
      </c>
      <c r="AE33" s="23">
        <f t="shared" si="5"/>
        <v>0</v>
      </c>
      <c r="AF33" s="367"/>
      <c r="AG33" s="728">
        <f t="shared" si="2"/>
        <v>0</v>
      </c>
      <c r="AH33" s="367"/>
      <c r="AI33" s="375">
        <v>0</v>
      </c>
      <c r="AJ33" s="367"/>
      <c r="AK33" s="530" t="s">
        <v>37</v>
      </c>
      <c r="AL33" s="535" t="s">
        <v>33</v>
      </c>
      <c r="AM33" s="367"/>
      <c r="AN33" s="367"/>
      <c r="AO33" s="86"/>
      <c r="AP33" s="51">
        <f t="shared" si="3"/>
        <v>0</v>
      </c>
      <c r="AQ33" s="476">
        <f>D!AQ33+D!AP33</f>
        <v>0</v>
      </c>
      <c r="AR33" s="476">
        <f t="shared" si="4"/>
        <v>0</v>
      </c>
      <c r="AS33" s="477">
        <f>AD33+D!AS33</f>
        <v>0</v>
      </c>
      <c r="AT33" s="477">
        <f>AA33+D!AT33</f>
        <v>0</v>
      </c>
      <c r="AU33" s="476"/>
      <c r="AV33" s="477">
        <f>D!AV33-D!AD33+E!Z33-D!AP33</f>
        <v>0</v>
      </c>
      <c r="AW33" s="476">
        <f t="shared" si="6"/>
        <v>0</v>
      </c>
      <c r="AX33" s="52">
        <f>IF(Z33=D!Z33,D!AE33-AD33,D!AE33+(Z33-D!Z33)*$AW$16-AD33)</f>
        <v>0</v>
      </c>
      <c r="AZ33" s="726">
        <f t="shared" si="7"/>
        <v>0</v>
      </c>
    </row>
    <row r="34" spans="1:52" ht="15" customHeight="1">
      <c r="A34" s="367"/>
      <c r="B34" s="850">
        <f ca="1">IF(D!B34&lt;&gt;"",D!B34,)</f>
        <v>0</v>
      </c>
      <c r="C34" s="454">
        <f ca="1">D!C34</f>
        <v>0</v>
      </c>
      <c r="D34" s="74"/>
      <c r="E34" s="521"/>
      <c r="F34" s="858"/>
      <c r="G34" s="367"/>
      <c r="H34" s="543"/>
      <c r="I34" s="853"/>
      <c r="J34" s="6"/>
      <c r="K34" s="541"/>
      <c r="L34" s="860"/>
      <c r="M34" s="20" t="str">
        <f>IF(J34="","",$M$5-SUM($J$7:J34))</f>
        <v/>
      </c>
      <c r="N34" s="367"/>
      <c r="O34" s="7"/>
      <c r="P34" s="873">
        <f>IF(D!Q34&lt;&gt;D!R34,IF(D!Q34&lt;&gt;0,IF(D!S34&lt;&gt;D!T34,D!P34,),),)</f>
        <v>0</v>
      </c>
      <c r="Q34" s="795">
        <f>IF(D!Q34&lt;&gt;D!R34,IF(D!Q34&lt;&gt;0,IF(D!S34&lt;&gt;D!T34,D!Q34,),),)</f>
        <v>0</v>
      </c>
      <c r="R34" s="628">
        <f>IF(D!Q34&lt;&gt;D!R34,IF(D!Q34&lt;&gt;0,IF(D!S34&lt;&gt;D!T34,0,Q34),Q34),Q34)</f>
        <v>0</v>
      </c>
      <c r="S34" s="796">
        <f>IF(D!Q34&lt;&gt;D!R34,IF(D!Q34&lt;&gt;0,IF(D!S34&lt;&gt;D!T34,D!S34+1,),),)</f>
        <v>0</v>
      </c>
      <c r="T34" s="796">
        <f>IF(D!Q34&lt;&gt;D!R34,IF(D!Q34&lt;&gt;0,IF(D!S34&lt;&gt;D!T34,D!T34,),),)</f>
        <v>0</v>
      </c>
      <c r="U34" s="797">
        <f>IF(D!Q34&lt;&gt;D!R34,IF(D!Q34&lt;&gt;0,IF(D!S34&lt;&gt;D!T34,D!U34,),),)</f>
        <v>0</v>
      </c>
      <c r="V34" s="875">
        <f>IF(D!Q34&lt;&gt;D!R34,IF(D!Q34&lt;&gt;0,IF(D!S34&lt;&gt;D!T34,D!V34,),),)</f>
        <v>0</v>
      </c>
      <c r="W34" s="622">
        <f>IF(Q34="","",$W$5-SUM($Q$7:Q34))</f>
        <v>0</v>
      </c>
      <c r="X34" s="10"/>
      <c r="Y34" s="905" t="str">
        <f>IF(D!Y34&lt;&gt;"",D!Y34,)</f>
        <v>Bank Interest and Fees</v>
      </c>
      <c r="Z34" s="457">
        <f>D!Z34</f>
        <v>0</v>
      </c>
      <c r="AA34" s="20">
        <f t="shared" si="0"/>
        <v>0</v>
      </c>
      <c r="AB34" s="723"/>
      <c r="AC34" s="723"/>
      <c r="AD34" s="36">
        <f t="shared" si="1"/>
        <v>0</v>
      </c>
      <c r="AE34" s="23">
        <f t="shared" si="5"/>
        <v>0</v>
      </c>
      <c r="AF34" s="367"/>
      <c r="AG34" s="728">
        <f t="shared" si="2"/>
        <v>0</v>
      </c>
      <c r="AH34" s="367"/>
      <c r="AI34" s="375">
        <v>0</v>
      </c>
      <c r="AJ34" s="367"/>
      <c r="AK34" s="530" t="s">
        <v>38</v>
      </c>
      <c r="AL34" s="536" t="s">
        <v>33</v>
      </c>
      <c r="AM34" s="367"/>
      <c r="AN34" s="367"/>
      <c r="AO34" s="86"/>
      <c r="AP34" s="51">
        <f t="shared" si="3"/>
        <v>0</v>
      </c>
      <c r="AQ34" s="476">
        <f>D!AQ34+D!AP34</f>
        <v>0</v>
      </c>
      <c r="AR34" s="476">
        <f t="shared" si="4"/>
        <v>0</v>
      </c>
      <c r="AS34" s="477">
        <f>AD34+D!AS34</f>
        <v>0</v>
      </c>
      <c r="AT34" s="477">
        <f>AA34+D!AT34</f>
        <v>0</v>
      </c>
      <c r="AU34" s="476"/>
      <c r="AV34" s="477">
        <f>D!AV34-D!AD34+E!Z34-D!AP34</f>
        <v>0</v>
      </c>
      <c r="AW34" s="476">
        <f t="shared" si="6"/>
        <v>0</v>
      </c>
      <c r="AX34" s="52">
        <f>IF(Z34=D!Z34,D!AE34-AD34,D!AE34+(Z34-D!Z34)*$AW$16-AD34)</f>
        <v>0</v>
      </c>
      <c r="AZ34" s="726">
        <f t="shared" si="7"/>
        <v>0</v>
      </c>
    </row>
    <row r="35" spans="1:52" ht="15" customHeight="1">
      <c r="A35" s="367"/>
      <c r="B35" s="850">
        <f ca="1">IF(D!B35&lt;&gt;"",D!B35,)</f>
        <v>0</v>
      </c>
      <c r="C35" s="454">
        <f ca="1">D!C35</f>
        <v>0</v>
      </c>
      <c r="D35" s="74"/>
      <c r="E35" s="521"/>
      <c r="F35" s="858"/>
      <c r="G35" s="367"/>
      <c r="H35" s="543"/>
      <c r="I35" s="853"/>
      <c r="J35" s="6"/>
      <c r="K35" s="541"/>
      <c r="L35" s="860"/>
      <c r="M35" s="20" t="str">
        <f>IF(J35="","",$M$5-SUM($J$7:J35))</f>
        <v/>
      </c>
      <c r="N35" s="367"/>
      <c r="O35" s="7"/>
      <c r="P35" s="871">
        <f>IF(D!Q35&lt;&gt;D!R35,IF(D!Q35&lt;&gt;0,IF(D!S35&lt;&gt;D!T35,D!P35,),),)</f>
        <v>0</v>
      </c>
      <c r="Q35" s="799">
        <f>IF(D!Q35&lt;&gt;D!R35,IF(D!Q35&lt;&gt;0,IF(D!S35&lt;&gt;D!T35,D!Q35,),),)</f>
        <v>0</v>
      </c>
      <c r="R35" s="628">
        <f>IF(D!Q35&lt;&gt;D!R35,IF(D!Q35&lt;&gt;0,IF(D!S35&lt;&gt;D!T35,0,Q35),Q35),Q35)</f>
        <v>0</v>
      </c>
      <c r="S35" s="796">
        <f>IF(D!Q35&lt;&gt;D!R35,IF(D!Q35&lt;&gt;0,IF(D!S35&lt;&gt;D!T35,D!S35+1,),),)</f>
        <v>0</v>
      </c>
      <c r="T35" s="796">
        <f>IF(D!Q35&lt;&gt;D!R35,IF(D!Q35&lt;&gt;0,IF(D!S35&lt;&gt;D!T35,D!T35,),),)</f>
        <v>0</v>
      </c>
      <c r="U35" s="797">
        <f>IF(D!Q35&lt;&gt;D!R35,IF(D!Q35&lt;&gt;0,IF(D!S35&lt;&gt;D!T35,D!U35,),),)</f>
        <v>0</v>
      </c>
      <c r="V35" s="875">
        <f>IF(D!Q35&lt;&gt;D!R35,IF(D!Q35&lt;&gt;0,IF(D!S35&lt;&gt;D!T35,D!V35,),),)</f>
        <v>0</v>
      </c>
      <c r="W35" s="626">
        <f>IF(Q35="","",$W$5-SUM($Q$7:Q35))</f>
        <v>0</v>
      </c>
      <c r="X35" s="395"/>
      <c r="Y35" s="905" t="str">
        <f>IF(D!Y35&lt;&gt;"",D!Y35,)</f>
        <v>Dental treatments</v>
      </c>
      <c r="Z35" s="457">
        <f>D!Z35</f>
        <v>0</v>
      </c>
      <c r="AA35" s="20">
        <f t="shared" si="0"/>
        <v>0</v>
      </c>
      <c r="AB35" s="723"/>
      <c r="AC35" s="723"/>
      <c r="AD35" s="36">
        <f t="shared" si="1"/>
        <v>0</v>
      </c>
      <c r="AE35" s="23">
        <f t="shared" si="5"/>
        <v>0</v>
      </c>
      <c r="AF35" s="367"/>
      <c r="AG35" s="728">
        <f t="shared" si="2"/>
        <v>0</v>
      </c>
      <c r="AH35" s="367"/>
      <c r="AI35" s="375">
        <v>0</v>
      </c>
      <c r="AJ35" s="367"/>
      <c r="AK35" s="530" t="s">
        <v>39</v>
      </c>
      <c r="AL35" s="537" t="s">
        <v>33</v>
      </c>
      <c r="AM35" s="367"/>
      <c r="AN35" s="367"/>
      <c r="AO35" s="86"/>
      <c r="AP35" s="51">
        <f t="shared" si="3"/>
        <v>0</v>
      </c>
      <c r="AQ35" s="476">
        <f>D!AQ35+D!AP35</f>
        <v>0</v>
      </c>
      <c r="AR35" s="476">
        <f t="shared" si="4"/>
        <v>0</v>
      </c>
      <c r="AS35" s="477">
        <f>AD35+D!AS35</f>
        <v>0</v>
      </c>
      <c r="AT35" s="477">
        <f>AA35+D!AT35</f>
        <v>0</v>
      </c>
      <c r="AU35" s="476"/>
      <c r="AV35" s="477">
        <f>D!AV35-D!AD35+E!Z35-D!AP35</f>
        <v>0</v>
      </c>
      <c r="AW35" s="476">
        <f t="shared" si="6"/>
        <v>0</v>
      </c>
      <c r="AX35" s="52">
        <f>IF(Z35=D!Z35,D!AE35-AD35,D!AE35+(Z35-D!Z35)*$AW$16-AD35)</f>
        <v>0</v>
      </c>
      <c r="AZ35" s="726">
        <f t="shared" si="7"/>
        <v>0</v>
      </c>
    </row>
    <row r="36" spans="1:52" ht="15" customHeight="1">
      <c r="A36" s="367"/>
      <c r="B36" s="850">
        <f ca="1">IF(D!B36&lt;&gt;"",D!B36,)</f>
        <v>0</v>
      </c>
      <c r="C36" s="454">
        <f ca="1">D!C36</f>
        <v>0</v>
      </c>
      <c r="D36" s="74"/>
      <c r="E36" s="521"/>
      <c r="F36" s="858"/>
      <c r="G36" s="367"/>
      <c r="H36" s="543"/>
      <c r="I36" s="853"/>
      <c r="J36" s="6"/>
      <c r="K36" s="541"/>
      <c r="L36" s="860"/>
      <c r="M36" s="20" t="str">
        <f>IF(J36="","",$M$5-SUM($J$7:J36))</f>
        <v/>
      </c>
      <c r="N36" s="367"/>
      <c r="O36" s="7"/>
      <c r="P36" s="873">
        <f>IF(D!Q36&lt;&gt;D!R36,IF(D!Q36&lt;&gt;0,IF(D!S36&lt;&gt;D!T36,D!P36,),),)</f>
        <v>0</v>
      </c>
      <c r="Q36" s="795">
        <f>IF(D!Q36&lt;&gt;D!R36,IF(D!Q36&lt;&gt;0,IF(D!S36&lt;&gt;D!T36,D!Q36,),),)</f>
        <v>0</v>
      </c>
      <c r="R36" s="628">
        <f>IF(D!Q36&lt;&gt;D!R36,IF(D!Q36&lt;&gt;0,IF(D!S36&lt;&gt;D!T36,0,Q36),Q36),Q36)</f>
        <v>0</v>
      </c>
      <c r="S36" s="796">
        <f>IF(D!Q36&lt;&gt;D!R36,IF(D!Q36&lt;&gt;0,IF(D!S36&lt;&gt;D!T36,D!S36+1,),),)</f>
        <v>0</v>
      </c>
      <c r="T36" s="796">
        <f>IF(D!Q36&lt;&gt;D!R36,IF(D!Q36&lt;&gt;0,IF(D!S36&lt;&gt;D!T36,D!T36,),),)</f>
        <v>0</v>
      </c>
      <c r="U36" s="797">
        <f>IF(D!Q36&lt;&gt;D!R36,IF(D!Q36&lt;&gt;0,IF(D!S36&lt;&gt;D!T36,D!U36,),),)</f>
        <v>0</v>
      </c>
      <c r="V36" s="875">
        <f>IF(D!Q36&lt;&gt;D!R36,IF(D!Q36&lt;&gt;0,IF(D!S36&lt;&gt;D!T36,D!V36,),),)</f>
        <v>0</v>
      </c>
      <c r="W36" s="622">
        <f>IF(Q36="","",$W$5-SUM($Q$7:Q36))</f>
        <v>0</v>
      </c>
      <c r="X36" s="395"/>
      <c r="Y36" s="905" t="str">
        <f>IF(D!Y36&lt;&gt;"",D!Y36,)</f>
        <v>Eyeglasses/Contact Lens</v>
      </c>
      <c r="Z36" s="457">
        <f>D!Z36</f>
        <v>0</v>
      </c>
      <c r="AA36" s="20">
        <f t="shared" si="0"/>
        <v>0</v>
      </c>
      <c r="AB36" s="723"/>
      <c r="AC36" s="723"/>
      <c r="AD36" s="36">
        <f t="shared" si="1"/>
        <v>0</v>
      </c>
      <c r="AE36" s="23">
        <f t="shared" si="5"/>
        <v>0</v>
      </c>
      <c r="AF36" s="367"/>
      <c r="AG36" s="728">
        <f t="shared" si="2"/>
        <v>0</v>
      </c>
      <c r="AH36" s="367"/>
      <c r="AI36" s="375">
        <v>0</v>
      </c>
      <c r="AJ36" s="367"/>
      <c r="AK36" s="530" t="s">
        <v>40</v>
      </c>
      <c r="AL36" s="538" t="s">
        <v>33</v>
      </c>
      <c r="AM36" s="367"/>
      <c r="AN36" s="367"/>
      <c r="AO36" s="86"/>
      <c r="AP36" s="51">
        <f t="shared" si="3"/>
        <v>0</v>
      </c>
      <c r="AQ36" s="476">
        <f>D!AQ36+D!AP36</f>
        <v>0</v>
      </c>
      <c r="AR36" s="476">
        <f t="shared" si="4"/>
        <v>0</v>
      </c>
      <c r="AS36" s="477">
        <f>AD36+D!AS36</f>
        <v>0</v>
      </c>
      <c r="AT36" s="477">
        <f>AA36+D!AT36</f>
        <v>0</v>
      </c>
      <c r="AU36" s="476"/>
      <c r="AV36" s="477">
        <f>D!AV36-D!AD36+E!Z36-D!AP36</f>
        <v>0</v>
      </c>
      <c r="AW36" s="476">
        <f t="shared" si="6"/>
        <v>0</v>
      </c>
      <c r="AX36" s="52">
        <f>IF(Z36=D!Z36,D!AE36-AD36,D!AE36+(Z36-D!Z36)*$AW$16-AD36)</f>
        <v>0</v>
      </c>
      <c r="AZ36" s="726">
        <f t="shared" si="7"/>
        <v>0</v>
      </c>
    </row>
    <row r="37" spans="1:52" ht="15" customHeight="1" thickBot="1">
      <c r="A37" s="367"/>
      <c r="B37" s="850">
        <f ca="1">IF(D!B37&lt;&gt;"",D!B37,)</f>
        <v>0</v>
      </c>
      <c r="C37" s="454">
        <f ca="1">D!C37</f>
        <v>0</v>
      </c>
      <c r="D37" s="74"/>
      <c r="E37" s="521"/>
      <c r="F37" s="858"/>
      <c r="G37" s="367"/>
      <c r="H37" s="543"/>
      <c r="I37" s="853"/>
      <c r="J37" s="6"/>
      <c r="K37" s="541"/>
      <c r="L37" s="860"/>
      <c r="M37" s="20" t="str">
        <f>IF(J37="","",$M$5-SUM($J$7:J37))</f>
        <v/>
      </c>
      <c r="N37" s="367"/>
      <c r="O37" s="7"/>
      <c r="P37" s="871">
        <f>IF(D!Q37&lt;&gt;D!R37,IF(D!Q37&lt;&gt;0,IF(D!S37&lt;&gt;D!T37,D!P37,),),)</f>
        <v>0</v>
      </c>
      <c r="Q37" s="795">
        <f>IF(D!Q37&lt;&gt;D!R37,IF(D!Q37&lt;&gt;0,IF(D!S37&lt;&gt;D!T37,D!Q37,),),)</f>
        <v>0</v>
      </c>
      <c r="R37" s="628">
        <f>IF(D!Q37&lt;&gt;D!R37,IF(D!Q37&lt;&gt;0,IF(D!S37&lt;&gt;D!T37,0,Q37),Q37),Q37)</f>
        <v>0</v>
      </c>
      <c r="S37" s="796">
        <f>IF(D!Q37&lt;&gt;D!R37,IF(D!Q37&lt;&gt;0,IF(D!S37&lt;&gt;D!T37,D!S37+1,),),)</f>
        <v>0</v>
      </c>
      <c r="T37" s="796">
        <f>IF(D!Q37&lt;&gt;D!R37,IF(D!Q37&lt;&gt;0,IF(D!S37&lt;&gt;D!T37,D!T37,),),)</f>
        <v>0</v>
      </c>
      <c r="U37" s="797">
        <f>IF(D!Q37&lt;&gt;D!R37,IF(D!Q37&lt;&gt;0,IF(D!S37&lt;&gt;D!T37,D!U37,),),)</f>
        <v>0</v>
      </c>
      <c r="V37" s="875">
        <f>IF(D!Q37&lt;&gt;D!R37,IF(D!Q37&lt;&gt;0,IF(D!S37&lt;&gt;D!T37,D!V37,),),)</f>
        <v>0</v>
      </c>
      <c r="W37" s="622">
        <f>IF(Q37="","",$W$5-SUM($Q$7:Q37))</f>
        <v>0</v>
      </c>
      <c r="X37" s="395"/>
      <c r="Y37" s="905" t="str">
        <f>IF(D!Y37&lt;&gt;"",D!Y37,)</f>
        <v>Vacations</v>
      </c>
      <c r="Z37" s="457">
        <f>D!Z37</f>
        <v>0</v>
      </c>
      <c r="AA37" s="20">
        <f t="shared" si="0"/>
        <v>0</v>
      </c>
      <c r="AB37" s="723"/>
      <c r="AC37" s="723"/>
      <c r="AD37" s="36">
        <f t="shared" si="1"/>
        <v>0</v>
      </c>
      <c r="AE37" s="23">
        <f t="shared" si="5"/>
        <v>0</v>
      </c>
      <c r="AF37" s="367"/>
      <c r="AG37" s="728">
        <f t="shared" si="2"/>
        <v>0</v>
      </c>
      <c r="AH37" s="367"/>
      <c r="AI37" s="375">
        <v>0</v>
      </c>
      <c r="AJ37" s="367"/>
      <c r="AK37" s="539" t="s">
        <v>41</v>
      </c>
      <c r="AL37" s="540" t="s">
        <v>33</v>
      </c>
      <c r="AM37" s="367"/>
      <c r="AN37" s="367"/>
      <c r="AO37" s="86"/>
      <c r="AP37" s="51">
        <f t="shared" si="3"/>
        <v>0</v>
      </c>
      <c r="AQ37" s="476">
        <f>D!AQ37+D!AP37</f>
        <v>0</v>
      </c>
      <c r="AR37" s="476">
        <f t="shared" si="4"/>
        <v>0</v>
      </c>
      <c r="AS37" s="477">
        <f>AD37+D!AS37</f>
        <v>0</v>
      </c>
      <c r="AT37" s="477">
        <f>AA37+D!AT37</f>
        <v>0</v>
      </c>
      <c r="AU37" s="476"/>
      <c r="AV37" s="477">
        <f>D!AV37-D!AD37+E!Z37-D!AP37</f>
        <v>0</v>
      </c>
      <c r="AW37" s="476">
        <f t="shared" si="6"/>
        <v>0</v>
      </c>
      <c r="AX37" s="52">
        <f>IF(Z37=D!Z37,D!AE37-AD37,D!AE37+(Z37-D!Z37)*$AW$16-AD37)</f>
        <v>0</v>
      </c>
      <c r="AZ37" s="726">
        <f t="shared" si="7"/>
        <v>0</v>
      </c>
    </row>
    <row r="38" spans="1:52" ht="15" customHeight="1">
      <c r="A38" s="367"/>
      <c r="B38" s="850">
        <f ca="1">IF(D!B38&lt;&gt;"",D!B38,)</f>
        <v>0</v>
      </c>
      <c r="C38" s="454">
        <f ca="1">D!C38</f>
        <v>0</v>
      </c>
      <c r="D38" s="74"/>
      <c r="E38" s="521"/>
      <c r="F38" s="858"/>
      <c r="G38" s="367"/>
      <c r="H38" s="543"/>
      <c r="I38" s="853"/>
      <c r="J38" s="6"/>
      <c r="K38" s="541"/>
      <c r="L38" s="860"/>
      <c r="M38" s="20" t="str">
        <f>IF(J38="","",$M$5-SUM($J$7:J38))</f>
        <v/>
      </c>
      <c r="N38" s="367"/>
      <c r="O38" s="7"/>
      <c r="P38" s="873">
        <f>IF(D!Q38&lt;&gt;D!R38,IF(D!Q38&lt;&gt;0,IF(D!S38&lt;&gt;D!T38,D!P38,),),)</f>
        <v>0</v>
      </c>
      <c r="Q38" s="795">
        <f>IF(D!Q38&lt;&gt;D!R38,IF(D!Q38&lt;&gt;0,IF(D!S38&lt;&gt;D!T38,D!Q38,),),)</f>
        <v>0</v>
      </c>
      <c r="R38" s="628">
        <f>IF(D!Q38&lt;&gt;D!R38,IF(D!Q38&lt;&gt;0,IF(D!S38&lt;&gt;D!T38,0,Q38),Q38),Q38)</f>
        <v>0</v>
      </c>
      <c r="S38" s="796">
        <f>IF(D!Q38&lt;&gt;D!R38,IF(D!Q38&lt;&gt;0,IF(D!S38&lt;&gt;D!T38,D!S38+1,),),)</f>
        <v>0</v>
      </c>
      <c r="T38" s="796">
        <f>IF(D!Q38&lt;&gt;D!R38,IF(D!Q38&lt;&gt;0,IF(D!S38&lt;&gt;D!T38,D!T38,),),)</f>
        <v>0</v>
      </c>
      <c r="U38" s="797">
        <f>IF(D!Q38&lt;&gt;D!R38,IF(D!Q38&lt;&gt;0,IF(D!S38&lt;&gt;D!T38,D!U38,),),)</f>
        <v>0</v>
      </c>
      <c r="V38" s="875">
        <f>IF(D!Q38&lt;&gt;D!R38,IF(D!Q38&lt;&gt;0,IF(D!S38&lt;&gt;D!T38,D!V38,),),)</f>
        <v>0</v>
      </c>
      <c r="W38" s="625">
        <f>IF(Q38="","",$W$5-SUM($Q$7:Q38))</f>
        <v>0</v>
      </c>
      <c r="X38" s="621"/>
      <c r="Y38" s="906" t="str">
        <f>IF(D!Y38&lt;&gt;"",D!Y38,)</f>
        <v>Religious expenses</v>
      </c>
      <c r="Z38" s="457">
        <f>D!Z38</f>
        <v>0</v>
      </c>
      <c r="AA38" s="20">
        <f t="shared" si="0"/>
        <v>0</v>
      </c>
      <c r="AB38" s="723"/>
      <c r="AC38" s="723"/>
      <c r="AD38" s="36">
        <f t="shared" si="1"/>
        <v>0</v>
      </c>
      <c r="AE38" s="23">
        <f t="shared" si="5"/>
        <v>0</v>
      </c>
      <c r="AF38" s="367"/>
      <c r="AG38" s="728">
        <f t="shared" si="2"/>
        <v>0</v>
      </c>
      <c r="AH38" s="367"/>
      <c r="AI38" s="375">
        <v>0</v>
      </c>
      <c r="AJ38" s="367"/>
      <c r="AK38" s="367"/>
      <c r="AL38" s="367"/>
      <c r="AM38" s="367"/>
      <c r="AN38" s="367"/>
      <c r="AO38" s="86"/>
      <c r="AP38" s="51">
        <f t="shared" si="3"/>
        <v>0</v>
      </c>
      <c r="AQ38" s="476">
        <f>D!AQ38+D!AP38</f>
        <v>0</v>
      </c>
      <c r="AR38" s="476">
        <f t="shared" si="4"/>
        <v>0</v>
      </c>
      <c r="AS38" s="477">
        <f>AD38+D!AS38</f>
        <v>0</v>
      </c>
      <c r="AT38" s="477">
        <f>AA38+D!AT38</f>
        <v>0</v>
      </c>
      <c r="AU38" s="476"/>
      <c r="AV38" s="477">
        <f>D!AV38-D!AD38+E!Z38-D!AP38</f>
        <v>0</v>
      </c>
      <c r="AW38" s="476">
        <f t="shared" si="6"/>
        <v>0</v>
      </c>
      <c r="AX38" s="52">
        <f>IF(Z38=D!Z38,D!AE38-AD38,D!AE38+(Z38-D!Z38)*$AW$16-AD38)</f>
        <v>0</v>
      </c>
      <c r="AZ38" s="726">
        <f t="shared" si="7"/>
        <v>0</v>
      </c>
    </row>
    <row r="39" spans="1:52" ht="15" customHeight="1">
      <c r="A39" s="367"/>
      <c r="B39" s="850">
        <f ca="1">IF(D!B39&lt;&gt;"",D!B39,)</f>
        <v>0</v>
      </c>
      <c r="C39" s="454">
        <f ca="1">D!C39</f>
        <v>0</v>
      </c>
      <c r="D39" s="74"/>
      <c r="E39" s="521"/>
      <c r="F39" s="858"/>
      <c r="G39" s="367"/>
      <c r="H39" s="543"/>
      <c r="I39" s="853"/>
      <c r="J39" s="6"/>
      <c r="K39" s="541"/>
      <c r="L39" s="860"/>
      <c r="M39" s="20" t="str">
        <f>IF(J39="","",$M$5-SUM($J$7:J39))</f>
        <v/>
      </c>
      <c r="N39" s="367"/>
      <c r="O39" s="7"/>
      <c r="P39" s="872">
        <f>IF(D!Q39&lt;&gt;D!R39,IF(D!Q39&lt;&gt;0,IF(D!S39&lt;&gt;D!T39,D!P39,),),)</f>
        <v>0</v>
      </c>
      <c r="Q39" s="795">
        <f>IF(D!Q39&lt;&gt;D!R39,IF(D!Q39&lt;&gt;0,IF(D!S39&lt;&gt;D!T39,D!Q39,),),)</f>
        <v>0</v>
      </c>
      <c r="R39" s="628">
        <f>IF(D!Q39&lt;&gt;D!R39,IF(D!Q39&lt;&gt;0,IF(D!S39&lt;&gt;D!T39,0,Q39),Q39),Q39)</f>
        <v>0</v>
      </c>
      <c r="S39" s="796">
        <f>IF(D!Q39&lt;&gt;D!R39,IF(D!Q39&lt;&gt;0,IF(D!S39&lt;&gt;D!T39,D!S39+1,),),)</f>
        <v>0</v>
      </c>
      <c r="T39" s="796">
        <f>IF(D!Q39&lt;&gt;D!R39,IF(D!Q39&lt;&gt;0,IF(D!S39&lt;&gt;D!T39,D!T39,),),)</f>
        <v>0</v>
      </c>
      <c r="U39" s="797">
        <f>IF(D!Q39&lt;&gt;D!R39,IF(D!Q39&lt;&gt;0,IF(D!S39&lt;&gt;D!T39,D!U39,),),)</f>
        <v>0</v>
      </c>
      <c r="V39" s="875">
        <f>IF(D!Q39&lt;&gt;D!R39,IF(D!Q39&lt;&gt;0,IF(D!S39&lt;&gt;D!T39,D!V39,),),)</f>
        <v>0</v>
      </c>
      <c r="W39" s="622">
        <f>IF(Q39="","",$W$5-SUM($Q$7:Q39))</f>
        <v>0</v>
      </c>
      <c r="X39" s="395"/>
      <c r="Y39" s="906" t="str">
        <f>IF(D!Y39&lt;&gt;"",D!Y39,)</f>
        <v>Gifts</v>
      </c>
      <c r="Z39" s="457">
        <f>D!Z39</f>
        <v>0</v>
      </c>
      <c r="AA39" s="20">
        <f t="shared" si="0"/>
        <v>0</v>
      </c>
      <c r="AB39" s="723"/>
      <c r="AC39" s="723"/>
      <c r="AD39" s="36">
        <f t="shared" si="1"/>
        <v>0</v>
      </c>
      <c r="AE39" s="23">
        <f t="shared" si="5"/>
        <v>0</v>
      </c>
      <c r="AF39" s="367"/>
      <c r="AG39" s="728">
        <f t="shared" si="2"/>
        <v>0</v>
      </c>
      <c r="AH39" s="367"/>
      <c r="AI39" s="375">
        <v>0</v>
      </c>
      <c r="AJ39" s="367"/>
      <c r="AK39" s="367"/>
      <c r="AL39" s="367"/>
      <c r="AM39" s="367"/>
      <c r="AN39" s="367"/>
      <c r="AO39" s="86"/>
      <c r="AP39" s="51">
        <f t="shared" si="3"/>
        <v>0</v>
      </c>
      <c r="AQ39" s="476">
        <f>D!AQ39+D!AP39</f>
        <v>0</v>
      </c>
      <c r="AR39" s="476">
        <f t="shared" si="4"/>
        <v>0</v>
      </c>
      <c r="AS39" s="477">
        <f>AD39+D!AS39</f>
        <v>0</v>
      </c>
      <c r="AT39" s="477">
        <f>AA39+D!AT39</f>
        <v>0</v>
      </c>
      <c r="AU39" s="476"/>
      <c r="AV39" s="477">
        <f>D!AV39-D!AD39+E!Z39-D!AP39</f>
        <v>0</v>
      </c>
      <c r="AW39" s="476">
        <f t="shared" si="6"/>
        <v>0</v>
      </c>
      <c r="AX39" s="52">
        <f>IF(Z39=D!Z39,D!AE39-AD39,D!AE39+(Z39-D!Z39)*$AW$16-AD39)</f>
        <v>0</v>
      </c>
      <c r="AZ39" s="726">
        <f t="shared" si="7"/>
        <v>0</v>
      </c>
    </row>
    <row r="40" spans="1:52" ht="15" customHeight="1">
      <c r="A40" s="367"/>
      <c r="B40" s="16" t="s">
        <v>179</v>
      </c>
      <c r="C40" s="77">
        <f ca="1">SUM(C27:C39)+SUM(C65:C86)</f>
        <v>0</v>
      </c>
      <c r="D40" s="75">
        <f>SUM(D27:D39)+SUM(D65:D86)</f>
        <v>0</v>
      </c>
      <c r="E40" s="515"/>
      <c r="F40" s="515"/>
      <c r="G40" s="367"/>
      <c r="H40" s="543"/>
      <c r="I40" s="853"/>
      <c r="J40" s="6"/>
      <c r="K40" s="541"/>
      <c r="L40" s="860"/>
      <c r="M40" s="20" t="str">
        <f>IF(J40="","",$M$5-SUM($J$7:J40))</f>
        <v/>
      </c>
      <c r="N40" s="367"/>
      <c r="O40" s="7"/>
      <c r="P40" s="871">
        <f>IF(D!Q40&lt;&gt;D!R40,IF(D!Q40&lt;&gt;0,IF(D!S40&lt;&gt;D!T40,D!P40,),),)</f>
        <v>0</v>
      </c>
      <c r="Q40" s="795">
        <f>IF(D!Q40&lt;&gt;D!R40,IF(D!Q40&lt;&gt;0,IF(D!S40&lt;&gt;D!T40,D!Q40,),),)</f>
        <v>0</v>
      </c>
      <c r="R40" s="628">
        <f>IF(D!Q40&lt;&gt;D!R40,IF(D!Q40&lt;&gt;0,IF(D!S40&lt;&gt;D!T40,0,Q40),Q40),Q40)</f>
        <v>0</v>
      </c>
      <c r="S40" s="796">
        <f>IF(D!Q40&lt;&gt;D!R40,IF(D!Q40&lt;&gt;0,IF(D!S40&lt;&gt;D!T40,D!S40+1,),),)</f>
        <v>0</v>
      </c>
      <c r="T40" s="796">
        <f>IF(D!Q40&lt;&gt;D!R40,IF(D!Q40&lt;&gt;0,IF(D!S40&lt;&gt;D!T40,D!T40,),),)</f>
        <v>0</v>
      </c>
      <c r="U40" s="797">
        <f>IF(D!Q40&lt;&gt;D!R40,IF(D!Q40&lt;&gt;0,IF(D!S40&lt;&gt;D!T40,D!U40,),),)</f>
        <v>0</v>
      </c>
      <c r="V40" s="875">
        <f>IF(D!Q40&lt;&gt;D!R40,IF(D!Q40&lt;&gt;0,IF(D!S40&lt;&gt;D!T40,D!V40,),),)</f>
        <v>0</v>
      </c>
      <c r="W40" s="622">
        <f>IF(Q40="","",$W$5-SUM($Q$7:Q40))</f>
        <v>0</v>
      </c>
      <c r="X40" s="395"/>
      <c r="Y40" s="906" t="str">
        <f>IF(D!Y40&lt;&gt;"",D!Y40,)</f>
        <v>Small Purchases</v>
      </c>
      <c r="Z40" s="457">
        <f>D!Z40</f>
        <v>0</v>
      </c>
      <c r="AA40" s="20">
        <f t="shared" si="0"/>
        <v>0</v>
      </c>
      <c r="AB40" s="723"/>
      <c r="AC40" s="723"/>
      <c r="AD40" s="36">
        <f t="shared" si="1"/>
        <v>0</v>
      </c>
      <c r="AE40" s="23">
        <f t="shared" si="5"/>
        <v>0</v>
      </c>
      <c r="AF40" s="367"/>
      <c r="AG40" s="728">
        <f t="shared" si="2"/>
        <v>0</v>
      </c>
      <c r="AH40" s="367"/>
      <c r="AI40" s="375">
        <v>0</v>
      </c>
      <c r="AJ40" s="367"/>
      <c r="AK40" s="367"/>
      <c r="AL40" s="367"/>
      <c r="AM40" s="367"/>
      <c r="AN40" s="367"/>
      <c r="AO40" s="86"/>
      <c r="AP40" s="51">
        <f t="shared" si="3"/>
        <v>0</v>
      </c>
      <c r="AQ40" s="476">
        <f>D!AQ40+D!AP40</f>
        <v>0</v>
      </c>
      <c r="AR40" s="476">
        <f t="shared" si="4"/>
        <v>0</v>
      </c>
      <c r="AS40" s="477">
        <f>AD40+D!AS40</f>
        <v>0</v>
      </c>
      <c r="AT40" s="477">
        <f>AA40+D!AT40</f>
        <v>0</v>
      </c>
      <c r="AU40" s="476"/>
      <c r="AV40" s="477">
        <f>D!AV40-D!AD40+E!Z40-D!AP40</f>
        <v>0</v>
      </c>
      <c r="AW40" s="476">
        <f t="shared" si="6"/>
        <v>0</v>
      </c>
      <c r="AX40" s="52">
        <f>IF(Z40=D!Z40,D!AE40-AD40,D!AE40+(Z40-D!Z40)*$AW$16-AD40)</f>
        <v>0</v>
      </c>
      <c r="AZ40" s="726">
        <f t="shared" si="7"/>
        <v>0</v>
      </c>
    </row>
    <row r="41" spans="1:52" ht="15" customHeight="1" thickBot="1">
      <c r="A41" s="367"/>
      <c r="B41" s="11" t="s">
        <v>367</v>
      </c>
      <c r="C41" s="1093">
        <f ca="1">C40-D40</f>
        <v>0</v>
      </c>
      <c r="D41" s="1094"/>
      <c r="E41" s="517"/>
      <c r="F41" s="517"/>
      <c r="G41" s="367"/>
      <c r="H41" s="543"/>
      <c r="I41" s="853"/>
      <c r="J41" s="6"/>
      <c r="K41" s="541"/>
      <c r="L41" s="860"/>
      <c r="M41" s="20" t="str">
        <f>IF(J41="","",$M$5-SUM($J$7:J41))</f>
        <v/>
      </c>
      <c r="N41" s="367"/>
      <c r="O41" s="7"/>
      <c r="P41" s="871">
        <f>IF(D!Q41&lt;&gt;D!R41,IF(D!Q41&lt;&gt;0,IF(D!S41&lt;&gt;D!T41,D!P41,),),)</f>
        <v>0</v>
      </c>
      <c r="Q41" s="795">
        <f>IF(D!Q41&lt;&gt;D!R41,IF(D!Q41&lt;&gt;0,IF(D!S41&lt;&gt;D!T41,D!Q41,),),)</f>
        <v>0</v>
      </c>
      <c r="R41" s="628">
        <f>IF(D!Q41&lt;&gt;D!R41,IF(D!Q41&lt;&gt;0,IF(D!S41&lt;&gt;D!T41,0,Q41),Q41),Q41)</f>
        <v>0</v>
      </c>
      <c r="S41" s="796">
        <f>IF(D!Q41&lt;&gt;D!R41,IF(D!Q41&lt;&gt;0,IF(D!S41&lt;&gt;D!T41,D!S41+1,),),)</f>
        <v>0</v>
      </c>
      <c r="T41" s="796">
        <f>IF(D!Q41&lt;&gt;D!R41,IF(D!Q41&lt;&gt;0,IF(D!S41&lt;&gt;D!T41,D!T41,),),)</f>
        <v>0</v>
      </c>
      <c r="U41" s="797">
        <f>IF(D!Q41&lt;&gt;D!R41,IF(D!Q41&lt;&gt;0,IF(D!S41&lt;&gt;D!T41,D!U41,),),)</f>
        <v>0</v>
      </c>
      <c r="V41" s="875">
        <f>IF(D!Q41&lt;&gt;D!R41,IF(D!Q41&lt;&gt;0,IF(D!S41&lt;&gt;D!T41,D!V41,),),)</f>
        <v>0</v>
      </c>
      <c r="W41" s="622">
        <f>IF(Q41="","",$W$5-SUM($Q$7:Q41))</f>
        <v>0</v>
      </c>
      <c r="X41" s="395"/>
      <c r="Y41" s="905" t="str">
        <f>IF(D!Y41&lt;&gt;"",D!Y41,)</f>
        <v>Haircuts / Cosmetics Treatments</v>
      </c>
      <c r="Z41" s="457">
        <f>D!Z41</f>
        <v>0</v>
      </c>
      <c r="AA41" s="20">
        <f t="shared" si="0"/>
        <v>0</v>
      </c>
      <c r="AB41" s="723"/>
      <c r="AC41" s="723"/>
      <c r="AD41" s="36">
        <f t="shared" si="1"/>
        <v>0</v>
      </c>
      <c r="AE41" s="23">
        <f t="shared" si="5"/>
        <v>0</v>
      </c>
      <c r="AF41" s="367"/>
      <c r="AG41" s="728">
        <f t="shared" si="2"/>
        <v>0</v>
      </c>
      <c r="AH41" s="367"/>
      <c r="AI41" s="375">
        <v>0</v>
      </c>
      <c r="AJ41" s="367"/>
      <c r="AK41" s="367"/>
      <c r="AL41" s="367"/>
      <c r="AM41" s="367"/>
      <c r="AN41" s="367"/>
      <c r="AO41" s="86"/>
      <c r="AP41" s="51">
        <f t="shared" si="3"/>
        <v>0</v>
      </c>
      <c r="AQ41" s="476">
        <f>D!AQ41+D!AP41</f>
        <v>0</v>
      </c>
      <c r="AR41" s="476">
        <f t="shared" si="4"/>
        <v>0</v>
      </c>
      <c r="AS41" s="477">
        <f>AD41+D!AS41</f>
        <v>0</v>
      </c>
      <c r="AT41" s="477">
        <f>AA41+D!AT41</f>
        <v>0</v>
      </c>
      <c r="AU41" s="476"/>
      <c r="AV41" s="477">
        <f>D!AV41-D!AD41+E!Z41-D!AP41</f>
        <v>0</v>
      </c>
      <c r="AW41" s="476">
        <f t="shared" si="6"/>
        <v>0</v>
      </c>
      <c r="AX41" s="52">
        <f>IF(Z41=D!Z41,D!AE41-AD41,D!AE41+(Z41-D!Z41)*$AW$16-AD41)</f>
        <v>0</v>
      </c>
      <c r="AZ41" s="726">
        <f t="shared" si="7"/>
        <v>0</v>
      </c>
    </row>
    <row r="42" spans="1:52" ht="15" customHeight="1">
      <c r="A42" s="367"/>
      <c r="B42" s="1095" t="str">
        <f ca="1">IF(C41&gt;0,"Unexpected positive difference - Check why!","")</f>
        <v/>
      </c>
      <c r="C42" s="1095"/>
      <c r="D42" s="1095"/>
      <c r="E42" s="514"/>
      <c r="F42" s="514"/>
      <c r="G42" s="367"/>
      <c r="H42" s="543"/>
      <c r="I42" s="853"/>
      <c r="J42" s="6"/>
      <c r="K42" s="541"/>
      <c r="L42" s="860"/>
      <c r="M42" s="20" t="str">
        <f>IF(J42="","",$M$5-SUM($J$7:J42))</f>
        <v/>
      </c>
      <c r="N42" s="367"/>
      <c r="O42" s="7"/>
      <c r="P42" s="873">
        <f>IF(D!Q42&lt;&gt;D!R42,IF(D!Q42&lt;&gt;0,IF(D!S42&lt;&gt;D!T42,D!P42,),),)</f>
        <v>0</v>
      </c>
      <c r="Q42" s="795">
        <f>IF(D!Q42&lt;&gt;D!R42,IF(D!Q42&lt;&gt;0,IF(D!S42&lt;&gt;D!T42,D!Q42,),),)</f>
        <v>0</v>
      </c>
      <c r="R42" s="628">
        <f>IF(D!Q42&lt;&gt;D!R42,IF(D!Q42&lt;&gt;0,IF(D!S42&lt;&gt;D!T42,0,Q42),Q42),Q42)</f>
        <v>0</v>
      </c>
      <c r="S42" s="796">
        <f>IF(D!Q42&lt;&gt;D!R42,IF(D!Q42&lt;&gt;0,IF(D!S42&lt;&gt;D!T42,D!S42+1,),),)</f>
        <v>0</v>
      </c>
      <c r="T42" s="796">
        <f>IF(D!Q42&lt;&gt;D!R42,IF(D!Q42&lt;&gt;0,IF(D!S42&lt;&gt;D!T42,D!T42,),),)</f>
        <v>0</v>
      </c>
      <c r="U42" s="797">
        <f>IF(D!Q42&lt;&gt;D!R42,IF(D!Q42&lt;&gt;0,IF(D!S42&lt;&gt;D!T42,D!U42,),),)</f>
        <v>0</v>
      </c>
      <c r="V42" s="875">
        <f>IF(D!Q42&lt;&gt;D!R42,IF(D!Q42&lt;&gt;0,IF(D!S42&lt;&gt;D!T42,D!V42,),),)</f>
        <v>0</v>
      </c>
      <c r="W42" s="622">
        <f>IF(Q42="","",$W$5-SUM($Q$7:Q42))</f>
        <v>0</v>
      </c>
      <c r="X42" s="395"/>
      <c r="Y42" s="905" t="str">
        <f>IF(D!Y42&lt;&gt;"",D!Y42,)</f>
        <v>National Insurance</v>
      </c>
      <c r="Z42" s="457">
        <f>D!Z42</f>
        <v>0</v>
      </c>
      <c r="AA42" s="20">
        <f t="shared" si="0"/>
        <v>0</v>
      </c>
      <c r="AB42" s="723"/>
      <c r="AC42" s="723"/>
      <c r="AD42" s="36">
        <f t="shared" si="1"/>
        <v>0</v>
      </c>
      <c r="AE42" s="23">
        <f t="shared" si="5"/>
        <v>0</v>
      </c>
      <c r="AF42" s="367"/>
      <c r="AG42" s="728">
        <f t="shared" si="2"/>
        <v>0</v>
      </c>
      <c r="AH42" s="367"/>
      <c r="AI42" s="375">
        <v>0</v>
      </c>
      <c r="AJ42" s="367"/>
      <c r="AK42" s="367"/>
      <c r="AL42" s="367"/>
      <c r="AM42" s="367"/>
      <c r="AN42" s="367"/>
      <c r="AO42" s="86"/>
      <c r="AP42" s="51">
        <f t="shared" si="3"/>
        <v>0</v>
      </c>
      <c r="AQ42" s="476">
        <f>D!AQ42+D!AP42</f>
        <v>0</v>
      </c>
      <c r="AR42" s="476">
        <f t="shared" si="4"/>
        <v>0</v>
      </c>
      <c r="AS42" s="477">
        <f>AD42+D!AS42</f>
        <v>0</v>
      </c>
      <c r="AT42" s="477">
        <f>AA42+D!AT42</f>
        <v>0</v>
      </c>
      <c r="AU42" s="476"/>
      <c r="AV42" s="477">
        <f>D!AV42-D!AD42+E!Z42-D!AP42</f>
        <v>0</v>
      </c>
      <c r="AW42" s="476">
        <f t="shared" si="6"/>
        <v>0</v>
      </c>
      <c r="AX42" s="52">
        <f>IF(Z42=D!Z42,D!AE42-AD42,D!AE42+(Z42-D!Z42)*$AW$16-AD42)</f>
        <v>0</v>
      </c>
      <c r="AZ42" s="726">
        <f t="shared" si="7"/>
        <v>0</v>
      </c>
    </row>
    <row r="43" spans="1:52" ht="15" customHeight="1" thickBot="1">
      <c r="A43" s="367"/>
      <c r="B43" s="1117" t="s">
        <v>351</v>
      </c>
      <c r="C43" s="1117"/>
      <c r="D43" s="367"/>
      <c r="E43" s="367"/>
      <c r="F43" s="367"/>
      <c r="G43" s="367"/>
      <c r="H43" s="543"/>
      <c r="I43" s="854"/>
      <c r="J43" s="6"/>
      <c r="K43" s="541"/>
      <c r="L43" s="860"/>
      <c r="M43" s="20" t="str">
        <f>IF(J43="","",$M$5-SUM($J$7:J43))</f>
        <v/>
      </c>
      <c r="N43" s="367"/>
      <c r="O43" s="7"/>
      <c r="P43" s="871">
        <f>IF(D!Q43&lt;&gt;D!R43,IF(D!Q43&lt;&gt;0,IF(D!S43&lt;&gt;D!T43,D!P43,),),)</f>
        <v>0</v>
      </c>
      <c r="Q43" s="795">
        <f>IF(D!Q43&lt;&gt;D!R43,IF(D!Q43&lt;&gt;0,IF(D!S43&lt;&gt;D!T43,D!Q43,),),)</f>
        <v>0</v>
      </c>
      <c r="R43" s="628">
        <f>IF(D!Q43&lt;&gt;D!R43,IF(D!Q43&lt;&gt;0,IF(D!S43&lt;&gt;D!T43,0,Q43),Q43),Q43)</f>
        <v>0</v>
      </c>
      <c r="S43" s="796">
        <f>IF(D!Q43&lt;&gt;D!R43,IF(D!Q43&lt;&gt;0,IF(D!S43&lt;&gt;D!T43,D!S43+1,),),)</f>
        <v>0</v>
      </c>
      <c r="T43" s="796">
        <f>IF(D!Q43&lt;&gt;D!R43,IF(D!Q43&lt;&gt;0,IF(D!S43&lt;&gt;D!T43,D!T43,),),)</f>
        <v>0</v>
      </c>
      <c r="U43" s="797">
        <f>IF(D!Q43&lt;&gt;D!R43,IF(D!Q43&lt;&gt;0,IF(D!S43&lt;&gt;D!T43,D!U43,),),)</f>
        <v>0</v>
      </c>
      <c r="V43" s="875">
        <f>IF(D!Q43&lt;&gt;D!R43,IF(D!Q43&lt;&gt;0,IF(D!S43&lt;&gt;D!T43,D!V43,),),)</f>
        <v>0</v>
      </c>
      <c r="W43" s="622">
        <f>IF(Q43="","",$W$5-SUM($Q$7:Q43))</f>
        <v>0</v>
      </c>
      <c r="X43" s="395"/>
      <c r="Y43" s="905">
        <f>IF(D!Y43&lt;&gt;"",D!Y43,)</f>
        <v>0</v>
      </c>
      <c r="Z43" s="457">
        <f>D!Z43</f>
        <v>0</v>
      </c>
      <c r="AA43" s="20">
        <f t="shared" si="0"/>
        <v>0</v>
      </c>
      <c r="AB43" s="723"/>
      <c r="AC43" s="723"/>
      <c r="AD43" s="36">
        <f t="shared" si="1"/>
        <v>0</v>
      </c>
      <c r="AE43" s="23">
        <f t="shared" si="5"/>
        <v>0</v>
      </c>
      <c r="AF43" s="367"/>
      <c r="AG43" s="728">
        <f t="shared" si="2"/>
        <v>0</v>
      </c>
      <c r="AH43" s="367"/>
      <c r="AI43" s="375">
        <v>0</v>
      </c>
      <c r="AJ43" s="367"/>
      <c r="AK43" s="367"/>
      <c r="AL43" s="367"/>
      <c r="AM43" s="367"/>
      <c r="AN43" s="367"/>
      <c r="AO43" s="86"/>
      <c r="AP43" s="51">
        <f t="shared" si="3"/>
        <v>0</v>
      </c>
      <c r="AQ43" s="476">
        <f>D!AQ43+D!AP43</f>
        <v>0</v>
      </c>
      <c r="AR43" s="476">
        <f t="shared" si="4"/>
        <v>0</v>
      </c>
      <c r="AS43" s="477">
        <f>AD43+D!AS43</f>
        <v>0</v>
      </c>
      <c r="AT43" s="477">
        <f>AA43+D!AT43</f>
        <v>0</v>
      </c>
      <c r="AU43" s="476"/>
      <c r="AV43" s="477">
        <f>D!AV43-D!AD43+E!Z43-D!AP43</f>
        <v>0</v>
      </c>
      <c r="AW43" s="476">
        <f t="shared" si="6"/>
        <v>0</v>
      </c>
      <c r="AX43" s="52">
        <f>IF(Z43=D!Z43,D!AE43-AD43,D!AE43+(Z43-D!Z43)*$AW$16-AD43)</f>
        <v>0</v>
      </c>
      <c r="AZ43" s="726">
        <f t="shared" si="7"/>
        <v>0</v>
      </c>
    </row>
    <row r="44" spans="1:52" ht="15" customHeight="1">
      <c r="A44" s="367"/>
      <c r="B44" s="811" t="s">
        <v>353</v>
      </c>
      <c r="C44" s="100" t="s">
        <v>354</v>
      </c>
      <c r="D44" s="915" t="s">
        <v>494</v>
      </c>
      <c r="E44" s="518"/>
      <c r="F44" s="518"/>
      <c r="G44" s="367"/>
      <c r="H44" s="543"/>
      <c r="I44" s="853"/>
      <c r="J44" s="6"/>
      <c r="K44" s="541"/>
      <c r="L44" s="860"/>
      <c r="M44" s="20" t="str">
        <f>IF(J44="","",$M$5-SUM($J$7:J44))</f>
        <v/>
      </c>
      <c r="N44" s="367"/>
      <c r="O44" s="7"/>
      <c r="P44" s="871">
        <f>IF(D!Q44&lt;&gt;D!R44,IF(D!Q44&lt;&gt;0,IF(D!S44&lt;&gt;D!T44,D!P44,),),)</f>
        <v>0</v>
      </c>
      <c r="Q44" s="795">
        <f>IF(D!Q44&lt;&gt;D!R44,IF(D!Q44&lt;&gt;0,IF(D!S44&lt;&gt;D!T44,D!Q44,),),)</f>
        <v>0</v>
      </c>
      <c r="R44" s="628">
        <f>IF(D!Q44&lt;&gt;D!R44,IF(D!Q44&lt;&gt;0,IF(D!S44&lt;&gt;D!T44,0,Q44),Q44),Q44)</f>
        <v>0</v>
      </c>
      <c r="S44" s="796">
        <f>IF(D!Q44&lt;&gt;D!R44,IF(D!Q44&lt;&gt;0,IF(D!S44&lt;&gt;D!T44,D!S44+1,),),)</f>
        <v>0</v>
      </c>
      <c r="T44" s="796">
        <f>IF(D!Q44&lt;&gt;D!R44,IF(D!Q44&lt;&gt;0,IF(D!S44&lt;&gt;D!T44,D!T44,),),)</f>
        <v>0</v>
      </c>
      <c r="U44" s="797">
        <f>IF(D!Q44&lt;&gt;D!R44,IF(D!Q44&lt;&gt;0,IF(D!S44&lt;&gt;D!T44,D!U44,),),)</f>
        <v>0</v>
      </c>
      <c r="V44" s="875">
        <f>IF(D!Q44&lt;&gt;D!R44,IF(D!Q44&lt;&gt;0,IF(D!S44&lt;&gt;D!T44,D!V44,),),)</f>
        <v>0</v>
      </c>
      <c r="W44" s="622">
        <f>IF(Q44="","",$W$5-SUM($Q$7:Q44))</f>
        <v>0</v>
      </c>
      <c r="X44" s="396"/>
      <c r="Y44" s="905">
        <f>IF(D!Y44&lt;&gt;"",D!Y44,)</f>
        <v>0</v>
      </c>
      <c r="Z44" s="457">
        <f>D!Z44</f>
        <v>0</v>
      </c>
      <c r="AA44" s="20">
        <f t="shared" si="0"/>
        <v>0</v>
      </c>
      <c r="AB44" s="723"/>
      <c r="AC44" s="723"/>
      <c r="AD44" s="36">
        <f t="shared" si="1"/>
        <v>0</v>
      </c>
      <c r="AE44" s="23">
        <f t="shared" si="5"/>
        <v>0</v>
      </c>
      <c r="AF44" s="367"/>
      <c r="AG44" s="728">
        <f t="shared" si="2"/>
        <v>0</v>
      </c>
      <c r="AH44" s="367"/>
      <c r="AI44" s="375">
        <v>0</v>
      </c>
      <c r="AJ44" s="367"/>
      <c r="AK44" s="367"/>
      <c r="AL44" s="367"/>
      <c r="AM44" s="367"/>
      <c r="AN44" s="367"/>
      <c r="AO44" s="86"/>
      <c r="AP44" s="51">
        <f t="shared" si="3"/>
        <v>0</v>
      </c>
      <c r="AQ44" s="476">
        <f>D!AQ44+D!AP44</f>
        <v>0</v>
      </c>
      <c r="AR44" s="476">
        <f t="shared" si="4"/>
        <v>0</v>
      </c>
      <c r="AS44" s="477">
        <f>AD44+D!AS44</f>
        <v>0</v>
      </c>
      <c r="AT44" s="477">
        <f>AA44+D!AT44</f>
        <v>0</v>
      </c>
      <c r="AU44" s="476"/>
      <c r="AV44" s="477">
        <f>D!AV44-D!AD44+E!Z44-D!AP44</f>
        <v>0</v>
      </c>
      <c r="AW44" s="476">
        <f t="shared" si="6"/>
        <v>0</v>
      </c>
      <c r="AX44" s="52">
        <f>IF(Z44=D!Z44,D!AE44-AD44,D!AE44+(Z44-D!Z44)*$AW$16-AD44)</f>
        <v>0</v>
      </c>
      <c r="AZ44" s="727">
        <f t="shared" si="7"/>
        <v>0</v>
      </c>
    </row>
    <row r="45" spans="1:52" ht="15.75">
      <c r="A45" s="367"/>
      <c r="B45" s="850" t="str">
        <f>IF(D!B45&lt;&gt;"",D!B45,)</f>
        <v>Food</v>
      </c>
      <c r="C45" s="455">
        <f>D!C45</f>
        <v>0</v>
      </c>
      <c r="D45" s="80">
        <f t="shared" ref="D45:D56" si="8">SUMIF($I$7:$I$110,B45,$J$7:$J$110)</f>
        <v>0</v>
      </c>
      <c r="E45" s="519"/>
      <c r="F45" s="519"/>
      <c r="G45" s="367"/>
      <c r="H45" s="543"/>
      <c r="I45" s="853"/>
      <c r="J45" s="6"/>
      <c r="K45" s="541"/>
      <c r="L45" s="860"/>
      <c r="M45" s="20" t="str">
        <f>IF(J45="","",$M$5-SUM($J$7:J45))</f>
        <v/>
      </c>
      <c r="N45" s="367"/>
      <c r="O45" s="107"/>
      <c r="P45" s="873">
        <f>IF(D!Q45&lt;&gt;D!R45,IF(D!Q45&lt;&gt;0,IF(D!S45&lt;&gt;D!T45,D!P45,),),)</f>
        <v>0</v>
      </c>
      <c r="Q45" s="795">
        <f>IF(D!Q45&lt;&gt;D!R45,IF(D!Q45&lt;&gt;0,IF(D!S45&lt;&gt;D!T45,D!Q45,),),)</f>
        <v>0</v>
      </c>
      <c r="R45" s="628">
        <f>IF(D!Q45&lt;&gt;D!R45,IF(D!Q45&lt;&gt;0,IF(D!S45&lt;&gt;D!T45,0,Q45),Q45),Q45)</f>
        <v>0</v>
      </c>
      <c r="S45" s="796">
        <f>IF(D!Q45&lt;&gt;D!R45,IF(D!Q45&lt;&gt;0,IF(D!S45&lt;&gt;D!T45,D!S45+1,),),)</f>
        <v>0</v>
      </c>
      <c r="T45" s="796">
        <f>IF(D!Q45&lt;&gt;D!R45,IF(D!Q45&lt;&gt;0,IF(D!S45&lt;&gt;D!T45,D!T45,),),)</f>
        <v>0</v>
      </c>
      <c r="U45" s="797">
        <f>IF(D!Q45&lt;&gt;D!R45,IF(D!Q45&lt;&gt;0,IF(D!S45&lt;&gt;D!T45,D!U45,),),)</f>
        <v>0</v>
      </c>
      <c r="V45" s="875">
        <f>IF(D!Q45&lt;&gt;D!R45,IF(D!Q45&lt;&gt;0,IF(D!S45&lt;&gt;D!T45,D!V45,),),)</f>
        <v>0</v>
      </c>
      <c r="W45" s="622">
        <f>IF(Q45="","",$W$5-SUM($Q$7:Q45))</f>
        <v>0</v>
      </c>
      <c r="X45" s="397"/>
      <c r="Y45" s="18" t="s">
        <v>179</v>
      </c>
      <c r="Z45" s="17">
        <f>SUM(Z23:Z44)</f>
        <v>0</v>
      </c>
      <c r="AA45" s="20">
        <f>SUM(AA23:AA44)</f>
        <v>0</v>
      </c>
      <c r="AB45" s="723"/>
      <c r="AC45" s="723"/>
      <c r="AD45" s="36"/>
      <c r="AE45" s="24">
        <f>SUM(AE23:AE44)</f>
        <v>0</v>
      </c>
      <c r="AF45" s="367"/>
      <c r="AG45" s="367"/>
      <c r="AH45" s="367"/>
      <c r="AI45" s="367"/>
      <c r="AJ45" s="367"/>
      <c r="AK45" s="367"/>
      <c r="AL45" s="367"/>
      <c r="AM45" s="367"/>
      <c r="AN45" s="367"/>
      <c r="AO45" s="86"/>
      <c r="AP45" s="52">
        <f>SUM(AP23:AP44)</f>
        <v>0</v>
      </c>
      <c r="AQ45" s="476">
        <f>SUM(AQ23:AQ44)</f>
        <v>0</v>
      </c>
      <c r="AR45" s="476">
        <f>SUM(AR23:AR44)</f>
        <v>0</v>
      </c>
      <c r="AS45" s="476">
        <f>SUM(AS23:AS44)</f>
        <v>0</v>
      </c>
      <c r="AT45" s="476">
        <f>SUM(AT23:AT44)</f>
        <v>0</v>
      </c>
      <c r="AU45" s="476"/>
      <c r="AV45" s="476">
        <f>SUM(AV23:AV44)</f>
        <v>0</v>
      </c>
      <c r="AW45" s="476">
        <f>SUM(AW23:AW44)</f>
        <v>0</v>
      </c>
      <c r="AX45" s="52">
        <f>SUM(AX23:AX44)</f>
        <v>0</v>
      </c>
    </row>
    <row r="46" spans="1:52" ht="15.75" customHeight="1" thickBot="1">
      <c r="A46" s="367"/>
      <c r="B46" s="850" t="str">
        <f>IF(D!B46&lt;&gt;"",D!B46,)</f>
        <v>Public Transportation</v>
      </c>
      <c r="C46" s="455">
        <f>D!C46</f>
        <v>0</v>
      </c>
      <c r="D46" s="80">
        <f t="shared" si="8"/>
        <v>0</v>
      </c>
      <c r="E46" s="519"/>
      <c r="F46" s="519"/>
      <c r="G46" s="367"/>
      <c r="H46" s="543"/>
      <c r="I46" s="853"/>
      <c r="J46" s="6"/>
      <c r="K46" s="541"/>
      <c r="L46" s="860"/>
      <c r="M46" s="20" t="str">
        <f>IF(J46="","",$M$5-SUM($J$7:J46))</f>
        <v/>
      </c>
      <c r="N46" s="367"/>
      <c r="O46" s="652"/>
      <c r="P46" s="865" t="s">
        <v>429</v>
      </c>
      <c r="Q46" s="620"/>
      <c r="R46" s="619"/>
      <c r="S46" s="629"/>
      <c r="T46" s="629"/>
      <c r="U46" s="646"/>
      <c r="V46" s="618"/>
      <c r="W46" s="627">
        <f>W5-AA45</f>
        <v>0</v>
      </c>
      <c r="X46" s="386"/>
      <c r="Y46" s="125" t="s">
        <v>367</v>
      </c>
      <c r="Z46" s="1202">
        <f>Z45-AA45</f>
        <v>0</v>
      </c>
      <c r="AA46" s="1203"/>
      <c r="AB46" s="644"/>
      <c r="AC46" s="644"/>
      <c r="AD46" s="37"/>
      <c r="AF46" s="367"/>
      <c r="AG46" s="367"/>
      <c r="AH46" s="367"/>
      <c r="AI46" s="367"/>
      <c r="AJ46" s="367"/>
      <c r="AK46" s="367"/>
      <c r="AL46" s="367"/>
      <c r="AM46" s="367"/>
      <c r="AN46" s="367"/>
      <c r="AO46" s="86"/>
    </row>
    <row r="47" spans="1:52" ht="15.75" customHeight="1">
      <c r="A47" s="367"/>
      <c r="B47" s="850" t="str">
        <f>IF(D!B47&lt;&gt;"",D!B47,)</f>
        <v>Gas and Parking</v>
      </c>
      <c r="C47" s="455">
        <f>D!C47</f>
        <v>0</v>
      </c>
      <c r="D47" s="80">
        <f t="shared" si="8"/>
        <v>0</v>
      </c>
      <c r="E47" s="519"/>
      <c r="F47" s="519"/>
      <c r="G47" s="367"/>
      <c r="H47" s="543"/>
      <c r="I47" s="853"/>
      <c r="J47" s="6"/>
      <c r="K47" s="541"/>
      <c r="L47" s="860"/>
      <c r="M47" s="20" t="str">
        <f>IF(J47="","",$M$5-SUM($J$7:J47))</f>
        <v/>
      </c>
      <c r="N47" s="367"/>
      <c r="O47" s="385"/>
      <c r="P47" s="393"/>
      <c r="Q47" s="378"/>
      <c r="R47" s="392"/>
      <c r="S47" s="387"/>
      <c r="T47" s="387"/>
      <c r="U47" s="387"/>
      <c r="V47" s="617"/>
      <c r="W47" s="392"/>
      <c r="X47" s="386"/>
      <c r="Y47" s="388"/>
      <c r="Z47" s="389"/>
      <c r="AA47" s="389"/>
      <c r="AB47" s="389"/>
      <c r="AC47" s="389"/>
      <c r="AD47" s="389"/>
      <c r="AE47" s="367"/>
      <c r="AF47" s="367"/>
      <c r="AG47" s="367"/>
      <c r="AH47" s="367"/>
      <c r="AI47" s="367"/>
      <c r="AJ47" s="367"/>
      <c r="AK47" s="367"/>
      <c r="AL47" s="367"/>
      <c r="AM47" s="367"/>
      <c r="AN47" s="367"/>
      <c r="AO47" s="86"/>
    </row>
    <row r="48" spans="1:52" ht="19.5" thickBot="1">
      <c r="A48" s="367"/>
      <c r="B48" s="850" t="str">
        <f>IF(D!B48&lt;&gt;"",D!B48,)</f>
        <v>Telephone-Landline/Long Distance</v>
      </c>
      <c r="C48" s="455">
        <f>D!C48</f>
        <v>0</v>
      </c>
      <c r="D48" s="80">
        <f t="shared" si="8"/>
        <v>0</v>
      </c>
      <c r="E48" s="519"/>
      <c r="F48" s="519"/>
      <c r="G48" s="367"/>
      <c r="H48" s="543"/>
      <c r="I48" s="853"/>
      <c r="J48" s="6"/>
      <c r="K48" s="541"/>
      <c r="L48" s="860"/>
      <c r="M48" s="20" t="str">
        <f>IF(J48="","",$M$5-SUM($J$7:J48))</f>
        <v/>
      </c>
      <c r="N48" s="367"/>
      <c r="P48" s="819" t="s">
        <v>395</v>
      </c>
      <c r="Q48" s="94" t="str">
        <f>M2</f>
        <v/>
      </c>
      <c r="R48" s="94" t="str">
        <f>N2</f>
        <v/>
      </c>
      <c r="S48" s="1215"/>
      <c r="T48" s="1215"/>
      <c r="U48" s="390"/>
      <c r="V48" s="390"/>
      <c r="W48" s="390"/>
      <c r="X48" s="386"/>
      <c r="Y48" s="386"/>
      <c r="Z48" s="386"/>
      <c r="AA48" s="386"/>
      <c r="AB48" s="391"/>
      <c r="AC48" s="391"/>
      <c r="AD48" s="391"/>
      <c r="AE48" s="367"/>
      <c r="AF48" s="367"/>
      <c r="AG48" s="367"/>
      <c r="AH48" s="367"/>
      <c r="AI48" s="367"/>
      <c r="AJ48" s="367"/>
      <c r="AK48" s="367"/>
      <c r="AL48" s="367"/>
      <c r="AM48" s="367"/>
      <c r="AN48" s="367"/>
      <c r="AO48" s="86"/>
    </row>
    <row r="49" spans="1:92" ht="16.5" thickBot="1">
      <c r="A49" s="367"/>
      <c r="B49" s="850" t="str">
        <f>IF(D!B49&lt;&gt;"",D!B49,)</f>
        <v>Cell Phones</v>
      </c>
      <c r="C49" s="455">
        <f>D!C49</f>
        <v>0</v>
      </c>
      <c r="D49" s="80">
        <f t="shared" si="8"/>
        <v>0</v>
      </c>
      <c r="E49" s="519"/>
      <c r="F49" s="519"/>
      <c r="G49" s="367"/>
      <c r="H49" s="543"/>
      <c r="I49" s="853"/>
      <c r="J49" s="6"/>
      <c r="K49" s="541"/>
      <c r="L49" s="860"/>
      <c r="M49" s="20" t="str">
        <f>IF(J49="","",$M$5-SUM($J$7:J49))</f>
        <v/>
      </c>
      <c r="N49" s="367"/>
      <c r="O49" s="377"/>
      <c r="P49" s="653" t="s">
        <v>288</v>
      </c>
      <c r="Q49" s="654" t="s">
        <v>354</v>
      </c>
      <c r="R49" s="654" t="s">
        <v>398</v>
      </c>
      <c r="S49" s="1216" t="s">
        <v>298</v>
      </c>
      <c r="T49" s="1217"/>
      <c r="U49" s="648"/>
      <c r="V49" s="371"/>
      <c r="W49" s="371"/>
      <c r="X49" s="367"/>
      <c r="Y49" s="386"/>
      <c r="Z49" s="386"/>
      <c r="AA49" s="386"/>
      <c r="AB49" s="391"/>
      <c r="AC49" s="391"/>
      <c r="AD49" s="391"/>
      <c r="AE49" s="367"/>
      <c r="AF49" s="367"/>
      <c r="AG49" s="367"/>
      <c r="AH49" s="367"/>
      <c r="AI49" s="367"/>
      <c r="AJ49" s="367"/>
      <c r="AK49" s="367"/>
      <c r="AL49" s="367"/>
      <c r="AM49" s="367"/>
      <c r="AN49" s="367"/>
      <c r="AO49" s="86"/>
    </row>
    <row r="50" spans="1:92" ht="15.75">
      <c r="A50" s="367"/>
      <c r="B50" s="850" t="str">
        <f>IF(D!B50&lt;&gt;"",D!B50,)</f>
        <v>Home</v>
      </c>
      <c r="C50" s="455">
        <f>D!C50</f>
        <v>0</v>
      </c>
      <c r="D50" s="80">
        <f t="shared" si="8"/>
        <v>0</v>
      </c>
      <c r="E50" s="519"/>
      <c r="F50" s="519"/>
      <c r="G50" s="367"/>
      <c r="H50" s="543"/>
      <c r="I50" s="853"/>
      <c r="J50" s="6"/>
      <c r="K50" s="541"/>
      <c r="L50" s="860"/>
      <c r="M50" s="20" t="str">
        <f>IF(J50="","",$M$5-SUM($J$7:J50))</f>
        <v/>
      </c>
      <c r="N50" s="367"/>
      <c r="O50" s="377"/>
      <c r="P50" s="655" t="s">
        <v>151</v>
      </c>
      <c r="Q50" s="22">
        <f>C18</f>
        <v>0</v>
      </c>
      <c r="R50" s="22">
        <f>D18</f>
        <v>0</v>
      </c>
      <c r="S50" s="1096">
        <f>Q50-R50</f>
        <v>0</v>
      </c>
      <c r="T50" s="1097"/>
      <c r="U50" s="647"/>
      <c r="V50" s="371"/>
      <c r="W50" s="371"/>
      <c r="X50" s="367"/>
      <c r="Y50" s="386"/>
      <c r="Z50" s="386"/>
      <c r="AA50" s="386"/>
      <c r="AB50" s="386"/>
      <c r="AC50" s="386"/>
      <c r="AD50" s="386"/>
      <c r="AE50" s="367"/>
      <c r="AF50" s="367"/>
      <c r="AG50" s="367"/>
      <c r="AH50" s="367"/>
      <c r="AI50" s="367"/>
      <c r="AJ50" s="367"/>
      <c r="AK50" s="367"/>
      <c r="AL50" s="367"/>
      <c r="AM50" s="367"/>
      <c r="AN50" s="367"/>
      <c r="AO50" s="86"/>
    </row>
    <row r="51" spans="1:92" ht="15.75">
      <c r="A51" s="367"/>
      <c r="B51" s="850" t="str">
        <f>IF(D!B51&lt;&gt;"",D!B51,)</f>
        <v>Cleaning help / Babysitter</v>
      </c>
      <c r="C51" s="455">
        <f>D!C51</f>
        <v>0</v>
      </c>
      <c r="D51" s="80">
        <f t="shared" si="8"/>
        <v>0</v>
      </c>
      <c r="E51" s="519"/>
      <c r="F51" s="519"/>
      <c r="G51" s="367"/>
      <c r="H51" s="543"/>
      <c r="I51" s="853"/>
      <c r="J51" s="6"/>
      <c r="K51" s="541"/>
      <c r="L51" s="860"/>
      <c r="M51" s="20" t="str">
        <f>IF(J51="","",$M$5-SUM($J$7:J51))</f>
        <v/>
      </c>
      <c r="N51" s="367"/>
      <c r="O51" s="377"/>
      <c r="P51" s="656" t="s">
        <v>396</v>
      </c>
      <c r="Q51" s="22">
        <f>Z45</f>
        <v>0</v>
      </c>
      <c r="R51" s="22">
        <f>AA45</f>
        <v>0</v>
      </c>
      <c r="S51" s="1147">
        <f>Q51-R51</f>
        <v>0</v>
      </c>
      <c r="T51" s="1147"/>
      <c r="U51" s="647"/>
      <c r="V51" s="371"/>
      <c r="W51" s="371"/>
      <c r="X51" s="367"/>
      <c r="Y51" s="367"/>
      <c r="Z51" s="367"/>
      <c r="AA51" s="367"/>
      <c r="AB51" s="367"/>
      <c r="AC51" s="367"/>
      <c r="AD51" s="367"/>
      <c r="AE51" s="367"/>
      <c r="AF51" s="367"/>
      <c r="AG51" s="367"/>
      <c r="AH51" s="367"/>
      <c r="AI51" s="367"/>
      <c r="AJ51" s="367"/>
      <c r="AK51" s="367"/>
      <c r="AL51" s="367"/>
      <c r="AM51" s="367"/>
      <c r="AN51" s="367"/>
      <c r="AO51" s="86"/>
    </row>
    <row r="52" spans="1:92" ht="15.75">
      <c r="A52" s="367"/>
      <c r="B52" s="850" t="str">
        <f>IF(D!B52&lt;&gt;"",D!B52,)</f>
        <v>Cigarettes</v>
      </c>
      <c r="C52" s="455">
        <f>D!C52</f>
        <v>0</v>
      </c>
      <c r="D52" s="80">
        <f t="shared" si="8"/>
        <v>0</v>
      </c>
      <c r="E52" s="519"/>
      <c r="F52" s="519"/>
      <c r="G52" s="367"/>
      <c r="H52" s="543"/>
      <c r="I52" s="853"/>
      <c r="J52" s="6"/>
      <c r="K52" s="541"/>
      <c r="L52" s="860"/>
      <c r="M52" s="20" t="str">
        <f>IF(J52="","",$M$5-SUM($J$7:J52))</f>
        <v/>
      </c>
      <c r="N52" s="367"/>
      <c r="O52" s="377"/>
      <c r="P52" s="657" t="s">
        <v>397</v>
      </c>
      <c r="Q52" s="22">
        <f>C57</f>
        <v>0</v>
      </c>
      <c r="R52" s="22">
        <f>D57</f>
        <v>0</v>
      </c>
      <c r="S52" s="1098">
        <f>Q52-R52</f>
        <v>0</v>
      </c>
      <c r="T52" s="1099"/>
      <c r="U52" s="649"/>
      <c r="V52" s="371"/>
      <c r="W52" s="370"/>
      <c r="X52" s="367"/>
      <c r="Y52" s="367"/>
      <c r="Z52" s="367"/>
      <c r="AA52" s="367"/>
      <c r="AB52" s="367"/>
      <c r="AC52" s="367"/>
      <c r="AD52" s="367"/>
      <c r="AE52" s="367"/>
      <c r="AF52" s="367"/>
      <c r="AG52" s="367"/>
      <c r="AH52" s="367"/>
      <c r="AI52" s="367"/>
      <c r="AJ52" s="367"/>
      <c r="AK52" s="367"/>
      <c r="AL52" s="367"/>
      <c r="AM52" s="367"/>
      <c r="AN52" s="367"/>
      <c r="AO52" s="86"/>
    </row>
    <row r="53" spans="1:92" ht="15.75">
      <c r="A53" s="367"/>
      <c r="B53" s="850" t="str">
        <f>IF(D!B53&lt;&gt;"",D!B53,)</f>
        <v>Other</v>
      </c>
      <c r="C53" s="455">
        <f>D!C53</f>
        <v>0</v>
      </c>
      <c r="D53" s="80">
        <f t="shared" si="8"/>
        <v>0</v>
      </c>
      <c r="E53" s="519"/>
      <c r="F53" s="519"/>
      <c r="G53" s="367"/>
      <c r="H53" s="543"/>
      <c r="I53" s="853"/>
      <c r="J53" s="6"/>
      <c r="K53" s="541"/>
      <c r="L53" s="860"/>
      <c r="M53" s="20" t="str">
        <f>IF(J53="","",$M$5-SUM($J$7:J53))</f>
        <v/>
      </c>
      <c r="N53" s="1110" t="str">
        <f ca="1">IF(D19&lt;=0,IF(C41&lt;=0,"","Pass positive diff?"),"Pass positive diff?")</f>
        <v/>
      </c>
      <c r="O53" s="1233"/>
      <c r="P53" s="658" t="s">
        <v>308</v>
      </c>
      <c r="Q53" s="150">
        <f>SUM(Q50:Q52)</f>
        <v>0</v>
      </c>
      <c r="R53" s="150">
        <f>SUM(R50:R52)</f>
        <v>0</v>
      </c>
      <c r="S53" s="1100">
        <f>Q53-R53</f>
        <v>0</v>
      </c>
      <c r="T53" s="1101"/>
      <c r="U53" s="788"/>
      <c r="V53" s="371"/>
      <c r="W53" s="371"/>
      <c r="X53" s="367"/>
      <c r="Y53" s="367"/>
      <c r="Z53" s="367"/>
      <c r="AA53" s="367"/>
      <c r="AB53" s="367"/>
      <c r="AC53" s="367"/>
      <c r="AD53" s="367"/>
      <c r="AE53" s="367"/>
      <c r="AF53" s="367"/>
      <c r="AG53" s="367"/>
      <c r="AH53" s="367"/>
      <c r="AI53" s="367"/>
      <c r="AJ53" s="367"/>
      <c r="AK53" s="367"/>
      <c r="AL53" s="367"/>
      <c r="AM53" s="367"/>
      <c r="AN53" s="367"/>
      <c r="AO53" s="86"/>
    </row>
    <row r="54" spans="1:92" ht="15.75">
      <c r="A54" s="367"/>
      <c r="B54" s="850">
        <f>IF(D!B54&lt;&gt;"",D!B54,)</f>
        <v>0</v>
      </c>
      <c r="C54" s="455">
        <f>D!C54</f>
        <v>0</v>
      </c>
      <c r="D54" s="80">
        <f t="shared" si="8"/>
        <v>0</v>
      </c>
      <c r="E54" s="519"/>
      <c r="F54" s="519"/>
      <c r="G54" s="367"/>
      <c r="H54" s="1199" t="s">
        <v>392</v>
      </c>
      <c r="I54" s="855" t="s">
        <v>430</v>
      </c>
      <c r="J54" s="816"/>
      <c r="K54" s="589"/>
      <c r="L54" s="590"/>
      <c r="M54" s="102">
        <f ca="1">M5-D57</f>
        <v>0</v>
      </c>
      <c r="N54" s="1110"/>
      <c r="O54" s="1233"/>
      <c r="P54" s="659" t="s">
        <v>296</v>
      </c>
      <c r="Q54" s="22">
        <f>AA4</f>
        <v>0</v>
      </c>
      <c r="R54" s="22">
        <f>AA17</f>
        <v>0</v>
      </c>
      <c r="S54" s="1096">
        <f>R54-Q54</f>
        <v>0</v>
      </c>
      <c r="T54" s="1097"/>
      <c r="U54" s="647"/>
      <c r="V54" s="371"/>
      <c r="W54" s="371"/>
      <c r="X54" s="367"/>
      <c r="Y54" s="367"/>
      <c r="Z54" s="367"/>
      <c r="AA54" s="367"/>
      <c r="AB54" s="367"/>
      <c r="AC54" s="367"/>
      <c r="AD54" s="367"/>
      <c r="AE54" s="367"/>
      <c r="AF54" s="367"/>
      <c r="AG54" s="367"/>
      <c r="AH54" s="367"/>
      <c r="AI54" s="367"/>
      <c r="AJ54" s="367"/>
      <c r="AK54" s="367"/>
      <c r="AL54" s="367"/>
      <c r="AM54" s="367"/>
      <c r="AN54" s="367"/>
      <c r="AO54" s="86"/>
    </row>
    <row r="55" spans="1:92" ht="16.5" thickBot="1">
      <c r="A55" s="367"/>
      <c r="B55" s="850">
        <f>IF(D!B55&lt;&gt;"",D!B55,)</f>
        <v>0</v>
      </c>
      <c r="C55" s="455">
        <f>D!C55</f>
        <v>0</v>
      </c>
      <c r="D55" s="80">
        <f t="shared" si="8"/>
        <v>0</v>
      </c>
      <c r="E55" s="519"/>
      <c r="F55" s="519"/>
      <c r="G55" s="367"/>
      <c r="H55" s="1200"/>
      <c r="I55" s="856" t="s">
        <v>393</v>
      </c>
      <c r="J55" s="821"/>
      <c r="K55" s="592"/>
      <c r="L55" s="591"/>
      <c r="M55" s="99">
        <f>IF(D19&lt;=0,D19,IF(N55="Yes",D19,0))</f>
        <v>0</v>
      </c>
      <c r="N55" s="438" t="str">
        <f>IF(D19&gt;0,"No","")</f>
        <v/>
      </c>
      <c r="O55" s="377"/>
      <c r="P55" s="660" t="s">
        <v>349</v>
      </c>
      <c r="Q55" s="22">
        <f ca="1">C40</f>
        <v>0</v>
      </c>
      <c r="R55" s="22">
        <f>D40</f>
        <v>0</v>
      </c>
      <c r="S55" s="1144">
        <f ca="1">Q55-R55</f>
        <v>0</v>
      </c>
      <c r="T55" s="1146"/>
      <c r="U55" s="649"/>
      <c r="V55" s="370"/>
      <c r="W55" s="371"/>
      <c r="X55" s="367"/>
      <c r="Y55" s="367"/>
      <c r="Z55" s="367"/>
      <c r="AA55" s="367"/>
      <c r="AB55" s="367"/>
      <c r="AC55" s="367"/>
      <c r="AD55" s="367"/>
      <c r="AE55" s="367"/>
      <c r="AF55" s="367"/>
      <c r="AG55" s="367"/>
      <c r="AH55" s="367"/>
      <c r="AI55" s="367"/>
      <c r="AJ55" s="367"/>
      <c r="AK55" s="367"/>
      <c r="AL55" s="367"/>
      <c r="AM55" s="367"/>
      <c r="AN55" s="367"/>
      <c r="AO55" s="86"/>
      <c r="AP55" s="52" t="s">
        <v>408</v>
      </c>
      <c r="AQ55" s="52" t="s">
        <v>410</v>
      </c>
    </row>
    <row r="56" spans="1:92" ht="16.5" thickBot="1">
      <c r="A56" s="367"/>
      <c r="B56" s="850">
        <f>IF(D!B56&lt;&gt;"",D!B56,)</f>
        <v>0</v>
      </c>
      <c r="C56" s="455">
        <f>D!C56</f>
        <v>0</v>
      </c>
      <c r="D56" s="80">
        <f t="shared" si="8"/>
        <v>0</v>
      </c>
      <c r="E56" s="519"/>
      <c r="F56" s="519"/>
      <c r="G56" s="367"/>
      <c r="H56" s="1201"/>
      <c r="I56" s="1115" t="s">
        <v>394</v>
      </c>
      <c r="J56" s="1116"/>
      <c r="K56" s="587"/>
      <c r="L56" s="594"/>
      <c r="M56" s="1">
        <f ca="1">IF(C41&lt;=0,C41,IF(N56="Yes",C41,0))</f>
        <v>0</v>
      </c>
      <c r="N56" s="438" t="str">
        <f ca="1">IF(C41&gt;0,"No","")</f>
        <v/>
      </c>
      <c r="O56" s="377"/>
      <c r="P56" s="661" t="s">
        <v>179</v>
      </c>
      <c r="Q56" s="662">
        <f ca="1">Q54-Q53-Q55</f>
        <v>0</v>
      </c>
      <c r="R56" s="662">
        <f>R54-R53-R55</f>
        <v>0</v>
      </c>
      <c r="S56" s="1144">
        <f ca="1">SUM(S53:S55)</f>
        <v>0</v>
      </c>
      <c r="T56" s="1145"/>
      <c r="U56" s="647"/>
      <c r="V56" s="371"/>
      <c r="W56" s="371"/>
      <c r="X56" s="367"/>
      <c r="Y56" s="367"/>
      <c r="Z56" s="367"/>
      <c r="AA56" s="367"/>
      <c r="AB56" s="367"/>
      <c r="AC56" s="367"/>
      <c r="AD56" s="367"/>
      <c r="AE56" s="367"/>
      <c r="AF56" s="367"/>
      <c r="AG56" s="367"/>
      <c r="AH56" s="367"/>
      <c r="AI56" s="367"/>
      <c r="AJ56" s="367"/>
      <c r="AK56" s="367"/>
      <c r="AL56" s="367"/>
      <c r="AM56" s="367"/>
      <c r="AN56" s="367"/>
      <c r="AO56" s="86"/>
      <c r="AP56" s="52" t="s">
        <v>409</v>
      </c>
      <c r="AQ56" s="52" t="s">
        <v>411</v>
      </c>
    </row>
    <row r="57" spans="1:92" ht="16.5" thickBot="1">
      <c r="A57" s="367"/>
      <c r="B57" s="16" t="s">
        <v>179</v>
      </c>
      <c r="C57" s="77">
        <f>SUM(C45:C56)</f>
        <v>0</v>
      </c>
      <c r="D57" s="76">
        <f>SUM(D45:D56)</f>
        <v>0</v>
      </c>
      <c r="E57" s="520"/>
      <c r="F57" s="520"/>
      <c r="G57" s="367"/>
      <c r="H57" s="12"/>
      <c r="I57" s="13"/>
      <c r="J57" s="14"/>
      <c r="K57" s="593"/>
      <c r="L57" s="14"/>
      <c r="M57" s="14"/>
      <c r="N57" s="367"/>
      <c r="O57" s="377"/>
      <c r="P57" s="438"/>
      <c r="Q57" s="790"/>
      <c r="R57" s="790"/>
      <c r="S57" s="789"/>
      <c r="T57" s="370"/>
      <c r="U57" s="370"/>
      <c r="V57" s="371"/>
      <c r="W57" s="371"/>
      <c r="X57" s="367"/>
      <c r="Y57" s="367"/>
      <c r="Z57" s="367"/>
      <c r="AA57" s="367"/>
      <c r="AB57" s="367"/>
      <c r="AC57" s="367"/>
      <c r="AD57" s="367"/>
      <c r="AE57" s="367"/>
      <c r="AF57" s="367"/>
      <c r="AG57" s="367"/>
      <c r="AH57" s="367"/>
      <c r="AI57" s="367"/>
      <c r="AJ57" s="367"/>
      <c r="AK57" s="367"/>
      <c r="AL57" s="367"/>
      <c r="AM57" s="367"/>
      <c r="AN57" s="367"/>
      <c r="AO57" s="86"/>
    </row>
    <row r="58" spans="1:92" ht="16.5" customHeight="1" thickBot="1">
      <c r="A58" s="367"/>
      <c r="B58" s="101" t="s">
        <v>367</v>
      </c>
      <c r="C58" s="1113">
        <f>C57-D57</f>
        <v>0</v>
      </c>
      <c r="D58" s="1114"/>
      <c r="E58" s="517"/>
      <c r="F58" s="517"/>
      <c r="G58" s="367"/>
      <c r="H58" s="818" t="s">
        <v>431</v>
      </c>
      <c r="I58" s="817"/>
      <c r="J58" s="817"/>
      <c r="K58" s="588"/>
      <c r="L58" s="588"/>
      <c r="M58" s="103">
        <f ca="1">SUM(M54:M56)</f>
        <v>0</v>
      </c>
      <c r="N58" s="729" t="str">
        <f>AQ55</f>
        <v>Pass</v>
      </c>
      <c r="O58" s="377"/>
      <c r="P58" s="663" t="s">
        <v>400</v>
      </c>
      <c r="Q58" s="664" t="str">
        <f>IF(Z56="","","Expected")</f>
        <v/>
      </c>
      <c r="R58" s="664" t="s">
        <v>398</v>
      </c>
      <c r="S58" s="1236" t="str">
        <f>IF(Z56="","","Diff")</f>
        <v/>
      </c>
      <c r="T58" s="1237"/>
      <c r="U58" s="651"/>
      <c r="V58" s="370"/>
      <c r="W58" s="371"/>
      <c r="X58" s="367"/>
      <c r="Y58" s="367"/>
      <c r="Z58" s="367"/>
      <c r="AA58" s="367"/>
      <c r="AB58" s="367"/>
      <c r="AC58" s="367"/>
      <c r="AD58" s="367"/>
      <c r="AE58" s="367"/>
      <c r="AF58" s="367"/>
      <c r="AG58" s="367"/>
      <c r="AH58" s="367"/>
      <c r="AI58" s="367"/>
      <c r="AJ58" s="367"/>
      <c r="AK58" s="367"/>
      <c r="AL58" s="367"/>
      <c r="AM58" s="367"/>
      <c r="AN58" s="367"/>
      <c r="AO58" s="86"/>
    </row>
    <row r="59" spans="1:92" ht="16.5" thickTop="1" thickBot="1">
      <c r="A59" s="367"/>
      <c r="B59" s="880" t="s">
        <v>382</v>
      </c>
      <c r="C59" s="367"/>
      <c r="D59" s="367"/>
      <c r="E59" s="367"/>
      <c r="F59" s="367"/>
      <c r="G59" s="367"/>
      <c r="H59" s="367"/>
      <c r="I59" s="367"/>
      <c r="J59" s="367"/>
      <c r="K59" s="367"/>
      <c r="L59" s="367"/>
      <c r="M59" s="367"/>
      <c r="N59" s="367"/>
      <c r="O59" s="377"/>
      <c r="P59" s="665" t="s">
        <v>399</v>
      </c>
      <c r="Q59" s="666">
        <f>D!R59+E!R56</f>
        <v>0</v>
      </c>
      <c r="R59" s="667"/>
      <c r="S59" s="1235">
        <f>Q59-R59</f>
        <v>0</v>
      </c>
      <c r="T59" s="1146"/>
      <c r="U59" s="649"/>
      <c r="V59" s="371"/>
      <c r="W59" s="371"/>
      <c r="X59" s="367"/>
      <c r="Y59" s="367"/>
      <c r="Z59" s="367"/>
      <c r="AA59" s="367"/>
      <c r="AB59" s="367"/>
      <c r="AC59" s="367"/>
      <c r="AD59" s="367"/>
      <c r="AE59" s="367"/>
      <c r="AF59" s="367"/>
      <c r="AG59" s="367"/>
      <c r="AH59" s="367"/>
      <c r="AI59" s="367"/>
      <c r="AJ59" s="367"/>
      <c r="AK59" s="367"/>
      <c r="AL59" s="367"/>
      <c r="AM59" s="367"/>
      <c r="AN59" s="367"/>
      <c r="AO59" s="86"/>
    </row>
    <row r="60" spans="1:92" ht="15">
      <c r="A60" s="367"/>
      <c r="B60" s="807" t="s">
        <v>383</v>
      </c>
      <c r="C60" s="367"/>
      <c r="D60" s="882" t="s">
        <v>384</v>
      </c>
      <c r="E60" s="367"/>
      <c r="F60" s="367"/>
      <c r="G60" s="367"/>
      <c r="I60" s="367"/>
      <c r="J60" s="367"/>
      <c r="K60" s="367"/>
      <c r="L60" s="367"/>
      <c r="M60" s="367"/>
      <c r="N60" s="367"/>
      <c r="O60" s="377"/>
      <c r="P60" s="367"/>
      <c r="Q60" s="367"/>
      <c r="R60" s="367"/>
      <c r="S60" s="371"/>
      <c r="T60" s="371"/>
      <c r="U60" s="371"/>
      <c r="V60" s="371"/>
      <c r="W60" s="367"/>
      <c r="X60" s="367"/>
      <c r="Y60" s="367"/>
      <c r="Z60" s="367"/>
      <c r="AA60" s="367"/>
      <c r="AB60" s="367"/>
      <c r="AC60" s="367"/>
      <c r="AD60" s="367"/>
      <c r="AE60" s="367"/>
      <c r="AF60" s="367"/>
      <c r="AG60" s="367"/>
      <c r="AH60" s="367"/>
      <c r="AI60" s="367"/>
      <c r="AJ60" s="367"/>
      <c r="AK60" s="367"/>
      <c r="AL60" s="367"/>
      <c r="AM60" s="367"/>
      <c r="AN60" s="367"/>
      <c r="AO60" s="86"/>
    </row>
    <row r="61" spans="1:92" ht="15.75" collapsed="1" thickBot="1">
      <c r="A61" s="367"/>
      <c r="B61" s="884" t="s">
        <v>385</v>
      </c>
      <c r="C61" s="367"/>
      <c r="D61" s="367"/>
      <c r="E61" s="367"/>
      <c r="F61" s="367"/>
      <c r="G61" s="367"/>
      <c r="I61" s="367"/>
      <c r="K61" s="510"/>
      <c r="L61" s="510"/>
      <c r="M61" s="510"/>
      <c r="N61" s="367"/>
      <c r="O61" s="511"/>
      <c r="Q61" s="367"/>
      <c r="R61" s="367"/>
      <c r="S61" s="371"/>
      <c r="T61" s="371"/>
      <c r="U61" s="371"/>
      <c r="V61" s="371"/>
      <c r="W61" s="367"/>
      <c r="X61" s="367"/>
      <c r="Y61" s="367"/>
      <c r="Z61" s="367"/>
      <c r="AA61" s="367"/>
      <c r="AB61" s="367"/>
      <c r="AC61" s="367"/>
      <c r="AD61" s="367"/>
      <c r="AE61" s="367"/>
      <c r="AF61" s="367"/>
      <c r="AG61" s="367"/>
      <c r="AH61" s="367"/>
      <c r="AI61" s="367"/>
      <c r="AJ61" s="367"/>
      <c r="AK61" s="367"/>
      <c r="AL61" s="367"/>
      <c r="AM61" s="367"/>
      <c r="AN61" s="367"/>
      <c r="AO61" s="86"/>
    </row>
    <row r="62" spans="1:92" ht="15.75" hidden="1" customHeight="1" outlineLevel="1" thickBot="1">
      <c r="A62" s="367"/>
      <c r="B62" s="367"/>
      <c r="C62" s="367"/>
      <c r="D62" s="367"/>
      <c r="E62" s="367"/>
      <c r="F62" s="367"/>
      <c r="G62" s="367"/>
      <c r="H62" s="505"/>
      <c r="I62" s="367"/>
      <c r="J62" s="367"/>
      <c r="K62" s="581"/>
      <c r="L62" s="367"/>
      <c r="M62" s="367"/>
      <c r="N62" s="367"/>
      <c r="O62" s="511"/>
      <c r="P62" s="505"/>
      <c r="Q62" s="367"/>
      <c r="R62" s="367"/>
      <c r="S62" s="371"/>
      <c r="T62" s="371"/>
      <c r="U62" s="371"/>
      <c r="V62" s="631"/>
      <c r="W62" s="367"/>
      <c r="X62" s="367"/>
      <c r="Y62" s="367"/>
      <c r="Z62" s="367"/>
      <c r="AA62" s="367"/>
      <c r="AB62" s="367"/>
      <c r="AC62" s="367"/>
      <c r="AD62" s="367"/>
      <c r="AE62" s="367"/>
      <c r="AF62" s="367"/>
      <c r="AG62" s="367"/>
      <c r="AH62" s="367"/>
      <c r="AI62" s="367"/>
      <c r="AJ62" s="367"/>
      <c r="AK62" s="367"/>
      <c r="AL62" s="367"/>
      <c r="AM62" s="367"/>
      <c r="AN62" s="367"/>
      <c r="AO62" s="86"/>
    </row>
    <row r="63" spans="1:92" s="367" customFormat="1" ht="33.75" hidden="1" customHeight="1" outlineLevel="1">
      <c r="B63" s="1120" t="s">
        <v>388</v>
      </c>
      <c r="C63" s="1122" t="s">
        <v>354</v>
      </c>
      <c r="D63" s="1124" t="s">
        <v>358</v>
      </c>
      <c r="E63" s="1126" t="s">
        <v>380</v>
      </c>
      <c r="F63" s="1127" t="s">
        <v>335</v>
      </c>
      <c r="H63" s="503" t="s">
        <v>356</v>
      </c>
      <c r="I63" s="682" t="s">
        <v>357</v>
      </c>
      <c r="J63" s="812" t="s">
        <v>358</v>
      </c>
      <c r="K63" s="598" t="s">
        <v>380</v>
      </c>
      <c r="L63" s="600" t="s">
        <v>335</v>
      </c>
      <c r="M63" s="504" t="s">
        <v>389</v>
      </c>
      <c r="O63" s="506" t="s">
        <v>356</v>
      </c>
      <c r="P63" s="507" t="s">
        <v>357</v>
      </c>
      <c r="Q63" s="813" t="s">
        <v>358</v>
      </c>
      <c r="R63" s="507" t="s">
        <v>359</v>
      </c>
      <c r="S63" s="814" t="s">
        <v>390</v>
      </c>
      <c r="T63" s="815" t="s">
        <v>391</v>
      </c>
      <c r="U63" s="637" t="s">
        <v>380</v>
      </c>
      <c r="V63" s="616" t="s">
        <v>335</v>
      </c>
      <c r="W63" s="632" t="s">
        <v>389</v>
      </c>
      <c r="AO63" s="86"/>
      <c r="AP63" s="86"/>
      <c r="AQ63" s="86"/>
      <c r="AR63" s="86"/>
      <c r="AS63" s="86"/>
      <c r="AT63" s="86"/>
      <c r="AU63" s="86"/>
      <c r="AV63" s="86"/>
      <c r="AW63" s="86"/>
      <c r="AX63" s="86"/>
      <c r="AY63" s="86"/>
      <c r="CM63" s="86"/>
      <c r="CN63" s="86"/>
    </row>
    <row r="64" spans="1:92" s="367" customFormat="1" ht="15" hidden="1" customHeight="1" outlineLevel="1">
      <c r="B64" s="1121"/>
      <c r="C64" s="1123"/>
      <c r="D64" s="1125"/>
      <c r="E64" s="1126"/>
      <c r="F64" s="1127"/>
      <c r="H64" s="543"/>
      <c r="I64" s="853"/>
      <c r="J64" s="6"/>
      <c r="K64" s="541"/>
      <c r="L64" s="860"/>
      <c r="M64" s="20" t="str">
        <f>IF(J64="","",$M$5-SUM($J$7:J64))</f>
        <v/>
      </c>
      <c r="O64" s="106"/>
      <c r="P64" s="871">
        <f>IF(D!Q64&lt;&gt;D!R64,IF(D!Q64&lt;&gt;0,IF(D!S64&lt;&gt;D!T64,D!P64,),),)</f>
        <v>0</v>
      </c>
      <c r="Q64" s="795">
        <f>IF(D!Q64&lt;&gt;D!R64,IF(D!Q64&lt;&gt;0,IF(D!S64&lt;&gt;D!T64,D!Q64,),),)</f>
        <v>0</v>
      </c>
      <c r="R64" s="628">
        <f>IF(D!Q64&lt;&gt;D!R64,IF(D!Q64&lt;&gt;0,IF(D!S64&lt;&gt;D!T64,0,Q64),Q64),Q64)</f>
        <v>0</v>
      </c>
      <c r="S64" s="796">
        <f>IF(D!Q64&lt;&gt;D!R64,IF(D!Q64&lt;&gt;0,IF(D!S64&lt;&gt;D!T64,D!S64+1,),),)</f>
        <v>0</v>
      </c>
      <c r="T64" s="796">
        <f>IF(D!Q64&lt;&gt;D!R64,IF(D!Q64&lt;&gt;0,IF(D!S64&lt;&gt;D!T64,D!T64,),),)</f>
        <v>0</v>
      </c>
      <c r="U64" s="797">
        <f>IF(D!Q64&lt;&gt;D!R64,IF(D!Q64&lt;&gt;0,IF(D!S64&lt;&gt;D!T64,D!U64,),),)</f>
        <v>0</v>
      </c>
      <c r="V64" s="875">
        <f>IF(D!Q64&lt;&gt;D!R64,IF(D!Q64&lt;&gt;0,IF(D!S64&lt;&gt;D!T64,D!V64,),),)</f>
        <v>0</v>
      </c>
      <c r="W64" s="633">
        <f>IF(Q64="","",$W$5-SUM($Q$7:$Q$45)-SUM($Q$64:Q64))</f>
        <v>0</v>
      </c>
      <c r="AO64" s="86"/>
      <c r="AP64" s="86"/>
      <c r="AQ64" s="86"/>
      <c r="AR64" s="86"/>
      <c r="AS64" s="86"/>
      <c r="AT64" s="86"/>
      <c r="AU64" s="86"/>
      <c r="AV64" s="86"/>
      <c r="AW64" s="86"/>
      <c r="AX64" s="86"/>
      <c r="AY64" s="86"/>
      <c r="CM64" s="86"/>
      <c r="CN64" s="86"/>
    </row>
    <row r="65" spans="2:92" s="367" customFormat="1" ht="15" hidden="1" customHeight="1" outlineLevel="1">
      <c r="B65" s="852">
        <f ca="1">IF(D!B65&lt;&gt;"",D!B65,)</f>
        <v>0</v>
      </c>
      <c r="C65" s="454">
        <f ca="1">D!C65</f>
        <v>0</v>
      </c>
      <c r="D65" s="74"/>
      <c r="E65" s="521"/>
      <c r="F65" s="858"/>
      <c r="H65" s="543"/>
      <c r="I65" s="853"/>
      <c r="J65" s="6"/>
      <c r="K65" s="541"/>
      <c r="L65" s="860"/>
      <c r="M65" s="20" t="str">
        <f>IF(J65="","",$M$5-SUM($J$7:J65))</f>
        <v/>
      </c>
      <c r="O65" s="7"/>
      <c r="P65" s="872">
        <f>IF(D!Q65&lt;&gt;D!R65,IF(D!Q65&lt;&gt;0,IF(D!S65&lt;&gt;D!T65,D!P65,),),)</f>
        <v>0</v>
      </c>
      <c r="Q65" s="795">
        <f>IF(D!Q65&lt;&gt;D!R65,IF(D!Q65&lt;&gt;0,IF(D!S65&lt;&gt;D!T65,D!Q65,),),)</f>
        <v>0</v>
      </c>
      <c r="R65" s="628">
        <f>IF(D!Q65&lt;&gt;D!R65,IF(D!Q65&lt;&gt;0,IF(D!S65&lt;&gt;D!T65,0,Q65),Q65),Q65)</f>
        <v>0</v>
      </c>
      <c r="S65" s="796">
        <f>IF(D!Q65&lt;&gt;D!R65,IF(D!Q65&lt;&gt;0,IF(D!S65&lt;&gt;D!T65,D!S65+1,),),)</f>
        <v>0</v>
      </c>
      <c r="T65" s="796">
        <f>IF(D!Q65&lt;&gt;D!R65,IF(D!Q65&lt;&gt;0,IF(D!S65&lt;&gt;D!T65,D!T65,),),)</f>
        <v>0</v>
      </c>
      <c r="U65" s="797">
        <f>IF(D!Q65&lt;&gt;D!R65,IF(D!Q65&lt;&gt;0,IF(D!S65&lt;&gt;D!T65,D!U65,),),)</f>
        <v>0</v>
      </c>
      <c r="V65" s="875">
        <f>IF(D!Q65&lt;&gt;D!R65,IF(D!Q65&lt;&gt;0,IF(D!S65&lt;&gt;D!T65,D!V65,),),)</f>
        <v>0</v>
      </c>
      <c r="W65" s="633">
        <f>IF(Q65="","",$W$5-SUM($Q$7:$Q$45)-SUM($Q$64:Q65))</f>
        <v>0</v>
      </c>
      <c r="AO65" s="86"/>
      <c r="AP65" s="86"/>
      <c r="AQ65" s="86"/>
      <c r="AR65" s="86"/>
      <c r="AS65" s="86"/>
      <c r="AT65" s="86"/>
      <c r="AU65" s="86"/>
      <c r="AV65" s="86"/>
      <c r="AW65" s="86"/>
      <c r="AX65" s="86"/>
      <c r="AY65" s="86"/>
      <c r="CM65" s="86"/>
      <c r="CN65" s="86"/>
    </row>
    <row r="66" spans="2:92" s="367" customFormat="1" ht="15.75" hidden="1" customHeight="1" outlineLevel="1">
      <c r="B66" s="852">
        <f ca="1">IF(D!B66&lt;&gt;"",D!B66,)</f>
        <v>0</v>
      </c>
      <c r="C66" s="454">
        <f ca="1">D!C66</f>
        <v>0</v>
      </c>
      <c r="D66" s="74"/>
      <c r="E66" s="521"/>
      <c r="F66" s="858"/>
      <c r="H66" s="543"/>
      <c r="I66" s="853"/>
      <c r="J66" s="6"/>
      <c r="K66" s="541"/>
      <c r="L66" s="860"/>
      <c r="M66" s="20" t="str">
        <f>IF(J66="","",$M$5-SUM($J$7:J66))</f>
        <v/>
      </c>
      <c r="O66" s="7"/>
      <c r="P66" s="871">
        <f>IF(D!Q66&lt;&gt;D!R66,IF(D!Q66&lt;&gt;0,IF(D!S66&lt;&gt;D!T66,D!P66,),),)</f>
        <v>0</v>
      </c>
      <c r="Q66" s="795">
        <f>IF(D!Q66&lt;&gt;D!R66,IF(D!Q66&lt;&gt;0,IF(D!S66&lt;&gt;D!T66,D!Q66,),),)</f>
        <v>0</v>
      </c>
      <c r="R66" s="628">
        <f>IF(D!Q66&lt;&gt;D!R66,IF(D!Q66&lt;&gt;0,IF(D!S66&lt;&gt;D!T66,0,Q66),Q66),Q66)</f>
        <v>0</v>
      </c>
      <c r="S66" s="796">
        <f>IF(D!Q66&lt;&gt;D!R66,IF(D!Q66&lt;&gt;0,IF(D!S66&lt;&gt;D!T66,D!S66+1,),),)</f>
        <v>0</v>
      </c>
      <c r="T66" s="796">
        <f>IF(D!Q66&lt;&gt;D!R66,IF(D!Q66&lt;&gt;0,IF(D!S66&lt;&gt;D!T66,D!T66,),),)</f>
        <v>0</v>
      </c>
      <c r="U66" s="797">
        <f>IF(D!Q66&lt;&gt;D!R66,IF(D!Q66&lt;&gt;0,IF(D!S66&lt;&gt;D!T66,D!U66,),),)</f>
        <v>0</v>
      </c>
      <c r="V66" s="875">
        <f>IF(D!Q66&lt;&gt;D!R66,IF(D!Q66&lt;&gt;0,IF(D!S66&lt;&gt;D!T66,D!V66,),),)</f>
        <v>0</v>
      </c>
      <c r="W66" s="633">
        <f>IF(Q66="","",$W$5-SUM($Q$7:$Q$45)-SUM($Q$64:Q66))</f>
        <v>0</v>
      </c>
      <c r="AO66" s="86"/>
      <c r="AP66" s="86"/>
      <c r="AQ66" s="86"/>
      <c r="AR66" s="86"/>
      <c r="AS66" s="86"/>
      <c r="AT66" s="86"/>
      <c r="AU66" s="86"/>
      <c r="AV66" s="86"/>
      <c r="AW66" s="86"/>
      <c r="AX66" s="86"/>
      <c r="AY66" s="86"/>
      <c r="CM66" s="86"/>
      <c r="CN66" s="86"/>
    </row>
    <row r="67" spans="2:92" s="367" customFormat="1" ht="15.75" hidden="1" customHeight="1" outlineLevel="1">
      <c r="B67" s="852">
        <f ca="1">IF(D!B67&lt;&gt;"",D!B67,)</f>
        <v>0</v>
      </c>
      <c r="C67" s="454">
        <f ca="1">D!C67</f>
        <v>0</v>
      </c>
      <c r="D67" s="74"/>
      <c r="E67" s="521"/>
      <c r="F67" s="858"/>
      <c r="H67" s="543"/>
      <c r="I67" s="853"/>
      <c r="J67" s="6"/>
      <c r="K67" s="541"/>
      <c r="L67" s="860"/>
      <c r="M67" s="20" t="str">
        <f>IF(J67="","",$M$5-SUM($J$7:J67))</f>
        <v/>
      </c>
      <c r="O67" s="7"/>
      <c r="P67" s="871">
        <f>IF(D!Q67&lt;&gt;D!R67,IF(D!Q67&lt;&gt;0,IF(D!S67&lt;&gt;D!T67,D!P67,),),)</f>
        <v>0</v>
      </c>
      <c r="Q67" s="798">
        <f>IF(D!Q67&lt;&gt;D!R67,IF(D!Q67&lt;&gt;0,IF(D!S67&lt;&gt;D!T67,D!Q67,),),)</f>
        <v>0</v>
      </c>
      <c r="R67" s="628">
        <f>IF(D!Q67&lt;&gt;D!R67,IF(D!Q67&lt;&gt;0,IF(D!S67&lt;&gt;D!T67,0,Q67),Q67),Q67)</f>
        <v>0</v>
      </c>
      <c r="S67" s="796">
        <f>IF(D!Q67&lt;&gt;D!R67,IF(D!Q67&lt;&gt;0,IF(D!S67&lt;&gt;D!T67,D!S67+1,),),)</f>
        <v>0</v>
      </c>
      <c r="T67" s="796">
        <f>IF(D!Q67&lt;&gt;D!R67,IF(D!Q67&lt;&gt;0,IF(D!S67&lt;&gt;D!T67,D!T67,),),)</f>
        <v>0</v>
      </c>
      <c r="U67" s="797">
        <f>IF(D!Q67&lt;&gt;D!R67,IF(D!Q67&lt;&gt;0,IF(D!S67&lt;&gt;D!T67,D!U67,),),)</f>
        <v>0</v>
      </c>
      <c r="V67" s="875">
        <f>IF(D!Q67&lt;&gt;D!R67,IF(D!Q67&lt;&gt;0,IF(D!S67&lt;&gt;D!T67,D!V67,),),)</f>
        <v>0</v>
      </c>
      <c r="W67" s="633">
        <f>IF(Q67="","",$W$5-SUM($Q$7:$Q$45)-SUM($Q$64:Q67))</f>
        <v>0</v>
      </c>
      <c r="AO67" s="86"/>
      <c r="AP67" s="86"/>
      <c r="AQ67" s="86"/>
      <c r="AR67" s="86"/>
      <c r="AS67" s="86"/>
      <c r="AT67" s="86"/>
      <c r="AU67" s="86"/>
      <c r="AV67" s="86"/>
      <c r="AW67" s="86"/>
      <c r="AX67" s="86"/>
      <c r="AY67" s="86"/>
      <c r="CM67" s="86"/>
      <c r="CN67" s="86"/>
    </row>
    <row r="68" spans="2:92" s="367" customFormat="1" ht="15.75" hidden="1" customHeight="1" outlineLevel="1">
      <c r="B68" s="852">
        <f ca="1">IF(D!B68&lt;&gt;"",D!B68,)</f>
        <v>0</v>
      </c>
      <c r="C68" s="454">
        <f ca="1">D!C68</f>
        <v>0</v>
      </c>
      <c r="D68" s="74"/>
      <c r="E68" s="521"/>
      <c r="F68" s="858"/>
      <c r="H68" s="543"/>
      <c r="I68" s="853"/>
      <c r="J68" s="6"/>
      <c r="K68" s="541"/>
      <c r="L68" s="860"/>
      <c r="M68" s="20" t="str">
        <f>IF(J68="","",$M$5-SUM($J$7:J68))</f>
        <v/>
      </c>
      <c r="O68" s="7"/>
      <c r="P68" s="871">
        <f>IF(D!Q68&lt;&gt;D!R68,IF(D!Q68&lt;&gt;0,IF(D!S68&lt;&gt;D!T68,D!P68,),),)</f>
        <v>0</v>
      </c>
      <c r="Q68" s="795">
        <f>IF(D!Q68&lt;&gt;D!R68,IF(D!Q68&lt;&gt;0,IF(D!S68&lt;&gt;D!T68,D!Q68,),),)</f>
        <v>0</v>
      </c>
      <c r="R68" s="628">
        <f>IF(D!Q68&lt;&gt;D!R68,IF(D!Q68&lt;&gt;0,IF(D!S68&lt;&gt;D!T68,0,Q68),Q68),Q68)</f>
        <v>0</v>
      </c>
      <c r="S68" s="796">
        <f>IF(D!Q68&lt;&gt;D!R68,IF(D!Q68&lt;&gt;0,IF(D!S68&lt;&gt;D!T68,D!S68+1,),),)</f>
        <v>0</v>
      </c>
      <c r="T68" s="796">
        <f>IF(D!Q68&lt;&gt;D!R68,IF(D!Q68&lt;&gt;0,IF(D!S68&lt;&gt;D!T68,D!T68,),),)</f>
        <v>0</v>
      </c>
      <c r="U68" s="797">
        <f>IF(D!Q68&lt;&gt;D!R68,IF(D!Q68&lt;&gt;0,IF(D!S68&lt;&gt;D!T68,D!U68,),),)</f>
        <v>0</v>
      </c>
      <c r="V68" s="875">
        <f>IF(D!Q68&lt;&gt;D!R68,IF(D!Q68&lt;&gt;0,IF(D!S68&lt;&gt;D!T68,D!V68,),),)</f>
        <v>0</v>
      </c>
      <c r="W68" s="633">
        <f>IF(Q68="","",$W$5-SUM($Q$7:$Q$45)-SUM($Q$64:Q68))</f>
        <v>0</v>
      </c>
      <c r="AO68" s="86"/>
      <c r="AP68" s="86"/>
      <c r="AQ68" s="86"/>
      <c r="AR68" s="86"/>
      <c r="AS68" s="86"/>
      <c r="AT68" s="86"/>
      <c r="AU68" s="86"/>
      <c r="AV68" s="86"/>
      <c r="AW68" s="86"/>
      <c r="AX68" s="86"/>
      <c r="AY68" s="86"/>
      <c r="CM68" s="86"/>
      <c r="CN68" s="86"/>
    </row>
    <row r="69" spans="2:92" s="367" customFormat="1" ht="15.75" hidden="1" customHeight="1" outlineLevel="1">
      <c r="B69" s="852">
        <f ca="1">IF(D!B69&lt;&gt;"",D!B69,)</f>
        <v>0</v>
      </c>
      <c r="C69" s="454">
        <f ca="1">D!C69</f>
        <v>0</v>
      </c>
      <c r="D69" s="74"/>
      <c r="E69" s="521"/>
      <c r="F69" s="858"/>
      <c r="H69" s="543"/>
      <c r="I69" s="853"/>
      <c r="J69" s="6"/>
      <c r="K69" s="541"/>
      <c r="L69" s="860"/>
      <c r="M69" s="20" t="str">
        <f>IF(J69="","",$M$5-SUM($J$7:J69))</f>
        <v/>
      </c>
      <c r="O69" s="7"/>
      <c r="P69" s="871">
        <f>IF(D!Q69&lt;&gt;D!R69,IF(D!Q69&lt;&gt;0,IF(D!S69&lt;&gt;D!T69,D!P69,),),)</f>
        <v>0</v>
      </c>
      <c r="Q69" s="795">
        <f>IF(D!Q69&lt;&gt;D!R69,IF(D!Q69&lt;&gt;0,IF(D!S69&lt;&gt;D!T69,D!Q69,),),)</f>
        <v>0</v>
      </c>
      <c r="R69" s="628">
        <f>IF(D!Q69&lt;&gt;D!R69,IF(D!Q69&lt;&gt;0,IF(D!S69&lt;&gt;D!T69,0,Q69),Q69),Q69)</f>
        <v>0</v>
      </c>
      <c r="S69" s="796">
        <f>IF(D!Q69&lt;&gt;D!R69,IF(D!Q69&lt;&gt;0,IF(D!S69&lt;&gt;D!T69,D!S69+1,),),)</f>
        <v>0</v>
      </c>
      <c r="T69" s="796">
        <f>IF(D!Q69&lt;&gt;D!R69,IF(D!Q69&lt;&gt;0,IF(D!S69&lt;&gt;D!T69,D!T69,),),)</f>
        <v>0</v>
      </c>
      <c r="U69" s="797">
        <f>IF(D!Q69&lt;&gt;D!R69,IF(D!Q69&lt;&gt;0,IF(D!S69&lt;&gt;D!T69,D!U69,),),)</f>
        <v>0</v>
      </c>
      <c r="V69" s="875">
        <f>IF(D!Q69&lt;&gt;D!R69,IF(D!Q69&lt;&gt;0,IF(D!S69&lt;&gt;D!T69,D!V69,),),)</f>
        <v>0</v>
      </c>
      <c r="W69" s="633">
        <f>IF(Q69="","",$W$5-SUM($Q$7:$Q$45)-SUM($Q$64:Q69))</f>
        <v>0</v>
      </c>
      <c r="AO69" s="86"/>
      <c r="AP69" s="86"/>
      <c r="AQ69" s="86"/>
      <c r="AR69" s="86"/>
      <c r="AS69" s="86"/>
      <c r="AT69" s="86"/>
      <c r="AU69" s="86"/>
      <c r="AV69" s="86"/>
      <c r="AW69" s="86"/>
      <c r="AX69" s="86"/>
      <c r="AY69" s="86"/>
      <c r="CM69" s="86"/>
      <c r="CN69" s="86"/>
    </row>
    <row r="70" spans="2:92" s="367" customFormat="1" ht="15.75" hidden="1" customHeight="1" outlineLevel="1">
      <c r="B70" s="852">
        <f ca="1">IF(D!B70&lt;&gt;"",D!B70,)</f>
        <v>0</v>
      </c>
      <c r="C70" s="454">
        <f ca="1">D!C70</f>
        <v>0</v>
      </c>
      <c r="D70" s="74"/>
      <c r="E70" s="521"/>
      <c r="F70" s="858"/>
      <c r="H70" s="543"/>
      <c r="I70" s="853"/>
      <c r="J70" s="6"/>
      <c r="K70" s="541"/>
      <c r="L70" s="860"/>
      <c r="M70" s="20" t="str">
        <f>IF(J70="","",$M$5-SUM($J$7:J70))</f>
        <v/>
      </c>
      <c r="O70" s="7"/>
      <c r="P70" s="871">
        <f>IF(D!Q70&lt;&gt;D!R70,IF(D!Q70&lt;&gt;0,IF(D!S70&lt;&gt;D!T70,D!P70,),),)</f>
        <v>0</v>
      </c>
      <c r="Q70" s="795">
        <f>IF(D!Q70&lt;&gt;D!R70,IF(D!Q70&lt;&gt;0,IF(D!S70&lt;&gt;D!T70,D!Q70,),),)</f>
        <v>0</v>
      </c>
      <c r="R70" s="628">
        <f>IF(D!Q70&lt;&gt;D!R70,IF(D!Q70&lt;&gt;0,IF(D!S70&lt;&gt;D!T70,0,Q70),Q70),Q70)</f>
        <v>0</v>
      </c>
      <c r="S70" s="796">
        <f>IF(D!Q70&lt;&gt;D!R70,IF(D!Q70&lt;&gt;0,IF(D!S70&lt;&gt;D!T70,D!S70+1,),),)</f>
        <v>0</v>
      </c>
      <c r="T70" s="796">
        <f>IF(D!Q70&lt;&gt;D!R70,IF(D!Q70&lt;&gt;0,IF(D!S70&lt;&gt;D!T70,D!T70,),),)</f>
        <v>0</v>
      </c>
      <c r="U70" s="797">
        <f>IF(D!Q70&lt;&gt;D!R70,IF(D!Q70&lt;&gt;0,IF(D!S70&lt;&gt;D!T70,D!U70,),),)</f>
        <v>0</v>
      </c>
      <c r="V70" s="875">
        <f>IF(D!Q70&lt;&gt;D!R70,IF(D!Q70&lt;&gt;0,IF(D!S70&lt;&gt;D!T70,D!V70,),),)</f>
        <v>0</v>
      </c>
      <c r="W70" s="633">
        <f>IF(Q70="","",$W$5-SUM($Q$7:$Q$45)-SUM($Q$64:Q70))</f>
        <v>0</v>
      </c>
      <c r="AO70" s="86"/>
      <c r="AP70" s="86"/>
      <c r="AQ70" s="86"/>
      <c r="AR70" s="86"/>
      <c r="AS70" s="86"/>
      <c r="AT70" s="86"/>
      <c r="AU70" s="86"/>
      <c r="AV70" s="86"/>
      <c r="AW70" s="86"/>
      <c r="AX70" s="86"/>
      <c r="AY70" s="86"/>
      <c r="CM70" s="86"/>
      <c r="CN70" s="86"/>
    </row>
    <row r="71" spans="2:92" s="367" customFormat="1" ht="15.75" hidden="1" customHeight="1" outlineLevel="1">
      <c r="B71" s="852">
        <f ca="1">IF(D!B71&lt;&gt;"",D!B71,)</f>
        <v>0</v>
      </c>
      <c r="C71" s="454">
        <f ca="1">D!C71</f>
        <v>0</v>
      </c>
      <c r="D71" s="74"/>
      <c r="E71" s="521"/>
      <c r="F71" s="858"/>
      <c r="H71" s="543"/>
      <c r="I71" s="853"/>
      <c r="J71" s="6"/>
      <c r="K71" s="541"/>
      <c r="L71" s="860"/>
      <c r="M71" s="20" t="str">
        <f>IF(J71="","",$M$5-SUM($J$7:J71))</f>
        <v/>
      </c>
      <c r="O71" s="7"/>
      <c r="P71" s="871">
        <f>IF(D!Q71&lt;&gt;D!R71,IF(D!Q71&lt;&gt;0,IF(D!S71&lt;&gt;D!T71,D!P71,),),)</f>
        <v>0</v>
      </c>
      <c r="Q71" s="795">
        <f>IF(D!Q71&lt;&gt;D!R71,IF(D!Q71&lt;&gt;0,IF(D!S71&lt;&gt;D!T71,D!Q71,),),)</f>
        <v>0</v>
      </c>
      <c r="R71" s="628">
        <f>IF(D!Q71&lt;&gt;D!R71,IF(D!Q71&lt;&gt;0,IF(D!S71&lt;&gt;D!T71,0,Q71),Q71),Q71)</f>
        <v>0</v>
      </c>
      <c r="S71" s="796">
        <f>IF(D!Q71&lt;&gt;D!R71,IF(D!Q71&lt;&gt;0,IF(D!S71&lt;&gt;D!T71,D!S71+1,),),)</f>
        <v>0</v>
      </c>
      <c r="T71" s="796">
        <f>IF(D!Q71&lt;&gt;D!R71,IF(D!Q71&lt;&gt;0,IF(D!S71&lt;&gt;D!T71,D!T71,),),)</f>
        <v>0</v>
      </c>
      <c r="U71" s="797">
        <f>IF(D!Q71&lt;&gt;D!R71,IF(D!Q71&lt;&gt;0,IF(D!S71&lt;&gt;D!T71,D!U71,),),)</f>
        <v>0</v>
      </c>
      <c r="V71" s="875">
        <f>IF(D!Q71&lt;&gt;D!R71,IF(D!Q71&lt;&gt;0,IF(D!S71&lt;&gt;D!T71,D!V71,),),)</f>
        <v>0</v>
      </c>
      <c r="W71" s="633">
        <f>IF(Q71="","",$W$5-SUM($Q$7:$Q$45)-SUM($Q$64:Q71))</f>
        <v>0</v>
      </c>
      <c r="AO71" s="86"/>
      <c r="AP71" s="86"/>
      <c r="AQ71" s="86"/>
      <c r="AR71" s="86"/>
      <c r="AS71" s="86"/>
      <c r="AT71" s="86"/>
      <c r="AU71" s="86"/>
      <c r="AV71" s="86"/>
      <c r="AW71" s="86"/>
      <c r="AX71" s="86"/>
      <c r="AY71" s="86"/>
      <c r="CM71" s="86"/>
      <c r="CN71" s="86"/>
    </row>
    <row r="72" spans="2:92" s="367" customFormat="1" ht="15.75" hidden="1" customHeight="1" outlineLevel="1">
      <c r="B72" s="852">
        <f ca="1">IF(D!B72&lt;&gt;"",D!B72,)</f>
        <v>0</v>
      </c>
      <c r="C72" s="454">
        <f ca="1">D!C72</f>
        <v>0</v>
      </c>
      <c r="D72" s="74"/>
      <c r="E72" s="521"/>
      <c r="F72" s="858"/>
      <c r="H72" s="543"/>
      <c r="I72" s="853"/>
      <c r="J72" s="6"/>
      <c r="K72" s="541"/>
      <c r="L72" s="860"/>
      <c r="M72" s="20" t="str">
        <f>IF(J72="","",$M$5-SUM($J$7:J72))</f>
        <v/>
      </c>
      <c r="O72" s="7"/>
      <c r="P72" s="871">
        <f>IF(D!Q72&lt;&gt;D!R72,IF(D!Q72&lt;&gt;0,IF(D!S72&lt;&gt;D!T72,D!P72,),),)</f>
        <v>0</v>
      </c>
      <c r="Q72" s="795">
        <f>IF(D!Q72&lt;&gt;D!R72,IF(D!Q72&lt;&gt;0,IF(D!S72&lt;&gt;D!T72,D!Q72,),),)</f>
        <v>0</v>
      </c>
      <c r="R72" s="628">
        <f>IF(D!Q72&lt;&gt;D!R72,IF(D!Q72&lt;&gt;0,IF(D!S72&lt;&gt;D!T72,0,Q72),Q72),Q72)</f>
        <v>0</v>
      </c>
      <c r="S72" s="796">
        <f>IF(D!Q72&lt;&gt;D!R72,IF(D!Q72&lt;&gt;0,IF(D!S72&lt;&gt;D!T72,D!S72+1,),),)</f>
        <v>0</v>
      </c>
      <c r="T72" s="796">
        <f>IF(D!Q72&lt;&gt;D!R72,IF(D!Q72&lt;&gt;0,IF(D!S72&lt;&gt;D!T72,D!T72,),),)</f>
        <v>0</v>
      </c>
      <c r="U72" s="797">
        <f>IF(D!Q72&lt;&gt;D!R72,IF(D!Q72&lt;&gt;0,IF(D!S72&lt;&gt;D!T72,D!U72,),),)</f>
        <v>0</v>
      </c>
      <c r="V72" s="875">
        <f>IF(D!Q72&lt;&gt;D!R72,IF(D!Q72&lt;&gt;0,IF(D!S72&lt;&gt;D!T72,D!V72,),),)</f>
        <v>0</v>
      </c>
      <c r="W72" s="633">
        <f>IF(Q72="","",$W$5-SUM($Q$7:$Q$45)-SUM($Q$64:Q72))</f>
        <v>0</v>
      </c>
      <c r="AO72" s="86"/>
      <c r="AP72" s="86"/>
      <c r="AQ72" s="86"/>
      <c r="AR72" s="86"/>
      <c r="AS72" s="86"/>
      <c r="AT72" s="86"/>
      <c r="AU72" s="86"/>
      <c r="AV72" s="86"/>
      <c r="AW72" s="86"/>
      <c r="AX72" s="86"/>
      <c r="AY72" s="86"/>
      <c r="CM72" s="86"/>
      <c r="CN72" s="86"/>
    </row>
    <row r="73" spans="2:92" s="367" customFormat="1" ht="15.75" hidden="1" customHeight="1" outlineLevel="1">
      <c r="B73" s="852">
        <f ca="1">IF(D!B73&lt;&gt;"",D!B73,)</f>
        <v>0</v>
      </c>
      <c r="C73" s="454">
        <f ca="1">D!C73</f>
        <v>0</v>
      </c>
      <c r="D73" s="74"/>
      <c r="E73" s="521"/>
      <c r="F73" s="858"/>
      <c r="H73" s="543"/>
      <c r="I73" s="853"/>
      <c r="J73" s="6"/>
      <c r="K73" s="541"/>
      <c r="L73" s="860"/>
      <c r="M73" s="20" t="str">
        <f>IF(J73="","",$M$5-SUM($J$7:J73))</f>
        <v/>
      </c>
      <c r="O73" s="7"/>
      <c r="P73" s="873">
        <f>IF(D!Q73&lt;&gt;D!R73,IF(D!Q73&lt;&gt;0,IF(D!S73&lt;&gt;D!T73,D!P73,),),)</f>
        <v>0</v>
      </c>
      <c r="Q73" s="795">
        <f>IF(D!Q73&lt;&gt;D!R73,IF(D!Q73&lt;&gt;0,IF(D!S73&lt;&gt;D!T73,D!Q73,),),)</f>
        <v>0</v>
      </c>
      <c r="R73" s="628">
        <f>IF(D!Q73&lt;&gt;D!R73,IF(D!Q73&lt;&gt;0,IF(D!S73&lt;&gt;D!T73,0,Q73),Q73),Q73)</f>
        <v>0</v>
      </c>
      <c r="S73" s="796">
        <f>IF(D!Q73&lt;&gt;D!R73,IF(D!Q73&lt;&gt;0,IF(D!S73&lt;&gt;D!T73,D!S73+1,),),)</f>
        <v>0</v>
      </c>
      <c r="T73" s="796">
        <f>IF(D!Q73&lt;&gt;D!R73,IF(D!Q73&lt;&gt;0,IF(D!S73&lt;&gt;D!T73,D!T73,),),)</f>
        <v>0</v>
      </c>
      <c r="U73" s="797">
        <f>IF(D!Q73&lt;&gt;D!R73,IF(D!Q73&lt;&gt;0,IF(D!S73&lt;&gt;D!T73,D!U73,),),)</f>
        <v>0</v>
      </c>
      <c r="V73" s="875">
        <f>IF(D!Q73&lt;&gt;D!R73,IF(D!Q73&lt;&gt;0,IF(D!S73&lt;&gt;D!T73,D!V73,),),)</f>
        <v>0</v>
      </c>
      <c r="W73" s="633">
        <f>IF(Q73="","",$W$5-SUM($Q$7:$Q$45)-SUM($Q$64:Q73))</f>
        <v>0</v>
      </c>
      <c r="AO73" s="86"/>
      <c r="AP73" s="86"/>
      <c r="AQ73" s="86"/>
      <c r="AR73" s="86"/>
      <c r="AS73" s="86"/>
      <c r="AT73" s="86"/>
      <c r="AU73" s="86"/>
      <c r="AV73" s="86"/>
      <c r="AW73" s="86"/>
      <c r="AX73" s="86"/>
      <c r="AY73" s="86"/>
      <c r="CM73" s="86"/>
      <c r="CN73" s="86"/>
    </row>
    <row r="74" spans="2:92" s="367" customFormat="1" ht="15.75" hidden="1" customHeight="1" outlineLevel="1">
      <c r="B74" s="852">
        <f ca="1">IF(D!B74&lt;&gt;"",D!B74,)</f>
        <v>0</v>
      </c>
      <c r="C74" s="454">
        <f ca="1">D!C74</f>
        <v>0</v>
      </c>
      <c r="D74" s="74"/>
      <c r="E74" s="521"/>
      <c r="F74" s="858"/>
      <c r="H74" s="543"/>
      <c r="I74" s="853"/>
      <c r="J74" s="6"/>
      <c r="K74" s="541"/>
      <c r="L74" s="860"/>
      <c r="M74" s="20" t="str">
        <f>IF(J74="","",$M$5-SUM($J$7:J74))</f>
        <v/>
      </c>
      <c r="O74" s="7"/>
      <c r="P74" s="871">
        <f>IF(D!Q74&lt;&gt;D!R74,IF(D!Q74&lt;&gt;0,IF(D!S74&lt;&gt;D!T74,D!P74,),),)</f>
        <v>0</v>
      </c>
      <c r="Q74" s="795">
        <f>IF(D!Q74&lt;&gt;D!R74,IF(D!Q74&lt;&gt;0,IF(D!S74&lt;&gt;D!T74,D!Q74,),),)</f>
        <v>0</v>
      </c>
      <c r="R74" s="628">
        <f>IF(D!Q74&lt;&gt;D!R74,IF(D!Q74&lt;&gt;0,IF(D!S74&lt;&gt;D!T74,0,Q74),Q74),Q74)</f>
        <v>0</v>
      </c>
      <c r="S74" s="796">
        <f>IF(D!Q74&lt;&gt;D!R74,IF(D!Q74&lt;&gt;0,IF(D!S74&lt;&gt;D!T74,D!S74+1,),),)</f>
        <v>0</v>
      </c>
      <c r="T74" s="796">
        <f>IF(D!Q74&lt;&gt;D!R74,IF(D!Q74&lt;&gt;0,IF(D!S74&lt;&gt;D!T74,D!T74,),),)</f>
        <v>0</v>
      </c>
      <c r="U74" s="797">
        <f>IF(D!Q74&lt;&gt;D!R74,IF(D!Q74&lt;&gt;0,IF(D!S74&lt;&gt;D!T74,D!U74,),),)</f>
        <v>0</v>
      </c>
      <c r="V74" s="875">
        <f>IF(D!Q74&lt;&gt;D!R74,IF(D!Q74&lt;&gt;0,IF(D!S74&lt;&gt;D!T74,D!V74,),),)</f>
        <v>0</v>
      </c>
      <c r="W74" s="633">
        <f>IF(Q74="","",$W$5-SUM($Q$7:$Q$45)-SUM($Q$64:Q74))</f>
        <v>0</v>
      </c>
      <c r="AO74" s="86"/>
      <c r="AP74" s="86"/>
      <c r="AQ74" s="86"/>
      <c r="AR74" s="86"/>
      <c r="AS74" s="86"/>
      <c r="AT74" s="86"/>
      <c r="AU74" s="86"/>
      <c r="AV74" s="86"/>
      <c r="AW74" s="86"/>
      <c r="AX74" s="86"/>
      <c r="AY74" s="86"/>
      <c r="CM74" s="86"/>
      <c r="CN74" s="86"/>
    </row>
    <row r="75" spans="2:92" s="367" customFormat="1" ht="15.75" hidden="1" customHeight="1" outlineLevel="1">
      <c r="B75" s="852">
        <f ca="1">IF(D!B75&lt;&gt;"",D!B75,)</f>
        <v>0</v>
      </c>
      <c r="C75" s="454">
        <f ca="1">D!C75</f>
        <v>0</v>
      </c>
      <c r="D75" s="74"/>
      <c r="E75" s="521"/>
      <c r="F75" s="858"/>
      <c r="H75" s="543"/>
      <c r="I75" s="853"/>
      <c r="J75" s="6"/>
      <c r="K75" s="541"/>
      <c r="L75" s="860"/>
      <c r="M75" s="20" t="str">
        <f>IF(J75="","",$M$5-SUM($J$7:J75))</f>
        <v/>
      </c>
      <c r="O75" s="7"/>
      <c r="P75" s="873">
        <f>IF(D!Q75&lt;&gt;D!R75,IF(D!Q75&lt;&gt;0,IF(D!S75&lt;&gt;D!T75,D!P75,),),)</f>
        <v>0</v>
      </c>
      <c r="Q75" s="795">
        <f>IF(D!Q75&lt;&gt;D!R75,IF(D!Q75&lt;&gt;0,IF(D!S75&lt;&gt;D!T75,D!Q75,),),)</f>
        <v>0</v>
      </c>
      <c r="R75" s="628">
        <f>IF(D!Q75&lt;&gt;D!R75,IF(D!Q75&lt;&gt;0,IF(D!S75&lt;&gt;D!T75,0,Q75),Q75),Q75)</f>
        <v>0</v>
      </c>
      <c r="S75" s="796">
        <f>IF(D!Q75&lt;&gt;D!R75,IF(D!Q75&lt;&gt;0,IF(D!S75&lt;&gt;D!T75,D!S75+1,),),)</f>
        <v>0</v>
      </c>
      <c r="T75" s="796">
        <f>IF(D!Q75&lt;&gt;D!R75,IF(D!Q75&lt;&gt;0,IF(D!S75&lt;&gt;D!T75,D!T75,),),)</f>
        <v>0</v>
      </c>
      <c r="U75" s="797">
        <f>IF(D!Q75&lt;&gt;D!R75,IF(D!Q75&lt;&gt;0,IF(D!S75&lt;&gt;D!T75,D!U75,),),)</f>
        <v>0</v>
      </c>
      <c r="V75" s="875">
        <f>IF(D!Q75&lt;&gt;D!R75,IF(D!Q75&lt;&gt;0,IF(D!S75&lt;&gt;D!T75,D!V75,),),)</f>
        <v>0</v>
      </c>
      <c r="W75" s="633">
        <f>IF(Q75="","",$W$5-SUM($Q$7:$Q$45)-SUM($Q$64:Q75))</f>
        <v>0</v>
      </c>
      <c r="AO75" s="86"/>
      <c r="AP75" s="86"/>
      <c r="AQ75" s="86"/>
      <c r="AR75" s="86"/>
      <c r="AS75" s="86"/>
      <c r="AT75" s="86"/>
      <c r="AU75" s="86"/>
      <c r="AV75" s="86"/>
      <c r="AW75" s="86"/>
      <c r="AX75" s="86"/>
      <c r="AY75" s="86"/>
      <c r="CM75" s="86"/>
      <c r="CN75" s="86"/>
    </row>
    <row r="76" spans="2:92" s="367" customFormat="1" ht="15.75" hidden="1" customHeight="1" outlineLevel="1">
      <c r="B76" s="852">
        <f ca="1">IF(D!B76&lt;&gt;"",D!B76,)</f>
        <v>0</v>
      </c>
      <c r="C76" s="454">
        <f ca="1">D!C76</f>
        <v>0</v>
      </c>
      <c r="D76" s="74"/>
      <c r="E76" s="521"/>
      <c r="F76" s="858"/>
      <c r="H76" s="543"/>
      <c r="I76" s="853"/>
      <c r="J76" s="6"/>
      <c r="K76" s="541"/>
      <c r="L76" s="860"/>
      <c r="M76" s="20" t="str">
        <f>IF(J76="","",$M$5-SUM($J$7:J76))</f>
        <v/>
      </c>
      <c r="O76" s="7"/>
      <c r="P76" s="871">
        <f>IF(D!Q76&lt;&gt;D!R76,IF(D!Q76&lt;&gt;0,IF(D!S76&lt;&gt;D!T76,D!P76,),),)</f>
        <v>0</v>
      </c>
      <c r="Q76" s="795">
        <f>IF(D!Q76&lt;&gt;D!R76,IF(D!Q76&lt;&gt;0,IF(D!S76&lt;&gt;D!T76,D!Q76,),),)</f>
        <v>0</v>
      </c>
      <c r="R76" s="628">
        <f>IF(D!Q76&lt;&gt;D!R76,IF(D!Q76&lt;&gt;0,IF(D!S76&lt;&gt;D!T76,0,Q76),Q76),Q76)</f>
        <v>0</v>
      </c>
      <c r="S76" s="796">
        <f>IF(D!Q76&lt;&gt;D!R76,IF(D!Q76&lt;&gt;0,IF(D!S76&lt;&gt;D!T76,D!S76+1,),),)</f>
        <v>0</v>
      </c>
      <c r="T76" s="796">
        <f>IF(D!Q76&lt;&gt;D!R76,IF(D!Q76&lt;&gt;0,IF(D!S76&lt;&gt;D!T76,D!T76,),),)</f>
        <v>0</v>
      </c>
      <c r="U76" s="797">
        <f>IF(D!Q76&lt;&gt;D!R76,IF(D!Q76&lt;&gt;0,IF(D!S76&lt;&gt;D!T76,D!U76,),),)</f>
        <v>0</v>
      </c>
      <c r="V76" s="875">
        <f>IF(D!Q76&lt;&gt;D!R76,IF(D!Q76&lt;&gt;0,IF(D!S76&lt;&gt;D!T76,D!V76,),),)</f>
        <v>0</v>
      </c>
      <c r="W76" s="633">
        <f>IF(Q76="","",$W$5-SUM($Q$7:$Q$45)-SUM($Q$64:Q76))</f>
        <v>0</v>
      </c>
      <c r="AO76" s="86"/>
      <c r="AP76" s="86"/>
      <c r="AQ76" s="86"/>
      <c r="AR76" s="86"/>
      <c r="AS76" s="86"/>
      <c r="AT76" s="86"/>
      <c r="AU76" s="86"/>
      <c r="AV76" s="86"/>
      <c r="AW76" s="86"/>
      <c r="AX76" s="86"/>
      <c r="AY76" s="86"/>
      <c r="CM76" s="86"/>
      <c r="CN76" s="86"/>
    </row>
    <row r="77" spans="2:92" s="367" customFormat="1" ht="15.75" hidden="1" customHeight="1" outlineLevel="1">
      <c r="B77" s="852">
        <f ca="1">IF(D!B77&lt;&gt;"",D!B77,)</f>
        <v>0</v>
      </c>
      <c r="C77" s="454">
        <f ca="1">D!C77</f>
        <v>0</v>
      </c>
      <c r="D77" s="74"/>
      <c r="E77" s="521"/>
      <c r="F77" s="858"/>
      <c r="H77" s="543"/>
      <c r="I77" s="853"/>
      <c r="J77" s="6"/>
      <c r="K77" s="541"/>
      <c r="L77" s="860"/>
      <c r="M77" s="20" t="str">
        <f>IF(J77="","",$M$5-SUM($J$7:J77))</f>
        <v/>
      </c>
      <c r="O77" s="7"/>
      <c r="P77" s="871">
        <f>IF(D!Q77&lt;&gt;D!R77,IF(D!Q77&lt;&gt;0,IF(D!S77&lt;&gt;D!T77,D!P77,),),)</f>
        <v>0</v>
      </c>
      <c r="Q77" s="795">
        <f>IF(D!Q77&lt;&gt;D!R77,IF(D!Q77&lt;&gt;0,IF(D!S77&lt;&gt;D!T77,D!Q77,),),)</f>
        <v>0</v>
      </c>
      <c r="R77" s="628">
        <f>IF(D!Q77&lt;&gt;D!R77,IF(D!Q77&lt;&gt;0,IF(D!S77&lt;&gt;D!T77,0,Q77),Q77),Q77)</f>
        <v>0</v>
      </c>
      <c r="S77" s="796">
        <f>IF(D!Q77&lt;&gt;D!R77,IF(D!Q77&lt;&gt;0,IF(D!S77&lt;&gt;D!T77,D!S77+1,),),)</f>
        <v>0</v>
      </c>
      <c r="T77" s="796">
        <f>IF(D!Q77&lt;&gt;D!R77,IF(D!Q77&lt;&gt;0,IF(D!S77&lt;&gt;D!T77,D!T77,),),)</f>
        <v>0</v>
      </c>
      <c r="U77" s="797">
        <f>IF(D!Q77&lt;&gt;D!R77,IF(D!Q77&lt;&gt;0,IF(D!S77&lt;&gt;D!T77,D!U77,),),)</f>
        <v>0</v>
      </c>
      <c r="V77" s="875">
        <f>IF(D!Q77&lt;&gt;D!R77,IF(D!Q77&lt;&gt;0,IF(D!S77&lt;&gt;D!T77,D!V77,),),)</f>
        <v>0</v>
      </c>
      <c r="W77" s="633">
        <f>IF(Q77="","",$W$5-SUM($Q$7:$Q$45)-SUM($Q$64:Q77))</f>
        <v>0</v>
      </c>
      <c r="AO77" s="86"/>
      <c r="AP77" s="86"/>
      <c r="AQ77" s="86"/>
      <c r="AR77" s="86"/>
      <c r="AS77" s="86"/>
      <c r="AT77" s="86"/>
      <c r="AU77" s="86"/>
      <c r="AV77" s="86"/>
      <c r="AW77" s="86"/>
      <c r="AX77" s="86"/>
      <c r="AY77" s="86"/>
      <c r="CM77" s="86"/>
      <c r="CN77" s="86"/>
    </row>
    <row r="78" spans="2:92" s="367" customFormat="1" ht="15.75" hidden="1" customHeight="1" outlineLevel="1">
      <c r="B78" s="852">
        <f ca="1">IF(D!B78&lt;&gt;"",D!B78,)</f>
        <v>0</v>
      </c>
      <c r="C78" s="454">
        <f ca="1">D!C78</f>
        <v>0</v>
      </c>
      <c r="D78" s="74"/>
      <c r="E78" s="521"/>
      <c r="F78" s="858"/>
      <c r="H78" s="543"/>
      <c r="I78" s="853"/>
      <c r="J78" s="6"/>
      <c r="K78" s="541"/>
      <c r="L78" s="860"/>
      <c r="M78" s="20" t="str">
        <f>IF(J78="","",$M$5-SUM($J$7:J78))</f>
        <v/>
      </c>
      <c r="O78" s="7"/>
      <c r="P78" s="873">
        <f>IF(D!Q78&lt;&gt;D!R78,IF(D!Q78&lt;&gt;0,IF(D!S78&lt;&gt;D!T78,D!P78,),),)</f>
        <v>0</v>
      </c>
      <c r="Q78" s="795">
        <f>IF(D!Q78&lt;&gt;D!R78,IF(D!Q78&lt;&gt;0,IF(D!S78&lt;&gt;D!T78,D!Q78,),),)</f>
        <v>0</v>
      </c>
      <c r="R78" s="628">
        <f>IF(D!Q78&lt;&gt;D!R78,IF(D!Q78&lt;&gt;0,IF(D!S78&lt;&gt;D!T78,0,Q78),Q78),Q78)</f>
        <v>0</v>
      </c>
      <c r="S78" s="796">
        <f>IF(D!Q78&lt;&gt;D!R78,IF(D!Q78&lt;&gt;0,IF(D!S78&lt;&gt;D!T78,D!S78+1,),),)</f>
        <v>0</v>
      </c>
      <c r="T78" s="796">
        <f>IF(D!Q78&lt;&gt;D!R78,IF(D!Q78&lt;&gt;0,IF(D!S78&lt;&gt;D!T78,D!T78,),),)</f>
        <v>0</v>
      </c>
      <c r="U78" s="797">
        <f>IF(D!Q78&lt;&gt;D!R78,IF(D!Q78&lt;&gt;0,IF(D!S78&lt;&gt;D!T78,D!U78,),),)</f>
        <v>0</v>
      </c>
      <c r="V78" s="875">
        <f>IF(D!Q78&lt;&gt;D!R78,IF(D!Q78&lt;&gt;0,IF(D!S78&lt;&gt;D!T78,D!V78,),),)</f>
        <v>0</v>
      </c>
      <c r="W78" s="633">
        <f>IF(Q78="","",$W$5-SUM($Q$7:$Q$45)-SUM($Q$64:Q78))</f>
        <v>0</v>
      </c>
      <c r="AO78" s="86"/>
      <c r="AP78" s="86"/>
      <c r="AQ78" s="86"/>
      <c r="AR78" s="86"/>
      <c r="AS78" s="86"/>
      <c r="AT78" s="86"/>
      <c r="AU78" s="86"/>
      <c r="AV78" s="86"/>
      <c r="AW78" s="86"/>
      <c r="AX78" s="86"/>
      <c r="AY78" s="86"/>
      <c r="CM78" s="86"/>
      <c r="CN78" s="86"/>
    </row>
    <row r="79" spans="2:92" s="367" customFormat="1" ht="15.75" hidden="1" customHeight="1" outlineLevel="1">
      <c r="B79" s="852">
        <f ca="1">IF(D!B79&lt;&gt;"",D!B79,)</f>
        <v>0</v>
      </c>
      <c r="C79" s="454">
        <f ca="1">D!C79</f>
        <v>0</v>
      </c>
      <c r="D79" s="74"/>
      <c r="E79" s="521"/>
      <c r="F79" s="858"/>
      <c r="H79" s="543"/>
      <c r="I79" s="853"/>
      <c r="J79" s="6"/>
      <c r="K79" s="541"/>
      <c r="L79" s="860"/>
      <c r="M79" s="20" t="str">
        <f>IF(J79="","",$M$5-SUM($J$7:J79))</f>
        <v/>
      </c>
      <c r="O79" s="7"/>
      <c r="P79" s="871">
        <f>IF(D!Q79&lt;&gt;D!R79,IF(D!Q79&lt;&gt;0,IF(D!S79&lt;&gt;D!T79,D!P79,),),)</f>
        <v>0</v>
      </c>
      <c r="Q79" s="795">
        <f>IF(D!Q79&lt;&gt;D!R79,IF(D!Q79&lt;&gt;0,IF(D!S79&lt;&gt;D!T79,D!Q79,),),)</f>
        <v>0</v>
      </c>
      <c r="R79" s="628">
        <f>IF(D!Q79&lt;&gt;D!R79,IF(D!Q79&lt;&gt;0,IF(D!S79&lt;&gt;D!T79,0,Q79),Q79),Q79)</f>
        <v>0</v>
      </c>
      <c r="S79" s="796">
        <f>IF(D!Q79&lt;&gt;D!R79,IF(D!Q79&lt;&gt;0,IF(D!S79&lt;&gt;D!T79,D!S79+1,),),)</f>
        <v>0</v>
      </c>
      <c r="T79" s="796">
        <f>IF(D!Q79&lt;&gt;D!R79,IF(D!Q79&lt;&gt;0,IF(D!S79&lt;&gt;D!T79,D!T79,),),)</f>
        <v>0</v>
      </c>
      <c r="U79" s="797">
        <f>IF(D!Q79&lt;&gt;D!R79,IF(D!Q79&lt;&gt;0,IF(D!S79&lt;&gt;D!T79,D!U79,),),)</f>
        <v>0</v>
      </c>
      <c r="V79" s="875">
        <f>IF(D!Q79&lt;&gt;D!R79,IF(D!Q79&lt;&gt;0,IF(D!S79&lt;&gt;D!T79,D!V79,),),)</f>
        <v>0</v>
      </c>
      <c r="W79" s="633">
        <f>IF(Q79="","",$W$5-SUM($Q$7:$Q$45)-SUM($Q$64:Q79))</f>
        <v>0</v>
      </c>
      <c r="AO79" s="86"/>
      <c r="AP79" s="86"/>
      <c r="AQ79" s="86"/>
      <c r="AR79" s="86"/>
      <c r="AS79" s="86"/>
      <c r="AT79" s="86"/>
      <c r="AU79" s="86"/>
      <c r="AV79" s="86"/>
      <c r="AW79" s="86"/>
      <c r="AX79" s="86"/>
      <c r="AY79" s="86"/>
      <c r="CM79" s="86"/>
      <c r="CN79" s="86"/>
    </row>
    <row r="80" spans="2:92" s="367" customFormat="1" ht="15.75" hidden="1" customHeight="1" outlineLevel="1">
      <c r="B80" s="852">
        <f ca="1">IF(D!B80&lt;&gt;"",D!B80,)</f>
        <v>0</v>
      </c>
      <c r="C80" s="454">
        <f ca="1">D!C80</f>
        <v>0</v>
      </c>
      <c r="D80" s="74"/>
      <c r="E80" s="521"/>
      <c r="F80" s="858"/>
      <c r="H80" s="543"/>
      <c r="I80" s="853"/>
      <c r="J80" s="6"/>
      <c r="K80" s="541"/>
      <c r="L80" s="860"/>
      <c r="M80" s="20" t="str">
        <f>IF(J80="","",$M$5-SUM($J$7:J80))</f>
        <v/>
      </c>
      <c r="O80" s="7"/>
      <c r="P80" s="873">
        <f>IF(D!Q80&lt;&gt;D!R80,IF(D!Q80&lt;&gt;0,IF(D!S80&lt;&gt;D!T80,D!P80,),),)</f>
        <v>0</v>
      </c>
      <c r="Q80" s="795">
        <f>IF(D!Q80&lt;&gt;D!R80,IF(D!Q80&lt;&gt;0,IF(D!S80&lt;&gt;D!T80,D!Q80,),),)</f>
        <v>0</v>
      </c>
      <c r="R80" s="628">
        <f>IF(D!Q80&lt;&gt;D!R80,IF(D!Q80&lt;&gt;0,IF(D!S80&lt;&gt;D!T80,0,Q80),Q80),Q80)</f>
        <v>0</v>
      </c>
      <c r="S80" s="796">
        <f>IF(D!Q80&lt;&gt;D!R80,IF(D!Q80&lt;&gt;0,IF(D!S80&lt;&gt;D!T80,D!S80+1,),),)</f>
        <v>0</v>
      </c>
      <c r="T80" s="796">
        <f>IF(D!Q80&lt;&gt;D!R80,IF(D!Q80&lt;&gt;0,IF(D!S80&lt;&gt;D!T80,D!T80,),),)</f>
        <v>0</v>
      </c>
      <c r="U80" s="797">
        <f>IF(D!Q80&lt;&gt;D!R80,IF(D!Q80&lt;&gt;0,IF(D!S80&lt;&gt;D!T80,D!U80,),),)</f>
        <v>0</v>
      </c>
      <c r="V80" s="875">
        <f>IF(D!Q80&lt;&gt;D!R80,IF(D!Q80&lt;&gt;0,IF(D!S80&lt;&gt;D!T80,D!V80,),),)</f>
        <v>0</v>
      </c>
      <c r="W80" s="633">
        <f>IF(Q80="","",$W$5-SUM($Q$7:$Q$45)-SUM($Q$64:Q80))</f>
        <v>0</v>
      </c>
      <c r="AO80" s="86"/>
      <c r="AP80" s="86"/>
      <c r="AQ80" s="86"/>
      <c r="AR80" s="86"/>
      <c r="AS80" s="86"/>
      <c r="AT80" s="86"/>
      <c r="AU80" s="86"/>
      <c r="AV80" s="86"/>
      <c r="AW80" s="86"/>
      <c r="AX80" s="86"/>
      <c r="AY80" s="86"/>
      <c r="CM80" s="86"/>
      <c r="CN80" s="86"/>
    </row>
    <row r="81" spans="2:92" s="367" customFormat="1" ht="15.75" hidden="1" customHeight="1" outlineLevel="1">
      <c r="B81" s="852">
        <f ca="1">IF(D!B81&lt;&gt;"",D!B81,)</f>
        <v>0</v>
      </c>
      <c r="C81" s="454">
        <f ca="1">D!C81</f>
        <v>0</v>
      </c>
      <c r="D81" s="74"/>
      <c r="E81" s="521"/>
      <c r="F81" s="858"/>
      <c r="H81" s="543"/>
      <c r="I81" s="853"/>
      <c r="J81" s="6"/>
      <c r="K81" s="541"/>
      <c r="L81" s="860"/>
      <c r="M81" s="20" t="str">
        <f>IF(J81="","",$M$5-SUM($J$7:J81))</f>
        <v/>
      </c>
      <c r="O81" s="7"/>
      <c r="P81" s="873">
        <f>IF(D!Q81&lt;&gt;D!R81,IF(D!Q81&lt;&gt;0,IF(D!S81&lt;&gt;D!T81,D!P81,),),)</f>
        <v>0</v>
      </c>
      <c r="Q81" s="795">
        <f>IF(D!Q81&lt;&gt;D!R81,IF(D!Q81&lt;&gt;0,IF(D!S81&lt;&gt;D!T81,D!Q81,),),)</f>
        <v>0</v>
      </c>
      <c r="R81" s="628">
        <f>IF(D!Q81&lt;&gt;D!R81,IF(D!Q81&lt;&gt;0,IF(D!S81&lt;&gt;D!T81,0,Q81),Q81),Q81)</f>
        <v>0</v>
      </c>
      <c r="S81" s="796">
        <f>IF(D!Q81&lt;&gt;D!R81,IF(D!Q81&lt;&gt;0,IF(D!S81&lt;&gt;D!T81,D!S81+1,),),)</f>
        <v>0</v>
      </c>
      <c r="T81" s="796">
        <f>IF(D!Q81&lt;&gt;D!R81,IF(D!Q81&lt;&gt;0,IF(D!S81&lt;&gt;D!T81,D!T81,),),)</f>
        <v>0</v>
      </c>
      <c r="U81" s="797">
        <f>IF(D!Q81&lt;&gt;D!R81,IF(D!Q81&lt;&gt;0,IF(D!S81&lt;&gt;D!T81,D!U81,),),)</f>
        <v>0</v>
      </c>
      <c r="V81" s="875">
        <f>IF(D!Q81&lt;&gt;D!R81,IF(D!Q81&lt;&gt;0,IF(D!S81&lt;&gt;D!T81,D!V81,),),)</f>
        <v>0</v>
      </c>
      <c r="W81" s="633">
        <f>IF(Q81="","",$W$5-SUM($Q$7:$Q$45)-SUM($Q$64:Q81))</f>
        <v>0</v>
      </c>
      <c r="AO81" s="86"/>
      <c r="AP81" s="86"/>
      <c r="AQ81" s="86"/>
      <c r="AR81" s="86"/>
      <c r="AS81" s="86"/>
      <c r="AT81" s="86"/>
      <c r="AU81" s="86"/>
      <c r="AV81" s="86"/>
      <c r="AW81" s="86"/>
      <c r="AX81" s="86"/>
      <c r="AY81" s="86"/>
      <c r="CM81" s="86"/>
      <c r="CN81" s="86"/>
    </row>
    <row r="82" spans="2:92" s="367" customFormat="1" ht="15.75" hidden="1" customHeight="1" outlineLevel="1">
      <c r="B82" s="852">
        <f ca="1">IF(D!B82&lt;&gt;"",D!B82,)</f>
        <v>0</v>
      </c>
      <c r="C82" s="454">
        <f ca="1">D!C82</f>
        <v>0</v>
      </c>
      <c r="D82" s="74"/>
      <c r="E82" s="521"/>
      <c r="F82" s="858"/>
      <c r="H82" s="543"/>
      <c r="I82" s="853"/>
      <c r="J82" s="6"/>
      <c r="K82" s="541"/>
      <c r="L82" s="860"/>
      <c r="M82" s="20" t="str">
        <f>IF(J82="","",$M$5-SUM($J$7:J82))</f>
        <v/>
      </c>
      <c r="O82" s="7"/>
      <c r="P82" s="873">
        <f>IF(D!Q82&lt;&gt;D!R82,IF(D!Q82&lt;&gt;0,IF(D!S82&lt;&gt;D!T82,D!P82,),),)</f>
        <v>0</v>
      </c>
      <c r="Q82" s="795">
        <f>IF(D!Q82&lt;&gt;D!R82,IF(D!Q82&lt;&gt;0,IF(D!S82&lt;&gt;D!T82,D!Q82,),),)</f>
        <v>0</v>
      </c>
      <c r="R82" s="628">
        <f>IF(D!Q82&lt;&gt;D!R82,IF(D!Q82&lt;&gt;0,IF(D!S82&lt;&gt;D!T82,0,Q82),Q82),Q82)</f>
        <v>0</v>
      </c>
      <c r="S82" s="796">
        <f>IF(D!Q82&lt;&gt;D!R82,IF(D!Q82&lt;&gt;0,IF(D!S82&lt;&gt;D!T82,D!S82+1,),),)</f>
        <v>0</v>
      </c>
      <c r="T82" s="796">
        <f>IF(D!Q82&lt;&gt;D!R82,IF(D!Q82&lt;&gt;0,IF(D!S82&lt;&gt;D!T82,D!T82,),),)</f>
        <v>0</v>
      </c>
      <c r="U82" s="797">
        <f>IF(D!Q82&lt;&gt;D!R82,IF(D!Q82&lt;&gt;0,IF(D!S82&lt;&gt;D!T82,D!U82,),),)</f>
        <v>0</v>
      </c>
      <c r="V82" s="875">
        <f>IF(D!Q82&lt;&gt;D!R82,IF(D!Q82&lt;&gt;0,IF(D!S82&lt;&gt;D!T82,D!V82,),),)</f>
        <v>0</v>
      </c>
      <c r="W82" s="633">
        <f>IF(Q82="","",$W$5-SUM($Q$7:$Q$45)-SUM($Q$64:Q82))</f>
        <v>0</v>
      </c>
      <c r="AO82" s="86"/>
      <c r="AP82" s="86"/>
      <c r="AQ82" s="86"/>
      <c r="AR82" s="86"/>
      <c r="AS82" s="86"/>
      <c r="AT82" s="86"/>
      <c r="AU82" s="86"/>
      <c r="AV82" s="86"/>
      <c r="AW82" s="86"/>
      <c r="AX82" s="86"/>
      <c r="AY82" s="86"/>
      <c r="CM82" s="86"/>
      <c r="CN82" s="86"/>
    </row>
    <row r="83" spans="2:92" s="367" customFormat="1" ht="15.75" hidden="1" customHeight="1" outlineLevel="1">
      <c r="B83" s="852">
        <f ca="1">IF(D!B83&lt;&gt;"",D!B83,)</f>
        <v>0</v>
      </c>
      <c r="C83" s="454">
        <f ca="1">D!C83</f>
        <v>0</v>
      </c>
      <c r="D83" s="74"/>
      <c r="E83" s="521"/>
      <c r="F83" s="858"/>
      <c r="H83" s="543"/>
      <c r="I83" s="853"/>
      <c r="J83" s="6"/>
      <c r="K83" s="541"/>
      <c r="L83" s="860"/>
      <c r="M83" s="20" t="str">
        <f>IF(J83="","",$M$5-SUM($J$7:J83))</f>
        <v/>
      </c>
      <c r="O83" s="7"/>
      <c r="P83" s="873">
        <f>IF(D!Q83&lt;&gt;D!R83,IF(D!Q83&lt;&gt;0,IF(D!S83&lt;&gt;D!T83,D!P83,),),)</f>
        <v>0</v>
      </c>
      <c r="Q83" s="795">
        <f>IF(D!Q83&lt;&gt;D!R83,IF(D!Q83&lt;&gt;0,IF(D!S83&lt;&gt;D!T83,D!Q83,),),)</f>
        <v>0</v>
      </c>
      <c r="R83" s="628">
        <f>IF(D!Q83&lt;&gt;D!R83,IF(D!Q83&lt;&gt;0,IF(D!S83&lt;&gt;D!T83,0,Q83),Q83),Q83)</f>
        <v>0</v>
      </c>
      <c r="S83" s="796">
        <f>IF(D!Q83&lt;&gt;D!R83,IF(D!Q83&lt;&gt;0,IF(D!S83&lt;&gt;D!T83,D!S83+1,),),)</f>
        <v>0</v>
      </c>
      <c r="T83" s="796">
        <f>IF(D!Q83&lt;&gt;D!R83,IF(D!Q83&lt;&gt;0,IF(D!S83&lt;&gt;D!T83,D!T83,),),)</f>
        <v>0</v>
      </c>
      <c r="U83" s="797">
        <f>IF(D!Q83&lt;&gt;D!R83,IF(D!Q83&lt;&gt;0,IF(D!S83&lt;&gt;D!T83,D!U83,),),)</f>
        <v>0</v>
      </c>
      <c r="V83" s="875">
        <f>IF(D!Q83&lt;&gt;D!R83,IF(D!Q83&lt;&gt;0,IF(D!S83&lt;&gt;D!T83,D!V83,),),)</f>
        <v>0</v>
      </c>
      <c r="W83" s="633">
        <f>IF(Q83="","",$W$5-SUM($Q$7:$Q$45)-SUM($Q$64:Q83))</f>
        <v>0</v>
      </c>
      <c r="AO83" s="86"/>
      <c r="AP83" s="86"/>
      <c r="AQ83" s="86"/>
      <c r="AR83" s="86"/>
      <c r="AS83" s="86"/>
      <c r="AT83" s="86"/>
      <c r="AU83" s="86"/>
      <c r="AV83" s="86"/>
      <c r="AW83" s="86"/>
      <c r="AX83" s="86"/>
      <c r="AY83" s="86"/>
      <c r="CM83" s="86"/>
      <c r="CN83" s="86"/>
    </row>
    <row r="84" spans="2:92" s="367" customFormat="1" ht="15.75" hidden="1" customHeight="1" outlineLevel="1">
      <c r="B84" s="852">
        <f ca="1">IF(D!B84&lt;&gt;"",D!B84,)</f>
        <v>0</v>
      </c>
      <c r="C84" s="454">
        <f ca="1">D!C84</f>
        <v>0</v>
      </c>
      <c r="D84" s="74"/>
      <c r="E84" s="521"/>
      <c r="F84" s="858"/>
      <c r="H84" s="543"/>
      <c r="I84" s="853"/>
      <c r="J84" s="6"/>
      <c r="K84" s="541"/>
      <c r="L84" s="860"/>
      <c r="M84" s="20" t="str">
        <f>IF(J84="","",$M$5-SUM($J$7:J84))</f>
        <v/>
      </c>
      <c r="O84" s="7"/>
      <c r="P84" s="873">
        <f>IF(D!Q84&lt;&gt;D!R84,IF(D!Q84&lt;&gt;0,IF(D!S84&lt;&gt;D!T84,D!P84,),),)</f>
        <v>0</v>
      </c>
      <c r="Q84" s="795">
        <f>IF(D!Q84&lt;&gt;D!R84,IF(D!Q84&lt;&gt;0,IF(D!S84&lt;&gt;D!T84,D!Q84,),),)</f>
        <v>0</v>
      </c>
      <c r="R84" s="628">
        <f>IF(D!Q84&lt;&gt;D!R84,IF(D!Q84&lt;&gt;0,IF(D!S84&lt;&gt;D!T84,0,Q84),Q84),Q84)</f>
        <v>0</v>
      </c>
      <c r="S84" s="796">
        <f>IF(D!Q84&lt;&gt;D!R84,IF(D!Q84&lt;&gt;0,IF(D!S84&lt;&gt;D!T84,D!S84+1,),),)</f>
        <v>0</v>
      </c>
      <c r="T84" s="796">
        <f>IF(D!Q84&lt;&gt;D!R84,IF(D!Q84&lt;&gt;0,IF(D!S84&lt;&gt;D!T84,D!T84,),),)</f>
        <v>0</v>
      </c>
      <c r="U84" s="797">
        <f>IF(D!Q84&lt;&gt;D!R84,IF(D!Q84&lt;&gt;0,IF(D!S84&lt;&gt;D!T84,D!U84,),),)</f>
        <v>0</v>
      </c>
      <c r="V84" s="875">
        <f>IF(D!Q84&lt;&gt;D!R84,IF(D!Q84&lt;&gt;0,IF(D!S84&lt;&gt;D!T84,D!V84,),),)</f>
        <v>0</v>
      </c>
      <c r="W84" s="633">
        <f>IF(Q84="","",$W$5-SUM($Q$7:$Q$45)-SUM($Q$64:Q84))</f>
        <v>0</v>
      </c>
      <c r="AO84" s="86"/>
      <c r="AP84" s="86"/>
      <c r="AQ84" s="86"/>
      <c r="AR84" s="86"/>
      <c r="AS84" s="86"/>
      <c r="AT84" s="86"/>
      <c r="AU84" s="86"/>
      <c r="AV84" s="86"/>
      <c r="AW84" s="86"/>
      <c r="AX84" s="86"/>
      <c r="AY84" s="86"/>
      <c r="CM84" s="86"/>
      <c r="CN84" s="86"/>
    </row>
    <row r="85" spans="2:92" s="367" customFormat="1" ht="15.75" hidden="1" customHeight="1" outlineLevel="1">
      <c r="B85" s="852">
        <f ca="1">IF(D!B85&lt;&gt;"",D!B85,)</f>
        <v>0</v>
      </c>
      <c r="C85" s="454">
        <f ca="1">D!C85</f>
        <v>0</v>
      </c>
      <c r="D85" s="74"/>
      <c r="E85" s="521"/>
      <c r="F85" s="858"/>
      <c r="H85" s="543"/>
      <c r="I85" s="853"/>
      <c r="J85" s="6"/>
      <c r="K85" s="541"/>
      <c r="L85" s="860"/>
      <c r="M85" s="20" t="str">
        <f>IF(J85="","",$M$5-SUM($J$7:J85))</f>
        <v/>
      </c>
      <c r="O85" s="7"/>
      <c r="P85" s="873">
        <f>IF(D!Q85&lt;&gt;D!R85,IF(D!Q85&lt;&gt;0,IF(D!S85&lt;&gt;D!T85,D!P85,),),)</f>
        <v>0</v>
      </c>
      <c r="Q85" s="795">
        <f>IF(D!Q85&lt;&gt;D!R85,IF(D!Q85&lt;&gt;0,IF(D!S85&lt;&gt;D!T85,D!Q85,),),)</f>
        <v>0</v>
      </c>
      <c r="R85" s="628">
        <f>IF(D!Q85&lt;&gt;D!R85,IF(D!Q85&lt;&gt;0,IF(D!S85&lt;&gt;D!T85,0,Q85),Q85),Q85)</f>
        <v>0</v>
      </c>
      <c r="S85" s="796">
        <f>IF(D!Q85&lt;&gt;D!R85,IF(D!Q85&lt;&gt;0,IF(D!S85&lt;&gt;D!T85,D!S85+1,),),)</f>
        <v>0</v>
      </c>
      <c r="T85" s="796">
        <f>IF(D!Q85&lt;&gt;D!R85,IF(D!Q85&lt;&gt;0,IF(D!S85&lt;&gt;D!T85,D!T85,),),)</f>
        <v>0</v>
      </c>
      <c r="U85" s="797">
        <f>IF(D!Q85&lt;&gt;D!R85,IF(D!Q85&lt;&gt;0,IF(D!S85&lt;&gt;D!T85,D!U85,),),)</f>
        <v>0</v>
      </c>
      <c r="V85" s="875">
        <f>IF(D!Q85&lt;&gt;D!R85,IF(D!Q85&lt;&gt;0,IF(D!S85&lt;&gt;D!T85,D!V85,),),)</f>
        <v>0</v>
      </c>
      <c r="W85" s="633">
        <f>IF(Q85="","",$W$5-SUM($Q$7:$Q$45)-SUM($Q$64:Q85))</f>
        <v>0</v>
      </c>
      <c r="AO85" s="86"/>
      <c r="AP85" s="86"/>
      <c r="AQ85" s="86"/>
      <c r="AR85" s="86"/>
      <c r="AS85" s="86"/>
      <c r="AT85" s="86"/>
      <c r="AU85" s="86"/>
      <c r="AV85" s="86"/>
      <c r="AW85" s="86"/>
      <c r="AX85" s="86"/>
      <c r="AY85" s="86"/>
      <c r="CM85" s="86"/>
      <c r="CN85" s="86"/>
    </row>
    <row r="86" spans="2:92" s="367" customFormat="1" ht="15.75" hidden="1" customHeight="1" outlineLevel="1">
      <c r="B86" s="852">
        <f ca="1">IF(D!B86&lt;&gt;"",D!B86,)</f>
        <v>0</v>
      </c>
      <c r="C86" s="454">
        <f ca="1">D!C86</f>
        <v>0</v>
      </c>
      <c r="D86" s="74"/>
      <c r="E86" s="521"/>
      <c r="F86" s="858"/>
      <c r="H86" s="543"/>
      <c r="I86" s="854"/>
      <c r="J86" s="6"/>
      <c r="K86" s="541"/>
      <c r="L86" s="860"/>
      <c r="M86" s="20" t="str">
        <f>IF(J86="","",$M$5-SUM($J$7:J86))</f>
        <v/>
      </c>
      <c r="O86" s="7"/>
      <c r="P86" s="873">
        <f>IF(D!Q86&lt;&gt;D!R86,IF(D!Q86&lt;&gt;0,IF(D!S86&lt;&gt;D!T86,D!P86,),),)</f>
        <v>0</v>
      </c>
      <c r="Q86" s="795">
        <f>IF(D!Q86&lt;&gt;D!R86,IF(D!Q86&lt;&gt;0,IF(D!S86&lt;&gt;D!T86,D!Q86,),),)</f>
        <v>0</v>
      </c>
      <c r="R86" s="628">
        <f>IF(D!Q86&lt;&gt;D!R86,IF(D!Q86&lt;&gt;0,IF(D!S86&lt;&gt;D!T86,0,Q86),Q86),Q86)</f>
        <v>0</v>
      </c>
      <c r="S86" s="796">
        <f>IF(D!Q86&lt;&gt;D!R86,IF(D!Q86&lt;&gt;0,IF(D!S86&lt;&gt;D!T86,D!S86+1,),),)</f>
        <v>0</v>
      </c>
      <c r="T86" s="796">
        <f>IF(D!Q86&lt;&gt;D!R86,IF(D!Q86&lt;&gt;0,IF(D!S86&lt;&gt;D!T86,D!T86,),),)</f>
        <v>0</v>
      </c>
      <c r="U86" s="797">
        <f>IF(D!Q86&lt;&gt;D!R86,IF(D!Q86&lt;&gt;0,IF(D!S86&lt;&gt;D!T86,D!U86,),),)</f>
        <v>0</v>
      </c>
      <c r="V86" s="875">
        <f>IF(D!Q86&lt;&gt;D!R86,IF(D!Q86&lt;&gt;0,IF(D!S86&lt;&gt;D!T86,D!V86,),),)</f>
        <v>0</v>
      </c>
      <c r="W86" s="633">
        <f>IF(Q86="","",$W$5-SUM($Q$7:$Q$45)-SUM($Q$64:Q86))</f>
        <v>0</v>
      </c>
      <c r="AO86" s="86"/>
      <c r="AP86" s="86"/>
      <c r="AQ86" s="86"/>
      <c r="AR86" s="86"/>
      <c r="AS86" s="86"/>
      <c r="AT86" s="86"/>
      <c r="AU86" s="86"/>
      <c r="AV86" s="86"/>
      <c r="AW86" s="86"/>
      <c r="AX86" s="86"/>
      <c r="AY86" s="86"/>
      <c r="CM86" s="86"/>
      <c r="CN86" s="86"/>
    </row>
    <row r="87" spans="2:92" s="367" customFormat="1" ht="15.75" hidden="1" customHeight="1" outlineLevel="1">
      <c r="H87" s="543"/>
      <c r="I87" s="853"/>
      <c r="J87" s="6"/>
      <c r="K87" s="541"/>
      <c r="L87" s="860"/>
      <c r="M87" s="20" t="str">
        <f>IF(J87="","",$M$5-SUM($J$7:J87))</f>
        <v/>
      </c>
      <c r="O87" s="7"/>
      <c r="P87" s="873">
        <f>IF(D!Q87&lt;&gt;D!R87,IF(D!Q87&lt;&gt;0,IF(D!S87&lt;&gt;D!T87,D!P87,),),)</f>
        <v>0</v>
      </c>
      <c r="Q87" s="795">
        <f>IF(D!Q87&lt;&gt;D!R87,IF(D!Q87&lt;&gt;0,IF(D!S87&lt;&gt;D!T87,D!Q87,),),)</f>
        <v>0</v>
      </c>
      <c r="R87" s="628">
        <f>IF(D!Q87&lt;&gt;D!R87,IF(D!Q87&lt;&gt;0,IF(D!S87&lt;&gt;D!T87,0,Q87),Q87),Q87)</f>
        <v>0</v>
      </c>
      <c r="S87" s="796">
        <f>IF(D!Q87&lt;&gt;D!R87,IF(D!Q87&lt;&gt;0,IF(D!S87&lt;&gt;D!T87,D!S87+1,),),)</f>
        <v>0</v>
      </c>
      <c r="T87" s="796">
        <f>IF(D!Q87&lt;&gt;D!R87,IF(D!Q87&lt;&gt;0,IF(D!S87&lt;&gt;D!T87,D!T87,),),)</f>
        <v>0</v>
      </c>
      <c r="U87" s="797">
        <f>IF(D!Q87&lt;&gt;D!R87,IF(D!Q87&lt;&gt;0,IF(D!S87&lt;&gt;D!T87,D!U87,),),)</f>
        <v>0</v>
      </c>
      <c r="V87" s="875">
        <f>IF(D!Q87&lt;&gt;D!R87,IF(D!Q87&lt;&gt;0,IF(D!S87&lt;&gt;D!T87,D!V87,),),)</f>
        <v>0</v>
      </c>
      <c r="W87" s="633">
        <f>IF(Q87="","",$W$5-SUM($Q$7:$Q$45)-SUM($Q$64:Q87))</f>
        <v>0</v>
      </c>
      <c r="AO87" s="86"/>
      <c r="AP87" s="86"/>
      <c r="AQ87" s="86"/>
      <c r="AR87" s="86"/>
      <c r="AS87" s="86"/>
      <c r="AT87" s="86"/>
      <c r="AU87" s="86"/>
      <c r="AV87" s="86"/>
      <c r="AW87" s="86"/>
      <c r="AX87" s="86"/>
      <c r="AY87" s="86"/>
      <c r="CM87" s="86"/>
      <c r="CN87" s="86"/>
    </row>
    <row r="88" spans="2:92" s="367" customFormat="1" ht="15.75" hidden="1" customHeight="1" outlineLevel="1">
      <c r="H88" s="543"/>
      <c r="I88" s="853"/>
      <c r="J88" s="6"/>
      <c r="K88" s="541"/>
      <c r="L88" s="860"/>
      <c r="M88" s="20" t="str">
        <f>IF(J88="","",$M$5-SUM($J$7:J88))</f>
        <v/>
      </c>
      <c r="O88" s="7"/>
      <c r="P88" s="871">
        <f>IF(D!Q88&lt;&gt;D!R88,IF(D!Q88&lt;&gt;0,IF(D!S88&lt;&gt;D!T88,D!P88,),),)</f>
        <v>0</v>
      </c>
      <c r="Q88" s="795">
        <f>IF(D!Q88&lt;&gt;D!R88,IF(D!Q88&lt;&gt;0,IF(D!S88&lt;&gt;D!T88,D!Q88,),),)</f>
        <v>0</v>
      </c>
      <c r="R88" s="628">
        <f>IF(D!Q88&lt;&gt;D!R88,IF(D!Q88&lt;&gt;0,IF(D!S88&lt;&gt;D!T88,0,Q88),Q88),Q88)</f>
        <v>0</v>
      </c>
      <c r="S88" s="796">
        <f>IF(D!Q88&lt;&gt;D!R88,IF(D!Q88&lt;&gt;0,IF(D!S88&lt;&gt;D!T88,D!S88+1,),),)</f>
        <v>0</v>
      </c>
      <c r="T88" s="796">
        <f>IF(D!Q88&lt;&gt;D!R88,IF(D!Q88&lt;&gt;0,IF(D!S88&lt;&gt;D!T88,D!T88,),),)</f>
        <v>0</v>
      </c>
      <c r="U88" s="797">
        <f>IF(D!Q88&lt;&gt;D!R88,IF(D!Q88&lt;&gt;0,IF(D!S88&lt;&gt;D!T88,D!U88,),),)</f>
        <v>0</v>
      </c>
      <c r="V88" s="875">
        <f>IF(D!Q88&lt;&gt;D!R88,IF(D!Q88&lt;&gt;0,IF(D!S88&lt;&gt;D!T88,D!V88,),),)</f>
        <v>0</v>
      </c>
      <c r="W88" s="633">
        <f>IF(Q88="","",$W$5-SUM($Q$7:$Q$45)-SUM($Q$64:Q88))</f>
        <v>0</v>
      </c>
      <c r="AO88" s="86"/>
      <c r="AP88" s="86"/>
      <c r="AQ88" s="86"/>
      <c r="AR88" s="86"/>
      <c r="AS88" s="86"/>
      <c r="AT88" s="86"/>
      <c r="AU88" s="86"/>
      <c r="AV88" s="86"/>
      <c r="AW88" s="86"/>
      <c r="AX88" s="86"/>
      <c r="AY88" s="86"/>
      <c r="CM88" s="86"/>
      <c r="CN88" s="86"/>
    </row>
    <row r="89" spans="2:92" s="367" customFormat="1" ht="15.75" hidden="1" customHeight="1" outlineLevel="1">
      <c r="H89" s="543"/>
      <c r="I89" s="853"/>
      <c r="J89" s="6"/>
      <c r="K89" s="541"/>
      <c r="L89" s="860"/>
      <c r="M89" s="20" t="str">
        <f>IF(J89="","",$M$5-SUM($J$7:J89))</f>
        <v/>
      </c>
      <c r="O89" s="7"/>
      <c r="P89" s="873">
        <f>IF(D!Q89&lt;&gt;D!R89,IF(D!Q89&lt;&gt;0,IF(D!S89&lt;&gt;D!T89,D!P89,),),)</f>
        <v>0</v>
      </c>
      <c r="Q89" s="795">
        <f>IF(D!Q89&lt;&gt;D!R89,IF(D!Q89&lt;&gt;0,IF(D!S89&lt;&gt;D!T89,D!Q89,),),)</f>
        <v>0</v>
      </c>
      <c r="R89" s="628">
        <f>IF(D!Q89&lt;&gt;D!R89,IF(D!Q89&lt;&gt;0,IF(D!S89&lt;&gt;D!T89,0,Q89),Q89),Q89)</f>
        <v>0</v>
      </c>
      <c r="S89" s="796">
        <f>IF(D!Q89&lt;&gt;D!R89,IF(D!Q89&lt;&gt;0,IF(D!S89&lt;&gt;D!T89,D!S89+1,),),)</f>
        <v>0</v>
      </c>
      <c r="T89" s="796">
        <f>IF(D!Q89&lt;&gt;D!R89,IF(D!Q89&lt;&gt;0,IF(D!S89&lt;&gt;D!T89,D!T89,),),)</f>
        <v>0</v>
      </c>
      <c r="U89" s="797">
        <f>IF(D!Q89&lt;&gt;D!R89,IF(D!Q89&lt;&gt;0,IF(D!S89&lt;&gt;D!T89,D!U89,),),)</f>
        <v>0</v>
      </c>
      <c r="V89" s="875">
        <f>IF(D!Q89&lt;&gt;D!R89,IF(D!Q89&lt;&gt;0,IF(D!S89&lt;&gt;D!T89,D!V89,),),)</f>
        <v>0</v>
      </c>
      <c r="W89" s="633">
        <f>IF(Q89="","",$W$5-SUM($Q$7:$Q$45)-SUM($Q$64:Q89))</f>
        <v>0</v>
      </c>
      <c r="AO89" s="86"/>
      <c r="AP89" s="86"/>
      <c r="AQ89" s="86"/>
      <c r="AR89" s="86"/>
      <c r="AS89" s="86"/>
      <c r="AT89" s="86"/>
      <c r="AU89" s="86"/>
      <c r="AV89" s="86"/>
      <c r="AW89" s="86"/>
      <c r="AX89" s="86"/>
      <c r="AY89" s="86"/>
      <c r="CM89" s="86"/>
      <c r="CN89" s="86"/>
    </row>
    <row r="90" spans="2:92" s="367" customFormat="1" ht="15.75" hidden="1" customHeight="1" outlineLevel="1">
      <c r="H90" s="543"/>
      <c r="I90" s="853"/>
      <c r="J90" s="6"/>
      <c r="K90" s="541"/>
      <c r="L90" s="860"/>
      <c r="M90" s="20" t="str">
        <f>IF(J90="","",$M$5-SUM($J$7:J90))</f>
        <v/>
      </c>
      <c r="O90" s="7"/>
      <c r="P90" s="871">
        <f>IF(D!Q90&lt;&gt;D!R90,IF(D!Q90&lt;&gt;0,IF(D!S90&lt;&gt;D!T90,D!P90,),),)</f>
        <v>0</v>
      </c>
      <c r="Q90" s="795">
        <f>IF(D!Q90&lt;&gt;D!R90,IF(D!Q90&lt;&gt;0,IF(D!S90&lt;&gt;D!T90,D!Q90,),),)</f>
        <v>0</v>
      </c>
      <c r="R90" s="628">
        <f>IF(D!Q90&lt;&gt;D!R90,IF(D!Q90&lt;&gt;0,IF(D!S90&lt;&gt;D!T90,0,Q90),Q90),Q90)</f>
        <v>0</v>
      </c>
      <c r="S90" s="796">
        <f>IF(D!Q90&lt;&gt;D!R90,IF(D!Q90&lt;&gt;0,IF(D!S90&lt;&gt;D!T90,D!S90+1,),),)</f>
        <v>0</v>
      </c>
      <c r="T90" s="796">
        <f>IF(D!Q90&lt;&gt;D!R90,IF(D!Q90&lt;&gt;0,IF(D!S90&lt;&gt;D!T90,D!T90,),),)</f>
        <v>0</v>
      </c>
      <c r="U90" s="797">
        <f>IF(D!Q90&lt;&gt;D!R90,IF(D!Q90&lt;&gt;0,IF(D!S90&lt;&gt;D!T90,D!U90,),),)</f>
        <v>0</v>
      </c>
      <c r="V90" s="875">
        <f>IF(D!Q90&lt;&gt;D!R90,IF(D!Q90&lt;&gt;0,IF(D!S90&lt;&gt;D!T90,D!V90,),),)</f>
        <v>0</v>
      </c>
      <c r="W90" s="633">
        <f>IF(Q90="","",$W$5-SUM($Q$7:$Q$45)-SUM($Q$64:Q90))</f>
        <v>0</v>
      </c>
      <c r="AO90" s="86"/>
      <c r="AP90" s="86"/>
      <c r="AQ90" s="86"/>
      <c r="AR90" s="86"/>
      <c r="AS90" s="86"/>
      <c r="AT90" s="86"/>
      <c r="AU90" s="86"/>
      <c r="AV90" s="86"/>
      <c r="AW90" s="86"/>
      <c r="AX90" s="86"/>
      <c r="AY90" s="86"/>
      <c r="CM90" s="86"/>
      <c r="CN90" s="86"/>
    </row>
    <row r="91" spans="2:92" s="367" customFormat="1" ht="15.75" hidden="1" customHeight="1" outlineLevel="1">
      <c r="H91" s="543"/>
      <c r="I91" s="853"/>
      <c r="J91" s="6"/>
      <c r="K91" s="541"/>
      <c r="L91" s="860"/>
      <c r="M91" s="20" t="str">
        <f>IF(J91="","",$M$5-SUM($J$7:J91))</f>
        <v/>
      </c>
      <c r="O91" s="7"/>
      <c r="P91" s="873">
        <f>IF(D!Q91&lt;&gt;D!R91,IF(D!Q91&lt;&gt;0,IF(D!S91&lt;&gt;D!T91,D!P91,),),)</f>
        <v>0</v>
      </c>
      <c r="Q91" s="795">
        <f>IF(D!Q91&lt;&gt;D!R91,IF(D!Q91&lt;&gt;0,IF(D!S91&lt;&gt;D!T91,D!Q91,),),)</f>
        <v>0</v>
      </c>
      <c r="R91" s="628">
        <f>IF(D!Q91&lt;&gt;D!R91,IF(D!Q91&lt;&gt;0,IF(D!S91&lt;&gt;D!T91,0,Q91),Q91),Q91)</f>
        <v>0</v>
      </c>
      <c r="S91" s="796">
        <f>IF(D!Q91&lt;&gt;D!R91,IF(D!Q91&lt;&gt;0,IF(D!S91&lt;&gt;D!T91,D!S91+1,),),)</f>
        <v>0</v>
      </c>
      <c r="T91" s="796">
        <f>IF(D!Q91&lt;&gt;D!R91,IF(D!Q91&lt;&gt;0,IF(D!S91&lt;&gt;D!T91,D!T91,),),)</f>
        <v>0</v>
      </c>
      <c r="U91" s="797">
        <f>IF(D!Q91&lt;&gt;D!R91,IF(D!Q91&lt;&gt;0,IF(D!S91&lt;&gt;D!T91,D!U91,),),)</f>
        <v>0</v>
      </c>
      <c r="V91" s="875">
        <f>IF(D!Q91&lt;&gt;D!R91,IF(D!Q91&lt;&gt;0,IF(D!S91&lt;&gt;D!T91,D!V91,),),)</f>
        <v>0</v>
      </c>
      <c r="W91" s="633">
        <f>IF(Q91="","",$W$5-SUM($Q$7:$Q$45)-SUM($Q$64:Q91))</f>
        <v>0</v>
      </c>
      <c r="AO91" s="86"/>
      <c r="AP91" s="86"/>
      <c r="AQ91" s="86"/>
      <c r="AR91" s="86"/>
      <c r="AS91" s="86"/>
      <c r="AT91" s="86"/>
      <c r="AU91" s="86"/>
      <c r="AV91" s="86"/>
      <c r="AW91" s="86"/>
      <c r="AX91" s="86"/>
      <c r="AY91" s="86"/>
      <c r="CM91" s="86"/>
      <c r="CN91" s="86"/>
    </row>
    <row r="92" spans="2:92" s="367" customFormat="1" ht="15.75" hidden="1" customHeight="1" outlineLevel="1">
      <c r="H92" s="543"/>
      <c r="I92" s="853"/>
      <c r="J92" s="6"/>
      <c r="K92" s="541"/>
      <c r="L92" s="860"/>
      <c r="M92" s="20" t="str">
        <f>IF(J92="","",$M$5-SUM($J$7:J92))</f>
        <v/>
      </c>
      <c r="O92" s="7"/>
      <c r="P92" s="871">
        <f>IF(D!Q92&lt;&gt;D!R92,IF(D!Q92&lt;&gt;0,IF(D!S92&lt;&gt;D!T92,D!P92,),),)</f>
        <v>0</v>
      </c>
      <c r="Q92" s="799">
        <f>IF(D!Q92&lt;&gt;D!R92,IF(D!Q92&lt;&gt;0,IF(D!S92&lt;&gt;D!T92,D!Q92,),),)</f>
        <v>0</v>
      </c>
      <c r="R92" s="628">
        <f>IF(D!Q92&lt;&gt;D!R92,IF(D!Q92&lt;&gt;0,IF(D!S92&lt;&gt;D!T92,0,Q92),Q92),Q92)</f>
        <v>0</v>
      </c>
      <c r="S92" s="796">
        <f>IF(D!Q92&lt;&gt;D!R92,IF(D!Q92&lt;&gt;0,IF(D!S92&lt;&gt;D!T92,D!S92+1,),),)</f>
        <v>0</v>
      </c>
      <c r="T92" s="796">
        <f>IF(D!Q92&lt;&gt;D!R92,IF(D!Q92&lt;&gt;0,IF(D!S92&lt;&gt;D!T92,D!T92,),),)</f>
        <v>0</v>
      </c>
      <c r="U92" s="797">
        <f>IF(D!Q92&lt;&gt;D!R92,IF(D!Q92&lt;&gt;0,IF(D!S92&lt;&gt;D!T92,D!U92,),),)</f>
        <v>0</v>
      </c>
      <c r="V92" s="875">
        <f>IF(D!Q92&lt;&gt;D!R92,IF(D!Q92&lt;&gt;0,IF(D!S92&lt;&gt;D!T92,D!V92,),),)</f>
        <v>0</v>
      </c>
      <c r="W92" s="634">
        <f>IF(Q92="","",$W$5-SUM($Q$7:$Q$45)-SUM($Q$64:Q92))</f>
        <v>0</v>
      </c>
      <c r="AO92" s="86"/>
      <c r="AP92" s="86"/>
      <c r="AQ92" s="86"/>
      <c r="AR92" s="86"/>
      <c r="AS92" s="86"/>
      <c r="AT92" s="86"/>
      <c r="AU92" s="86"/>
      <c r="AV92" s="86"/>
      <c r="AW92" s="86"/>
      <c r="AX92" s="86"/>
      <c r="AY92" s="86"/>
      <c r="CM92" s="86"/>
      <c r="CN92" s="86"/>
    </row>
    <row r="93" spans="2:92" s="367" customFormat="1" ht="15.75" hidden="1" customHeight="1" outlineLevel="1">
      <c r="H93" s="543"/>
      <c r="I93" s="853"/>
      <c r="J93" s="6"/>
      <c r="K93" s="541"/>
      <c r="L93" s="860"/>
      <c r="M93" s="20" t="str">
        <f>IF(J93="","",$M$5-SUM($J$7:J93))</f>
        <v/>
      </c>
      <c r="O93" s="7"/>
      <c r="P93" s="873">
        <f>IF(D!Q93&lt;&gt;D!R93,IF(D!Q93&lt;&gt;0,IF(D!S93&lt;&gt;D!T93,D!P93,),),)</f>
        <v>0</v>
      </c>
      <c r="Q93" s="795">
        <f>IF(D!Q93&lt;&gt;D!R93,IF(D!Q93&lt;&gt;0,IF(D!S93&lt;&gt;D!T93,D!Q93,),),)</f>
        <v>0</v>
      </c>
      <c r="R93" s="628">
        <f>IF(D!Q93&lt;&gt;D!R93,IF(D!Q93&lt;&gt;0,IF(D!S93&lt;&gt;D!T93,0,Q93),Q93),Q93)</f>
        <v>0</v>
      </c>
      <c r="S93" s="796">
        <f>IF(D!Q93&lt;&gt;D!R93,IF(D!Q93&lt;&gt;0,IF(D!S93&lt;&gt;D!T93,D!S93+1,),),)</f>
        <v>0</v>
      </c>
      <c r="T93" s="796">
        <f>IF(D!Q93&lt;&gt;D!R93,IF(D!Q93&lt;&gt;0,IF(D!S93&lt;&gt;D!T93,D!T93,),),)</f>
        <v>0</v>
      </c>
      <c r="U93" s="797">
        <f>IF(D!Q93&lt;&gt;D!R93,IF(D!Q93&lt;&gt;0,IF(D!S93&lt;&gt;D!T93,D!U93,),),)</f>
        <v>0</v>
      </c>
      <c r="V93" s="875">
        <f>IF(D!Q93&lt;&gt;D!R93,IF(D!Q93&lt;&gt;0,IF(D!S93&lt;&gt;D!T93,D!V93,),),)</f>
        <v>0</v>
      </c>
      <c r="W93" s="633">
        <f>IF(Q93="","",$W$5-SUM($Q$7:$Q$45)-SUM($Q$64:Q93))</f>
        <v>0</v>
      </c>
      <c r="AO93" s="86"/>
      <c r="AP93" s="86"/>
      <c r="AQ93" s="86"/>
      <c r="AR93" s="86"/>
      <c r="AS93" s="86"/>
      <c r="AT93" s="86"/>
      <c r="AU93" s="86"/>
      <c r="AV93" s="86"/>
      <c r="AW93" s="86"/>
      <c r="AX93" s="86"/>
      <c r="AY93" s="86"/>
      <c r="CM93" s="86"/>
      <c r="CN93" s="86"/>
    </row>
    <row r="94" spans="2:92" s="367" customFormat="1" ht="15.75" hidden="1" customHeight="1" outlineLevel="1">
      <c r="H94" s="543"/>
      <c r="I94" s="853"/>
      <c r="J94" s="6"/>
      <c r="K94" s="541"/>
      <c r="L94" s="860"/>
      <c r="M94" s="20" t="str">
        <f>IF(J94="","",$M$5-SUM($J$7:J94))</f>
        <v/>
      </c>
      <c r="O94" s="7"/>
      <c r="P94" s="871">
        <f>IF(D!Q94&lt;&gt;D!R94,IF(D!Q94&lt;&gt;0,IF(D!S94&lt;&gt;D!T94,D!P94,),),)</f>
        <v>0</v>
      </c>
      <c r="Q94" s="795">
        <f>IF(D!Q94&lt;&gt;D!R94,IF(D!Q94&lt;&gt;0,IF(D!S94&lt;&gt;D!T94,D!Q94,),),)</f>
        <v>0</v>
      </c>
      <c r="R94" s="628">
        <f>IF(D!Q94&lt;&gt;D!R94,IF(D!Q94&lt;&gt;0,IF(D!S94&lt;&gt;D!T94,0,Q94),Q94),Q94)</f>
        <v>0</v>
      </c>
      <c r="S94" s="796">
        <f>IF(D!Q94&lt;&gt;D!R94,IF(D!Q94&lt;&gt;0,IF(D!S94&lt;&gt;D!T94,D!S94+1,),),)</f>
        <v>0</v>
      </c>
      <c r="T94" s="796">
        <f>IF(D!Q94&lt;&gt;D!R94,IF(D!Q94&lt;&gt;0,IF(D!S94&lt;&gt;D!T94,D!T94,),),)</f>
        <v>0</v>
      </c>
      <c r="U94" s="797">
        <f>IF(D!Q94&lt;&gt;D!R94,IF(D!Q94&lt;&gt;0,IF(D!S94&lt;&gt;D!T94,D!U94,),),)</f>
        <v>0</v>
      </c>
      <c r="V94" s="875">
        <f>IF(D!Q94&lt;&gt;D!R94,IF(D!Q94&lt;&gt;0,IF(D!S94&lt;&gt;D!T94,D!V94,),),)</f>
        <v>0</v>
      </c>
      <c r="W94" s="633">
        <f>IF(Q94="","",$W$5-SUM($Q$7:$Q$45)-SUM($Q$64:Q94))</f>
        <v>0</v>
      </c>
      <c r="AO94" s="86"/>
      <c r="AP94" s="86"/>
      <c r="AQ94" s="86"/>
      <c r="AR94" s="86"/>
      <c r="AS94" s="86"/>
      <c r="AT94" s="86"/>
      <c r="AU94" s="86"/>
      <c r="AV94" s="86"/>
      <c r="AW94" s="86"/>
      <c r="AX94" s="86"/>
      <c r="AY94" s="86"/>
      <c r="CM94" s="86"/>
      <c r="CN94" s="86"/>
    </row>
    <row r="95" spans="2:92" s="367" customFormat="1" ht="15.75" hidden="1" customHeight="1" outlineLevel="1">
      <c r="H95" s="543"/>
      <c r="I95" s="853"/>
      <c r="J95" s="6"/>
      <c r="K95" s="541"/>
      <c r="L95" s="860"/>
      <c r="M95" s="20" t="str">
        <f>IF(J95="","",$M$5-SUM($J$7:J95))</f>
        <v/>
      </c>
      <c r="O95" s="7"/>
      <c r="P95" s="873">
        <f>IF(D!Q95&lt;&gt;D!R95,IF(D!Q95&lt;&gt;0,IF(D!S95&lt;&gt;D!T95,D!P95,),),)</f>
        <v>0</v>
      </c>
      <c r="Q95" s="795">
        <f>IF(D!Q95&lt;&gt;D!R95,IF(D!Q95&lt;&gt;0,IF(D!S95&lt;&gt;D!T95,D!Q95,),),)</f>
        <v>0</v>
      </c>
      <c r="R95" s="628">
        <f>IF(D!Q95&lt;&gt;D!R95,IF(D!Q95&lt;&gt;0,IF(D!S95&lt;&gt;D!T95,0,Q95),Q95),Q95)</f>
        <v>0</v>
      </c>
      <c r="S95" s="796">
        <f>IF(D!Q95&lt;&gt;D!R95,IF(D!Q95&lt;&gt;0,IF(D!S95&lt;&gt;D!T95,D!S95+1,),),)</f>
        <v>0</v>
      </c>
      <c r="T95" s="796">
        <f>IF(D!Q95&lt;&gt;D!R95,IF(D!Q95&lt;&gt;0,IF(D!S95&lt;&gt;D!T95,D!T95,),),)</f>
        <v>0</v>
      </c>
      <c r="U95" s="797">
        <f>IF(D!Q95&lt;&gt;D!R95,IF(D!Q95&lt;&gt;0,IF(D!S95&lt;&gt;D!T95,D!U95,),),)</f>
        <v>0</v>
      </c>
      <c r="V95" s="875">
        <f>IF(D!Q95&lt;&gt;D!R95,IF(D!Q95&lt;&gt;0,IF(D!S95&lt;&gt;D!T95,D!V95,),),)</f>
        <v>0</v>
      </c>
      <c r="W95" s="633">
        <f>IF(Q95="","",$W$5-SUM($Q$7:$Q$45)-SUM($Q$64:Q95))</f>
        <v>0</v>
      </c>
      <c r="AO95" s="86"/>
      <c r="AP95" s="86"/>
      <c r="AQ95" s="86"/>
      <c r="AR95" s="86"/>
      <c r="AS95" s="86"/>
      <c r="AT95" s="86"/>
      <c r="AU95" s="86"/>
      <c r="AV95" s="86"/>
      <c r="AW95" s="86"/>
      <c r="AX95" s="86"/>
      <c r="AY95" s="86"/>
      <c r="CM95" s="86"/>
      <c r="CN95" s="86"/>
    </row>
    <row r="96" spans="2:92" s="367" customFormat="1" ht="15.75" hidden="1" customHeight="1" outlineLevel="1">
      <c r="H96" s="543"/>
      <c r="I96" s="853"/>
      <c r="J96" s="6"/>
      <c r="K96" s="541"/>
      <c r="L96" s="860"/>
      <c r="M96" s="20" t="str">
        <f>IF(J96="","",$M$5-SUM($J$7:J96))</f>
        <v/>
      </c>
      <c r="O96" s="7"/>
      <c r="P96" s="872">
        <f>IF(D!Q96&lt;&gt;D!R96,IF(D!Q96&lt;&gt;0,IF(D!S96&lt;&gt;D!T96,D!P96,),),)</f>
        <v>0</v>
      </c>
      <c r="Q96" s="795">
        <f>IF(D!Q96&lt;&gt;D!R96,IF(D!Q96&lt;&gt;0,IF(D!S96&lt;&gt;D!T96,D!Q96,),),)</f>
        <v>0</v>
      </c>
      <c r="R96" s="628">
        <f>IF(D!Q96&lt;&gt;D!R96,IF(D!Q96&lt;&gt;0,IF(D!S96&lt;&gt;D!T96,0,Q96),Q96),Q96)</f>
        <v>0</v>
      </c>
      <c r="S96" s="796">
        <f>IF(D!Q96&lt;&gt;D!R96,IF(D!Q96&lt;&gt;0,IF(D!S96&lt;&gt;D!T96,D!S96+1,),),)</f>
        <v>0</v>
      </c>
      <c r="T96" s="796">
        <f>IF(D!Q96&lt;&gt;D!R96,IF(D!Q96&lt;&gt;0,IF(D!S96&lt;&gt;D!T96,D!T96,),),)</f>
        <v>0</v>
      </c>
      <c r="U96" s="797">
        <f>IF(D!Q96&lt;&gt;D!R96,IF(D!Q96&lt;&gt;0,IF(D!S96&lt;&gt;D!T96,D!U96,),),)</f>
        <v>0</v>
      </c>
      <c r="V96" s="875">
        <f>IF(D!Q96&lt;&gt;D!R96,IF(D!Q96&lt;&gt;0,IF(D!S96&lt;&gt;D!T96,D!V96,),),)</f>
        <v>0</v>
      </c>
      <c r="W96" s="633">
        <f>IF(Q96="","",$W$5-SUM($Q$7:$Q$45)-SUM($Q$64:Q96))</f>
        <v>0</v>
      </c>
      <c r="AO96" s="86"/>
      <c r="AP96" s="86"/>
      <c r="AQ96" s="86"/>
      <c r="AR96" s="86"/>
      <c r="AS96" s="86"/>
      <c r="AT96" s="86"/>
      <c r="AU96" s="86"/>
      <c r="AV96" s="86"/>
      <c r="AW96" s="86"/>
      <c r="AX96" s="86"/>
      <c r="AY96" s="86"/>
      <c r="CM96" s="86"/>
      <c r="CN96" s="86"/>
    </row>
    <row r="97" spans="8:92" s="367" customFormat="1" ht="15.75" hidden="1" customHeight="1" outlineLevel="1">
      <c r="H97" s="543"/>
      <c r="I97" s="853"/>
      <c r="J97" s="6"/>
      <c r="K97" s="541"/>
      <c r="L97" s="860"/>
      <c r="M97" s="20" t="str">
        <f>IF(J97="","",$M$5-SUM($J$7:J97))</f>
        <v/>
      </c>
      <c r="O97" s="7"/>
      <c r="P97" s="871">
        <f>IF(D!Q97&lt;&gt;D!R97,IF(D!Q97&lt;&gt;0,IF(D!S97&lt;&gt;D!T97,D!P97,),),)</f>
        <v>0</v>
      </c>
      <c r="Q97" s="795">
        <f>IF(D!Q97&lt;&gt;D!R97,IF(D!Q97&lt;&gt;0,IF(D!S97&lt;&gt;D!T97,D!Q97,),),)</f>
        <v>0</v>
      </c>
      <c r="R97" s="628">
        <f>IF(D!Q97&lt;&gt;D!R97,IF(D!Q97&lt;&gt;0,IF(D!S97&lt;&gt;D!T97,0,Q97),Q97),Q97)</f>
        <v>0</v>
      </c>
      <c r="S97" s="796">
        <f>IF(D!Q97&lt;&gt;D!R97,IF(D!Q97&lt;&gt;0,IF(D!S97&lt;&gt;D!T97,D!S97+1,),),)</f>
        <v>0</v>
      </c>
      <c r="T97" s="796">
        <f>IF(D!Q97&lt;&gt;D!R97,IF(D!Q97&lt;&gt;0,IF(D!S97&lt;&gt;D!T97,D!T97,),),)</f>
        <v>0</v>
      </c>
      <c r="U97" s="797">
        <f>IF(D!Q97&lt;&gt;D!R97,IF(D!Q97&lt;&gt;0,IF(D!S97&lt;&gt;D!T97,D!U97,),),)</f>
        <v>0</v>
      </c>
      <c r="V97" s="875">
        <f>IF(D!Q97&lt;&gt;D!R97,IF(D!Q97&lt;&gt;0,IF(D!S97&lt;&gt;D!T97,D!V97,),),)</f>
        <v>0</v>
      </c>
      <c r="W97" s="633">
        <f>IF(Q97="","",$W$5-SUM($Q$7:$Q$45)-SUM($Q$64:Q97))</f>
        <v>0</v>
      </c>
      <c r="AO97" s="86"/>
      <c r="AP97" s="86"/>
      <c r="AQ97" s="86"/>
      <c r="AR97" s="86"/>
      <c r="AS97" s="86"/>
      <c r="AT97" s="86"/>
      <c r="AU97" s="86"/>
      <c r="AV97" s="86"/>
      <c r="AW97" s="86"/>
      <c r="AX97" s="86"/>
      <c r="AY97" s="86"/>
      <c r="CM97" s="86"/>
      <c r="CN97" s="86"/>
    </row>
    <row r="98" spans="8:92" s="367" customFormat="1" ht="15.75" hidden="1" customHeight="1" outlineLevel="1">
      <c r="H98" s="543"/>
      <c r="I98" s="853"/>
      <c r="J98" s="6"/>
      <c r="K98" s="541"/>
      <c r="L98" s="860"/>
      <c r="M98" s="20" t="str">
        <f>IF(J98="","",$M$5-SUM($J$7:J98))</f>
        <v/>
      </c>
      <c r="O98" s="7"/>
      <c r="P98" s="871">
        <f>IF(D!Q98&lt;&gt;D!R98,IF(D!Q98&lt;&gt;0,IF(D!S98&lt;&gt;D!T98,D!P98,),),)</f>
        <v>0</v>
      </c>
      <c r="Q98" s="795">
        <f>IF(D!Q98&lt;&gt;D!R98,IF(D!Q98&lt;&gt;0,IF(D!S98&lt;&gt;D!T98,D!Q98,),),)</f>
        <v>0</v>
      </c>
      <c r="R98" s="628">
        <f>IF(D!Q98&lt;&gt;D!R98,IF(D!Q98&lt;&gt;0,IF(D!S98&lt;&gt;D!T98,0,Q98),Q98),Q98)</f>
        <v>0</v>
      </c>
      <c r="S98" s="796">
        <f>IF(D!Q98&lt;&gt;D!R98,IF(D!Q98&lt;&gt;0,IF(D!S98&lt;&gt;D!T98,D!S98+1,),),)</f>
        <v>0</v>
      </c>
      <c r="T98" s="796">
        <f>IF(D!Q98&lt;&gt;D!R98,IF(D!Q98&lt;&gt;0,IF(D!S98&lt;&gt;D!T98,D!T98,),),)</f>
        <v>0</v>
      </c>
      <c r="U98" s="797">
        <f>IF(D!Q98&lt;&gt;D!R98,IF(D!Q98&lt;&gt;0,IF(D!S98&lt;&gt;D!T98,D!U98,),),)</f>
        <v>0</v>
      </c>
      <c r="V98" s="875">
        <f>IF(D!Q98&lt;&gt;D!R98,IF(D!Q98&lt;&gt;0,IF(D!S98&lt;&gt;D!T98,D!V98,),),)</f>
        <v>0</v>
      </c>
      <c r="W98" s="633">
        <f>IF(Q98="","",$W$5-SUM($Q$7:$Q$45)-SUM($Q$64:Q98))</f>
        <v>0</v>
      </c>
      <c r="AO98" s="86"/>
      <c r="AP98" s="86"/>
      <c r="AQ98" s="86"/>
      <c r="AR98" s="86"/>
      <c r="AS98" s="86"/>
      <c r="AT98" s="86"/>
      <c r="AU98" s="86"/>
      <c r="AV98" s="86"/>
      <c r="AW98" s="86"/>
      <c r="AX98" s="86"/>
      <c r="AY98" s="86"/>
      <c r="CM98" s="86"/>
      <c r="CN98" s="86"/>
    </row>
    <row r="99" spans="8:92" s="367" customFormat="1" ht="15.75" hidden="1" customHeight="1" outlineLevel="1">
      <c r="H99" s="543"/>
      <c r="I99" s="853"/>
      <c r="J99" s="6"/>
      <c r="K99" s="541"/>
      <c r="L99" s="860"/>
      <c r="M99" s="20" t="str">
        <f>IF(J99="","",$M$5-SUM($J$7:J99))</f>
        <v/>
      </c>
      <c r="O99" s="7"/>
      <c r="P99" s="873">
        <f>IF(D!Q99&lt;&gt;D!R99,IF(D!Q99&lt;&gt;0,IF(D!S99&lt;&gt;D!T99,D!P99,),),)</f>
        <v>0</v>
      </c>
      <c r="Q99" s="795">
        <f>IF(D!Q99&lt;&gt;D!R99,IF(D!Q99&lt;&gt;0,IF(D!S99&lt;&gt;D!T99,D!Q99,),),)</f>
        <v>0</v>
      </c>
      <c r="R99" s="628">
        <f>IF(D!Q99&lt;&gt;D!R99,IF(D!Q99&lt;&gt;0,IF(D!S99&lt;&gt;D!T99,0,Q99),Q99),Q99)</f>
        <v>0</v>
      </c>
      <c r="S99" s="796">
        <f>IF(D!Q99&lt;&gt;D!R99,IF(D!Q99&lt;&gt;0,IF(D!S99&lt;&gt;D!T99,D!S99+1,),),)</f>
        <v>0</v>
      </c>
      <c r="T99" s="796">
        <f>IF(D!Q99&lt;&gt;D!R99,IF(D!Q99&lt;&gt;0,IF(D!S99&lt;&gt;D!T99,D!T99,),),)</f>
        <v>0</v>
      </c>
      <c r="U99" s="797">
        <f>IF(D!Q99&lt;&gt;D!R99,IF(D!Q99&lt;&gt;0,IF(D!S99&lt;&gt;D!T99,D!U99,),),)</f>
        <v>0</v>
      </c>
      <c r="V99" s="875">
        <f>IF(D!Q99&lt;&gt;D!R99,IF(D!Q99&lt;&gt;0,IF(D!S99&lt;&gt;D!T99,D!V99,),),)</f>
        <v>0</v>
      </c>
      <c r="W99" s="633">
        <f>IF(Q99="","",$W$5-SUM($Q$7:$Q$45)-SUM($Q$64:Q99))</f>
        <v>0</v>
      </c>
      <c r="AO99" s="86"/>
      <c r="AP99" s="86"/>
      <c r="AQ99" s="86"/>
      <c r="AR99" s="86"/>
      <c r="AS99" s="86"/>
      <c r="AT99" s="86"/>
      <c r="AU99" s="86"/>
      <c r="AV99" s="86"/>
      <c r="AW99" s="86"/>
      <c r="AX99" s="86"/>
      <c r="AY99" s="86"/>
      <c r="CM99" s="86"/>
      <c r="CN99" s="86"/>
    </row>
    <row r="100" spans="8:92" s="367" customFormat="1" ht="15.75" hidden="1" customHeight="1" outlineLevel="1">
      <c r="H100" s="543"/>
      <c r="I100" s="854"/>
      <c r="J100" s="6"/>
      <c r="K100" s="541"/>
      <c r="L100" s="860"/>
      <c r="M100" s="20" t="str">
        <f>IF(J100="","",$M$5-SUM($J$7:J100))</f>
        <v/>
      </c>
      <c r="O100" s="7"/>
      <c r="P100" s="871">
        <f>IF(D!Q100&lt;&gt;D!R100,IF(D!Q100&lt;&gt;0,IF(D!S100&lt;&gt;D!T100,D!P100,),),)</f>
        <v>0</v>
      </c>
      <c r="Q100" s="795">
        <f>IF(D!Q100&lt;&gt;D!R100,IF(D!Q100&lt;&gt;0,IF(D!S100&lt;&gt;D!T100,D!Q100,),),)</f>
        <v>0</v>
      </c>
      <c r="R100" s="628">
        <f>IF(D!Q100&lt;&gt;D!R100,IF(D!Q100&lt;&gt;0,IF(D!S100&lt;&gt;D!T100,0,Q100),Q100),Q100)</f>
        <v>0</v>
      </c>
      <c r="S100" s="796">
        <f>IF(D!Q100&lt;&gt;D!R100,IF(D!Q100&lt;&gt;0,IF(D!S100&lt;&gt;D!T100,D!S100+1,),),)</f>
        <v>0</v>
      </c>
      <c r="T100" s="796">
        <f>IF(D!Q100&lt;&gt;D!R100,IF(D!Q100&lt;&gt;0,IF(D!S100&lt;&gt;D!T100,D!T100,),),)</f>
        <v>0</v>
      </c>
      <c r="U100" s="797">
        <f>IF(D!Q100&lt;&gt;D!R100,IF(D!Q100&lt;&gt;0,IF(D!S100&lt;&gt;D!T100,D!U100,),),)</f>
        <v>0</v>
      </c>
      <c r="V100" s="875">
        <f>IF(D!Q100&lt;&gt;D!R100,IF(D!Q100&lt;&gt;0,IF(D!S100&lt;&gt;D!T100,D!V100,),),)</f>
        <v>0</v>
      </c>
      <c r="W100" s="633">
        <f>IF(Q100="","",$W$5-SUM($Q$7:$Q$45)-SUM($Q$64:Q100))</f>
        <v>0</v>
      </c>
      <c r="AO100" s="86"/>
      <c r="AP100" s="86"/>
      <c r="AQ100" s="86"/>
      <c r="AR100" s="86"/>
      <c r="AS100" s="86"/>
      <c r="AT100" s="86"/>
      <c r="AU100" s="86"/>
      <c r="AV100" s="86"/>
      <c r="AW100" s="86"/>
      <c r="AX100" s="86"/>
      <c r="AY100" s="86"/>
      <c r="CM100" s="86"/>
      <c r="CN100" s="86"/>
    </row>
    <row r="101" spans="8:92" s="367" customFormat="1" ht="15.75" hidden="1" customHeight="1" outlineLevel="1">
      <c r="H101" s="543"/>
      <c r="I101" s="853"/>
      <c r="J101" s="6"/>
      <c r="K101" s="541"/>
      <c r="L101" s="860"/>
      <c r="M101" s="20" t="str">
        <f>IF(J101="","",$M$5-SUM($J$7:J101))</f>
        <v/>
      </c>
      <c r="O101" s="7"/>
      <c r="P101" s="871">
        <f>IF(D!Q101&lt;&gt;D!R101,IF(D!Q101&lt;&gt;0,IF(D!S101&lt;&gt;D!T101,D!P101,),),)</f>
        <v>0</v>
      </c>
      <c r="Q101" s="795">
        <f>IF(D!Q101&lt;&gt;D!R101,IF(D!Q101&lt;&gt;0,IF(D!S101&lt;&gt;D!T101,D!Q101,),),)</f>
        <v>0</v>
      </c>
      <c r="R101" s="628">
        <f>IF(D!Q101&lt;&gt;D!R101,IF(D!Q101&lt;&gt;0,IF(D!S101&lt;&gt;D!T101,0,Q101),Q101),Q101)</f>
        <v>0</v>
      </c>
      <c r="S101" s="796">
        <f>IF(D!Q101&lt;&gt;D!R101,IF(D!Q101&lt;&gt;0,IF(D!S101&lt;&gt;D!T101,D!S101+1,),),)</f>
        <v>0</v>
      </c>
      <c r="T101" s="796">
        <f>IF(D!Q101&lt;&gt;D!R101,IF(D!Q101&lt;&gt;0,IF(D!S101&lt;&gt;D!T101,D!T101,),),)</f>
        <v>0</v>
      </c>
      <c r="U101" s="797">
        <f>IF(D!Q101&lt;&gt;D!R101,IF(D!Q101&lt;&gt;0,IF(D!S101&lt;&gt;D!T101,D!U101,),),)</f>
        <v>0</v>
      </c>
      <c r="V101" s="875">
        <f>IF(D!Q101&lt;&gt;D!R101,IF(D!Q101&lt;&gt;0,IF(D!S101&lt;&gt;D!T101,D!V101,),),)</f>
        <v>0</v>
      </c>
      <c r="W101" s="633">
        <f>IF(Q101="","",$W$5-SUM($Q$7:$Q$45)-SUM($Q$64:Q101))</f>
        <v>0</v>
      </c>
      <c r="AO101" s="86"/>
      <c r="AP101" s="86"/>
      <c r="AQ101" s="86"/>
      <c r="AR101" s="86"/>
      <c r="AS101" s="86"/>
      <c r="AT101" s="86"/>
      <c r="AU101" s="86"/>
      <c r="AV101" s="86"/>
      <c r="AW101" s="86"/>
      <c r="AX101" s="86"/>
      <c r="AY101" s="86"/>
      <c r="CM101" s="86"/>
      <c r="CN101" s="86"/>
    </row>
    <row r="102" spans="8:92" s="367" customFormat="1" ht="15.75" hidden="1" customHeight="1" outlineLevel="1">
      <c r="H102" s="543"/>
      <c r="I102" s="853"/>
      <c r="J102" s="6"/>
      <c r="K102" s="541"/>
      <c r="L102" s="860"/>
      <c r="M102" s="20" t="str">
        <f>IF(J102="","",$M$5-SUM($J$7:J102))</f>
        <v/>
      </c>
      <c r="O102" s="7"/>
      <c r="P102" s="873">
        <f>IF(D!Q102&lt;&gt;D!R102,IF(D!Q102&lt;&gt;0,IF(D!S102&lt;&gt;D!T102,D!P102,),),)</f>
        <v>0</v>
      </c>
      <c r="Q102" s="795">
        <f>IF(D!Q102&lt;&gt;D!R102,IF(D!Q102&lt;&gt;0,IF(D!S102&lt;&gt;D!T102,D!Q102,),),)</f>
        <v>0</v>
      </c>
      <c r="R102" s="628">
        <f>IF(D!Q102&lt;&gt;D!R102,IF(D!Q102&lt;&gt;0,IF(D!S102&lt;&gt;D!T102,0,Q102),Q102),Q102)</f>
        <v>0</v>
      </c>
      <c r="S102" s="796">
        <f>IF(D!Q102&lt;&gt;D!R102,IF(D!Q102&lt;&gt;0,IF(D!S102&lt;&gt;D!T102,D!S102+1,),),)</f>
        <v>0</v>
      </c>
      <c r="T102" s="796">
        <f>IF(D!Q102&lt;&gt;D!R102,IF(D!Q102&lt;&gt;0,IF(D!S102&lt;&gt;D!T102,D!T102,),),)</f>
        <v>0</v>
      </c>
      <c r="U102" s="797">
        <f>IF(D!Q102&lt;&gt;D!R102,IF(D!Q102&lt;&gt;0,IF(D!S102&lt;&gt;D!T102,D!U102,),),)</f>
        <v>0</v>
      </c>
      <c r="V102" s="875">
        <f>IF(D!Q102&lt;&gt;D!R102,IF(D!Q102&lt;&gt;0,IF(D!S102&lt;&gt;D!T102,D!V102,),),)</f>
        <v>0</v>
      </c>
      <c r="W102" s="633">
        <f>IF(Q102="","",$W$5-SUM($Q$7:$Q$45)-SUM($Q$64:Q102))</f>
        <v>0</v>
      </c>
      <c r="AO102" s="86"/>
      <c r="AP102" s="86"/>
      <c r="AQ102" s="86"/>
      <c r="AR102" s="86"/>
      <c r="AS102" s="86"/>
      <c r="AT102" s="86"/>
      <c r="AU102" s="86"/>
      <c r="AV102" s="86"/>
      <c r="AW102" s="86"/>
      <c r="AX102" s="86"/>
      <c r="AY102" s="86"/>
      <c r="CM102" s="86"/>
      <c r="CN102" s="86"/>
    </row>
    <row r="103" spans="8:92" s="367" customFormat="1" ht="15.75" hidden="1" customHeight="1" outlineLevel="1">
      <c r="H103" s="543"/>
      <c r="I103" s="853"/>
      <c r="J103" s="6"/>
      <c r="K103" s="541"/>
      <c r="L103" s="860"/>
      <c r="M103" s="20" t="str">
        <f>IF(J103="","",$M$5-SUM($J$7:J103))</f>
        <v/>
      </c>
      <c r="O103" s="7"/>
      <c r="P103" s="871">
        <f>IF(D!Q103&lt;&gt;D!R103,IF(D!Q103&lt;&gt;0,IF(D!S103&lt;&gt;D!T103,D!P103,),),)</f>
        <v>0</v>
      </c>
      <c r="Q103" s="795">
        <f>IF(D!Q103&lt;&gt;D!R103,IF(D!Q103&lt;&gt;0,IF(D!S103&lt;&gt;D!T103,D!Q103,),),)</f>
        <v>0</v>
      </c>
      <c r="R103" s="628">
        <f>IF(D!Q103&lt;&gt;D!R103,IF(D!Q103&lt;&gt;0,IF(D!S103&lt;&gt;D!T103,0,Q103),Q103),Q103)</f>
        <v>0</v>
      </c>
      <c r="S103" s="796">
        <f>IF(D!Q103&lt;&gt;D!R103,IF(D!Q103&lt;&gt;0,IF(D!S103&lt;&gt;D!T103,D!S103+1,),),)</f>
        <v>0</v>
      </c>
      <c r="T103" s="796">
        <f>IF(D!Q103&lt;&gt;D!R103,IF(D!Q103&lt;&gt;0,IF(D!S103&lt;&gt;D!T103,D!T103,),),)</f>
        <v>0</v>
      </c>
      <c r="U103" s="797">
        <f>IF(D!Q103&lt;&gt;D!R103,IF(D!Q103&lt;&gt;0,IF(D!S103&lt;&gt;D!T103,D!U103,),),)</f>
        <v>0</v>
      </c>
      <c r="V103" s="875">
        <f>IF(D!Q103&lt;&gt;D!R103,IF(D!Q103&lt;&gt;0,IF(D!S103&lt;&gt;D!T103,D!V103,),),)</f>
        <v>0</v>
      </c>
      <c r="W103" s="633">
        <f>IF(Q103="","",$W$5-SUM($Q$7:$Q$45)-SUM($Q$64:Q103))</f>
        <v>0</v>
      </c>
      <c r="AO103" s="86"/>
      <c r="AP103" s="86"/>
      <c r="AQ103" s="86"/>
      <c r="AR103" s="86"/>
      <c r="AS103" s="86"/>
      <c r="AT103" s="86"/>
      <c r="AU103" s="86"/>
      <c r="AV103" s="86"/>
      <c r="AW103" s="86"/>
      <c r="AX103" s="86"/>
      <c r="AY103" s="86"/>
      <c r="CM103" s="86"/>
      <c r="CN103" s="86"/>
    </row>
    <row r="104" spans="8:92" s="367" customFormat="1" ht="15.75" hidden="1" customHeight="1" outlineLevel="1">
      <c r="H104" s="543"/>
      <c r="I104" s="853"/>
      <c r="J104" s="6"/>
      <c r="K104" s="541"/>
      <c r="L104" s="860"/>
      <c r="M104" s="20" t="str">
        <f>IF(J104="","",$M$5-SUM($J$7:J104))</f>
        <v/>
      </c>
      <c r="O104" s="7"/>
      <c r="P104" s="873">
        <f>IF(D!Q104&lt;&gt;D!R104,IF(D!Q104&lt;&gt;0,IF(D!S104&lt;&gt;D!T104,D!P104,),),)</f>
        <v>0</v>
      </c>
      <c r="Q104" s="795">
        <f>IF(D!Q104&lt;&gt;D!R104,IF(D!Q104&lt;&gt;0,IF(D!S104&lt;&gt;D!T104,D!Q104,),),)</f>
        <v>0</v>
      </c>
      <c r="R104" s="628">
        <f>IF(D!Q104&lt;&gt;D!R104,IF(D!Q104&lt;&gt;0,IF(D!S104&lt;&gt;D!T104,0,Q104),Q104),Q104)</f>
        <v>0</v>
      </c>
      <c r="S104" s="796">
        <f>IF(D!Q104&lt;&gt;D!R104,IF(D!Q104&lt;&gt;0,IF(D!S104&lt;&gt;D!T104,D!S104+1,),),)</f>
        <v>0</v>
      </c>
      <c r="T104" s="796">
        <f>IF(D!Q104&lt;&gt;D!R104,IF(D!Q104&lt;&gt;0,IF(D!S104&lt;&gt;D!T104,D!T104,),),)</f>
        <v>0</v>
      </c>
      <c r="U104" s="797">
        <f>IF(D!Q104&lt;&gt;D!R104,IF(D!Q104&lt;&gt;0,IF(D!S104&lt;&gt;D!T104,D!U104,),),)</f>
        <v>0</v>
      </c>
      <c r="V104" s="875">
        <f>IF(D!Q104&lt;&gt;D!R104,IF(D!Q104&lt;&gt;0,IF(D!S104&lt;&gt;D!T104,D!V104,),),)</f>
        <v>0</v>
      </c>
      <c r="W104" s="633">
        <f>IF(Q104="","",$W$5-SUM($Q$7:$Q$45)-SUM($Q$64:Q104))</f>
        <v>0</v>
      </c>
      <c r="AO104" s="86"/>
      <c r="AP104" s="86"/>
      <c r="AQ104" s="86"/>
      <c r="AR104" s="86"/>
      <c r="AS104" s="86"/>
      <c r="AT104" s="86"/>
      <c r="AU104" s="86"/>
      <c r="AV104" s="86"/>
      <c r="AW104" s="86"/>
      <c r="AX104" s="86"/>
      <c r="AY104" s="86"/>
      <c r="CM104" s="86"/>
      <c r="CN104" s="86"/>
    </row>
    <row r="105" spans="8:92" s="367" customFormat="1" ht="15.75" hidden="1" customHeight="1" outlineLevel="1">
      <c r="H105" s="543"/>
      <c r="I105" s="853"/>
      <c r="J105" s="6"/>
      <c r="K105" s="541"/>
      <c r="L105" s="860"/>
      <c r="M105" s="20" t="str">
        <f>IF(J105="","",$M$5-SUM($J$7:J105))</f>
        <v/>
      </c>
      <c r="O105" s="7"/>
      <c r="P105" s="872">
        <f>IF(D!Q105&lt;&gt;D!R105,IF(D!Q105&lt;&gt;0,IF(D!S105&lt;&gt;D!T105,D!P105,),),)</f>
        <v>0</v>
      </c>
      <c r="Q105" s="795">
        <f>IF(D!Q105&lt;&gt;D!R105,IF(D!Q105&lt;&gt;0,IF(D!S105&lt;&gt;D!T105,D!Q105,),),)</f>
        <v>0</v>
      </c>
      <c r="R105" s="628">
        <f>IF(D!Q105&lt;&gt;D!R105,IF(D!Q105&lt;&gt;0,IF(D!S105&lt;&gt;D!T105,0,Q105),Q105),Q105)</f>
        <v>0</v>
      </c>
      <c r="S105" s="796">
        <f>IF(D!Q105&lt;&gt;D!R105,IF(D!Q105&lt;&gt;0,IF(D!S105&lt;&gt;D!T105,D!S105+1,),),)</f>
        <v>0</v>
      </c>
      <c r="T105" s="796">
        <f>IF(D!Q105&lt;&gt;D!R105,IF(D!Q105&lt;&gt;0,IF(D!S105&lt;&gt;D!T105,D!T105,),),)</f>
        <v>0</v>
      </c>
      <c r="U105" s="797">
        <f>IF(D!Q105&lt;&gt;D!R105,IF(D!Q105&lt;&gt;0,IF(D!S105&lt;&gt;D!T105,D!U105,),),)</f>
        <v>0</v>
      </c>
      <c r="V105" s="875">
        <f>IF(D!Q105&lt;&gt;D!R105,IF(D!Q105&lt;&gt;0,IF(D!S105&lt;&gt;D!T105,D!V105,),),)</f>
        <v>0</v>
      </c>
      <c r="W105" s="633">
        <f>IF(Q105="","",$W$5-SUM($Q$7:$Q$45)-SUM($Q$64:Q105))</f>
        <v>0</v>
      </c>
      <c r="AO105" s="86"/>
      <c r="AP105" s="86"/>
      <c r="AQ105" s="86"/>
      <c r="AR105" s="86"/>
      <c r="AS105" s="86"/>
      <c r="AT105" s="86"/>
      <c r="AU105" s="86"/>
      <c r="AV105" s="86"/>
      <c r="AW105" s="86"/>
      <c r="AX105" s="86"/>
      <c r="AY105" s="86"/>
      <c r="CM105" s="86"/>
      <c r="CN105" s="86"/>
    </row>
    <row r="106" spans="8:92" s="367" customFormat="1" ht="15.75" hidden="1" customHeight="1" outlineLevel="1">
      <c r="H106" s="543"/>
      <c r="I106" s="853"/>
      <c r="J106" s="6"/>
      <c r="K106" s="541"/>
      <c r="L106" s="860"/>
      <c r="M106" s="20" t="str">
        <f>IF(J106="","",$M$5-SUM($J$7:J106))</f>
        <v/>
      </c>
      <c r="O106" s="7"/>
      <c r="P106" s="871">
        <f>IF(D!Q106&lt;&gt;D!R106,IF(D!Q106&lt;&gt;0,IF(D!S106&lt;&gt;D!T106,D!P106,),),)</f>
        <v>0</v>
      </c>
      <c r="Q106" s="795">
        <f>IF(D!Q106&lt;&gt;D!R106,IF(D!Q106&lt;&gt;0,IF(D!S106&lt;&gt;D!T106,D!Q106,),),)</f>
        <v>0</v>
      </c>
      <c r="R106" s="628">
        <f>IF(D!Q106&lt;&gt;D!R106,IF(D!Q106&lt;&gt;0,IF(D!S106&lt;&gt;D!T106,0,Q106),Q106),Q106)</f>
        <v>0</v>
      </c>
      <c r="S106" s="796">
        <f>IF(D!Q106&lt;&gt;D!R106,IF(D!Q106&lt;&gt;0,IF(D!S106&lt;&gt;D!T106,D!S106+1,),),)</f>
        <v>0</v>
      </c>
      <c r="T106" s="796">
        <f>IF(D!Q106&lt;&gt;D!R106,IF(D!Q106&lt;&gt;0,IF(D!S106&lt;&gt;D!T106,D!T106,),),)</f>
        <v>0</v>
      </c>
      <c r="U106" s="797">
        <f>IF(D!Q106&lt;&gt;D!R106,IF(D!Q106&lt;&gt;0,IF(D!S106&lt;&gt;D!T106,D!U106,),),)</f>
        <v>0</v>
      </c>
      <c r="V106" s="875">
        <f>IF(D!Q106&lt;&gt;D!R106,IF(D!Q106&lt;&gt;0,IF(D!S106&lt;&gt;D!T106,D!V106,),),)</f>
        <v>0</v>
      </c>
      <c r="W106" s="633">
        <f>IF(Q106="","",$W$5-SUM($Q$7:$Q$45)-SUM($Q$64:Q106))</f>
        <v>0</v>
      </c>
      <c r="AO106" s="86"/>
      <c r="AP106" s="86"/>
      <c r="AQ106" s="86"/>
      <c r="AR106" s="86"/>
      <c r="AS106" s="86"/>
      <c r="AT106" s="86"/>
      <c r="AU106" s="86"/>
      <c r="AV106" s="86"/>
      <c r="AW106" s="86"/>
      <c r="AX106" s="86"/>
      <c r="AY106" s="86"/>
      <c r="CM106" s="86"/>
      <c r="CN106" s="86"/>
    </row>
    <row r="107" spans="8:92" s="367" customFormat="1" ht="15.75" hidden="1" customHeight="1" outlineLevel="1">
      <c r="H107" s="543"/>
      <c r="I107" s="853"/>
      <c r="J107" s="6"/>
      <c r="K107" s="541"/>
      <c r="L107" s="860"/>
      <c r="M107" s="20" t="str">
        <f>IF(J107="","",$M$5-SUM($J$7:J107))</f>
        <v/>
      </c>
      <c r="O107" s="7"/>
      <c r="P107" s="871">
        <f>IF(D!Q107&lt;&gt;D!R107,IF(D!Q107&lt;&gt;0,IF(D!S107&lt;&gt;D!T107,D!P107,),),)</f>
        <v>0</v>
      </c>
      <c r="Q107" s="795">
        <f>IF(D!Q107&lt;&gt;D!R107,IF(D!Q107&lt;&gt;0,IF(D!S107&lt;&gt;D!T107,D!Q107,),),)</f>
        <v>0</v>
      </c>
      <c r="R107" s="628">
        <f>IF(D!Q107&lt;&gt;D!R107,IF(D!Q107&lt;&gt;0,IF(D!S107&lt;&gt;D!T107,0,Q107),Q107),Q107)</f>
        <v>0</v>
      </c>
      <c r="S107" s="796">
        <f>IF(D!Q107&lt;&gt;D!R107,IF(D!Q107&lt;&gt;0,IF(D!S107&lt;&gt;D!T107,D!S107+1,),),)</f>
        <v>0</v>
      </c>
      <c r="T107" s="796">
        <f>IF(D!Q107&lt;&gt;D!R107,IF(D!Q107&lt;&gt;0,IF(D!S107&lt;&gt;D!T107,D!T107,),),)</f>
        <v>0</v>
      </c>
      <c r="U107" s="797">
        <f>IF(D!Q107&lt;&gt;D!R107,IF(D!Q107&lt;&gt;0,IF(D!S107&lt;&gt;D!T107,D!U107,),),)</f>
        <v>0</v>
      </c>
      <c r="V107" s="875">
        <f>IF(D!Q107&lt;&gt;D!R107,IF(D!Q107&lt;&gt;0,IF(D!S107&lt;&gt;D!T107,D!V107,),),)</f>
        <v>0</v>
      </c>
      <c r="W107" s="633">
        <f>IF(Q107="","",$W$5-SUM($Q$7:$Q$45)-SUM($Q$64:Q107))</f>
        <v>0</v>
      </c>
      <c r="AO107" s="86"/>
      <c r="AP107" s="86"/>
      <c r="AQ107" s="86"/>
      <c r="AR107" s="86"/>
      <c r="AS107" s="86"/>
      <c r="AT107" s="86"/>
      <c r="AU107" s="86"/>
      <c r="AV107" s="86"/>
      <c r="AW107" s="86"/>
      <c r="AX107" s="86"/>
      <c r="AY107" s="86"/>
      <c r="CM107" s="86"/>
      <c r="CN107" s="86"/>
    </row>
    <row r="108" spans="8:92" s="367" customFormat="1" ht="15.75" hidden="1" customHeight="1" outlineLevel="1">
      <c r="H108" s="543"/>
      <c r="I108" s="853"/>
      <c r="J108" s="6"/>
      <c r="K108" s="541"/>
      <c r="L108" s="860"/>
      <c r="M108" s="20" t="str">
        <f>IF(J108="","",$M$5-SUM($J$7:J108))</f>
        <v/>
      </c>
      <c r="O108" s="7"/>
      <c r="P108" s="873">
        <f>IF(D!Q108&lt;&gt;D!R108,IF(D!Q108&lt;&gt;0,IF(D!S108&lt;&gt;D!T108,D!P108,),),)</f>
        <v>0</v>
      </c>
      <c r="Q108" s="795">
        <f>IF(D!Q108&lt;&gt;D!R108,IF(D!Q108&lt;&gt;0,IF(D!S108&lt;&gt;D!T108,D!Q108,),),)</f>
        <v>0</v>
      </c>
      <c r="R108" s="628">
        <f>IF(D!Q108&lt;&gt;D!R108,IF(D!Q108&lt;&gt;0,IF(D!S108&lt;&gt;D!T108,0,Q108),Q108),Q108)</f>
        <v>0</v>
      </c>
      <c r="S108" s="796">
        <f>IF(D!Q108&lt;&gt;D!R108,IF(D!Q108&lt;&gt;0,IF(D!S108&lt;&gt;D!T108,D!S108+1,),),)</f>
        <v>0</v>
      </c>
      <c r="T108" s="796">
        <f>IF(D!Q108&lt;&gt;D!R108,IF(D!Q108&lt;&gt;0,IF(D!S108&lt;&gt;D!T108,D!T108,),),)</f>
        <v>0</v>
      </c>
      <c r="U108" s="797">
        <f>IF(D!Q108&lt;&gt;D!R108,IF(D!Q108&lt;&gt;0,IF(D!S108&lt;&gt;D!T108,D!U108,),),)</f>
        <v>0</v>
      </c>
      <c r="V108" s="875">
        <f>IF(D!Q108&lt;&gt;D!R108,IF(D!Q108&lt;&gt;0,IF(D!S108&lt;&gt;D!T108,D!V108,),),)</f>
        <v>0</v>
      </c>
      <c r="W108" s="633">
        <f>IF(Q108="","",$W$5-SUM($Q$7:$Q$45)-SUM($Q$64:Q108))</f>
        <v>0</v>
      </c>
      <c r="AO108" s="86"/>
      <c r="AP108" s="86"/>
      <c r="AQ108" s="86"/>
      <c r="AR108" s="86"/>
      <c r="AS108" s="86"/>
      <c r="AT108" s="86"/>
      <c r="AU108" s="86"/>
      <c r="AV108" s="86"/>
      <c r="AW108" s="86"/>
      <c r="AX108" s="86"/>
      <c r="AY108" s="86"/>
      <c r="CM108" s="86"/>
      <c r="CN108" s="86"/>
    </row>
    <row r="109" spans="8:92" s="367" customFormat="1" ht="15.75" hidden="1" customHeight="1" outlineLevel="1">
      <c r="H109" s="543"/>
      <c r="I109" s="853"/>
      <c r="J109" s="6"/>
      <c r="K109" s="541"/>
      <c r="L109" s="860"/>
      <c r="M109" s="20" t="str">
        <f>IF(J109="","",$M$5-SUM($J$7:J109))</f>
        <v/>
      </c>
      <c r="O109" s="7"/>
      <c r="P109" s="871">
        <f>IF(D!Q109&lt;&gt;D!R109,IF(D!Q109&lt;&gt;0,IF(D!S109&lt;&gt;D!T109,D!P109,),),)</f>
        <v>0</v>
      </c>
      <c r="Q109" s="795">
        <f>IF(D!Q109&lt;&gt;D!R109,IF(D!Q109&lt;&gt;0,IF(D!S109&lt;&gt;D!T109,D!Q109,),),)</f>
        <v>0</v>
      </c>
      <c r="R109" s="628">
        <f>IF(D!Q109&lt;&gt;D!R109,IF(D!Q109&lt;&gt;0,IF(D!S109&lt;&gt;D!T109,0,Q109),Q109),Q109)</f>
        <v>0</v>
      </c>
      <c r="S109" s="796">
        <f>IF(D!Q109&lt;&gt;D!R109,IF(D!Q109&lt;&gt;0,IF(D!S109&lt;&gt;D!T109,D!S109+1,),),)</f>
        <v>0</v>
      </c>
      <c r="T109" s="796">
        <f>IF(D!Q109&lt;&gt;D!R109,IF(D!Q109&lt;&gt;0,IF(D!S109&lt;&gt;D!T109,D!T109,),),)</f>
        <v>0</v>
      </c>
      <c r="U109" s="797">
        <f>IF(D!Q109&lt;&gt;D!R109,IF(D!Q109&lt;&gt;0,IF(D!S109&lt;&gt;D!T109,D!U109,),),)</f>
        <v>0</v>
      </c>
      <c r="V109" s="875">
        <f>IF(D!Q109&lt;&gt;D!R109,IF(D!Q109&lt;&gt;0,IF(D!S109&lt;&gt;D!T109,D!V109,),),)</f>
        <v>0</v>
      </c>
      <c r="W109" s="633">
        <f>IF(Q109="","",$W$5-SUM($Q$7:$Q$45)-SUM($Q$64:Q109))</f>
        <v>0</v>
      </c>
      <c r="AO109" s="86"/>
      <c r="AP109" s="86"/>
      <c r="AQ109" s="86"/>
      <c r="AR109" s="86"/>
      <c r="AS109" s="86"/>
      <c r="AT109" s="86"/>
      <c r="AU109" s="86"/>
      <c r="AV109" s="86"/>
      <c r="AW109" s="86"/>
      <c r="AX109" s="86"/>
      <c r="AY109" s="86"/>
      <c r="CM109" s="86"/>
      <c r="CN109" s="86"/>
    </row>
    <row r="110" spans="8:92" s="367" customFormat="1" ht="16.5" hidden="1" customHeight="1" outlineLevel="1" thickBot="1">
      <c r="H110" s="544"/>
      <c r="I110" s="857"/>
      <c r="J110" s="545"/>
      <c r="K110" s="601"/>
      <c r="L110" s="861"/>
      <c r="M110" s="546" t="str">
        <f>IF(J110="","",$M$5-SUM($J$7:J110))</f>
        <v/>
      </c>
      <c r="O110" s="523"/>
      <c r="P110" s="874">
        <f>IF(D!Q110&lt;&gt;D!R110,IF(D!Q110&lt;&gt;0,IF(D!S110&lt;&gt;D!T110,D!P110,),),)</f>
        <v>0</v>
      </c>
      <c r="Q110" s="800">
        <f>IF(D!Q110&lt;&gt;D!R110,IF(D!Q110&lt;&gt;0,IF(D!S110&lt;&gt;D!T110,D!Q110,),),)</f>
        <v>0</v>
      </c>
      <c r="R110" s="630">
        <f>IF(D!Q110&lt;&gt;D!R110,IF(D!Q110&lt;&gt;0,IF(D!S110&lt;&gt;D!T110,0,Q110),Q110),Q110)</f>
        <v>0</v>
      </c>
      <c r="S110" s="801">
        <f>IF(D!Q110&lt;&gt;D!R110,IF(D!Q110&lt;&gt;0,IF(D!S110&lt;&gt;D!T110,D!S110+1,),),)</f>
        <v>0</v>
      </c>
      <c r="T110" s="801">
        <f>IF(D!Q110&lt;&gt;D!R110,IF(D!Q110&lt;&gt;0,IF(D!S110&lt;&gt;D!T110,D!T110,),),)</f>
        <v>0</v>
      </c>
      <c r="U110" s="802">
        <f>IF(D!Q110&lt;&gt;D!R110,IF(D!Q110&lt;&gt;0,IF(D!S110&lt;&gt;D!T110,D!U110,),),)</f>
        <v>0</v>
      </c>
      <c r="V110" s="876">
        <f>IF(D!Q110&lt;&gt;D!R110,IF(D!Q110&lt;&gt;0,IF(D!S110&lt;&gt;D!T110,D!V110,),),)</f>
        <v>0</v>
      </c>
      <c r="W110" s="635">
        <f>IF(Q110="","",$W$5-SUM($Q$7:$Q$45)-SUM($Q$64:Q110))</f>
        <v>0</v>
      </c>
      <c r="AO110" s="86"/>
      <c r="AP110" s="86"/>
      <c r="AQ110" s="86"/>
      <c r="AR110" s="86"/>
      <c r="AS110" s="86"/>
      <c r="AT110" s="86"/>
      <c r="AU110" s="86"/>
      <c r="AV110" s="86"/>
      <c r="AW110" s="86"/>
      <c r="AX110" s="86"/>
      <c r="AY110" s="86"/>
      <c r="CM110" s="86"/>
      <c r="CN110" s="86"/>
    </row>
    <row r="111" spans="8:92" s="367" customFormat="1">
      <c r="K111" s="593"/>
      <c r="L111" s="593"/>
      <c r="O111" s="511"/>
      <c r="S111" s="371"/>
      <c r="T111" s="371"/>
      <c r="U111" s="371"/>
      <c r="V111" s="371"/>
      <c r="AO111" s="86"/>
      <c r="AP111" s="86"/>
      <c r="AQ111" s="86"/>
      <c r="AR111" s="86"/>
      <c r="AS111" s="86"/>
      <c r="AT111" s="86"/>
      <c r="AU111" s="86"/>
      <c r="AV111" s="86"/>
      <c r="AW111" s="86"/>
      <c r="AX111" s="86"/>
      <c r="AY111" s="86"/>
      <c r="CM111" s="86"/>
      <c r="CN111" s="86"/>
    </row>
    <row r="112" spans="8:92" s="367" customFormat="1">
      <c r="O112" s="511"/>
      <c r="S112" s="371"/>
      <c r="T112" s="371"/>
      <c r="U112" s="371"/>
      <c r="V112" s="371"/>
      <c r="AO112" s="86"/>
      <c r="AP112" s="86"/>
      <c r="AQ112" s="86"/>
      <c r="AR112" s="86"/>
      <c r="AS112" s="86"/>
      <c r="AT112" s="86"/>
      <c r="AU112" s="86"/>
      <c r="AV112" s="86"/>
      <c r="AW112" s="86"/>
      <c r="AX112" s="86"/>
      <c r="AY112" s="86"/>
      <c r="CM112" s="86"/>
      <c r="CN112" s="86"/>
    </row>
    <row r="113" spans="15:92" s="367" customFormat="1">
      <c r="O113" s="511"/>
      <c r="S113" s="371"/>
      <c r="T113" s="371"/>
      <c r="U113" s="371"/>
      <c r="V113" s="371"/>
      <c r="AO113" s="86"/>
      <c r="AP113" s="86"/>
      <c r="AQ113" s="86"/>
      <c r="AR113" s="86"/>
      <c r="AS113" s="86"/>
      <c r="AT113" s="86"/>
      <c r="AU113" s="86"/>
      <c r="AV113" s="86"/>
      <c r="AW113" s="86"/>
      <c r="AX113" s="86"/>
      <c r="AY113" s="86"/>
      <c r="CM113" s="86"/>
      <c r="CN113" s="86"/>
    </row>
    <row r="114" spans="15:92" s="367" customFormat="1">
      <c r="O114" s="511"/>
      <c r="S114" s="371"/>
      <c r="T114" s="371"/>
      <c r="U114" s="371"/>
      <c r="V114" s="371"/>
      <c r="AO114" s="86"/>
      <c r="AP114" s="86"/>
      <c r="AQ114" s="86"/>
      <c r="AR114" s="86"/>
      <c r="AS114" s="86"/>
      <c r="AT114" s="86"/>
      <c r="AU114" s="86"/>
      <c r="AV114" s="86"/>
      <c r="AW114" s="86"/>
      <c r="AX114" s="86"/>
      <c r="AY114" s="86"/>
      <c r="CM114" s="86"/>
      <c r="CN114" s="86"/>
    </row>
    <row r="115" spans="15:92" s="367" customFormat="1">
      <c r="O115" s="511"/>
      <c r="S115" s="371"/>
      <c r="T115" s="371"/>
      <c r="U115" s="371"/>
      <c r="V115" s="371"/>
      <c r="AO115" s="86"/>
      <c r="AP115" s="86"/>
      <c r="AQ115" s="86"/>
      <c r="AR115" s="86"/>
      <c r="AS115" s="86"/>
      <c r="AT115" s="86"/>
      <c r="AU115" s="86"/>
      <c r="AV115" s="86"/>
      <c r="AW115" s="86"/>
      <c r="AX115" s="86"/>
      <c r="AY115" s="86"/>
      <c r="CM115" s="86"/>
      <c r="CN115" s="86"/>
    </row>
    <row r="116" spans="15:92" s="367" customFormat="1">
      <c r="O116" s="511"/>
      <c r="S116" s="371"/>
      <c r="T116" s="371"/>
      <c r="U116" s="371"/>
      <c r="V116" s="371"/>
      <c r="AO116" s="86"/>
      <c r="AP116" s="86"/>
      <c r="AQ116" s="86"/>
      <c r="AR116" s="86"/>
      <c r="AS116" s="86"/>
      <c r="AT116" s="86"/>
      <c r="AU116" s="86"/>
      <c r="AV116" s="86"/>
      <c r="AW116" s="86"/>
      <c r="AX116" s="86"/>
      <c r="AY116" s="86"/>
      <c r="CM116" s="86"/>
      <c r="CN116" s="86"/>
    </row>
    <row r="117" spans="15:92" s="367" customFormat="1">
      <c r="O117" s="511"/>
      <c r="S117" s="371"/>
      <c r="T117" s="371"/>
      <c r="U117" s="371"/>
      <c r="V117" s="371"/>
      <c r="AO117" s="86"/>
      <c r="AP117" s="86"/>
      <c r="AQ117" s="86"/>
      <c r="AR117" s="86"/>
      <c r="AS117" s="86"/>
      <c r="AT117" s="86"/>
      <c r="AU117" s="86"/>
      <c r="AV117" s="86"/>
      <c r="AW117" s="86"/>
      <c r="AX117" s="86"/>
      <c r="AY117" s="86"/>
      <c r="CM117" s="86"/>
      <c r="CN117" s="86"/>
    </row>
    <row r="118" spans="15:92" s="367" customFormat="1">
      <c r="O118" s="511"/>
      <c r="S118" s="371"/>
      <c r="T118" s="371"/>
      <c r="U118" s="371"/>
      <c r="V118" s="371"/>
      <c r="AO118" s="86"/>
      <c r="AP118" s="86"/>
      <c r="AQ118" s="86"/>
      <c r="AR118" s="86"/>
      <c r="AS118" s="86"/>
      <c r="AT118" s="86"/>
      <c r="AU118" s="86"/>
      <c r="AV118" s="86"/>
      <c r="AW118" s="86"/>
      <c r="AX118" s="86"/>
      <c r="AY118" s="86"/>
      <c r="CM118" s="86"/>
      <c r="CN118" s="86"/>
    </row>
    <row r="119" spans="15:92" s="367" customFormat="1">
      <c r="O119" s="511"/>
      <c r="S119" s="371"/>
      <c r="T119" s="371"/>
      <c r="U119" s="371"/>
      <c r="V119" s="371"/>
      <c r="AO119" s="86"/>
      <c r="AP119" s="86"/>
      <c r="AQ119" s="86"/>
      <c r="AR119" s="86"/>
      <c r="AS119" s="86"/>
      <c r="AT119" s="86"/>
      <c r="AU119" s="86"/>
      <c r="AV119" s="86"/>
      <c r="AW119" s="86"/>
      <c r="AX119" s="86"/>
      <c r="AY119" s="86"/>
      <c r="CM119" s="86"/>
      <c r="CN119" s="86"/>
    </row>
    <row r="120" spans="15:92" s="367" customFormat="1">
      <c r="O120" s="511"/>
      <c r="S120" s="371"/>
      <c r="T120" s="371"/>
      <c r="U120" s="371"/>
      <c r="V120" s="371"/>
      <c r="AO120" s="86"/>
      <c r="AP120" s="86"/>
      <c r="AQ120" s="86"/>
      <c r="AR120" s="86"/>
      <c r="AS120" s="86"/>
      <c r="AT120" s="86"/>
      <c r="AU120" s="86"/>
      <c r="AV120" s="86"/>
      <c r="AW120" s="86"/>
      <c r="AX120" s="86"/>
      <c r="AY120" s="86"/>
      <c r="CM120" s="86"/>
      <c r="CN120" s="86"/>
    </row>
    <row r="121" spans="15:92" s="367" customFormat="1">
      <c r="O121" s="511"/>
      <c r="S121" s="371"/>
      <c r="T121" s="371"/>
      <c r="U121" s="371"/>
      <c r="V121" s="371"/>
      <c r="AO121" s="86"/>
      <c r="AP121" s="86"/>
      <c r="AQ121" s="86"/>
      <c r="AR121" s="86"/>
      <c r="AS121" s="86"/>
      <c r="AT121" s="86"/>
      <c r="AU121" s="86"/>
      <c r="AV121" s="86"/>
      <c r="AW121" s="86"/>
      <c r="AX121" s="86"/>
      <c r="AY121" s="86"/>
      <c r="CM121" s="86"/>
      <c r="CN121" s="86"/>
    </row>
    <row r="122" spans="15:92" s="367" customFormat="1">
      <c r="O122" s="511"/>
      <c r="S122" s="371"/>
      <c r="T122" s="371"/>
      <c r="U122" s="371"/>
      <c r="V122" s="371"/>
      <c r="AO122" s="86"/>
      <c r="AP122" s="86"/>
      <c r="AQ122" s="86"/>
      <c r="AR122" s="86"/>
      <c r="AS122" s="86"/>
      <c r="AT122" s="86"/>
      <c r="AU122" s="86"/>
      <c r="AV122" s="86"/>
      <c r="AW122" s="86"/>
      <c r="AX122" s="86"/>
      <c r="AY122" s="86"/>
      <c r="CM122" s="86"/>
      <c r="CN122" s="86"/>
    </row>
    <row r="123" spans="15:92" s="367" customFormat="1">
      <c r="O123" s="511"/>
      <c r="S123" s="371"/>
      <c r="T123" s="371"/>
      <c r="U123" s="371"/>
      <c r="V123" s="371"/>
      <c r="AO123" s="86"/>
      <c r="AP123" s="86"/>
      <c r="AQ123" s="86"/>
      <c r="AR123" s="86"/>
      <c r="AS123" s="86"/>
      <c r="AT123" s="86"/>
      <c r="AU123" s="86"/>
      <c r="AV123" s="86"/>
      <c r="AW123" s="86"/>
      <c r="AX123" s="86"/>
      <c r="AY123" s="86"/>
      <c r="CM123" s="86"/>
      <c r="CN123" s="86"/>
    </row>
    <row r="124" spans="15:92" s="367" customFormat="1">
      <c r="O124" s="511"/>
      <c r="S124" s="371"/>
      <c r="T124" s="371"/>
      <c r="U124" s="371"/>
      <c r="V124" s="371"/>
      <c r="AO124" s="86"/>
      <c r="AP124" s="86"/>
      <c r="AQ124" s="86"/>
      <c r="AR124" s="86"/>
      <c r="AS124" s="86"/>
      <c r="AT124" s="86"/>
      <c r="AU124" s="86"/>
      <c r="AV124" s="86"/>
      <c r="AW124" s="86"/>
      <c r="AX124" s="86"/>
      <c r="AY124" s="86"/>
      <c r="CM124" s="86"/>
      <c r="CN124" s="86"/>
    </row>
    <row r="125" spans="15:92" s="367" customFormat="1">
      <c r="O125" s="511"/>
      <c r="S125" s="371"/>
      <c r="T125" s="371"/>
      <c r="U125" s="371"/>
      <c r="V125" s="371"/>
      <c r="AO125" s="86"/>
      <c r="AP125" s="86"/>
      <c r="AQ125" s="86"/>
      <c r="AR125" s="86"/>
      <c r="AS125" s="86"/>
      <c r="AT125" s="86"/>
      <c r="AU125" s="86"/>
      <c r="AV125" s="86"/>
      <c r="AW125" s="86"/>
      <c r="AX125" s="86"/>
      <c r="AY125" s="86"/>
      <c r="CM125" s="86"/>
      <c r="CN125" s="86"/>
    </row>
    <row r="126" spans="15:92" s="367" customFormat="1">
      <c r="O126" s="511"/>
      <c r="S126" s="371"/>
      <c r="T126" s="371"/>
      <c r="U126" s="371"/>
      <c r="V126" s="371"/>
      <c r="AO126" s="86"/>
      <c r="AP126" s="86"/>
      <c r="AQ126" s="86"/>
      <c r="AR126" s="86"/>
      <c r="AS126" s="86"/>
      <c r="AT126" s="86"/>
      <c r="AU126" s="86"/>
      <c r="AV126" s="86"/>
      <c r="AW126" s="86"/>
      <c r="AX126" s="86"/>
      <c r="AY126" s="86"/>
      <c r="CM126" s="86"/>
      <c r="CN126" s="86"/>
    </row>
    <row r="127" spans="15:92" s="367" customFormat="1">
      <c r="O127" s="511"/>
      <c r="S127" s="371"/>
      <c r="T127" s="371"/>
      <c r="U127" s="371"/>
      <c r="V127" s="371"/>
      <c r="AO127" s="86"/>
      <c r="AP127" s="86"/>
      <c r="AQ127" s="86"/>
      <c r="AR127" s="86"/>
      <c r="AS127" s="86"/>
      <c r="AT127" s="86"/>
      <c r="AU127" s="86"/>
      <c r="AV127" s="86"/>
      <c r="AW127" s="86"/>
      <c r="AX127" s="86"/>
      <c r="AY127" s="86"/>
      <c r="CM127" s="86"/>
      <c r="CN127" s="86"/>
    </row>
    <row r="128" spans="15:92" s="367" customFormat="1">
      <c r="O128" s="511"/>
      <c r="S128" s="371"/>
      <c r="T128" s="371"/>
      <c r="U128" s="371"/>
      <c r="V128" s="371"/>
      <c r="AO128" s="86"/>
      <c r="AP128" s="86"/>
      <c r="AQ128" s="86"/>
      <c r="AR128" s="86"/>
      <c r="AS128" s="86"/>
      <c r="AT128" s="86"/>
      <c r="AU128" s="86"/>
      <c r="AV128" s="86"/>
      <c r="AW128" s="86"/>
      <c r="AX128" s="86"/>
      <c r="AY128" s="86"/>
      <c r="CM128" s="86"/>
      <c r="CN128" s="86"/>
    </row>
    <row r="129" spans="15:92" s="367" customFormat="1">
      <c r="O129" s="511"/>
      <c r="S129" s="371"/>
      <c r="T129" s="371"/>
      <c r="U129" s="371"/>
      <c r="V129" s="371"/>
      <c r="AO129" s="86"/>
      <c r="AP129" s="86"/>
      <c r="AQ129" s="86"/>
      <c r="AR129" s="86"/>
      <c r="AS129" s="86"/>
      <c r="AT129" s="86"/>
      <c r="AU129" s="86"/>
      <c r="AV129" s="86"/>
      <c r="AW129" s="86"/>
      <c r="AX129" s="86"/>
      <c r="AY129" s="86"/>
      <c r="CM129" s="86"/>
      <c r="CN129" s="86"/>
    </row>
    <row r="130" spans="15:92" s="367" customFormat="1">
      <c r="O130" s="511"/>
      <c r="S130" s="371"/>
      <c r="T130" s="371"/>
      <c r="U130" s="371"/>
      <c r="V130" s="371"/>
      <c r="AO130" s="86"/>
      <c r="AP130" s="86"/>
      <c r="AQ130" s="86"/>
      <c r="AR130" s="86"/>
      <c r="AS130" s="86"/>
      <c r="AT130" s="86"/>
      <c r="AU130" s="86"/>
      <c r="AV130" s="86"/>
      <c r="AW130" s="86"/>
      <c r="AX130" s="86"/>
      <c r="AY130" s="86"/>
      <c r="CM130" s="86"/>
      <c r="CN130" s="86"/>
    </row>
    <row r="131" spans="15:92" s="367" customFormat="1">
      <c r="O131" s="511"/>
      <c r="S131" s="371"/>
      <c r="T131" s="371"/>
      <c r="U131" s="371"/>
      <c r="V131" s="371"/>
      <c r="AO131" s="86"/>
      <c r="AP131" s="86"/>
      <c r="AQ131" s="86"/>
      <c r="AR131" s="86"/>
      <c r="AS131" s="86"/>
      <c r="AT131" s="86"/>
      <c r="AU131" s="86"/>
      <c r="AV131" s="86"/>
      <c r="AW131" s="86"/>
      <c r="AX131" s="86"/>
      <c r="AY131" s="86"/>
      <c r="CM131" s="86"/>
      <c r="CN131" s="86"/>
    </row>
    <row r="132" spans="15:92" s="367" customFormat="1">
      <c r="O132" s="511"/>
      <c r="S132" s="371"/>
      <c r="T132" s="371"/>
      <c r="U132" s="371"/>
      <c r="V132" s="371"/>
      <c r="AO132" s="86"/>
      <c r="AP132" s="86"/>
      <c r="AQ132" s="86"/>
      <c r="AR132" s="86"/>
      <c r="AS132" s="86"/>
      <c r="AT132" s="86"/>
      <c r="AU132" s="86"/>
      <c r="AV132" s="86"/>
      <c r="AW132" s="86"/>
      <c r="AX132" s="86"/>
      <c r="AY132" s="86"/>
      <c r="CM132" s="86"/>
      <c r="CN132" s="86"/>
    </row>
    <row r="133" spans="15:92" s="367" customFormat="1">
      <c r="O133" s="511"/>
      <c r="S133" s="371"/>
      <c r="T133" s="371"/>
      <c r="U133" s="371"/>
      <c r="V133" s="371"/>
      <c r="AO133" s="86"/>
      <c r="AP133" s="86"/>
      <c r="AQ133" s="86"/>
      <c r="AR133" s="86"/>
      <c r="AS133" s="86"/>
      <c r="AT133" s="86"/>
      <c r="AU133" s="86"/>
      <c r="AV133" s="86"/>
      <c r="AW133" s="86"/>
      <c r="AX133" s="86"/>
      <c r="AY133" s="86"/>
      <c r="CM133" s="86"/>
      <c r="CN133" s="86"/>
    </row>
    <row r="134" spans="15:92" s="367" customFormat="1">
      <c r="O134" s="511"/>
      <c r="S134" s="371"/>
      <c r="T134" s="371"/>
      <c r="U134" s="371"/>
      <c r="V134" s="371"/>
      <c r="AO134" s="86"/>
      <c r="AP134" s="86"/>
      <c r="AQ134" s="86"/>
      <c r="AR134" s="86"/>
      <c r="AS134" s="86"/>
      <c r="AT134" s="86"/>
      <c r="AU134" s="86"/>
      <c r="AV134" s="86"/>
      <c r="AW134" s="86"/>
      <c r="AX134" s="86"/>
      <c r="AY134" s="86"/>
      <c r="CM134" s="86"/>
      <c r="CN134" s="86"/>
    </row>
    <row r="135" spans="15:92" s="367" customFormat="1">
      <c r="O135" s="511"/>
      <c r="S135" s="371"/>
      <c r="T135" s="371"/>
      <c r="U135" s="371"/>
      <c r="V135" s="371"/>
      <c r="AO135" s="86"/>
      <c r="AP135" s="86"/>
      <c r="AQ135" s="86"/>
      <c r="AR135" s="86"/>
      <c r="AS135" s="86"/>
      <c r="AT135" s="86"/>
      <c r="AU135" s="86"/>
      <c r="AV135" s="86"/>
      <c r="AW135" s="86"/>
      <c r="AX135" s="86"/>
      <c r="AY135" s="86"/>
      <c r="CM135" s="86"/>
      <c r="CN135" s="86"/>
    </row>
    <row r="136" spans="15:92" s="367" customFormat="1">
      <c r="O136" s="511"/>
      <c r="S136" s="371"/>
      <c r="T136" s="371"/>
      <c r="U136" s="371"/>
      <c r="V136" s="371"/>
      <c r="AO136" s="86"/>
      <c r="AP136" s="86"/>
      <c r="AQ136" s="86"/>
      <c r="AR136" s="86"/>
      <c r="AS136" s="86"/>
      <c r="AT136" s="86"/>
      <c r="AU136" s="86"/>
      <c r="AV136" s="86"/>
      <c r="AW136" s="86"/>
      <c r="AX136" s="86"/>
      <c r="AY136" s="86"/>
      <c r="CM136" s="86"/>
      <c r="CN136" s="86"/>
    </row>
    <row r="137" spans="15:92" s="367" customFormat="1">
      <c r="O137" s="511"/>
      <c r="S137" s="371"/>
      <c r="T137" s="371"/>
      <c r="U137" s="371"/>
      <c r="V137" s="371"/>
      <c r="AO137" s="86"/>
      <c r="AP137" s="86"/>
      <c r="AQ137" s="86"/>
      <c r="AR137" s="86"/>
      <c r="AS137" s="86"/>
      <c r="AT137" s="86"/>
      <c r="AU137" s="86"/>
      <c r="AV137" s="86"/>
      <c r="AW137" s="86"/>
      <c r="AX137" s="86"/>
      <c r="AY137" s="86"/>
      <c r="CM137" s="86"/>
      <c r="CN137" s="86"/>
    </row>
    <row r="138" spans="15:92" s="367" customFormat="1">
      <c r="O138" s="511"/>
      <c r="S138" s="371"/>
      <c r="T138" s="371"/>
      <c r="U138" s="371"/>
      <c r="V138" s="371"/>
      <c r="AO138" s="86"/>
      <c r="AP138" s="86"/>
      <c r="AQ138" s="86"/>
      <c r="AR138" s="86"/>
      <c r="AS138" s="86"/>
      <c r="AT138" s="86"/>
      <c r="AU138" s="86"/>
      <c r="AV138" s="86"/>
      <c r="AW138" s="86"/>
      <c r="AX138" s="86"/>
      <c r="AY138" s="86"/>
      <c r="CM138" s="86"/>
      <c r="CN138" s="86"/>
    </row>
    <row r="139" spans="15:92" s="367" customFormat="1">
      <c r="O139" s="511"/>
      <c r="S139" s="371"/>
      <c r="T139" s="371"/>
      <c r="U139" s="371"/>
      <c r="V139" s="371"/>
      <c r="AO139" s="86"/>
      <c r="AP139" s="86"/>
      <c r="AQ139" s="86"/>
      <c r="AR139" s="86"/>
      <c r="AS139" s="86"/>
      <c r="AT139" s="86"/>
      <c r="AU139" s="86"/>
      <c r="AV139" s="86"/>
      <c r="AW139" s="86"/>
      <c r="AX139" s="86"/>
      <c r="AY139" s="86"/>
      <c r="CM139" s="86"/>
      <c r="CN139" s="86"/>
    </row>
    <row r="140" spans="15:92" s="367" customFormat="1">
      <c r="O140" s="511"/>
      <c r="S140" s="371"/>
      <c r="T140" s="371"/>
      <c r="U140" s="371"/>
      <c r="V140" s="371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CM140" s="86"/>
      <c r="CN140" s="86"/>
    </row>
    <row r="141" spans="15:92" s="367" customFormat="1">
      <c r="O141" s="511"/>
      <c r="S141" s="371"/>
      <c r="T141" s="371"/>
      <c r="U141" s="371"/>
      <c r="V141" s="371"/>
      <c r="AO141" s="86"/>
      <c r="AP141" s="86"/>
      <c r="AQ141" s="86"/>
      <c r="AR141" s="86"/>
      <c r="AS141" s="86"/>
      <c r="AT141" s="86"/>
      <c r="AU141" s="86"/>
      <c r="AV141" s="86"/>
      <c r="AW141" s="86"/>
      <c r="AX141" s="86"/>
      <c r="AY141" s="86"/>
      <c r="CM141" s="86"/>
      <c r="CN141" s="86"/>
    </row>
    <row r="142" spans="15:92" s="367" customFormat="1">
      <c r="O142" s="511"/>
      <c r="S142" s="371"/>
      <c r="T142" s="371"/>
      <c r="U142" s="371"/>
      <c r="V142" s="371"/>
      <c r="AO142" s="86"/>
      <c r="AP142" s="86"/>
      <c r="AQ142" s="86"/>
      <c r="AR142" s="86"/>
      <c r="AS142" s="86"/>
      <c r="AT142" s="86"/>
      <c r="AU142" s="86"/>
      <c r="AV142" s="86"/>
      <c r="AW142" s="86"/>
      <c r="AX142" s="86"/>
      <c r="AY142" s="86"/>
      <c r="CM142" s="86"/>
      <c r="CN142" s="86"/>
    </row>
    <row r="143" spans="15:92" s="367" customFormat="1">
      <c r="O143" s="511"/>
      <c r="S143" s="371"/>
      <c r="T143" s="371"/>
      <c r="U143" s="371"/>
      <c r="V143" s="371"/>
      <c r="AO143" s="86"/>
      <c r="AP143" s="86"/>
      <c r="AQ143" s="86"/>
      <c r="AR143" s="86"/>
      <c r="AS143" s="86"/>
      <c r="AT143" s="86"/>
      <c r="AU143" s="86"/>
      <c r="AV143" s="86"/>
      <c r="AW143" s="86"/>
      <c r="AX143" s="86"/>
      <c r="AY143" s="86"/>
      <c r="CM143" s="86"/>
      <c r="CN143" s="86"/>
    </row>
    <row r="144" spans="15:92" s="367" customFormat="1">
      <c r="O144" s="511"/>
      <c r="S144" s="371"/>
      <c r="T144" s="371"/>
      <c r="U144" s="371"/>
      <c r="V144" s="371"/>
      <c r="AO144" s="86"/>
      <c r="AP144" s="86"/>
      <c r="AQ144" s="86"/>
      <c r="AR144" s="86"/>
      <c r="AS144" s="86"/>
      <c r="AT144" s="86"/>
      <c r="AU144" s="86"/>
      <c r="AV144" s="86"/>
      <c r="AW144" s="86"/>
      <c r="AX144" s="86"/>
      <c r="AY144" s="86"/>
      <c r="CM144" s="86"/>
      <c r="CN144" s="86"/>
    </row>
    <row r="145" spans="1:92" s="367" customFormat="1">
      <c r="O145" s="511"/>
      <c r="S145" s="371"/>
      <c r="T145" s="371"/>
      <c r="U145" s="371"/>
      <c r="V145" s="371"/>
      <c r="AO145" s="86"/>
      <c r="AP145" s="86"/>
      <c r="AQ145" s="86"/>
      <c r="AR145" s="86"/>
      <c r="AS145" s="86"/>
      <c r="AT145" s="86"/>
      <c r="AU145" s="86"/>
      <c r="AV145" s="86"/>
      <c r="AW145" s="86"/>
      <c r="AX145" s="86"/>
      <c r="AY145" s="86"/>
      <c r="CM145" s="86"/>
      <c r="CN145" s="86"/>
    </row>
    <row r="146" spans="1:92" s="367" customFormat="1">
      <c r="O146" s="511"/>
      <c r="S146" s="371"/>
      <c r="T146" s="371"/>
      <c r="U146" s="371"/>
      <c r="V146" s="371"/>
      <c r="AO146" s="86"/>
      <c r="AP146" s="86"/>
      <c r="AQ146" s="86"/>
      <c r="AR146" s="86"/>
      <c r="AS146" s="86"/>
      <c r="AT146" s="86"/>
      <c r="AU146" s="86"/>
      <c r="AV146" s="86"/>
      <c r="AW146" s="86"/>
      <c r="AX146" s="86"/>
      <c r="AY146" s="86"/>
      <c r="CM146" s="86"/>
      <c r="CN146" s="86"/>
    </row>
    <row r="147" spans="1:92" s="367" customFormat="1">
      <c r="O147" s="511"/>
      <c r="S147" s="371"/>
      <c r="T147" s="371"/>
      <c r="U147" s="371"/>
      <c r="V147" s="371"/>
      <c r="AO147" s="86"/>
      <c r="AP147" s="86"/>
      <c r="AQ147" s="86"/>
      <c r="AR147" s="86"/>
      <c r="AS147" s="86"/>
      <c r="AT147" s="86"/>
      <c r="AU147" s="86"/>
      <c r="AV147" s="86"/>
      <c r="AW147" s="86"/>
      <c r="AX147" s="86"/>
      <c r="AY147" s="86"/>
      <c r="CM147" s="86"/>
      <c r="CN147" s="86"/>
    </row>
    <row r="148" spans="1:92" s="367" customFormat="1">
      <c r="O148" s="511"/>
      <c r="S148" s="371"/>
      <c r="T148" s="371"/>
      <c r="U148" s="371"/>
      <c r="V148" s="371"/>
      <c r="AO148" s="86"/>
      <c r="AP148" s="86"/>
      <c r="AQ148" s="86"/>
      <c r="AR148" s="86"/>
      <c r="AS148" s="86"/>
      <c r="AT148" s="86"/>
      <c r="AU148" s="86"/>
      <c r="AV148" s="86"/>
      <c r="AW148" s="86"/>
      <c r="AX148" s="86"/>
      <c r="AY148" s="86"/>
      <c r="CM148" s="86"/>
      <c r="CN148" s="86"/>
    </row>
    <row r="149" spans="1:92" s="367" customFormat="1">
      <c r="O149" s="511"/>
      <c r="S149" s="371"/>
      <c r="T149" s="371"/>
      <c r="U149" s="371"/>
      <c r="V149" s="371"/>
      <c r="AO149" s="86"/>
      <c r="AP149" s="86"/>
      <c r="AQ149" s="86"/>
      <c r="AR149" s="86"/>
      <c r="AS149" s="86"/>
      <c r="AT149" s="86"/>
      <c r="AU149" s="86"/>
      <c r="AV149" s="86"/>
      <c r="AW149" s="86"/>
      <c r="AX149" s="86"/>
      <c r="AY149" s="86"/>
      <c r="CM149" s="86"/>
      <c r="CN149" s="86"/>
    </row>
    <row r="150" spans="1:92" s="367" customFormat="1">
      <c r="O150" s="511"/>
      <c r="S150" s="371"/>
      <c r="T150" s="371"/>
      <c r="U150" s="371"/>
      <c r="V150" s="371"/>
      <c r="AO150" s="86"/>
      <c r="AP150" s="86"/>
      <c r="AQ150" s="86"/>
      <c r="AR150" s="86"/>
      <c r="AS150" s="86"/>
      <c r="AT150" s="86"/>
      <c r="AU150" s="86"/>
      <c r="AV150" s="86"/>
      <c r="AW150" s="86"/>
      <c r="AX150" s="86"/>
      <c r="AY150" s="86"/>
      <c r="CM150" s="86"/>
      <c r="CN150" s="86"/>
    </row>
    <row r="151" spans="1:92" s="367" customFormat="1">
      <c r="O151" s="511"/>
      <c r="S151" s="371"/>
      <c r="T151" s="371"/>
      <c r="U151" s="371"/>
      <c r="V151" s="371"/>
      <c r="AO151" s="86"/>
      <c r="AP151" s="86"/>
      <c r="AQ151" s="86"/>
      <c r="AR151" s="86"/>
      <c r="AS151" s="86"/>
      <c r="AT151" s="86"/>
      <c r="AU151" s="86"/>
      <c r="AV151" s="86"/>
      <c r="AW151" s="86"/>
      <c r="AX151" s="86"/>
      <c r="AY151" s="86"/>
      <c r="CM151" s="86"/>
      <c r="CN151" s="86"/>
    </row>
    <row r="152" spans="1:92">
      <c r="A152" s="367"/>
      <c r="B152" s="367"/>
      <c r="C152" s="367"/>
      <c r="D152" s="367"/>
      <c r="E152" s="367"/>
      <c r="F152" s="367"/>
      <c r="G152" s="367"/>
      <c r="H152" s="367"/>
      <c r="I152" s="367"/>
      <c r="J152" s="367"/>
      <c r="K152" s="367"/>
      <c r="L152" s="367"/>
      <c r="M152" s="367"/>
      <c r="N152" s="367"/>
      <c r="O152" s="377"/>
      <c r="P152" s="367"/>
      <c r="Q152" s="367"/>
      <c r="R152" s="367"/>
      <c r="S152" s="371"/>
      <c r="T152" s="371"/>
      <c r="U152" s="371"/>
      <c r="V152" s="371"/>
      <c r="W152" s="367"/>
      <c r="X152" s="367"/>
      <c r="Y152" s="367"/>
      <c r="Z152" s="367"/>
      <c r="AA152" s="367"/>
      <c r="AB152" s="367"/>
      <c r="AC152" s="367"/>
      <c r="AD152" s="367"/>
      <c r="AE152" s="367"/>
      <c r="AF152" s="367"/>
      <c r="AG152" s="367"/>
      <c r="AH152" s="367"/>
      <c r="AI152" s="367"/>
      <c r="AJ152" s="367"/>
      <c r="AK152" s="367"/>
      <c r="AL152" s="367"/>
      <c r="AM152" s="367"/>
      <c r="AN152" s="367"/>
      <c r="AO152" s="86"/>
    </row>
  </sheetData>
  <sheetProtection password="D37A" sheet="1" scenarios="1" formatCells="0" formatColumns="0" formatRows="0" insertColumns="0" insertRows="0" sort="0" autoFilter="0"/>
  <mergeCells count="72">
    <mergeCell ref="S51:T51"/>
    <mergeCell ref="S52:T52"/>
    <mergeCell ref="S59:T59"/>
    <mergeCell ref="S53:T53"/>
    <mergeCell ref="S54:T54"/>
    <mergeCell ref="S55:T55"/>
    <mergeCell ref="S56:T56"/>
    <mergeCell ref="S58:T58"/>
    <mergeCell ref="N2:O2"/>
    <mergeCell ref="H54:H56"/>
    <mergeCell ref="C41:D41"/>
    <mergeCell ref="I56:J56"/>
    <mergeCell ref="B42:D42"/>
    <mergeCell ref="B3:C3"/>
    <mergeCell ref="B23:B24"/>
    <mergeCell ref="B25:B26"/>
    <mergeCell ref="N53:O54"/>
    <mergeCell ref="E5:E6"/>
    <mergeCell ref="C5:C6"/>
    <mergeCell ref="F5:F6"/>
    <mergeCell ref="K5:K6"/>
    <mergeCell ref="Y3:AA3"/>
    <mergeCell ref="C58:D58"/>
    <mergeCell ref="C23:D24"/>
    <mergeCell ref="D25:D26"/>
    <mergeCell ref="C25:C26"/>
    <mergeCell ref="F25:F26"/>
    <mergeCell ref="E25:E26"/>
    <mergeCell ref="E23:F24"/>
    <mergeCell ref="C4:D4"/>
    <mergeCell ref="Y4:Z4"/>
    <mergeCell ref="E4:F4"/>
    <mergeCell ref="D5:D6"/>
    <mergeCell ref="H5:H6"/>
    <mergeCell ref="O5:O6"/>
    <mergeCell ref="B43:C43"/>
    <mergeCell ref="L5:L6"/>
    <mergeCell ref="AR21:AR22"/>
    <mergeCell ref="AE15:AE20"/>
    <mergeCell ref="AE21:AE22"/>
    <mergeCell ref="Y21:Y22"/>
    <mergeCell ref="Z21:Z22"/>
    <mergeCell ref="AG21:AG22"/>
    <mergeCell ref="AD21:AD22"/>
    <mergeCell ref="AA21:AA22"/>
    <mergeCell ref="AP12:AX12"/>
    <mergeCell ref="Y18:Z18"/>
    <mergeCell ref="Y20:AA20"/>
    <mergeCell ref="AQ20:AT20"/>
    <mergeCell ref="P5:Q6"/>
    <mergeCell ref="AE5:AE7"/>
    <mergeCell ref="AE10:AE12"/>
    <mergeCell ref="U5:U6"/>
    <mergeCell ref="S4:S5"/>
    <mergeCell ref="R5:R6"/>
    <mergeCell ref="T4:T5"/>
    <mergeCell ref="AB4:AC4"/>
    <mergeCell ref="V5:V6"/>
    <mergeCell ref="W5:W6"/>
    <mergeCell ref="B63:B64"/>
    <mergeCell ref="C63:C64"/>
    <mergeCell ref="D63:D64"/>
    <mergeCell ref="E63:E64"/>
    <mergeCell ref="F63:F64"/>
    <mergeCell ref="S49:T49"/>
    <mergeCell ref="S50:T50"/>
    <mergeCell ref="S48:T48"/>
    <mergeCell ref="Z46:AA46"/>
    <mergeCell ref="B5:B6"/>
    <mergeCell ref="B20:D20"/>
    <mergeCell ref="I5:J6"/>
    <mergeCell ref="M5:M6"/>
  </mergeCells>
  <conditionalFormatting sqref="AE23:AE44 Q56:S56 S50:S55">
    <cfRule type="cellIs" dxfId="3702" priority="6" stopIfTrue="1" operator="lessThan">
      <formula>0</formula>
    </cfRule>
  </conditionalFormatting>
  <conditionalFormatting sqref="AE13:AE14">
    <cfRule type="containsText" dxfId="3701" priority="364" stopIfTrue="1" operator="containsText" text="חריגה">
      <formula>NOT(ISERROR(SEARCH("חריגה",AE13)))</formula>
    </cfRule>
  </conditionalFormatting>
  <conditionalFormatting sqref="AI23:AI44">
    <cfRule type="cellIs" dxfId="3700" priority="363" stopIfTrue="1" operator="equal">
      <formula>1</formula>
    </cfRule>
  </conditionalFormatting>
  <conditionalFormatting sqref="E20:F20 E42:F42">
    <cfRule type="containsText" dxfId="3699" priority="362" stopIfTrue="1" operator="containsText" text="חיובי">
      <formula>NOT(ISERROR(SEARCH("חיובי",E20)))</formula>
    </cfRule>
  </conditionalFormatting>
  <conditionalFormatting sqref="W46 K54:M54 K58:M58 D19 C41">
    <cfRule type="cellIs" dxfId="3698" priority="361" stopIfTrue="1" operator="lessThan">
      <formula>0</formula>
    </cfRule>
  </conditionalFormatting>
  <conditionalFormatting sqref="D45">
    <cfRule type="cellIs" dxfId="3697" priority="382" stopIfTrue="1" operator="greaterThan">
      <formula>$C$45</formula>
    </cfRule>
  </conditionalFormatting>
  <conditionalFormatting sqref="D46">
    <cfRule type="cellIs" dxfId="3696" priority="383" stopIfTrue="1" operator="greaterThan">
      <formula>$C$46</formula>
    </cfRule>
  </conditionalFormatting>
  <conditionalFormatting sqref="D47">
    <cfRule type="cellIs" dxfId="3695" priority="384" stopIfTrue="1" operator="greaterThan">
      <formula>$C$47</formula>
    </cfRule>
  </conditionalFormatting>
  <conditionalFormatting sqref="D48">
    <cfRule type="cellIs" dxfId="3694" priority="385" stopIfTrue="1" operator="greaterThan">
      <formula>$C$48</formula>
    </cfRule>
  </conditionalFormatting>
  <conditionalFormatting sqref="D49">
    <cfRule type="cellIs" dxfId="3693" priority="386" stopIfTrue="1" operator="greaterThan">
      <formula>$C$49</formula>
    </cfRule>
  </conditionalFormatting>
  <conditionalFormatting sqref="D50">
    <cfRule type="cellIs" dxfId="3692" priority="387" stopIfTrue="1" operator="greaterThan">
      <formula>$C$50</formula>
    </cfRule>
  </conditionalFormatting>
  <conditionalFormatting sqref="D51">
    <cfRule type="cellIs" dxfId="3691" priority="388" stopIfTrue="1" operator="greaterThan">
      <formula>$C$51</formula>
    </cfRule>
  </conditionalFormatting>
  <conditionalFormatting sqref="D52">
    <cfRule type="cellIs" dxfId="3690" priority="389" stopIfTrue="1" operator="greaterThan">
      <formula>$C$52</formula>
    </cfRule>
  </conditionalFormatting>
  <conditionalFormatting sqref="D53">
    <cfRule type="cellIs" dxfId="3689" priority="390" stopIfTrue="1" operator="greaterThan">
      <formula>$C$53</formula>
    </cfRule>
  </conditionalFormatting>
  <conditionalFormatting sqref="D54">
    <cfRule type="cellIs" dxfId="3688" priority="391" stopIfTrue="1" operator="greaterThan">
      <formula>$C$54</formula>
    </cfRule>
  </conditionalFormatting>
  <conditionalFormatting sqref="D55">
    <cfRule type="cellIs" dxfId="3687" priority="392" stopIfTrue="1" operator="greaterThan">
      <formula>$C$55</formula>
    </cfRule>
  </conditionalFormatting>
  <conditionalFormatting sqref="D56">
    <cfRule type="cellIs" dxfId="3686" priority="393" stopIfTrue="1" operator="greaterThan">
      <formula>$C$56</formula>
    </cfRule>
  </conditionalFormatting>
  <conditionalFormatting sqref="C7">
    <cfRule type="expression" dxfId="3685" priority="357" stopIfTrue="1">
      <formula>AND(C7&lt;&gt;0, NOT(ISTEXT(B7)))</formula>
    </cfRule>
    <cfRule type="cellIs" dxfId="3684" priority="358" stopIfTrue="1" operator="lessThan">
      <formula>0</formula>
    </cfRule>
  </conditionalFormatting>
  <conditionalFormatting sqref="C8">
    <cfRule type="expression" dxfId="3683" priority="355" stopIfTrue="1">
      <formula>AND(C8&lt;&gt;0, NOT(ISTEXT(B8)))</formula>
    </cfRule>
    <cfRule type="cellIs" dxfId="3682" priority="356" stopIfTrue="1" operator="lessThan">
      <formula>0</formula>
    </cfRule>
  </conditionalFormatting>
  <conditionalFormatting sqref="C9">
    <cfRule type="expression" dxfId="3681" priority="353" stopIfTrue="1">
      <formula>AND(C9&lt;&gt;0, NOT(ISTEXT(B9)))</formula>
    </cfRule>
    <cfRule type="cellIs" dxfId="3680" priority="354" stopIfTrue="1" operator="lessThan">
      <formula>0</formula>
    </cfRule>
  </conditionalFormatting>
  <conditionalFormatting sqref="C10">
    <cfRule type="expression" dxfId="3679" priority="351" stopIfTrue="1">
      <formula>AND(C10&lt;&gt;0, NOT(ISTEXT(B10)))</formula>
    </cfRule>
    <cfRule type="cellIs" dxfId="3678" priority="352" stopIfTrue="1" operator="lessThan">
      <formula>0</formula>
    </cfRule>
  </conditionalFormatting>
  <conditionalFormatting sqref="C11">
    <cfRule type="expression" dxfId="3677" priority="349" stopIfTrue="1">
      <formula>AND(C11&lt;&gt;0, NOT(ISTEXT(B11)))</formula>
    </cfRule>
    <cfRule type="cellIs" dxfId="3676" priority="350" stopIfTrue="1" operator="lessThan">
      <formula>0</formula>
    </cfRule>
  </conditionalFormatting>
  <conditionalFormatting sqref="C12">
    <cfRule type="expression" dxfId="3675" priority="347" stopIfTrue="1">
      <formula>AND(C12&lt;&gt;0, NOT(ISTEXT(B12)))</formula>
    </cfRule>
    <cfRule type="cellIs" dxfId="3674" priority="348" stopIfTrue="1" operator="lessThan">
      <formula>0</formula>
    </cfRule>
  </conditionalFormatting>
  <conditionalFormatting sqref="C13">
    <cfRule type="expression" dxfId="3673" priority="345" stopIfTrue="1">
      <formula>AND(C13&lt;&gt;0, NOT(ISTEXT(B13)))</formula>
    </cfRule>
    <cfRule type="cellIs" dxfId="3672" priority="346" stopIfTrue="1" operator="lessThan">
      <formula>0</formula>
    </cfRule>
  </conditionalFormatting>
  <conditionalFormatting sqref="C14">
    <cfRule type="expression" dxfId="3671" priority="343" stopIfTrue="1">
      <formula>AND(C14&lt;&gt;0, NOT(ISTEXT(B14)))</formula>
    </cfRule>
    <cfRule type="cellIs" dxfId="3670" priority="344" stopIfTrue="1" operator="lessThan">
      <formula>0</formula>
    </cfRule>
  </conditionalFormatting>
  <conditionalFormatting sqref="C15">
    <cfRule type="expression" dxfId="3669" priority="341" stopIfTrue="1">
      <formula>AND(C15&lt;&gt;0, NOT(ISTEXT(B15)))</formula>
    </cfRule>
    <cfRule type="cellIs" dxfId="3668" priority="342" stopIfTrue="1" operator="lessThan">
      <formula>0</formula>
    </cfRule>
  </conditionalFormatting>
  <conditionalFormatting sqref="C16">
    <cfRule type="expression" dxfId="3667" priority="339" stopIfTrue="1">
      <formula>AND(C16&lt;&gt;0, NOT(ISTEXT(B16)))</formula>
    </cfRule>
    <cfRule type="cellIs" dxfId="3666" priority="340" stopIfTrue="1" operator="lessThan">
      <formula>0</formula>
    </cfRule>
  </conditionalFormatting>
  <conditionalFormatting sqref="C17">
    <cfRule type="expression" dxfId="3665" priority="337" stopIfTrue="1">
      <formula>AND(C17&lt;&gt;0, NOT(ISTEXT(B17)))</formula>
    </cfRule>
    <cfRule type="cellIs" dxfId="3664" priority="338" stopIfTrue="1" operator="lessThan">
      <formula>0</formula>
    </cfRule>
  </conditionalFormatting>
  <conditionalFormatting sqref="C27">
    <cfRule type="expression" dxfId="3663" priority="335" stopIfTrue="1">
      <formula>AND(C27&lt;&gt;0, NOT(ISTEXT(B27)))</formula>
    </cfRule>
    <cfRule type="cellIs" dxfId="3662" priority="336" stopIfTrue="1" operator="lessThan">
      <formula>0</formula>
    </cfRule>
  </conditionalFormatting>
  <conditionalFormatting sqref="C39">
    <cfRule type="expression" dxfId="3661" priority="333" stopIfTrue="1">
      <formula>AND(C39&lt;&gt;0, NOT(ISTEXT(B39)))</formula>
    </cfRule>
    <cfRule type="cellIs" dxfId="3660" priority="334" stopIfTrue="1" operator="lessThan">
      <formula>0</formula>
    </cfRule>
  </conditionalFormatting>
  <conditionalFormatting sqref="C28">
    <cfRule type="expression" dxfId="3659" priority="331" stopIfTrue="1">
      <formula>AND(C28&lt;&gt;0, NOT(ISTEXT(B28)))</formula>
    </cfRule>
    <cfRule type="cellIs" dxfId="3658" priority="332" stopIfTrue="1" operator="lessThan">
      <formula>0</formula>
    </cfRule>
  </conditionalFormatting>
  <conditionalFormatting sqref="C29">
    <cfRule type="expression" dxfId="3657" priority="329" stopIfTrue="1">
      <formula>AND(C29&lt;&gt;0, NOT(ISTEXT(B29)))</formula>
    </cfRule>
    <cfRule type="cellIs" dxfId="3656" priority="330" stopIfTrue="1" operator="lessThan">
      <formula>0</formula>
    </cfRule>
  </conditionalFormatting>
  <conditionalFormatting sqref="C30">
    <cfRule type="expression" dxfId="3655" priority="327" stopIfTrue="1">
      <formula>AND(C30&lt;&gt;0, NOT(ISTEXT(B30)))</formula>
    </cfRule>
    <cfRule type="cellIs" dxfId="3654" priority="328" stopIfTrue="1" operator="lessThan">
      <formula>0</formula>
    </cfRule>
  </conditionalFormatting>
  <conditionalFormatting sqref="C31">
    <cfRule type="expression" dxfId="3653" priority="325" stopIfTrue="1">
      <formula>AND(C31&lt;&gt;0, NOT(ISTEXT(B31)))</formula>
    </cfRule>
    <cfRule type="cellIs" dxfId="3652" priority="326" stopIfTrue="1" operator="lessThan">
      <formula>0</formula>
    </cfRule>
  </conditionalFormatting>
  <conditionalFormatting sqref="C32">
    <cfRule type="expression" dxfId="3651" priority="323" stopIfTrue="1">
      <formula>AND(C32&lt;&gt;0, NOT(ISTEXT(B32)))</formula>
    </cfRule>
    <cfRule type="cellIs" dxfId="3650" priority="324" stopIfTrue="1" operator="lessThan">
      <formula>0</formula>
    </cfRule>
  </conditionalFormatting>
  <conditionalFormatting sqref="C33">
    <cfRule type="expression" dxfId="3649" priority="321" stopIfTrue="1">
      <formula>AND(C33&lt;&gt;0, NOT(ISTEXT(B33)))</formula>
    </cfRule>
    <cfRule type="cellIs" dxfId="3648" priority="322" stopIfTrue="1" operator="lessThan">
      <formula>0</formula>
    </cfRule>
  </conditionalFormatting>
  <conditionalFormatting sqref="C34">
    <cfRule type="expression" dxfId="3647" priority="319" stopIfTrue="1">
      <formula>AND(C34&lt;&gt;0, NOT(ISTEXT(B34)))</formula>
    </cfRule>
    <cfRule type="cellIs" dxfId="3646" priority="320" stopIfTrue="1" operator="lessThan">
      <formula>0</formula>
    </cfRule>
  </conditionalFormatting>
  <conditionalFormatting sqref="C35">
    <cfRule type="expression" dxfId="3645" priority="317" stopIfTrue="1">
      <formula>AND(C35&lt;&gt;0, NOT(ISTEXT(B35)))</formula>
    </cfRule>
    <cfRule type="cellIs" dxfId="3644" priority="318" stopIfTrue="1" operator="lessThan">
      <formula>0</formula>
    </cfRule>
  </conditionalFormatting>
  <conditionalFormatting sqref="C36">
    <cfRule type="expression" dxfId="3643" priority="315" stopIfTrue="1">
      <formula>AND(C36&lt;&gt;0, NOT(ISTEXT(B36)))</formula>
    </cfRule>
    <cfRule type="cellIs" dxfId="3642" priority="316" stopIfTrue="1" operator="lessThan">
      <formula>0</formula>
    </cfRule>
  </conditionalFormatting>
  <conditionalFormatting sqref="C37">
    <cfRule type="expression" dxfId="3641" priority="313" stopIfTrue="1">
      <formula>AND(C37&lt;&gt;0, NOT(ISTEXT(B37)))</formula>
    </cfRule>
    <cfRule type="cellIs" dxfId="3640" priority="314" stopIfTrue="1" operator="lessThan">
      <formula>0</formula>
    </cfRule>
  </conditionalFormatting>
  <conditionalFormatting sqref="C38">
    <cfRule type="expression" dxfId="3639" priority="311" stopIfTrue="1">
      <formula>AND(C38&lt;&gt;0, NOT(ISTEXT(B38)))</formula>
    </cfRule>
    <cfRule type="cellIs" dxfId="3638" priority="312" stopIfTrue="1" operator="lessThan">
      <formula>0</formula>
    </cfRule>
  </conditionalFormatting>
  <conditionalFormatting sqref="C45">
    <cfRule type="expression" dxfId="3637" priority="309" stopIfTrue="1">
      <formula>AND(C45&lt;&gt;0, NOT(ISTEXT(B45)))</formula>
    </cfRule>
    <cfRule type="cellIs" dxfId="3636" priority="310" stopIfTrue="1" operator="lessThan">
      <formula>0</formula>
    </cfRule>
  </conditionalFormatting>
  <conditionalFormatting sqref="C56">
    <cfRule type="expression" dxfId="3635" priority="307" stopIfTrue="1">
      <formula>AND(C56&lt;&gt;0, NOT(ISTEXT(B56)))</formula>
    </cfRule>
    <cfRule type="cellIs" dxfId="3634" priority="308" stopIfTrue="1" operator="lessThan">
      <formula>0</formula>
    </cfRule>
  </conditionalFormatting>
  <conditionalFormatting sqref="C46">
    <cfRule type="expression" dxfId="3633" priority="305" stopIfTrue="1">
      <formula>AND(C46&lt;&gt;0, NOT(ISTEXT(B46)))</formula>
    </cfRule>
    <cfRule type="cellIs" dxfId="3632" priority="306" stopIfTrue="1" operator="lessThan">
      <formula>0</formula>
    </cfRule>
  </conditionalFormatting>
  <conditionalFormatting sqref="C47">
    <cfRule type="expression" dxfId="3631" priority="303" stopIfTrue="1">
      <formula>AND(C47&lt;&gt;0, NOT(ISTEXT(B47)))</formula>
    </cfRule>
    <cfRule type="cellIs" dxfId="3630" priority="304" stopIfTrue="1" operator="lessThan">
      <formula>0</formula>
    </cfRule>
  </conditionalFormatting>
  <conditionalFormatting sqref="C48">
    <cfRule type="expression" dxfId="3629" priority="301" stopIfTrue="1">
      <formula>AND(C48&lt;&gt;0, NOT(ISTEXT(B48)))</formula>
    </cfRule>
    <cfRule type="cellIs" dxfId="3628" priority="302" stopIfTrue="1" operator="lessThan">
      <formula>0</formula>
    </cfRule>
  </conditionalFormatting>
  <conditionalFormatting sqref="C49">
    <cfRule type="expression" dxfId="3627" priority="299" stopIfTrue="1">
      <formula>AND(C49&lt;&gt;0, NOT(ISTEXT(B49)))</formula>
    </cfRule>
    <cfRule type="cellIs" dxfId="3626" priority="300" stopIfTrue="1" operator="lessThan">
      <formula>0</formula>
    </cfRule>
  </conditionalFormatting>
  <conditionalFormatting sqref="C50">
    <cfRule type="expression" dxfId="3625" priority="297" stopIfTrue="1">
      <formula>AND(C50&lt;&gt;0, NOT(ISTEXT(B50)))</formula>
    </cfRule>
    <cfRule type="cellIs" dxfId="3624" priority="298" stopIfTrue="1" operator="lessThan">
      <formula>0</formula>
    </cfRule>
  </conditionalFormatting>
  <conditionalFormatting sqref="C51">
    <cfRule type="expression" dxfId="3623" priority="295" stopIfTrue="1">
      <formula>AND(C51&lt;&gt;0, NOT(ISTEXT(B51)))</formula>
    </cfRule>
    <cfRule type="cellIs" dxfId="3622" priority="296" stopIfTrue="1" operator="lessThan">
      <formula>0</formula>
    </cfRule>
  </conditionalFormatting>
  <conditionalFormatting sqref="C52">
    <cfRule type="expression" dxfId="3621" priority="293" stopIfTrue="1">
      <formula>AND(C52&lt;&gt;0, NOT(ISTEXT(B52)))</formula>
    </cfRule>
    <cfRule type="cellIs" dxfId="3620" priority="294" stopIfTrue="1" operator="lessThan">
      <formula>0</formula>
    </cfRule>
  </conditionalFormatting>
  <conditionalFormatting sqref="C53">
    <cfRule type="expression" dxfId="3619" priority="291" stopIfTrue="1">
      <formula>AND(C53&lt;&gt;0, NOT(ISTEXT(B53)))</formula>
    </cfRule>
    <cfRule type="cellIs" dxfId="3618" priority="292" stopIfTrue="1" operator="lessThan">
      <formula>0</formula>
    </cfRule>
  </conditionalFormatting>
  <conditionalFormatting sqref="C54">
    <cfRule type="expression" dxfId="3617" priority="289" stopIfTrue="1">
      <formula>AND(C54&lt;&gt;0, NOT(ISTEXT(B54)))</formula>
    </cfRule>
    <cfRule type="cellIs" dxfId="3616" priority="290" stopIfTrue="1" operator="lessThan">
      <formula>0</formula>
    </cfRule>
  </conditionalFormatting>
  <conditionalFormatting sqref="C55">
    <cfRule type="expression" dxfId="3615" priority="287" stopIfTrue="1">
      <formula>AND(C55&lt;&gt;0, NOT(ISTEXT(B55)))</formula>
    </cfRule>
    <cfRule type="cellIs" dxfId="3614" priority="288" stopIfTrue="1" operator="lessThan">
      <formula>0</formula>
    </cfRule>
  </conditionalFormatting>
  <conditionalFormatting sqref="Z6">
    <cfRule type="expression" dxfId="3613" priority="285" stopIfTrue="1">
      <formula>AND(Z6&lt;&gt;0, NOT(ISTEXT(Y6)))</formula>
    </cfRule>
    <cfRule type="cellIs" dxfId="3612" priority="286" stopIfTrue="1" operator="lessThan">
      <formula>0</formula>
    </cfRule>
  </conditionalFormatting>
  <conditionalFormatting sqref="Z16">
    <cfRule type="expression" dxfId="3611" priority="283" stopIfTrue="1">
      <formula>AND(Z16&lt;&gt;0, NOT(ISTEXT(Y16)))</formula>
    </cfRule>
    <cfRule type="cellIs" dxfId="3610" priority="284" stopIfTrue="1" operator="lessThan">
      <formula>0</formula>
    </cfRule>
  </conditionalFormatting>
  <conditionalFormatting sqref="Z7">
    <cfRule type="expression" dxfId="3609" priority="281" stopIfTrue="1">
      <formula>AND(Z7&lt;&gt;0, NOT(ISTEXT(Y7)))</formula>
    </cfRule>
    <cfRule type="cellIs" dxfId="3608" priority="282" stopIfTrue="1" operator="lessThan">
      <formula>0</formula>
    </cfRule>
  </conditionalFormatting>
  <conditionalFormatting sqref="Z8">
    <cfRule type="expression" dxfId="3607" priority="279" stopIfTrue="1">
      <formula>AND(Z8&lt;&gt;0, NOT(ISTEXT(Y8)))</formula>
    </cfRule>
    <cfRule type="cellIs" dxfId="3606" priority="280" stopIfTrue="1" operator="lessThan">
      <formula>0</formula>
    </cfRule>
  </conditionalFormatting>
  <conditionalFormatting sqref="Z9">
    <cfRule type="expression" dxfId="3605" priority="277" stopIfTrue="1">
      <formula>AND(Z9&lt;&gt;0, NOT(ISTEXT(Y9)))</formula>
    </cfRule>
    <cfRule type="cellIs" dxfId="3604" priority="278" stopIfTrue="1" operator="lessThan">
      <formula>0</formula>
    </cfRule>
  </conditionalFormatting>
  <conditionalFormatting sqref="Z10">
    <cfRule type="expression" dxfId="3603" priority="275" stopIfTrue="1">
      <formula>AND(Z10&lt;&gt;0, NOT(ISTEXT(Y10)))</formula>
    </cfRule>
    <cfRule type="cellIs" dxfId="3602" priority="276" stopIfTrue="1" operator="lessThan">
      <formula>0</formula>
    </cfRule>
  </conditionalFormatting>
  <conditionalFormatting sqref="Z11">
    <cfRule type="expression" dxfId="3601" priority="273" stopIfTrue="1">
      <formula>AND(Z11&lt;&gt;0, NOT(ISTEXT(Y11)))</formula>
    </cfRule>
    <cfRule type="cellIs" dxfId="3600" priority="274" stopIfTrue="1" operator="lessThan">
      <formula>0</formula>
    </cfRule>
  </conditionalFormatting>
  <conditionalFormatting sqref="Z12">
    <cfRule type="expression" dxfId="3599" priority="271" stopIfTrue="1">
      <formula>AND(Z12&lt;&gt;0, NOT(ISTEXT(Y12)))</formula>
    </cfRule>
    <cfRule type="cellIs" dxfId="3598" priority="272" stopIfTrue="1" operator="lessThan">
      <formula>0</formula>
    </cfRule>
  </conditionalFormatting>
  <conditionalFormatting sqref="Z13">
    <cfRule type="expression" dxfId="3597" priority="269" stopIfTrue="1">
      <formula>AND(Z13&lt;&gt;0, NOT(ISTEXT(Y13)))</formula>
    </cfRule>
    <cfRule type="cellIs" dxfId="3596" priority="270" stopIfTrue="1" operator="lessThan">
      <formula>0</formula>
    </cfRule>
  </conditionalFormatting>
  <conditionalFormatting sqref="Z14">
    <cfRule type="expression" dxfId="3595" priority="267" stopIfTrue="1">
      <formula>AND(Z14&lt;&gt;0, NOT(ISTEXT(Y14)))</formula>
    </cfRule>
    <cfRule type="cellIs" dxfId="3594" priority="268" stopIfTrue="1" operator="lessThan">
      <formula>0</formula>
    </cfRule>
  </conditionalFormatting>
  <conditionalFormatting sqref="Z15">
    <cfRule type="expression" dxfId="3593" priority="265" stopIfTrue="1">
      <formula>AND(Z15&lt;&gt;0, NOT(ISTEXT(Y15)))</formula>
    </cfRule>
    <cfRule type="cellIs" dxfId="3592" priority="266" stopIfTrue="1" operator="lessThan">
      <formula>0</formula>
    </cfRule>
  </conditionalFormatting>
  <conditionalFormatting sqref="Z23">
    <cfRule type="expression" dxfId="3591" priority="263" stopIfTrue="1">
      <formula>AND(Z23&lt;&gt;0, NOT(ISTEXT(Y23)))</formula>
    </cfRule>
    <cfRule type="cellIs" dxfId="3590" priority="264" stopIfTrue="1" operator="lessThan">
      <formula>0</formula>
    </cfRule>
  </conditionalFormatting>
  <conditionalFormatting sqref="Z44">
    <cfRule type="expression" dxfId="3589" priority="261" stopIfTrue="1">
      <formula>AND(Z44&lt;&gt;0, NOT(ISTEXT(Y44)))</formula>
    </cfRule>
    <cfRule type="cellIs" dxfId="3588" priority="262" stopIfTrue="1" operator="lessThan">
      <formula>0</formula>
    </cfRule>
  </conditionalFormatting>
  <conditionalFormatting sqref="Z24">
    <cfRule type="expression" dxfId="3587" priority="259" stopIfTrue="1">
      <formula>AND(Z24&lt;&gt;0, NOT(ISTEXT(Y24)))</formula>
    </cfRule>
    <cfRule type="cellIs" dxfId="3586" priority="260" stopIfTrue="1" operator="lessThan">
      <formula>0</formula>
    </cfRule>
  </conditionalFormatting>
  <conditionalFormatting sqref="Z25">
    <cfRule type="expression" dxfId="3585" priority="257" stopIfTrue="1">
      <formula>AND(Z25&lt;&gt;0, NOT(ISTEXT(Y25)))</formula>
    </cfRule>
    <cfRule type="cellIs" dxfId="3584" priority="258" stopIfTrue="1" operator="lessThan">
      <formula>0</formula>
    </cfRule>
  </conditionalFormatting>
  <conditionalFormatting sqref="Z26">
    <cfRule type="expression" dxfId="3583" priority="255" stopIfTrue="1">
      <formula>AND(Z26&lt;&gt;0, NOT(ISTEXT(Y26)))</formula>
    </cfRule>
    <cfRule type="cellIs" dxfId="3582" priority="256" stopIfTrue="1" operator="lessThan">
      <formula>0</formula>
    </cfRule>
  </conditionalFormatting>
  <conditionalFormatting sqref="Z27">
    <cfRule type="expression" dxfId="3581" priority="253" stopIfTrue="1">
      <formula>AND(Z27&lt;&gt;0, NOT(ISTEXT(Y27)))</formula>
    </cfRule>
    <cfRule type="cellIs" dxfId="3580" priority="254" stopIfTrue="1" operator="lessThan">
      <formula>0</formula>
    </cfRule>
  </conditionalFormatting>
  <conditionalFormatting sqref="Z28">
    <cfRule type="expression" dxfId="3579" priority="251" stopIfTrue="1">
      <formula>AND(Z28&lt;&gt;0, NOT(ISTEXT(Y28)))</formula>
    </cfRule>
    <cfRule type="cellIs" dxfId="3578" priority="252" stopIfTrue="1" operator="lessThan">
      <formula>0</formula>
    </cfRule>
  </conditionalFormatting>
  <conditionalFormatting sqref="Z29">
    <cfRule type="expression" dxfId="3577" priority="249" stopIfTrue="1">
      <formula>AND(Z29&lt;&gt;0, NOT(ISTEXT(Y29)))</formula>
    </cfRule>
    <cfRule type="cellIs" dxfId="3576" priority="250" stopIfTrue="1" operator="lessThan">
      <formula>0</formula>
    </cfRule>
  </conditionalFormatting>
  <conditionalFormatting sqref="Z30">
    <cfRule type="expression" dxfId="3575" priority="247" stopIfTrue="1">
      <formula>AND(Z30&lt;&gt;0, NOT(ISTEXT(Y30)))</formula>
    </cfRule>
    <cfRule type="cellIs" dxfId="3574" priority="248" stopIfTrue="1" operator="lessThan">
      <formula>0</formula>
    </cfRule>
  </conditionalFormatting>
  <conditionalFormatting sqref="Z31">
    <cfRule type="expression" dxfId="3573" priority="245" stopIfTrue="1">
      <formula>AND(Z31&lt;&gt;0, NOT(ISTEXT(Y31)))</formula>
    </cfRule>
    <cfRule type="cellIs" dxfId="3572" priority="246" stopIfTrue="1" operator="lessThan">
      <formula>0</formula>
    </cfRule>
  </conditionalFormatting>
  <conditionalFormatting sqref="Z32">
    <cfRule type="expression" dxfId="3571" priority="243" stopIfTrue="1">
      <formula>AND(Z32&lt;&gt;0, NOT(ISTEXT(Y32)))</formula>
    </cfRule>
    <cfRule type="cellIs" dxfId="3570" priority="244" stopIfTrue="1" operator="lessThan">
      <formula>0</formula>
    </cfRule>
  </conditionalFormatting>
  <conditionalFormatting sqref="Z33">
    <cfRule type="expression" dxfId="3569" priority="241" stopIfTrue="1">
      <formula>AND(Z33&lt;&gt;0, NOT(ISTEXT(Y33)))</formula>
    </cfRule>
    <cfRule type="cellIs" dxfId="3568" priority="242" stopIfTrue="1" operator="lessThan">
      <formula>0</formula>
    </cfRule>
  </conditionalFormatting>
  <conditionalFormatting sqref="Z34">
    <cfRule type="expression" dxfId="3567" priority="239" stopIfTrue="1">
      <formula>AND(Z34&lt;&gt;0, NOT(ISTEXT(Y34)))</formula>
    </cfRule>
    <cfRule type="cellIs" dxfId="3566" priority="240" stopIfTrue="1" operator="lessThan">
      <formula>0</formula>
    </cfRule>
  </conditionalFormatting>
  <conditionalFormatting sqref="Z35">
    <cfRule type="expression" dxfId="3565" priority="237" stopIfTrue="1">
      <formula>AND(Z35&lt;&gt;0, NOT(ISTEXT(Y35)))</formula>
    </cfRule>
    <cfRule type="cellIs" dxfId="3564" priority="238" stopIfTrue="1" operator="lessThan">
      <formula>0</formula>
    </cfRule>
  </conditionalFormatting>
  <conditionalFormatting sqref="Z36">
    <cfRule type="expression" dxfId="3563" priority="235" stopIfTrue="1">
      <formula>AND(Z36&lt;&gt;0, NOT(ISTEXT(Y36)))</formula>
    </cfRule>
    <cfRule type="cellIs" dxfId="3562" priority="236" stopIfTrue="1" operator="lessThan">
      <formula>0</formula>
    </cfRule>
  </conditionalFormatting>
  <conditionalFormatting sqref="Z37">
    <cfRule type="expression" dxfId="3561" priority="233" stopIfTrue="1">
      <formula>AND(Z37&lt;&gt;0, NOT(ISTEXT(Y37)))</formula>
    </cfRule>
    <cfRule type="cellIs" dxfId="3560" priority="234" stopIfTrue="1" operator="lessThan">
      <formula>0</formula>
    </cfRule>
  </conditionalFormatting>
  <conditionalFormatting sqref="Z38">
    <cfRule type="expression" dxfId="3559" priority="231" stopIfTrue="1">
      <formula>AND(Z38&lt;&gt;0, NOT(ISTEXT(Y38)))</formula>
    </cfRule>
    <cfRule type="cellIs" dxfId="3558" priority="232" stopIfTrue="1" operator="lessThan">
      <formula>0</formula>
    </cfRule>
  </conditionalFormatting>
  <conditionalFormatting sqref="Z39">
    <cfRule type="expression" dxfId="3557" priority="229" stopIfTrue="1">
      <formula>AND(Z39&lt;&gt;0, NOT(ISTEXT(Y39)))</formula>
    </cfRule>
    <cfRule type="cellIs" dxfId="3556" priority="230" stopIfTrue="1" operator="lessThan">
      <formula>0</formula>
    </cfRule>
  </conditionalFormatting>
  <conditionalFormatting sqref="Z40">
    <cfRule type="expression" dxfId="3555" priority="227" stopIfTrue="1">
      <formula>AND(Z40&lt;&gt;0, NOT(ISTEXT(Y40)))</formula>
    </cfRule>
    <cfRule type="cellIs" dxfId="3554" priority="228" stopIfTrue="1" operator="lessThan">
      <formula>0</formula>
    </cfRule>
  </conditionalFormatting>
  <conditionalFormatting sqref="Z41">
    <cfRule type="expression" dxfId="3553" priority="225" stopIfTrue="1">
      <formula>AND(Z41&lt;&gt;0, NOT(ISTEXT(Y41)))</formula>
    </cfRule>
    <cfRule type="cellIs" dxfId="3552" priority="226" stopIfTrue="1" operator="lessThan">
      <formula>0</formula>
    </cfRule>
  </conditionalFormatting>
  <conditionalFormatting sqref="Z42">
    <cfRule type="expression" dxfId="3551" priority="223" stopIfTrue="1">
      <formula>AND(Z42&lt;&gt;0, NOT(ISTEXT(Y42)))</formula>
    </cfRule>
    <cfRule type="cellIs" dxfId="3550" priority="224" stopIfTrue="1" operator="lessThan">
      <formula>0</formula>
    </cfRule>
  </conditionalFormatting>
  <conditionalFormatting sqref="Z43">
    <cfRule type="expression" dxfId="3549" priority="221" stopIfTrue="1">
      <formula>AND(Z43&lt;&gt;0, NOT(ISTEXT(Y43)))</formula>
    </cfRule>
    <cfRule type="cellIs" dxfId="3548" priority="222" stopIfTrue="1" operator="lessThan">
      <formula>0</formula>
    </cfRule>
  </conditionalFormatting>
  <conditionalFormatting sqref="N53:O54">
    <cfRule type="containsText" dxfId="3547" priority="219" stopIfTrue="1" operator="containsText" text="הפרש">
      <formula>NOT(ISERROR(SEARCH("הפרש",N53)))</formula>
    </cfRule>
  </conditionalFormatting>
  <conditionalFormatting sqref="Z23:Z44 Q64:Q110 Q7:Q45 J7:J53 D27:D39 C45:C56 J64:J110 D65:D86 C7:D17 Z6:AA16">
    <cfRule type="expression" dxfId="3546" priority="217" stopIfTrue="1">
      <formula>ISTEXT(C6)</formula>
    </cfRule>
  </conditionalFormatting>
  <conditionalFormatting sqref="C7">
    <cfRule type="expression" dxfId="3545" priority="215" stopIfTrue="1">
      <formula>AND(C7&lt;&gt;0, NOT(ISTEXT(B7)))</formula>
    </cfRule>
    <cfRule type="cellIs" dxfId="3544" priority="216" stopIfTrue="1" operator="lessThan">
      <formula>0</formula>
    </cfRule>
  </conditionalFormatting>
  <conditionalFormatting sqref="C8">
    <cfRule type="expression" dxfId="3543" priority="213" stopIfTrue="1">
      <formula>AND(C8&lt;&gt;0, NOT(ISTEXT(B8)))</formula>
    </cfRule>
    <cfRule type="cellIs" dxfId="3542" priority="214" stopIfTrue="1" operator="lessThan">
      <formula>0</formula>
    </cfRule>
  </conditionalFormatting>
  <conditionalFormatting sqref="C9">
    <cfRule type="expression" dxfId="3541" priority="211" stopIfTrue="1">
      <formula>AND(C9&lt;&gt;0, NOT(ISTEXT(B9)))</formula>
    </cfRule>
    <cfRule type="cellIs" dxfId="3540" priority="212" stopIfTrue="1" operator="lessThan">
      <formula>0</formula>
    </cfRule>
  </conditionalFormatting>
  <conditionalFormatting sqref="C10">
    <cfRule type="expression" dxfId="3539" priority="209" stopIfTrue="1">
      <formula>AND(C10&lt;&gt;0, NOT(ISTEXT(B10)))</formula>
    </cfRule>
    <cfRule type="cellIs" dxfId="3538" priority="210" stopIfTrue="1" operator="lessThan">
      <formula>0</formula>
    </cfRule>
  </conditionalFormatting>
  <conditionalFormatting sqref="C11">
    <cfRule type="expression" dxfId="3537" priority="207" stopIfTrue="1">
      <formula>AND(C11&lt;&gt;0, NOT(ISTEXT(B11)))</formula>
    </cfRule>
    <cfRule type="cellIs" dxfId="3536" priority="208" stopIfTrue="1" operator="lessThan">
      <formula>0</formula>
    </cfRule>
  </conditionalFormatting>
  <conditionalFormatting sqref="C12">
    <cfRule type="expression" dxfId="3535" priority="205" stopIfTrue="1">
      <formula>AND(C12&lt;&gt;0, NOT(ISTEXT(B12)))</formula>
    </cfRule>
    <cfRule type="cellIs" dxfId="3534" priority="206" stopIfTrue="1" operator="lessThan">
      <formula>0</formula>
    </cfRule>
  </conditionalFormatting>
  <conditionalFormatting sqref="C13">
    <cfRule type="expression" dxfId="3533" priority="203" stopIfTrue="1">
      <formula>AND(C13&lt;&gt;0, NOT(ISTEXT(B13)))</formula>
    </cfRule>
    <cfRule type="cellIs" dxfId="3532" priority="204" stopIfTrue="1" operator="lessThan">
      <formula>0</formula>
    </cfRule>
  </conditionalFormatting>
  <conditionalFormatting sqref="C14">
    <cfRule type="expression" dxfId="3531" priority="201" stopIfTrue="1">
      <formula>AND(C14&lt;&gt;0, NOT(ISTEXT(B14)))</formula>
    </cfRule>
    <cfRule type="cellIs" dxfId="3530" priority="202" stopIfTrue="1" operator="lessThan">
      <formula>0</formula>
    </cfRule>
  </conditionalFormatting>
  <conditionalFormatting sqref="C15">
    <cfRule type="expression" dxfId="3529" priority="199" stopIfTrue="1">
      <formula>AND(C15&lt;&gt;0, NOT(ISTEXT(B15)))</formula>
    </cfRule>
    <cfRule type="cellIs" dxfId="3528" priority="200" stopIfTrue="1" operator="lessThan">
      <formula>0</formula>
    </cfRule>
  </conditionalFormatting>
  <conditionalFormatting sqref="C16">
    <cfRule type="expression" dxfId="3527" priority="197" stopIfTrue="1">
      <formula>AND(C16&lt;&gt;0, NOT(ISTEXT(B16)))</formula>
    </cfRule>
    <cfRule type="cellIs" dxfId="3526" priority="198" stopIfTrue="1" operator="lessThan">
      <formula>0</formula>
    </cfRule>
  </conditionalFormatting>
  <conditionalFormatting sqref="C17">
    <cfRule type="expression" dxfId="3525" priority="195" stopIfTrue="1">
      <formula>AND(C17&lt;&gt;0, NOT(ISTEXT(B17)))</formula>
    </cfRule>
    <cfRule type="cellIs" dxfId="3524" priority="196" stopIfTrue="1" operator="lessThan">
      <formula>0</formula>
    </cfRule>
  </conditionalFormatting>
  <conditionalFormatting sqref="C7">
    <cfRule type="expression" dxfId="3523" priority="192" stopIfTrue="1">
      <formula>AND(C7&lt;&gt;0, NOT(ISTEXT(B7)))</formula>
    </cfRule>
    <cfRule type="cellIs" dxfId="3522" priority="193" stopIfTrue="1" operator="lessThan">
      <formula>0</formula>
    </cfRule>
  </conditionalFormatting>
  <conditionalFormatting sqref="C8">
    <cfRule type="expression" dxfId="3521" priority="190" stopIfTrue="1">
      <formula>AND(C8&lt;&gt;0, NOT(ISTEXT(B8)))</formula>
    </cfRule>
    <cfRule type="cellIs" dxfId="3520" priority="191" stopIfTrue="1" operator="lessThan">
      <formula>0</formula>
    </cfRule>
  </conditionalFormatting>
  <conditionalFormatting sqref="C9">
    <cfRule type="expression" dxfId="3519" priority="188" stopIfTrue="1">
      <formula>AND(C9&lt;&gt;0, NOT(ISTEXT(B9)))</formula>
    </cfRule>
    <cfRule type="cellIs" dxfId="3518" priority="189" stopIfTrue="1" operator="lessThan">
      <formula>0</formula>
    </cfRule>
  </conditionalFormatting>
  <conditionalFormatting sqref="C10">
    <cfRule type="expression" dxfId="3517" priority="186" stopIfTrue="1">
      <formula>AND(C10&lt;&gt;0, NOT(ISTEXT(B10)))</formula>
    </cfRule>
    <cfRule type="cellIs" dxfId="3516" priority="187" stopIfTrue="1" operator="lessThan">
      <formula>0</formula>
    </cfRule>
  </conditionalFormatting>
  <conditionalFormatting sqref="C11">
    <cfRule type="expression" dxfId="3515" priority="184" stopIfTrue="1">
      <formula>AND(C11&lt;&gt;0, NOT(ISTEXT(B11)))</formula>
    </cfRule>
    <cfRule type="cellIs" dxfId="3514" priority="185" stopIfTrue="1" operator="lessThan">
      <formula>0</formula>
    </cfRule>
  </conditionalFormatting>
  <conditionalFormatting sqref="C12">
    <cfRule type="expression" dxfId="3513" priority="182" stopIfTrue="1">
      <formula>AND(C12&lt;&gt;0, NOT(ISTEXT(B12)))</formula>
    </cfRule>
    <cfRule type="cellIs" dxfId="3512" priority="183" stopIfTrue="1" operator="lessThan">
      <formula>0</formula>
    </cfRule>
  </conditionalFormatting>
  <conditionalFormatting sqref="C13">
    <cfRule type="expression" dxfId="3511" priority="180" stopIfTrue="1">
      <formula>AND(C13&lt;&gt;0, NOT(ISTEXT(B13)))</formula>
    </cfRule>
    <cfRule type="cellIs" dxfId="3510" priority="181" stopIfTrue="1" operator="lessThan">
      <formula>0</formula>
    </cfRule>
  </conditionalFormatting>
  <conditionalFormatting sqref="C14">
    <cfRule type="expression" dxfId="3509" priority="178" stopIfTrue="1">
      <formula>AND(C14&lt;&gt;0, NOT(ISTEXT(B14)))</formula>
    </cfRule>
    <cfRule type="cellIs" dxfId="3508" priority="179" stopIfTrue="1" operator="lessThan">
      <formula>0</formula>
    </cfRule>
  </conditionalFormatting>
  <conditionalFormatting sqref="C15">
    <cfRule type="expression" dxfId="3507" priority="176" stopIfTrue="1">
      <formula>AND(C15&lt;&gt;0, NOT(ISTEXT(B15)))</formula>
    </cfRule>
    <cfRule type="cellIs" dxfId="3506" priority="177" stopIfTrue="1" operator="lessThan">
      <formula>0</formula>
    </cfRule>
  </conditionalFormatting>
  <conditionalFormatting sqref="C16">
    <cfRule type="expression" dxfId="3505" priority="174" stopIfTrue="1">
      <formula>AND(C16&lt;&gt;0, NOT(ISTEXT(B16)))</formula>
    </cfRule>
    <cfRule type="cellIs" dxfId="3504" priority="175" stopIfTrue="1" operator="lessThan">
      <formula>0</formula>
    </cfRule>
  </conditionalFormatting>
  <conditionalFormatting sqref="C17">
    <cfRule type="expression" dxfId="3503" priority="172" stopIfTrue="1">
      <formula>AND(C17&lt;&gt;0, NOT(ISTEXT(B17)))</formula>
    </cfRule>
    <cfRule type="cellIs" dxfId="3502" priority="173" stopIfTrue="1" operator="lessThan">
      <formula>0</formula>
    </cfRule>
  </conditionalFormatting>
  <conditionalFormatting sqref="C45">
    <cfRule type="expression" dxfId="3501" priority="169" stopIfTrue="1">
      <formula>AND(C45&lt;&gt;0, NOT(ISTEXT(B45)))</formula>
    </cfRule>
    <cfRule type="cellIs" dxfId="3500" priority="170" stopIfTrue="1" operator="lessThan">
      <formula>0</formula>
    </cfRule>
  </conditionalFormatting>
  <conditionalFormatting sqref="C56">
    <cfRule type="expression" dxfId="3499" priority="167" stopIfTrue="1">
      <formula>AND(C56&lt;&gt;0, NOT(ISTEXT(B56)))</formula>
    </cfRule>
    <cfRule type="cellIs" dxfId="3498" priority="168" stopIfTrue="1" operator="lessThan">
      <formula>0</formula>
    </cfRule>
  </conditionalFormatting>
  <conditionalFormatting sqref="C46">
    <cfRule type="expression" dxfId="3497" priority="165" stopIfTrue="1">
      <formula>AND(C46&lt;&gt;0, NOT(ISTEXT(B46)))</formula>
    </cfRule>
    <cfRule type="cellIs" dxfId="3496" priority="166" stopIfTrue="1" operator="lessThan">
      <formula>0</formula>
    </cfRule>
  </conditionalFormatting>
  <conditionalFormatting sqref="C47">
    <cfRule type="expression" dxfId="3495" priority="163" stopIfTrue="1">
      <formula>AND(C47&lt;&gt;0, NOT(ISTEXT(B47)))</formula>
    </cfRule>
    <cfRule type="cellIs" dxfId="3494" priority="164" stopIfTrue="1" operator="lessThan">
      <formula>0</formula>
    </cfRule>
  </conditionalFormatting>
  <conditionalFormatting sqref="C48">
    <cfRule type="expression" dxfId="3493" priority="161" stopIfTrue="1">
      <formula>AND(C48&lt;&gt;0, NOT(ISTEXT(B48)))</formula>
    </cfRule>
    <cfRule type="cellIs" dxfId="3492" priority="162" stopIfTrue="1" operator="lessThan">
      <formula>0</formula>
    </cfRule>
  </conditionalFormatting>
  <conditionalFormatting sqref="C49">
    <cfRule type="expression" dxfId="3491" priority="159" stopIfTrue="1">
      <formula>AND(C49&lt;&gt;0, NOT(ISTEXT(B49)))</formula>
    </cfRule>
    <cfRule type="cellIs" dxfId="3490" priority="160" stopIfTrue="1" operator="lessThan">
      <formula>0</formula>
    </cfRule>
  </conditionalFormatting>
  <conditionalFormatting sqref="C50">
    <cfRule type="expression" dxfId="3489" priority="157" stopIfTrue="1">
      <formula>AND(C50&lt;&gt;0, NOT(ISTEXT(B50)))</formula>
    </cfRule>
    <cfRule type="cellIs" dxfId="3488" priority="158" stopIfTrue="1" operator="lessThan">
      <formula>0</formula>
    </cfRule>
  </conditionalFormatting>
  <conditionalFormatting sqref="C51">
    <cfRule type="expression" dxfId="3487" priority="155" stopIfTrue="1">
      <formula>AND(C51&lt;&gt;0, NOT(ISTEXT(B51)))</formula>
    </cfRule>
    <cfRule type="cellIs" dxfId="3486" priority="156" stopIfTrue="1" operator="lessThan">
      <formula>0</formula>
    </cfRule>
  </conditionalFormatting>
  <conditionalFormatting sqref="C52">
    <cfRule type="expression" dxfId="3485" priority="153" stopIfTrue="1">
      <formula>AND(C52&lt;&gt;0, NOT(ISTEXT(B52)))</formula>
    </cfRule>
    <cfRule type="cellIs" dxfId="3484" priority="154" stopIfTrue="1" operator="lessThan">
      <formula>0</formula>
    </cfRule>
  </conditionalFormatting>
  <conditionalFormatting sqref="C53">
    <cfRule type="expression" dxfId="3483" priority="151" stopIfTrue="1">
      <formula>AND(C53&lt;&gt;0, NOT(ISTEXT(B53)))</formula>
    </cfRule>
    <cfRule type="cellIs" dxfId="3482" priority="152" stopIfTrue="1" operator="lessThan">
      <formula>0</formula>
    </cfRule>
  </conditionalFormatting>
  <conditionalFormatting sqref="C54">
    <cfRule type="expression" dxfId="3481" priority="149" stopIfTrue="1">
      <formula>AND(C54&lt;&gt;0, NOT(ISTEXT(B54)))</formula>
    </cfRule>
    <cfRule type="cellIs" dxfId="3480" priority="150" stopIfTrue="1" operator="lessThan">
      <formula>0</formula>
    </cfRule>
  </conditionalFormatting>
  <conditionalFormatting sqref="C55">
    <cfRule type="expression" dxfId="3479" priority="147" stopIfTrue="1">
      <formula>AND(C55&lt;&gt;0, NOT(ISTEXT(B55)))</formula>
    </cfRule>
    <cfRule type="cellIs" dxfId="3478" priority="148" stopIfTrue="1" operator="lessThan">
      <formula>0</formula>
    </cfRule>
  </conditionalFormatting>
  <conditionalFormatting sqref="Z6">
    <cfRule type="expression" dxfId="3477" priority="144" stopIfTrue="1">
      <formula>AND(Z6&lt;&gt;0, NOT(ISTEXT(Y6)))</formula>
    </cfRule>
    <cfRule type="cellIs" dxfId="3476" priority="145" stopIfTrue="1" operator="lessThan">
      <formula>0</formula>
    </cfRule>
  </conditionalFormatting>
  <conditionalFormatting sqref="Z16">
    <cfRule type="expression" dxfId="3475" priority="142" stopIfTrue="1">
      <formula>AND(Z16&lt;&gt;0, NOT(ISTEXT(Y16)))</formula>
    </cfRule>
    <cfRule type="cellIs" dxfId="3474" priority="143" stopIfTrue="1" operator="lessThan">
      <formula>0</formula>
    </cfRule>
  </conditionalFormatting>
  <conditionalFormatting sqref="Z7">
    <cfRule type="expression" dxfId="3473" priority="140" stopIfTrue="1">
      <formula>AND(Z7&lt;&gt;0, NOT(ISTEXT(Y7)))</formula>
    </cfRule>
    <cfRule type="cellIs" dxfId="3472" priority="141" stopIfTrue="1" operator="lessThan">
      <formula>0</formula>
    </cfRule>
  </conditionalFormatting>
  <conditionalFormatting sqref="Z8">
    <cfRule type="expression" dxfId="3471" priority="138" stopIfTrue="1">
      <formula>AND(Z8&lt;&gt;0, NOT(ISTEXT(Y8)))</formula>
    </cfRule>
    <cfRule type="cellIs" dxfId="3470" priority="139" stopIfTrue="1" operator="lessThan">
      <formula>0</formula>
    </cfRule>
  </conditionalFormatting>
  <conditionalFormatting sqref="Z9">
    <cfRule type="expression" dxfId="3469" priority="136" stopIfTrue="1">
      <formula>AND(Z9&lt;&gt;0, NOT(ISTEXT(Y9)))</formula>
    </cfRule>
    <cfRule type="cellIs" dxfId="3468" priority="137" stopIfTrue="1" operator="lessThan">
      <formula>0</formula>
    </cfRule>
  </conditionalFormatting>
  <conditionalFormatting sqref="Z10">
    <cfRule type="expression" dxfId="3467" priority="134" stopIfTrue="1">
      <formula>AND(Z10&lt;&gt;0, NOT(ISTEXT(Y10)))</formula>
    </cfRule>
    <cfRule type="cellIs" dxfId="3466" priority="135" stopIfTrue="1" operator="lessThan">
      <formula>0</formula>
    </cfRule>
  </conditionalFormatting>
  <conditionalFormatting sqref="Z11">
    <cfRule type="expression" dxfId="3465" priority="132" stopIfTrue="1">
      <formula>AND(Z11&lt;&gt;0, NOT(ISTEXT(Y11)))</formula>
    </cfRule>
    <cfRule type="cellIs" dxfId="3464" priority="133" stopIfTrue="1" operator="lessThan">
      <formula>0</formula>
    </cfRule>
  </conditionalFormatting>
  <conditionalFormatting sqref="Z12">
    <cfRule type="expression" dxfId="3463" priority="130" stopIfTrue="1">
      <formula>AND(Z12&lt;&gt;0, NOT(ISTEXT(Y12)))</formula>
    </cfRule>
    <cfRule type="cellIs" dxfId="3462" priority="131" stopIfTrue="1" operator="lessThan">
      <formula>0</formula>
    </cfRule>
  </conditionalFormatting>
  <conditionalFormatting sqref="Z13">
    <cfRule type="expression" dxfId="3461" priority="128" stopIfTrue="1">
      <formula>AND(Z13&lt;&gt;0, NOT(ISTEXT(Y13)))</formula>
    </cfRule>
    <cfRule type="cellIs" dxfId="3460" priority="129" stopIfTrue="1" operator="lessThan">
      <formula>0</formula>
    </cfRule>
  </conditionalFormatting>
  <conditionalFormatting sqref="Z14">
    <cfRule type="expression" dxfId="3459" priority="126" stopIfTrue="1">
      <formula>AND(Z14&lt;&gt;0, NOT(ISTEXT(Y14)))</formula>
    </cfRule>
    <cfRule type="cellIs" dxfId="3458" priority="127" stopIfTrue="1" operator="lessThan">
      <formula>0</formula>
    </cfRule>
  </conditionalFormatting>
  <conditionalFormatting sqref="Z15">
    <cfRule type="expression" dxfId="3457" priority="124" stopIfTrue="1">
      <formula>AND(Z15&lt;&gt;0, NOT(ISTEXT(Y15)))</formula>
    </cfRule>
    <cfRule type="cellIs" dxfId="3456" priority="125" stopIfTrue="1" operator="lessThan">
      <formula>0</formula>
    </cfRule>
  </conditionalFormatting>
  <conditionalFormatting sqref="Z23">
    <cfRule type="expression" dxfId="3455" priority="121" stopIfTrue="1">
      <formula>AND(Z23&lt;&gt;0, NOT(ISTEXT(Y23)))</formula>
    </cfRule>
    <cfRule type="cellIs" dxfId="3454" priority="122" stopIfTrue="1" operator="lessThan">
      <formula>0</formula>
    </cfRule>
  </conditionalFormatting>
  <conditionalFormatting sqref="Z44">
    <cfRule type="expression" dxfId="3453" priority="119" stopIfTrue="1">
      <formula>AND(Z44&lt;&gt;0, NOT(ISTEXT(Y44)))</formula>
    </cfRule>
    <cfRule type="cellIs" dxfId="3452" priority="120" stopIfTrue="1" operator="lessThan">
      <formula>0</formula>
    </cfRule>
  </conditionalFormatting>
  <conditionalFormatting sqref="Z24">
    <cfRule type="expression" dxfId="3451" priority="117" stopIfTrue="1">
      <formula>AND(Z24&lt;&gt;0, NOT(ISTEXT(Y24)))</formula>
    </cfRule>
    <cfRule type="cellIs" dxfId="3450" priority="118" stopIfTrue="1" operator="lessThan">
      <formula>0</formula>
    </cfRule>
  </conditionalFormatting>
  <conditionalFormatting sqref="Z25">
    <cfRule type="expression" dxfId="3449" priority="115" stopIfTrue="1">
      <formula>AND(Z25&lt;&gt;0, NOT(ISTEXT(Y25)))</formula>
    </cfRule>
    <cfRule type="cellIs" dxfId="3448" priority="116" stopIfTrue="1" operator="lessThan">
      <formula>0</formula>
    </cfRule>
  </conditionalFormatting>
  <conditionalFormatting sqref="Z26">
    <cfRule type="expression" dxfId="3447" priority="113" stopIfTrue="1">
      <formula>AND(Z26&lt;&gt;0, NOT(ISTEXT(Y26)))</formula>
    </cfRule>
    <cfRule type="cellIs" dxfId="3446" priority="114" stopIfTrue="1" operator="lessThan">
      <formula>0</formula>
    </cfRule>
  </conditionalFormatting>
  <conditionalFormatting sqref="Z27">
    <cfRule type="expression" dxfId="3445" priority="111" stopIfTrue="1">
      <formula>AND(Z27&lt;&gt;0, NOT(ISTEXT(Y27)))</formula>
    </cfRule>
    <cfRule type="cellIs" dxfId="3444" priority="112" stopIfTrue="1" operator="lessThan">
      <formula>0</formula>
    </cfRule>
  </conditionalFormatting>
  <conditionalFormatting sqref="Z28">
    <cfRule type="expression" dxfId="3443" priority="109" stopIfTrue="1">
      <formula>AND(Z28&lt;&gt;0, NOT(ISTEXT(Y28)))</formula>
    </cfRule>
    <cfRule type="cellIs" dxfId="3442" priority="110" stopIfTrue="1" operator="lessThan">
      <formula>0</formula>
    </cfRule>
  </conditionalFormatting>
  <conditionalFormatting sqref="Z29">
    <cfRule type="expression" dxfId="3441" priority="107" stopIfTrue="1">
      <formula>AND(Z29&lt;&gt;0, NOT(ISTEXT(Y29)))</formula>
    </cfRule>
    <cfRule type="cellIs" dxfId="3440" priority="108" stopIfTrue="1" operator="lessThan">
      <formula>0</formula>
    </cfRule>
  </conditionalFormatting>
  <conditionalFormatting sqref="Z30">
    <cfRule type="expression" dxfId="3439" priority="105" stopIfTrue="1">
      <formula>AND(Z30&lt;&gt;0, NOT(ISTEXT(Y30)))</formula>
    </cfRule>
    <cfRule type="cellIs" dxfId="3438" priority="106" stopIfTrue="1" operator="lessThan">
      <formula>0</formula>
    </cfRule>
  </conditionalFormatting>
  <conditionalFormatting sqref="Z31">
    <cfRule type="expression" dxfId="3437" priority="103" stopIfTrue="1">
      <formula>AND(Z31&lt;&gt;0, NOT(ISTEXT(Y31)))</formula>
    </cfRule>
    <cfRule type="cellIs" dxfId="3436" priority="104" stopIfTrue="1" operator="lessThan">
      <formula>0</formula>
    </cfRule>
  </conditionalFormatting>
  <conditionalFormatting sqref="Z32">
    <cfRule type="expression" dxfId="3435" priority="101" stopIfTrue="1">
      <formula>AND(Z32&lt;&gt;0, NOT(ISTEXT(Y32)))</formula>
    </cfRule>
    <cfRule type="cellIs" dxfId="3434" priority="102" stopIfTrue="1" operator="lessThan">
      <formula>0</formula>
    </cfRule>
  </conditionalFormatting>
  <conditionalFormatting sqref="Z33">
    <cfRule type="expression" dxfId="3433" priority="99" stopIfTrue="1">
      <formula>AND(Z33&lt;&gt;0, NOT(ISTEXT(Y33)))</formula>
    </cfRule>
    <cfRule type="cellIs" dxfId="3432" priority="100" stopIfTrue="1" operator="lessThan">
      <formula>0</formula>
    </cfRule>
  </conditionalFormatting>
  <conditionalFormatting sqref="Z34">
    <cfRule type="expression" dxfId="3431" priority="97" stopIfTrue="1">
      <formula>AND(Z34&lt;&gt;0, NOT(ISTEXT(Y34)))</formula>
    </cfRule>
    <cfRule type="cellIs" dxfId="3430" priority="98" stopIfTrue="1" operator="lessThan">
      <formula>0</formula>
    </cfRule>
  </conditionalFormatting>
  <conditionalFormatting sqref="Z35">
    <cfRule type="expression" dxfId="3429" priority="95" stopIfTrue="1">
      <formula>AND(Z35&lt;&gt;0, NOT(ISTEXT(Y35)))</formula>
    </cfRule>
    <cfRule type="cellIs" dxfId="3428" priority="96" stopIfTrue="1" operator="lessThan">
      <formula>0</formula>
    </cfRule>
  </conditionalFormatting>
  <conditionalFormatting sqref="Z36">
    <cfRule type="expression" dxfId="3427" priority="93" stopIfTrue="1">
      <formula>AND(Z36&lt;&gt;0, NOT(ISTEXT(Y36)))</formula>
    </cfRule>
    <cfRule type="cellIs" dxfId="3426" priority="94" stopIfTrue="1" operator="lessThan">
      <formula>0</formula>
    </cfRule>
  </conditionalFormatting>
  <conditionalFormatting sqref="Z37">
    <cfRule type="expression" dxfId="3425" priority="91" stopIfTrue="1">
      <formula>AND(Z37&lt;&gt;0, NOT(ISTEXT(Y37)))</formula>
    </cfRule>
    <cfRule type="cellIs" dxfId="3424" priority="92" stopIfTrue="1" operator="lessThan">
      <formula>0</formula>
    </cfRule>
  </conditionalFormatting>
  <conditionalFormatting sqref="Z38">
    <cfRule type="expression" dxfId="3423" priority="89" stopIfTrue="1">
      <formula>AND(Z38&lt;&gt;0, NOT(ISTEXT(Y38)))</formula>
    </cfRule>
    <cfRule type="cellIs" dxfId="3422" priority="90" stopIfTrue="1" operator="lessThan">
      <formula>0</formula>
    </cfRule>
  </conditionalFormatting>
  <conditionalFormatting sqref="Z39">
    <cfRule type="expression" dxfId="3421" priority="87" stopIfTrue="1">
      <formula>AND(Z39&lt;&gt;0, NOT(ISTEXT(Y39)))</formula>
    </cfRule>
    <cfRule type="cellIs" dxfId="3420" priority="88" stopIfTrue="1" operator="lessThan">
      <formula>0</formula>
    </cfRule>
  </conditionalFormatting>
  <conditionalFormatting sqref="Z40">
    <cfRule type="expression" dxfId="3419" priority="85" stopIfTrue="1">
      <formula>AND(Z40&lt;&gt;0, NOT(ISTEXT(Y40)))</formula>
    </cfRule>
    <cfRule type="cellIs" dxfId="3418" priority="86" stopIfTrue="1" operator="lessThan">
      <formula>0</formula>
    </cfRule>
  </conditionalFormatting>
  <conditionalFormatting sqref="Z41">
    <cfRule type="expression" dxfId="3417" priority="83" stopIfTrue="1">
      <formula>AND(Z41&lt;&gt;0, NOT(ISTEXT(Y41)))</formula>
    </cfRule>
    <cfRule type="cellIs" dxfId="3416" priority="84" stopIfTrue="1" operator="lessThan">
      <formula>0</formula>
    </cfRule>
  </conditionalFormatting>
  <conditionalFormatting sqref="Z42">
    <cfRule type="expression" dxfId="3415" priority="81" stopIfTrue="1">
      <formula>AND(Z42&lt;&gt;0, NOT(ISTEXT(Y42)))</formula>
    </cfRule>
    <cfRule type="cellIs" dxfId="3414" priority="82" stopIfTrue="1" operator="lessThan">
      <formula>0</formula>
    </cfRule>
  </conditionalFormatting>
  <conditionalFormatting sqref="Z43">
    <cfRule type="expression" dxfId="3413" priority="79" stopIfTrue="1">
      <formula>AND(Z43&lt;&gt;0, NOT(ISTEXT(Y43)))</formula>
    </cfRule>
    <cfRule type="cellIs" dxfId="3412" priority="80" stopIfTrue="1" operator="lessThan">
      <formula>0</formula>
    </cfRule>
  </conditionalFormatting>
  <conditionalFormatting sqref="D7:D17 D27:D39 AA6:AA16">
    <cfRule type="expression" dxfId="3411" priority="71" stopIfTrue="1">
      <formula>AND(D6&lt;&gt;0,NOT(ISTEXT(B6)))</formula>
    </cfRule>
  </conditionalFormatting>
  <conditionalFormatting sqref="C65">
    <cfRule type="expression" dxfId="3410" priority="67" stopIfTrue="1">
      <formula>AND(C65&lt;&gt;0, NOT(ISTEXT(B65)))</formula>
    </cfRule>
    <cfRule type="cellIs" dxfId="3409" priority="68" stopIfTrue="1" operator="lessThan">
      <formula>0</formula>
    </cfRule>
  </conditionalFormatting>
  <conditionalFormatting sqref="C77">
    <cfRule type="expression" dxfId="3408" priority="65" stopIfTrue="1">
      <formula>AND(C77&lt;&gt;0, NOT(ISTEXT(B77)))</formula>
    </cfRule>
    <cfRule type="cellIs" dxfId="3407" priority="66" stopIfTrue="1" operator="lessThan">
      <formula>0</formula>
    </cfRule>
  </conditionalFormatting>
  <conditionalFormatting sqref="C66">
    <cfRule type="expression" dxfId="3406" priority="63" stopIfTrue="1">
      <formula>AND(C66&lt;&gt;0, NOT(ISTEXT(B66)))</formula>
    </cfRule>
    <cfRule type="cellIs" dxfId="3405" priority="64" stopIfTrue="1" operator="lessThan">
      <formula>0</formula>
    </cfRule>
  </conditionalFormatting>
  <conditionalFormatting sqref="C67">
    <cfRule type="expression" dxfId="3404" priority="61" stopIfTrue="1">
      <formula>AND(C67&lt;&gt;0, NOT(ISTEXT(B67)))</formula>
    </cfRule>
    <cfRule type="cellIs" dxfId="3403" priority="62" stopIfTrue="1" operator="lessThan">
      <formula>0</formula>
    </cfRule>
  </conditionalFormatting>
  <conditionalFormatting sqref="C68">
    <cfRule type="expression" dxfId="3402" priority="59" stopIfTrue="1">
      <formula>AND(C68&lt;&gt;0, NOT(ISTEXT(B68)))</formula>
    </cfRule>
    <cfRule type="cellIs" dxfId="3401" priority="60" stopIfTrue="1" operator="lessThan">
      <formula>0</formula>
    </cfRule>
  </conditionalFormatting>
  <conditionalFormatting sqref="C69">
    <cfRule type="expression" dxfId="3400" priority="57" stopIfTrue="1">
      <formula>AND(C69&lt;&gt;0, NOT(ISTEXT(B69)))</formula>
    </cfRule>
    <cfRule type="cellIs" dxfId="3399" priority="58" stopIfTrue="1" operator="lessThan">
      <formula>0</formula>
    </cfRule>
  </conditionalFormatting>
  <conditionalFormatting sqref="C70">
    <cfRule type="expression" dxfId="3398" priority="55" stopIfTrue="1">
      <formula>AND(C70&lt;&gt;0, NOT(ISTEXT(B70)))</formula>
    </cfRule>
    <cfRule type="cellIs" dxfId="3397" priority="56" stopIfTrue="1" operator="lessThan">
      <formula>0</formula>
    </cfRule>
  </conditionalFormatting>
  <conditionalFormatting sqref="C71">
    <cfRule type="expression" dxfId="3396" priority="53" stopIfTrue="1">
      <formula>AND(C71&lt;&gt;0, NOT(ISTEXT(B71)))</formula>
    </cfRule>
    <cfRule type="cellIs" dxfId="3395" priority="54" stopIfTrue="1" operator="lessThan">
      <formula>0</formula>
    </cfRule>
  </conditionalFormatting>
  <conditionalFormatting sqref="C72">
    <cfRule type="expression" dxfId="3394" priority="51" stopIfTrue="1">
      <formula>AND(C72&lt;&gt;0, NOT(ISTEXT(B72)))</formula>
    </cfRule>
    <cfRule type="cellIs" dxfId="3393" priority="52" stopIfTrue="1" operator="lessThan">
      <formula>0</formula>
    </cfRule>
  </conditionalFormatting>
  <conditionalFormatting sqref="C73">
    <cfRule type="expression" dxfId="3392" priority="49" stopIfTrue="1">
      <formula>AND(C73&lt;&gt;0, NOT(ISTEXT(B73)))</formula>
    </cfRule>
    <cfRule type="cellIs" dxfId="3391" priority="50" stopIfTrue="1" operator="lessThan">
      <formula>0</formula>
    </cfRule>
  </conditionalFormatting>
  <conditionalFormatting sqref="C74">
    <cfRule type="expression" dxfId="3390" priority="47" stopIfTrue="1">
      <formula>AND(C74&lt;&gt;0, NOT(ISTEXT(B74)))</formula>
    </cfRule>
    <cfRule type="cellIs" dxfId="3389" priority="48" stopIfTrue="1" operator="lessThan">
      <formula>0</formula>
    </cfRule>
  </conditionalFormatting>
  <conditionalFormatting sqref="C75">
    <cfRule type="expression" dxfId="3388" priority="45" stopIfTrue="1">
      <formula>AND(C75&lt;&gt;0, NOT(ISTEXT(B75)))</formula>
    </cfRule>
    <cfRule type="cellIs" dxfId="3387" priority="46" stopIfTrue="1" operator="lessThan">
      <formula>0</formula>
    </cfRule>
  </conditionalFormatting>
  <conditionalFormatting sqref="C76">
    <cfRule type="expression" dxfId="3386" priority="43" stopIfTrue="1">
      <formula>AND(C76&lt;&gt;0, NOT(ISTEXT(B76)))</formula>
    </cfRule>
    <cfRule type="cellIs" dxfId="3385" priority="44" stopIfTrue="1" operator="lessThan">
      <formula>0</formula>
    </cfRule>
  </conditionalFormatting>
  <conditionalFormatting sqref="D65:D77">
    <cfRule type="expression" dxfId="3384" priority="41" stopIfTrue="1">
      <formula>AND(D65&lt;&gt;0,NOT(ISTEXT(B65)))</formula>
    </cfRule>
  </conditionalFormatting>
  <conditionalFormatting sqref="C86">
    <cfRule type="expression" dxfId="3383" priority="37" stopIfTrue="1">
      <formula>AND(C86&lt;&gt;0, NOT(ISTEXT(B86)))</formula>
    </cfRule>
    <cfRule type="cellIs" dxfId="3382" priority="38" stopIfTrue="1" operator="lessThan">
      <formula>0</formula>
    </cfRule>
  </conditionalFormatting>
  <conditionalFormatting sqref="C78">
    <cfRule type="expression" dxfId="3381" priority="35" stopIfTrue="1">
      <formula>AND(C78&lt;&gt;0, NOT(ISTEXT(B78)))</formula>
    </cfRule>
    <cfRule type="cellIs" dxfId="3380" priority="36" stopIfTrue="1" operator="lessThan">
      <formula>0</formula>
    </cfRule>
  </conditionalFormatting>
  <conditionalFormatting sqref="C79">
    <cfRule type="expression" dxfId="3379" priority="33" stopIfTrue="1">
      <formula>AND(C79&lt;&gt;0, NOT(ISTEXT(B79)))</formula>
    </cfRule>
    <cfRule type="cellIs" dxfId="3378" priority="34" stopIfTrue="1" operator="lessThan">
      <formula>0</formula>
    </cfRule>
  </conditionalFormatting>
  <conditionalFormatting sqref="C80">
    <cfRule type="expression" dxfId="3377" priority="31" stopIfTrue="1">
      <formula>AND(C80&lt;&gt;0, NOT(ISTEXT(B80)))</formula>
    </cfRule>
    <cfRule type="cellIs" dxfId="3376" priority="32" stopIfTrue="1" operator="lessThan">
      <formula>0</formula>
    </cfRule>
  </conditionalFormatting>
  <conditionalFormatting sqref="C81">
    <cfRule type="expression" dxfId="3375" priority="29" stopIfTrue="1">
      <formula>AND(C81&lt;&gt;0, NOT(ISTEXT(B81)))</formula>
    </cfRule>
    <cfRule type="cellIs" dxfId="3374" priority="30" stopIfTrue="1" operator="lessThan">
      <formula>0</formula>
    </cfRule>
  </conditionalFormatting>
  <conditionalFormatting sqref="C82">
    <cfRule type="expression" dxfId="3373" priority="27" stopIfTrue="1">
      <formula>AND(C82&lt;&gt;0, NOT(ISTEXT(B82)))</formula>
    </cfRule>
    <cfRule type="cellIs" dxfId="3372" priority="28" stopIfTrue="1" operator="lessThan">
      <formula>0</formula>
    </cfRule>
  </conditionalFormatting>
  <conditionalFormatting sqref="C83">
    <cfRule type="expression" dxfId="3371" priority="25" stopIfTrue="1">
      <formula>AND(C83&lt;&gt;0, NOT(ISTEXT(B83)))</formula>
    </cfRule>
    <cfRule type="cellIs" dxfId="3370" priority="26" stopIfTrue="1" operator="lessThan">
      <formula>0</formula>
    </cfRule>
  </conditionalFormatting>
  <conditionalFormatting sqref="C84">
    <cfRule type="expression" dxfId="3369" priority="23" stopIfTrue="1">
      <formula>AND(C84&lt;&gt;0, NOT(ISTEXT(B84)))</formula>
    </cfRule>
    <cfRule type="cellIs" dxfId="3368" priority="24" stopIfTrue="1" operator="lessThan">
      <formula>0</formula>
    </cfRule>
  </conditionalFormatting>
  <conditionalFormatting sqref="C85">
    <cfRule type="expression" dxfId="3367" priority="21" stopIfTrue="1">
      <formula>AND(C85&lt;&gt;0, NOT(ISTEXT(B85)))</formula>
    </cfRule>
    <cfRule type="cellIs" dxfId="3366" priority="22" stopIfTrue="1" operator="lessThan">
      <formula>0</formula>
    </cfRule>
  </conditionalFormatting>
  <conditionalFormatting sqref="D78:D86">
    <cfRule type="expression" dxfId="3365" priority="19" stopIfTrue="1">
      <formula>AND(D78&lt;&gt;0,NOT(ISTEXT(B78)))</formula>
    </cfRule>
  </conditionalFormatting>
  <conditionalFormatting sqref="D7:D17 D27:D39 D65:D86">
    <cfRule type="cellIs" dxfId="3364" priority="16" stopIfTrue="1" operator="greaterThan">
      <formula>C7</formula>
    </cfRule>
  </conditionalFormatting>
  <conditionalFormatting sqref="AE23:AE44">
    <cfRule type="expression" dxfId="3363" priority="7" stopIfTrue="1">
      <formula>((Z23*(12-$AR$19))-AE23)/(Z23*(12-$AR$19)+0.00001)&gt;0.9</formula>
    </cfRule>
    <cfRule type="expression" dxfId="3362" priority="8" stopIfTrue="1">
      <formula>((Z23*(12-$AR$19))-AE23)/(Z23*(12-$AR$19)+0.00001)&gt;0.8</formula>
    </cfRule>
    <cfRule type="expression" dxfId="3361" priority="9" stopIfTrue="1">
      <formula>((Z23*(12-$AR$19))-AE23)/(Z23*(12-$AR$19)+0.00001)&gt;0.7</formula>
    </cfRule>
    <cfRule type="expression" dxfId="3360" priority="10" stopIfTrue="1">
      <formula>((Z23*(12-$AR$19))-AE23)/(Z23*(12-$AR$19)+0.00001)&gt;0.6</formula>
    </cfRule>
    <cfRule type="expression" dxfId="3359" priority="11" stopIfTrue="1">
      <formula>((Z23*(12-$AR$19))-AE23)/(Z23*(12-$AR$19)+0.00001)&gt;0.5</formula>
    </cfRule>
    <cfRule type="expression" dxfId="3358" priority="12" stopIfTrue="1">
      <formula>((Z23*(12-$AR$19))-AE23)/(Z23*(12-$AR$19)+0.00001)&gt;0.4</formula>
    </cfRule>
    <cfRule type="expression" dxfId="3357" priority="13" stopIfTrue="1">
      <formula>((Z23*(12-$AR$19))-AE23)/(Z23*(12-$AR$19)+0.00001)&gt;0.3</formula>
    </cfRule>
    <cfRule type="expression" dxfId="3356" priority="377" stopIfTrue="1">
      <formula>((Z23*(12-$AR$19))-AE23)/(Z23*(12-$AR$19)+0.00001)&gt;0.2</formula>
    </cfRule>
  </conditionalFormatting>
  <conditionalFormatting sqref="N55:N56">
    <cfRule type="containsText" dxfId="3355" priority="4" stopIfTrue="1" operator="containsText" text="No">
      <formula>NOT(ISERROR(SEARCH("No",N55)))</formula>
    </cfRule>
  </conditionalFormatting>
  <conditionalFormatting sqref="AE15:AE20">
    <cfRule type="containsText" dxfId="3354" priority="3" stopIfTrue="1" operator="containsText" text="Over">
      <formula>NOT(ISERROR(SEARCH("Over",AE15)))</formula>
    </cfRule>
  </conditionalFormatting>
  <conditionalFormatting sqref="B20:D20">
    <cfRule type="containsText" dxfId="3353" priority="2" stopIfTrue="1" operator="containsText" text="Check">
      <formula>NOT(ISERROR(SEARCH("Check",B20)))</formula>
    </cfRule>
  </conditionalFormatting>
  <conditionalFormatting sqref="B42:D42">
    <cfRule type="containsText" dxfId="3352" priority="1" stopIfTrue="1" operator="containsText" text="Check">
      <formula>NOT(ISERROR(SEARCH("Check",B42)))</formula>
    </cfRule>
  </conditionalFormatting>
  <dataValidations count="14">
    <dataValidation type="custom" showInputMessage="1" showErrorMessage="1" errorTitle="שגיאה" error="חובה למלא את שם ההוצאה לפני מילוי הסכום." sqref="J64:J110 Q7:Q45 J7:J53 Q64:Q110">
      <formula1>ISTEXT(I7)</formula1>
    </dataValidation>
    <dataValidation type="custom" showInputMessage="1" showErrorMessage="1" errorTitle="שגיאה" error="חובה לתת שם לכל סעיף שנרשם בו תקציב" sqref="C7:C17 C27:C39 C45:C56 Z6:Z16 Z23:Z44 C65:C86">
      <formula1>ISTEXT(B6)</formula1>
    </dataValidation>
    <dataValidation type="custom" showInputMessage="1" showErrorMessage="1" errorTitle="שגיאה" error="חובה לתת שם לכל סעיף שנרשם בו ביצוע" sqref="D65:D86 D7:D17 D27:D39 AA6:AA16 AC17">
      <formula1>ISTEXT(B6)</formula1>
    </dataValidation>
    <dataValidation type="whole" allowBlank="1" showInputMessage="1" showErrorMessage="1" errorTitle="ערך לא חוקי" error="התא יכול לקבל 0 או 1. ערכים אחרים אינם חוקיים." prompt="שים לב!_x000a_שינוי תא זה עלול להשפיע על התקציב המתוכנן לשוטפות בחודש הבא." sqref="AI23:AI44">
      <formula1>0</formula1>
      <formula2>1</formula2>
    </dataValidation>
    <dataValidation type="list" errorStyle="information" allowBlank="1" showInputMessage="1" sqref="K64:K110 U64:U110 U7:U45 E7:E17 E27:E39 E65:E86 K7:K53 AB6:AB16">
      <formula1>$AT$5:$AT$9</formula1>
    </dataValidation>
    <dataValidation type="whole" allowBlank="1" showInputMessage="1" showErrorMessage="1" error="מס' יום לא חוקי" sqref="O7:O45 H7:H53 H64:H110 O64:O110">
      <formula1>1</formula1>
      <formula2>31</formula2>
    </dataValidation>
    <dataValidation type="list" allowBlank="1" showInputMessage="1" showErrorMessage="1" error="חובה לבחור בהתפריט הנפתח" sqref="P7:P45 P64:P110">
      <formula1>$Y$23:$Y$44</formula1>
    </dataValidation>
    <dataValidation type="list" allowBlank="1" showInputMessage="1" showErrorMessage="1" error="חובה לבחור כן/לא." sqref="N55:N56">
      <formula1>$AP$55:$AP$56</formula1>
    </dataValidation>
    <dataValidation type="list" allowBlank="1" showInputMessage="1" showErrorMessage="1" error="חובה לבחור מהתפריט הנפתח" sqref="I7:I53 I64:I110">
      <formula1>$B$45:$B$56</formula1>
    </dataValidation>
    <dataValidation allowBlank="1" showInputMessage="1" showErrorMessage="1" prompt="שים לב! שינוי תא זה יבטל את החישוב האוטומטי לסה&quot;כ ביצוע הוצאות קבועות לחודש הנוכחי. " sqref="D18"/>
    <dataValidation allowBlank="1" showInputMessage="1" showErrorMessage="1" prompt="שים לב! שינוי תא זה יבטל את החישוב האוטומטי לסה&quot;כ ביצוע החזרי החובות לחודש הנוכחי. " sqref="D40"/>
    <dataValidation type="custom" errorStyle="warning" allowBlank="1" showInputMessage="1" showErrorMessage="1" errorTitle="סעיף כבר בשימוש" error="שם סעיף זה כבר בשימוש בקטגוריה זו או בקטגוריה אחרת. יתכן גם שנרשמה עליו שם כבר הוצאה בחודש זה." sqref="Y23:Y44 B45:B56 B27:B39 B65:B86 B7:B17">
      <formula1>(COUNTIF($B$7:$B$17,B7)+COUNTIF($B$27:$B$39,B7)+COUNTIF($B$45:$B$56,B7)+COUNTIF($I$7:$I$53,B7)+COUNTIF($Y$23:$Y$44,B7)+COUNTIF($P$7:$P$45,B7))&lt;=1</formula1>
    </dataValidation>
    <dataValidation type="list" allowBlank="1" showInputMessage="1" showErrorMessage="1" error="חובה לבחור מהתפריט הנפתח" sqref="N58">
      <formula1>$AQ$55:$AQ$56</formula1>
    </dataValidation>
    <dataValidation type="custom" errorStyle="information" allowBlank="1" showInputMessage="1" showErrorMessage="1" error="אתם מזינים עיסקת תשלומים. _x000a_חובה למלא את עמודות &quot;מספר התשלום&quot; ו- &quot;מתוך&quot; כדי שהתשלומים הבאים יוכנסו אוטומטית." prompt="שנה תא זה רק בהזנת עיסקת תשלומים._x000a_בחודש הראשון - הזן את סכום העיסקה הכולל._x000a_בחודשי התשלום הבאים - יוכנס אוטומטית 0 (יוצג כ &quot;-&quot;)." sqref="R7:R45 R64:R110">
      <formula1>R7=Q7</formula1>
    </dataValidation>
  </dataValidations>
  <hyperlinks>
    <hyperlink ref="Q3" location="E!Y21:Z46" tooltip="To Summary Table" display="List Periodic Expenses"/>
    <hyperlink ref="I3" location="E!B44:C58" tooltip="To Summary Table" display="List Everyday Expenses"/>
  </hyperlink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FF00"/>
    <outlinePr summaryBelow="0" summaryRight="0"/>
  </sheetPr>
  <dimension ref="A1:CN152"/>
  <sheetViews>
    <sheetView showZeros="0" zoomScale="75" zoomScaleNormal="75" workbookViewId="0"/>
  </sheetViews>
  <sheetFormatPr defaultColWidth="9.125" defaultRowHeight="14.25" outlineLevelRow="1" outlineLevelCol="1"/>
  <cols>
    <col min="1" max="1" width="0.625" style="2" customWidth="1"/>
    <col min="2" max="2" width="22.125" style="2" customWidth="1"/>
    <col min="3" max="3" width="8.125" style="2" customWidth="1"/>
    <col min="4" max="4" width="9.75" style="2" customWidth="1" collapsed="1"/>
    <col min="5" max="5" width="12.25" style="2" hidden="1" customWidth="1" outlineLevel="1"/>
    <col min="6" max="6" width="20.75" style="2" hidden="1" customWidth="1" outlineLevel="1"/>
    <col min="7" max="7" width="1.125" style="2" customWidth="1"/>
    <col min="8" max="8" width="5.375" style="2" customWidth="1"/>
    <col min="9" max="9" width="22.125" style="2" customWidth="1"/>
    <col min="10" max="10" width="8.125" style="2" customWidth="1" collapsed="1"/>
    <col min="11" max="11" width="12.25" style="2" hidden="1" customWidth="1" outlineLevel="1"/>
    <col min="12" max="12" width="20.75" style="2" hidden="1" customWidth="1" outlineLevel="1"/>
    <col min="13" max="13" width="10.75" style="2" customWidth="1" collapsed="1"/>
    <col min="14" max="14" width="4.875" style="2" customWidth="1"/>
    <col min="15" max="15" width="5" style="3" customWidth="1"/>
    <col min="16" max="16" width="22.125" style="2" customWidth="1"/>
    <col min="17" max="17" width="10.875" style="2" customWidth="1"/>
    <col min="18" max="18" width="9.875" style="2" bestFit="1" customWidth="1"/>
    <col min="19" max="19" width="4.625" style="26" customWidth="1" collapsed="1"/>
    <col min="20" max="20" width="3.75" style="26" customWidth="1" collapsed="1"/>
    <col min="21" max="21" width="12.25" style="26" hidden="1" customWidth="1" outlineLevel="1"/>
    <col min="22" max="22" width="20.75" style="26" hidden="1" customWidth="1" outlineLevel="1"/>
    <col min="23" max="23" width="10.75" style="2" customWidth="1"/>
    <col min="24" max="24" width="1.125" style="2" customWidth="1"/>
    <col min="25" max="25" width="24.125" style="2" customWidth="1"/>
    <col min="26" max="26" width="9.875" style="2" bestFit="1" customWidth="1"/>
    <col min="27" max="27" width="10.875" style="2" bestFit="1" customWidth="1" collapsed="1"/>
    <col min="28" max="28" width="13.375" style="2" hidden="1" customWidth="1" outlineLevel="1"/>
    <col min="29" max="29" width="15" style="2" hidden="1" customWidth="1" outlineLevel="1"/>
    <col min="30" max="30" width="10.875" style="2" hidden="1" customWidth="1"/>
    <col min="31" max="31" width="13.875" style="2" customWidth="1"/>
    <col min="32" max="32" width="3" style="2" customWidth="1"/>
    <col min="33" max="33" width="9.75" style="2" customWidth="1"/>
    <col min="34" max="34" width="5.625" style="2" customWidth="1"/>
    <col min="35" max="35" width="4.25" style="2" customWidth="1"/>
    <col min="36" max="36" width="9.125" style="2"/>
    <col min="37" max="37" width="11.875" style="2" customWidth="1"/>
    <col min="38" max="38" width="13.875" style="2" customWidth="1"/>
    <col min="39" max="40" width="9.125" style="2"/>
    <col min="41" max="41" width="9.125" style="52" customWidth="1"/>
    <col min="42" max="42" width="13.875" style="52" hidden="1" customWidth="1"/>
    <col min="43" max="43" width="15.875" style="52" hidden="1" customWidth="1"/>
    <col min="44" max="44" width="18.125" style="52" hidden="1" customWidth="1"/>
    <col min="45" max="45" width="16" style="52" hidden="1" customWidth="1"/>
    <col min="46" max="46" width="11.75" style="52" hidden="1" customWidth="1"/>
    <col min="47" max="47" width="9.125" style="52" hidden="1" customWidth="1"/>
    <col min="48" max="48" width="14" style="52" hidden="1" customWidth="1"/>
    <col min="49" max="49" width="16.75" style="52" hidden="1" customWidth="1"/>
    <col min="50" max="50" width="17.375" style="52" hidden="1" customWidth="1"/>
    <col min="51" max="51" width="9.125" style="52" hidden="1" customWidth="1"/>
    <col min="52" max="53" width="9.125" style="2" hidden="1" customWidth="1"/>
    <col min="54" max="60" width="9.125" style="2"/>
    <col min="61" max="61" width="2.875" style="2" customWidth="1"/>
    <col min="62" max="90" width="9.125" style="2"/>
    <col min="91" max="92" width="0" style="52" hidden="1" customWidth="1"/>
    <col min="93" max="16384" width="9.125" style="2"/>
  </cols>
  <sheetData>
    <row r="1" spans="1:92" s="367" customFormat="1" ht="15">
      <c r="B1" s="880" t="s">
        <v>381</v>
      </c>
      <c r="O1" s="512"/>
      <c r="S1" s="371"/>
      <c r="T1" s="371"/>
      <c r="U1" s="371"/>
      <c r="V1" s="371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CM1" s="86"/>
      <c r="CN1" s="86"/>
    </row>
    <row r="2" spans="1:92" ht="20.25">
      <c r="A2" s="367"/>
      <c r="B2" s="809" t="s">
        <v>468</v>
      </c>
      <c r="C2" s="890" t="s">
        <v>475</v>
      </c>
      <c r="E2" s="367"/>
      <c r="F2" s="367"/>
      <c r="G2" s="367"/>
      <c r="H2" s="367"/>
      <c r="I2" s="367"/>
      <c r="J2" s="368"/>
      <c r="K2" s="596"/>
      <c r="L2" s="585"/>
      <c r="M2" s="67" t="str">
        <f>IF('Month A'!M2="Month","",VLOOKUP(E!M2,'Month A'!CM3:CN14,2,FALSE))</f>
        <v/>
      </c>
      <c r="N2" s="1232" t="str">
        <f>IF('Month A'!N2:O2="Year","",IF(M2="Jan",E!N2:O2+1,E!N2:O2))</f>
        <v/>
      </c>
      <c r="O2" s="1232"/>
      <c r="Q2" s="367"/>
      <c r="R2" s="878" t="s">
        <v>491</v>
      </c>
      <c r="S2" s="371"/>
      <c r="U2" s="371"/>
      <c r="V2" s="371"/>
      <c r="W2" s="367"/>
      <c r="X2" s="367"/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86"/>
    </row>
    <row r="3" spans="1:92" ht="19.5" customHeight="1" thickBot="1">
      <c r="A3" s="367"/>
      <c r="B3" s="1162" t="s">
        <v>348</v>
      </c>
      <c r="C3" s="1163"/>
      <c r="D3" s="378"/>
      <c r="E3" s="378"/>
      <c r="F3" s="378"/>
      <c r="G3" s="367"/>
      <c r="I3" s="830" t="s">
        <v>345</v>
      </c>
      <c r="J3" s="380"/>
      <c r="K3" s="384"/>
      <c r="L3" s="586"/>
      <c r="M3" s="384"/>
      <c r="N3" s="367"/>
      <c r="O3" s="377"/>
      <c r="P3" s="381"/>
      <c r="Q3" s="830" t="s">
        <v>346</v>
      </c>
      <c r="R3" s="641"/>
      <c r="S3" s="513"/>
      <c r="T3" s="381"/>
      <c r="U3" s="513"/>
      <c r="V3" s="513"/>
      <c r="W3" s="555"/>
      <c r="X3" s="382"/>
      <c r="Y3" s="1218" t="s">
        <v>296</v>
      </c>
      <c r="Z3" s="1218"/>
      <c r="AA3" s="1218"/>
      <c r="AB3" s="554"/>
      <c r="AC3" s="554"/>
      <c r="AD3" s="383"/>
      <c r="AE3" s="367"/>
      <c r="AF3" s="367"/>
      <c r="AG3" s="367"/>
      <c r="AH3" s="367"/>
      <c r="AI3" s="367"/>
      <c r="AJ3" s="367"/>
      <c r="AK3" s="367"/>
      <c r="AL3" s="367"/>
      <c r="AM3" s="367"/>
      <c r="AN3" s="367"/>
      <c r="AO3" s="86"/>
    </row>
    <row r="4" spans="1:92" s="614" customFormat="1" ht="34.5" customHeight="1" thickBot="1">
      <c r="A4" s="602"/>
      <c r="B4" s="879" t="s">
        <v>352</v>
      </c>
      <c r="C4" s="1230">
        <f>C18</f>
        <v>0</v>
      </c>
      <c r="D4" s="1167"/>
      <c r="E4" s="1158"/>
      <c r="F4" s="1159"/>
      <c r="G4" s="602"/>
      <c r="H4" s="603" t="s">
        <v>356</v>
      </c>
      <c r="I4" s="604" t="s">
        <v>357</v>
      </c>
      <c r="J4" s="605" t="s">
        <v>494</v>
      </c>
      <c r="K4" s="606" t="s">
        <v>380</v>
      </c>
      <c r="L4" s="607" t="s">
        <v>335</v>
      </c>
      <c r="M4" s="608" t="s">
        <v>389</v>
      </c>
      <c r="N4" s="602"/>
      <c r="O4" s="609" t="s">
        <v>356</v>
      </c>
      <c r="P4" s="610" t="s">
        <v>357</v>
      </c>
      <c r="Q4" s="806" t="s">
        <v>494</v>
      </c>
      <c r="R4" s="610" t="s">
        <v>359</v>
      </c>
      <c r="S4" s="1176" t="s">
        <v>360</v>
      </c>
      <c r="T4" s="1155" t="s">
        <v>361</v>
      </c>
      <c r="U4" s="787" t="s">
        <v>380</v>
      </c>
      <c r="V4" s="639" t="s">
        <v>335</v>
      </c>
      <c r="W4" s="640" t="s">
        <v>389</v>
      </c>
      <c r="X4" s="623"/>
      <c r="Y4" s="1208" t="s">
        <v>363</v>
      </c>
      <c r="Z4" s="1231"/>
      <c r="AA4" s="611">
        <f>Z17</f>
        <v>0</v>
      </c>
      <c r="AB4" s="1174"/>
      <c r="AC4" s="1175"/>
      <c r="AD4" s="612"/>
      <c r="AF4" s="602"/>
      <c r="AG4" s="602"/>
      <c r="AH4" s="602"/>
      <c r="AI4" s="602"/>
      <c r="AJ4" s="602"/>
      <c r="AK4" s="602"/>
      <c r="AL4" s="602"/>
      <c r="AM4" s="602"/>
      <c r="AN4" s="602"/>
      <c r="AO4" s="703"/>
      <c r="AP4" s="704"/>
      <c r="AQ4" s="704"/>
      <c r="AR4" s="704"/>
      <c r="AS4" s="704"/>
      <c r="AT4" s="705" t="s">
        <v>30</v>
      </c>
      <c r="AU4" s="704"/>
      <c r="AV4" s="704"/>
      <c r="AW4" s="704"/>
      <c r="AX4" s="704"/>
      <c r="AY4" s="704"/>
      <c r="CM4" s="704"/>
      <c r="CN4" s="704"/>
    </row>
    <row r="5" spans="1:92" ht="15" customHeight="1">
      <c r="A5" s="367"/>
      <c r="B5" s="1219" t="s">
        <v>353</v>
      </c>
      <c r="C5" s="1108" t="s">
        <v>354</v>
      </c>
      <c r="D5" s="1168" t="s">
        <v>494</v>
      </c>
      <c r="E5" s="1109" t="s">
        <v>380</v>
      </c>
      <c r="F5" s="1108" t="s">
        <v>335</v>
      </c>
      <c r="G5" s="367"/>
      <c r="H5" s="1157"/>
      <c r="I5" s="1221" t="s">
        <v>427</v>
      </c>
      <c r="J5" s="1150"/>
      <c r="K5" s="1193"/>
      <c r="L5" s="1160"/>
      <c r="M5" s="1153">
        <f ca="1">C57+IF(E!N58=AQ55,E!M58,0)+E!AP45</f>
        <v>0</v>
      </c>
      <c r="N5" s="14"/>
      <c r="O5" s="1182"/>
      <c r="P5" s="1183" t="s">
        <v>467</v>
      </c>
      <c r="Q5" s="1184"/>
      <c r="R5" s="1191"/>
      <c r="S5" s="1177"/>
      <c r="T5" s="1156"/>
      <c r="U5" s="1192"/>
      <c r="V5" s="1191"/>
      <c r="W5" s="1195">
        <f>E!W46+F!Z45-E!AP45</f>
        <v>0</v>
      </c>
      <c r="X5" s="621"/>
      <c r="Y5" s="5" t="s">
        <v>364</v>
      </c>
      <c r="Z5" s="105" t="s">
        <v>354</v>
      </c>
      <c r="AA5" s="914" t="s">
        <v>494</v>
      </c>
      <c r="AB5" s="803" t="s">
        <v>386</v>
      </c>
      <c r="AC5" s="718" t="s">
        <v>335</v>
      </c>
      <c r="AD5" s="31"/>
      <c r="AE5" s="1223" t="s">
        <v>365</v>
      </c>
      <c r="AF5" s="367"/>
      <c r="AG5" s="367"/>
      <c r="AH5" s="367"/>
      <c r="AI5" s="367"/>
      <c r="AJ5" s="367"/>
      <c r="AK5" s="367"/>
      <c r="AL5" s="367"/>
      <c r="AM5" s="367"/>
      <c r="AN5" s="367"/>
      <c r="AO5" s="86"/>
      <c r="AT5" s="52" t="s">
        <v>476</v>
      </c>
    </row>
    <row r="6" spans="1:92" ht="15" customHeight="1">
      <c r="A6" s="367"/>
      <c r="B6" s="1220"/>
      <c r="C6" s="1234"/>
      <c r="D6" s="1169"/>
      <c r="E6" s="1109"/>
      <c r="F6" s="1108"/>
      <c r="G6" s="367"/>
      <c r="H6" s="1157"/>
      <c r="I6" s="1222"/>
      <c r="J6" s="1152"/>
      <c r="K6" s="1194"/>
      <c r="L6" s="1161"/>
      <c r="M6" s="1154"/>
      <c r="N6" s="367"/>
      <c r="O6" s="1182"/>
      <c r="P6" s="1185"/>
      <c r="Q6" s="1186"/>
      <c r="R6" s="1192"/>
      <c r="S6" s="638"/>
      <c r="T6" s="786"/>
      <c r="U6" s="1197"/>
      <c r="V6" s="1191"/>
      <c r="W6" s="1196"/>
      <c r="X6" s="395"/>
      <c r="Y6" s="144" t="str">
        <f>IF(E!Y6&lt;&gt;"",E!Y6,)</f>
        <v>Husband job 1</v>
      </c>
      <c r="Z6" s="456">
        <f>E!Z6</f>
        <v>0</v>
      </c>
      <c r="AA6" s="69"/>
      <c r="AB6" s="715"/>
      <c r="AC6" s="877"/>
      <c r="AD6" s="32"/>
      <c r="AE6" s="1224"/>
      <c r="AF6" s="367"/>
      <c r="AG6" s="367"/>
      <c r="AH6" s="367"/>
      <c r="AI6" s="367"/>
      <c r="AJ6" s="367"/>
      <c r="AK6" s="367"/>
      <c r="AL6" s="367"/>
      <c r="AM6" s="367"/>
      <c r="AN6" s="367"/>
      <c r="AO6" s="86"/>
      <c r="AT6" s="52" t="s">
        <v>477</v>
      </c>
    </row>
    <row r="7" spans="1:92" ht="15" customHeight="1" thickBot="1">
      <c r="A7" s="367"/>
      <c r="B7" s="901" t="str">
        <f>IF(E!B7&lt;&gt;"",E!B7,)</f>
        <v>Mortgage Payments</v>
      </c>
      <c r="C7" s="451">
        <f>E!C7</f>
        <v>0</v>
      </c>
      <c r="D7" s="78"/>
      <c r="E7" s="521"/>
      <c r="F7" s="858"/>
      <c r="G7" s="367"/>
      <c r="H7" s="542"/>
      <c r="I7" s="853"/>
      <c r="J7" s="6"/>
      <c r="K7" s="541"/>
      <c r="L7" s="860"/>
      <c r="M7" s="20" t="str">
        <f>IF(J7="","",$M$5-SUM($J$7:J7))</f>
        <v/>
      </c>
      <c r="N7" s="367"/>
      <c r="O7" s="106"/>
      <c r="P7" s="871">
        <f>IF(E!Q7&lt;&gt;E!R7,IF(E!Q7&lt;&gt;0,IF(E!S7&lt;&gt;E!T7,E!P7,),),)</f>
        <v>0</v>
      </c>
      <c r="Q7" s="795">
        <f>IF(E!Q7&lt;&gt;E!R7,IF(E!Q7&lt;&gt;0,IF(E!S7&lt;&gt;E!T7,E!Q7,),),)</f>
        <v>0</v>
      </c>
      <c r="R7" s="628">
        <f>IF(E!Q7&lt;&gt;E!R7,IF(E!Q7&lt;&gt;0,IF(E!S7&lt;&gt;E!T7,0,Q7),Q7),Q7)</f>
        <v>0</v>
      </c>
      <c r="S7" s="796">
        <f>IF(E!Q7&lt;&gt;E!R7,IF(E!Q7&lt;&gt;0,IF(E!S7&lt;&gt;E!T7,E!S7+1,),),)</f>
        <v>0</v>
      </c>
      <c r="T7" s="796">
        <f>IF(E!Q7&lt;&gt;E!R7,IF(E!Q7&lt;&gt;0,IF(E!S7&lt;&gt;E!T7,E!T7,),),)</f>
        <v>0</v>
      </c>
      <c r="U7" s="797">
        <f>IF(E!Q7&lt;&gt;E!R7,IF(E!Q7&lt;&gt;0,IF(E!S7&lt;&gt;E!T7,E!U7,),),)</f>
        <v>0</v>
      </c>
      <c r="V7" s="875">
        <f>IF(E!Q7&lt;&gt;E!R7,IF(E!Q7&lt;&gt;0,IF(E!S7&lt;&gt;E!T7,E!V7,),),)</f>
        <v>0</v>
      </c>
      <c r="W7" s="622">
        <f>IF(Q7="","",$W$5-SUM($Q$7:Q7))</f>
        <v>0</v>
      </c>
      <c r="X7" s="395"/>
      <c r="Y7" s="144" t="str">
        <f>IF(E!Y7&lt;&gt;"",E!Y7,)</f>
        <v>Husband job 2</v>
      </c>
      <c r="Z7" s="456">
        <f>E!Z7</f>
        <v>0</v>
      </c>
      <c r="AA7" s="69"/>
      <c r="AB7" s="521"/>
      <c r="AC7" s="858"/>
      <c r="AD7" s="32"/>
      <c r="AE7" s="1225"/>
      <c r="AF7" s="367"/>
      <c r="AG7" s="367"/>
      <c r="AH7" s="367"/>
      <c r="AI7" s="367"/>
      <c r="AJ7" s="367"/>
      <c r="AK7" s="367"/>
      <c r="AL7" s="367"/>
      <c r="AM7" s="367"/>
      <c r="AN7" s="367"/>
      <c r="AO7" s="86"/>
      <c r="AT7" s="52" t="s">
        <v>478</v>
      </c>
    </row>
    <row r="8" spans="1:92" ht="15" customHeight="1" thickBot="1">
      <c r="A8" s="367"/>
      <c r="B8" s="901" t="str">
        <f>IF(E!B8&lt;&gt;"",E!B8,)</f>
        <v>Mortgage Insurance</v>
      </c>
      <c r="C8" s="451">
        <f>E!C8</f>
        <v>0</v>
      </c>
      <c r="D8" s="78"/>
      <c r="E8" s="521"/>
      <c r="F8" s="858"/>
      <c r="G8" s="367"/>
      <c r="H8" s="543"/>
      <c r="I8" s="853"/>
      <c r="J8" s="6"/>
      <c r="K8" s="541"/>
      <c r="L8" s="860"/>
      <c r="M8" s="20" t="str">
        <f>IF(J8="","",$M$5-SUM($J$7:J8))</f>
        <v/>
      </c>
      <c r="N8" s="367"/>
      <c r="O8" s="7"/>
      <c r="P8" s="872">
        <f>IF(E!Q8&lt;&gt;E!R8,IF(E!Q8&lt;&gt;0,IF(E!S8&lt;&gt;E!T8,E!P8,),),)</f>
        <v>0</v>
      </c>
      <c r="Q8" s="795">
        <f>IF(E!Q8&lt;&gt;E!R8,IF(E!Q8&lt;&gt;0,IF(E!S8&lt;&gt;E!T8,E!Q8,),),)</f>
        <v>0</v>
      </c>
      <c r="R8" s="628">
        <f>IF(E!Q8&lt;&gt;E!R8,IF(E!Q8&lt;&gt;0,IF(E!S8&lt;&gt;E!T8,0,Q8),Q8),Q8)</f>
        <v>0</v>
      </c>
      <c r="S8" s="796">
        <f>IF(E!Q8&lt;&gt;E!R8,IF(E!Q8&lt;&gt;0,IF(E!S8&lt;&gt;E!T8,E!S8+1,),),)</f>
        <v>0</v>
      </c>
      <c r="T8" s="796">
        <f>IF(E!Q8&lt;&gt;E!R8,IF(E!Q8&lt;&gt;0,IF(E!S8&lt;&gt;E!T8,E!T8,),),)</f>
        <v>0</v>
      </c>
      <c r="U8" s="797">
        <f>IF(E!Q8&lt;&gt;E!R8,IF(E!Q8&lt;&gt;0,IF(E!S8&lt;&gt;E!T8,E!U8,),),)</f>
        <v>0</v>
      </c>
      <c r="V8" s="875">
        <f>IF(E!Q8&lt;&gt;E!R8,IF(E!Q8&lt;&gt;0,IF(E!S8&lt;&gt;E!T8,E!V8,),),)</f>
        <v>0</v>
      </c>
      <c r="W8" s="622">
        <f>IF(Q8="","",$W$5-SUM($Q$7:Q8))</f>
        <v>0</v>
      </c>
      <c r="X8" s="395"/>
      <c r="Y8" s="144" t="str">
        <f>IF(E!Y8&lt;&gt;"",E!Y8,)</f>
        <v>Wife job 1</v>
      </c>
      <c r="Z8" s="456">
        <f>E!Z8</f>
        <v>0</v>
      </c>
      <c r="AA8" s="69"/>
      <c r="AB8" s="521"/>
      <c r="AC8" s="858"/>
      <c r="AD8" s="32"/>
      <c r="AE8" s="363">
        <f>(AA17+'Month A'!AA17+B!AA17+'C'!AA17+D!AA17+E!AA17)/AR19</f>
        <v>0</v>
      </c>
      <c r="AF8" s="367"/>
      <c r="AG8" s="367"/>
      <c r="AH8" s="367"/>
      <c r="AI8" s="367"/>
      <c r="AJ8" s="367"/>
      <c r="AK8" s="367"/>
      <c r="AL8" s="367"/>
      <c r="AM8" s="367"/>
      <c r="AN8" s="367"/>
      <c r="AO8" s="86"/>
      <c r="AT8" s="52" t="s">
        <v>480</v>
      </c>
    </row>
    <row r="9" spans="1:92" ht="15" customHeight="1" thickBot="1">
      <c r="A9" s="367"/>
      <c r="B9" s="901" t="str">
        <f>IF(E!B9&lt;&gt;"",E!B9,)</f>
        <v>Rent</v>
      </c>
      <c r="C9" s="451">
        <f>E!C9</f>
        <v>0</v>
      </c>
      <c r="D9" s="78"/>
      <c r="E9" s="521"/>
      <c r="F9" s="858"/>
      <c r="G9" s="367"/>
      <c r="H9" s="543"/>
      <c r="I9" s="853"/>
      <c r="J9" s="6"/>
      <c r="K9" s="541"/>
      <c r="L9" s="860"/>
      <c r="M9" s="20" t="str">
        <f>IF(J9="","",$M$5-SUM($J$7:J9))</f>
        <v/>
      </c>
      <c r="N9" s="367"/>
      <c r="O9" s="7"/>
      <c r="P9" s="871">
        <f>IF(E!Q9&lt;&gt;E!R9,IF(E!Q9&lt;&gt;0,IF(E!S9&lt;&gt;E!T9,E!P9,),),)</f>
        <v>0</v>
      </c>
      <c r="Q9" s="795">
        <f>IF(E!Q9&lt;&gt;E!R9,IF(E!Q9&lt;&gt;0,IF(E!S9&lt;&gt;E!T9,E!Q9,),),)</f>
        <v>0</v>
      </c>
      <c r="R9" s="628">
        <f>IF(E!Q9&lt;&gt;E!R9,IF(E!Q9&lt;&gt;0,IF(E!S9&lt;&gt;E!T9,0,Q9),Q9),Q9)</f>
        <v>0</v>
      </c>
      <c r="S9" s="796">
        <f>IF(E!Q9&lt;&gt;E!R9,IF(E!Q9&lt;&gt;0,IF(E!S9&lt;&gt;E!T9,E!S9+1,),),)</f>
        <v>0</v>
      </c>
      <c r="T9" s="796">
        <f>IF(E!Q9&lt;&gt;E!R9,IF(E!Q9&lt;&gt;0,IF(E!S9&lt;&gt;E!T9,E!T9,),),)</f>
        <v>0</v>
      </c>
      <c r="U9" s="797">
        <f>IF(E!Q9&lt;&gt;E!R9,IF(E!Q9&lt;&gt;0,IF(E!S9&lt;&gt;E!T9,E!U9,),),)</f>
        <v>0</v>
      </c>
      <c r="V9" s="875">
        <f>IF(E!Q9&lt;&gt;E!R9,IF(E!Q9&lt;&gt;0,IF(E!S9&lt;&gt;E!T9,E!V9,),),)</f>
        <v>0</v>
      </c>
      <c r="W9" s="622">
        <f>IF(Q9="","",$W$5-SUM($Q$7:Q9))</f>
        <v>0</v>
      </c>
      <c r="X9" s="395"/>
      <c r="Y9" s="144" t="str">
        <f>IF(E!Y9&lt;&gt;"",E!Y9,)</f>
        <v>Wife job 2</v>
      </c>
      <c r="Z9" s="456">
        <f>E!Z9</f>
        <v>0</v>
      </c>
      <c r="AA9" s="69"/>
      <c r="AB9" s="521"/>
      <c r="AC9" s="858"/>
      <c r="AD9" s="32"/>
      <c r="AE9" s="404"/>
      <c r="AF9" s="367"/>
      <c r="AG9" s="367"/>
      <c r="AH9" s="367"/>
      <c r="AI9" s="367"/>
      <c r="AJ9" s="367"/>
      <c r="AK9" s="367"/>
      <c r="AL9" s="367"/>
      <c r="AM9" s="367"/>
      <c r="AN9" s="367"/>
      <c r="AO9" s="86"/>
      <c r="AT9" s="52" t="s">
        <v>479</v>
      </c>
    </row>
    <row r="10" spans="1:92" ht="15" customHeight="1">
      <c r="A10" s="367"/>
      <c r="B10" s="902" t="str">
        <f>IF(E!B10&lt;&gt;"",E!B10,)</f>
        <v>Town Taxes / Maintenance Fees</v>
      </c>
      <c r="C10" s="451">
        <f>E!C10</f>
        <v>0</v>
      </c>
      <c r="D10" s="79"/>
      <c r="E10" s="522"/>
      <c r="F10" s="859"/>
      <c r="G10" s="367"/>
      <c r="H10" s="543"/>
      <c r="I10" s="853"/>
      <c r="J10" s="6"/>
      <c r="K10" s="541"/>
      <c r="L10" s="860"/>
      <c r="M10" s="20" t="str">
        <f>IF(J10="","",$M$5-SUM($J$7:J10))</f>
        <v/>
      </c>
      <c r="N10" s="367"/>
      <c r="O10" s="7"/>
      <c r="P10" s="871">
        <f>IF(E!Q10&lt;&gt;E!R10,IF(E!Q10&lt;&gt;0,IF(E!S10&lt;&gt;E!T10,E!P10,),),)</f>
        <v>0</v>
      </c>
      <c r="Q10" s="798">
        <f>IF(E!Q10&lt;&gt;E!R10,IF(E!Q10&lt;&gt;0,IF(E!S10&lt;&gt;E!T10,E!Q10,),),)</f>
        <v>0</v>
      </c>
      <c r="R10" s="628">
        <f>IF(E!Q10&lt;&gt;E!R10,IF(E!Q10&lt;&gt;0,IF(E!S10&lt;&gt;E!T10,0,Q10),Q10),Q10)</f>
        <v>0</v>
      </c>
      <c r="S10" s="796">
        <f>IF(E!Q10&lt;&gt;E!R10,IF(E!Q10&lt;&gt;0,IF(E!S10&lt;&gt;E!T10,E!S10+1,),),)</f>
        <v>0</v>
      </c>
      <c r="T10" s="796">
        <f>IF(E!Q10&lt;&gt;E!R10,IF(E!Q10&lt;&gt;0,IF(E!S10&lt;&gt;E!T10,E!T10,),),)</f>
        <v>0</v>
      </c>
      <c r="U10" s="797">
        <f>IF(E!Q10&lt;&gt;E!R10,IF(E!Q10&lt;&gt;0,IF(E!S10&lt;&gt;E!T10,E!U10,),),)</f>
        <v>0</v>
      </c>
      <c r="V10" s="875">
        <f>IF(E!Q10&lt;&gt;E!R10,IF(E!Q10&lt;&gt;0,IF(E!S10&lt;&gt;E!T10,E!V10,),),)</f>
        <v>0</v>
      </c>
      <c r="W10" s="624">
        <f>IF(Q10="","",$W$5-SUM($Q$7:Q10))</f>
        <v>0</v>
      </c>
      <c r="X10" s="621"/>
      <c r="Y10" s="144" t="str">
        <f>IF(E!Y10&lt;&gt;"",E!Y10,)</f>
        <v>National Social Security for Children</v>
      </c>
      <c r="Z10" s="456">
        <f>E!Z10</f>
        <v>0</v>
      </c>
      <c r="AA10" s="69"/>
      <c r="AB10" s="522"/>
      <c r="AC10" s="859"/>
      <c r="AD10" s="32"/>
      <c r="AE10" s="1226" t="s">
        <v>366</v>
      </c>
      <c r="AF10" s="367"/>
      <c r="AG10" s="367"/>
      <c r="AH10" s="367"/>
      <c r="AI10" s="367"/>
      <c r="AJ10" s="367"/>
      <c r="AK10" s="367"/>
      <c r="AL10" s="367"/>
      <c r="AM10" s="367"/>
      <c r="AN10" s="367"/>
      <c r="AO10" s="86"/>
    </row>
    <row r="11" spans="1:92" ht="15" customHeight="1" thickBot="1">
      <c r="A11" s="367"/>
      <c r="B11" s="901" t="str">
        <f>IF(E!B11&lt;&gt;"",E!B11,)</f>
        <v xml:space="preserve">Insurance (excl. car) </v>
      </c>
      <c r="C11" s="451">
        <f>E!C11</f>
        <v>0</v>
      </c>
      <c r="D11" s="78"/>
      <c r="E11" s="521"/>
      <c r="F11" s="858"/>
      <c r="G11" s="367"/>
      <c r="H11" s="543"/>
      <c r="I11" s="853"/>
      <c r="J11" s="6"/>
      <c r="K11" s="541"/>
      <c r="L11" s="860"/>
      <c r="M11" s="20" t="str">
        <f>IF(J11="","",$M$5-SUM($J$7:J11))</f>
        <v/>
      </c>
      <c r="N11" s="367"/>
      <c r="O11" s="7"/>
      <c r="P11" s="871">
        <f>IF(E!Q11&lt;&gt;E!R11,IF(E!Q11&lt;&gt;0,IF(E!S11&lt;&gt;E!T11,E!P11,),),)</f>
        <v>0</v>
      </c>
      <c r="Q11" s="795">
        <f>IF(E!Q11&lt;&gt;E!R11,IF(E!Q11&lt;&gt;0,IF(E!S11&lt;&gt;E!T11,E!Q11,),),)</f>
        <v>0</v>
      </c>
      <c r="R11" s="628">
        <f>IF(E!Q11&lt;&gt;E!R11,IF(E!Q11&lt;&gt;0,IF(E!S11&lt;&gt;E!T11,0,Q11),Q11),Q11)</f>
        <v>0</v>
      </c>
      <c r="S11" s="796">
        <f>IF(E!Q11&lt;&gt;E!R11,IF(E!Q11&lt;&gt;0,IF(E!S11&lt;&gt;E!T11,E!S11+1,),),)</f>
        <v>0</v>
      </c>
      <c r="T11" s="796">
        <f>IF(E!Q11&lt;&gt;E!R11,IF(E!Q11&lt;&gt;0,IF(E!S11&lt;&gt;E!T11,E!T11,),),)</f>
        <v>0</v>
      </c>
      <c r="U11" s="797">
        <f>IF(E!Q11&lt;&gt;E!R11,IF(E!Q11&lt;&gt;0,IF(E!S11&lt;&gt;E!T11,E!U11,),),)</f>
        <v>0</v>
      </c>
      <c r="V11" s="875">
        <f>IF(E!Q11&lt;&gt;E!R11,IF(E!Q11&lt;&gt;0,IF(E!S11&lt;&gt;E!T11,E!V11,),),)</f>
        <v>0</v>
      </c>
      <c r="W11" s="622">
        <f>IF(Q11="","",$W$5-SUM($Q$7:Q11))</f>
        <v>0</v>
      </c>
      <c r="X11" s="395"/>
      <c r="Y11" s="144" t="str">
        <f>IF(E!Y11&lt;&gt;"",E!Y11,)</f>
        <v>other Allowances</v>
      </c>
      <c r="Z11" s="456">
        <f>E!Z11</f>
        <v>0</v>
      </c>
      <c r="AA11" s="69"/>
      <c r="AB11" s="521"/>
      <c r="AC11" s="858"/>
      <c r="AD11" s="32"/>
      <c r="AE11" s="1227"/>
      <c r="AF11" s="367"/>
      <c r="AG11" s="367"/>
      <c r="AH11" s="367"/>
      <c r="AI11" s="367"/>
      <c r="AJ11" s="367"/>
      <c r="AK11" s="367"/>
      <c r="AL11" s="367"/>
      <c r="AM11" s="367"/>
      <c r="AN11" s="367"/>
      <c r="AO11" s="86"/>
    </row>
    <row r="12" spans="1:92" ht="15" customHeight="1" thickBot="1">
      <c r="A12" s="367"/>
      <c r="B12" s="901" t="str">
        <f>IF(E!B12&lt;&gt;"",E!B12,)</f>
        <v>Bank Savings Program</v>
      </c>
      <c r="C12" s="451">
        <f>E!C12</f>
        <v>0</v>
      </c>
      <c r="D12" s="78"/>
      <c r="E12" s="521"/>
      <c r="F12" s="858"/>
      <c r="G12" s="367"/>
      <c r="H12" s="543"/>
      <c r="I12" s="853"/>
      <c r="J12" s="6"/>
      <c r="K12" s="541"/>
      <c r="L12" s="860"/>
      <c r="M12" s="20" t="str">
        <f>IF(J12="","",$M$5-SUM($J$7:J12))</f>
        <v/>
      </c>
      <c r="N12" s="367"/>
      <c r="O12" s="7"/>
      <c r="P12" s="871">
        <f>IF(E!Q12&lt;&gt;E!R12,IF(E!Q12&lt;&gt;0,IF(E!S12&lt;&gt;E!T12,E!P12,),),)</f>
        <v>0</v>
      </c>
      <c r="Q12" s="795">
        <f>IF(E!Q12&lt;&gt;E!R12,IF(E!Q12&lt;&gt;0,IF(E!S12&lt;&gt;E!T12,E!Q12,),),)</f>
        <v>0</v>
      </c>
      <c r="R12" s="628">
        <f>IF(E!Q12&lt;&gt;E!R12,IF(E!Q12&lt;&gt;0,IF(E!S12&lt;&gt;E!T12,0,Q12),Q12),Q12)</f>
        <v>0</v>
      </c>
      <c r="S12" s="796">
        <f>IF(E!Q12&lt;&gt;E!R12,IF(E!Q12&lt;&gt;0,IF(E!S12&lt;&gt;E!T12,E!S12+1,),),)</f>
        <v>0</v>
      </c>
      <c r="T12" s="796">
        <f>IF(E!Q12&lt;&gt;E!R12,IF(E!Q12&lt;&gt;0,IF(E!S12&lt;&gt;E!T12,E!T12,),),)</f>
        <v>0</v>
      </c>
      <c r="U12" s="797">
        <f>IF(E!Q12&lt;&gt;E!R12,IF(E!Q12&lt;&gt;0,IF(E!S12&lt;&gt;E!T12,E!U12,),),)</f>
        <v>0</v>
      </c>
      <c r="V12" s="875">
        <f>IF(E!Q12&lt;&gt;E!R12,IF(E!Q12&lt;&gt;0,IF(E!S12&lt;&gt;E!T12,E!V12,),),)</f>
        <v>0</v>
      </c>
      <c r="W12" s="622">
        <f>IF(Q12="","",$W$5-SUM($Q$7:Q12))</f>
        <v>0</v>
      </c>
      <c r="X12" s="395"/>
      <c r="Y12" s="144" t="str">
        <f>IF(E!Y12&lt;&gt;"",E!Y12,)</f>
        <v>Rent Assistance</v>
      </c>
      <c r="Z12" s="456">
        <f>E!Z12</f>
        <v>0</v>
      </c>
      <c r="AA12" s="69"/>
      <c r="AB12" s="521"/>
      <c r="AC12" s="858"/>
      <c r="AD12" s="32"/>
      <c r="AE12" s="1228"/>
      <c r="AF12" s="367"/>
      <c r="AG12" s="367"/>
      <c r="AH12" s="367"/>
      <c r="AI12" s="367"/>
      <c r="AJ12" s="367"/>
      <c r="AK12" s="367"/>
      <c r="AL12" s="367"/>
      <c r="AM12" s="367"/>
      <c r="AN12" s="367"/>
      <c r="AO12" s="86"/>
      <c r="AP12" s="1138" t="s">
        <v>20</v>
      </c>
      <c r="AQ12" s="1139"/>
      <c r="AR12" s="1139"/>
      <c r="AS12" s="1139"/>
      <c r="AT12" s="1139"/>
      <c r="AU12" s="1139"/>
      <c r="AV12" s="1139"/>
      <c r="AW12" s="1139"/>
      <c r="AX12" s="1140"/>
    </row>
    <row r="13" spans="1:92" ht="15" customHeight="1" thickBot="1">
      <c r="A13" s="367"/>
      <c r="B13" s="901" t="str">
        <f>IF(E!B13&lt;&gt;"",E!B13,)</f>
        <v>Subscriptions</v>
      </c>
      <c r="C13" s="451">
        <f>E!C13</f>
        <v>0</v>
      </c>
      <c r="D13" s="78"/>
      <c r="E13" s="521"/>
      <c r="F13" s="858"/>
      <c r="G13" s="367"/>
      <c r="H13" s="543"/>
      <c r="I13" s="853"/>
      <c r="J13" s="6"/>
      <c r="K13" s="541"/>
      <c r="L13" s="860"/>
      <c r="M13" s="20" t="str">
        <f>IF(J13="","",$M$5-SUM($J$7:J13))</f>
        <v/>
      </c>
      <c r="N13" s="367"/>
      <c r="O13" s="7"/>
      <c r="P13" s="871">
        <f>IF(E!Q13&lt;&gt;E!R13,IF(E!Q13&lt;&gt;0,IF(E!S13&lt;&gt;E!T13,E!P13,),),)</f>
        <v>0</v>
      </c>
      <c r="Q13" s="795">
        <f>IF(E!Q13&lt;&gt;E!R13,IF(E!Q13&lt;&gt;0,IF(E!S13&lt;&gt;E!T13,E!Q13,),),)</f>
        <v>0</v>
      </c>
      <c r="R13" s="628">
        <f>IF(E!Q13&lt;&gt;E!R13,IF(E!Q13&lt;&gt;0,IF(E!S13&lt;&gt;E!T13,0,Q13),Q13),Q13)</f>
        <v>0</v>
      </c>
      <c r="S13" s="796">
        <f>IF(E!Q13&lt;&gt;E!R13,IF(E!Q13&lt;&gt;0,IF(E!S13&lt;&gt;E!T13,E!S13+1,),),)</f>
        <v>0</v>
      </c>
      <c r="T13" s="796">
        <f>IF(E!Q13&lt;&gt;E!R13,IF(E!Q13&lt;&gt;0,IF(E!S13&lt;&gt;E!T13,E!T13,),),)</f>
        <v>0</v>
      </c>
      <c r="U13" s="797">
        <f>IF(E!Q13&lt;&gt;E!R13,IF(E!Q13&lt;&gt;0,IF(E!S13&lt;&gt;E!T13,E!U13,),),)</f>
        <v>0</v>
      </c>
      <c r="V13" s="875">
        <f>IF(E!Q13&lt;&gt;E!R13,IF(E!Q13&lt;&gt;0,IF(E!S13&lt;&gt;E!T13,E!V13,),),)</f>
        <v>0</v>
      </c>
      <c r="W13" s="622">
        <f>IF(Q13="","",$W$5-SUM($Q$7:Q13))</f>
        <v>0</v>
      </c>
      <c r="X13" s="395"/>
      <c r="Y13" s="144" t="str">
        <f>IF(E!Y13&lt;&gt;"",E!Y13,)</f>
        <v>Food Packages</v>
      </c>
      <c r="Z13" s="456">
        <f>E!Z13</f>
        <v>0</v>
      </c>
      <c r="AA13" s="69"/>
      <c r="AB13" s="521"/>
      <c r="AC13" s="858"/>
      <c r="AD13" s="32"/>
      <c r="AE13" s="363">
        <f>AA18+'Month A'!AA18+B!AA18+'C'!AA18+D!AA18+E!AA18</f>
        <v>0</v>
      </c>
      <c r="AF13" s="367"/>
      <c r="AG13" s="367"/>
      <c r="AH13" s="367"/>
      <c r="AI13" s="367"/>
      <c r="AJ13" s="367"/>
      <c r="AK13" s="367"/>
      <c r="AL13" s="367"/>
      <c r="AM13" s="367"/>
      <c r="AN13" s="367"/>
      <c r="AO13" s="86"/>
    </row>
    <row r="14" spans="1:92" ht="15" customHeight="1">
      <c r="A14" s="367"/>
      <c r="B14" s="901" t="str">
        <f>IF(E!B14&lt;&gt;"",E!B14,)</f>
        <v>Donations</v>
      </c>
      <c r="C14" s="451">
        <f>E!C14</f>
        <v>0</v>
      </c>
      <c r="D14" s="78"/>
      <c r="E14" s="521"/>
      <c r="F14" s="858"/>
      <c r="G14" s="367"/>
      <c r="H14" s="543"/>
      <c r="I14" s="853"/>
      <c r="J14" s="6"/>
      <c r="K14" s="541"/>
      <c r="L14" s="860"/>
      <c r="M14" s="20" t="str">
        <f>IF(J14="","",$M$5-SUM($J$7:J14))</f>
        <v/>
      </c>
      <c r="N14" s="367"/>
      <c r="O14" s="7"/>
      <c r="P14" s="871">
        <f>IF(E!Q14&lt;&gt;E!R14,IF(E!Q14&lt;&gt;0,IF(E!S14&lt;&gt;E!T14,E!P14,),),)</f>
        <v>0</v>
      </c>
      <c r="Q14" s="795">
        <f>IF(E!Q14&lt;&gt;E!R14,IF(E!Q14&lt;&gt;0,IF(E!S14&lt;&gt;E!T14,E!Q14,),),)</f>
        <v>0</v>
      </c>
      <c r="R14" s="628">
        <f>IF(E!Q14&lt;&gt;E!R14,IF(E!Q14&lt;&gt;0,IF(E!S14&lt;&gt;E!T14,0,Q14),Q14),Q14)</f>
        <v>0</v>
      </c>
      <c r="S14" s="796">
        <f>IF(E!Q14&lt;&gt;E!R14,IF(E!Q14&lt;&gt;0,IF(E!S14&lt;&gt;E!T14,E!S14+1,),),)</f>
        <v>0</v>
      </c>
      <c r="T14" s="796">
        <f>IF(E!Q14&lt;&gt;E!R14,IF(E!Q14&lt;&gt;0,IF(E!S14&lt;&gt;E!T14,E!T14,),),)</f>
        <v>0</v>
      </c>
      <c r="U14" s="797">
        <f>IF(E!Q14&lt;&gt;E!R14,IF(E!Q14&lt;&gt;0,IF(E!S14&lt;&gt;E!T14,E!U14,),),)</f>
        <v>0</v>
      </c>
      <c r="V14" s="875">
        <f>IF(E!Q14&lt;&gt;E!R14,IF(E!Q14&lt;&gt;0,IF(E!S14&lt;&gt;E!T14,E!V14,),),)</f>
        <v>0</v>
      </c>
      <c r="W14" s="622">
        <f>IF(Q14="","",$W$5-SUM($Q$7:Q14))</f>
        <v>0</v>
      </c>
      <c r="X14" s="395"/>
      <c r="Y14" s="144" t="str">
        <f>IF(E!Y14&lt;&gt;"",E!Y14,)</f>
        <v>Income from Property</v>
      </c>
      <c r="Z14" s="456">
        <f>E!Z14</f>
        <v>0</v>
      </c>
      <c r="AA14" s="69"/>
      <c r="AB14" s="521"/>
      <c r="AC14" s="858"/>
      <c r="AD14" s="32"/>
      <c r="AE14" s="403"/>
      <c r="AF14" s="367"/>
      <c r="AG14" s="367"/>
      <c r="AH14" s="367"/>
      <c r="AI14" s="367"/>
      <c r="AJ14" s="367"/>
      <c r="AK14" s="367"/>
      <c r="AL14" s="367"/>
      <c r="AM14" s="367"/>
      <c r="AN14" s="367"/>
      <c r="AO14" s="86"/>
      <c r="AW14" s="52" t="s">
        <v>12</v>
      </c>
    </row>
    <row r="15" spans="1:92" ht="15" customHeight="1">
      <c r="A15" s="367"/>
      <c r="B15" s="901">
        <f>IF(E!B15&lt;&gt;"",E!B15,)</f>
        <v>0</v>
      </c>
      <c r="C15" s="451">
        <f>E!C15</f>
        <v>0</v>
      </c>
      <c r="D15" s="78"/>
      <c r="E15" s="521"/>
      <c r="F15" s="858"/>
      <c r="G15" s="367"/>
      <c r="H15" s="543"/>
      <c r="I15" s="853"/>
      <c r="J15" s="6"/>
      <c r="K15" s="541"/>
      <c r="L15" s="860"/>
      <c r="M15" s="20" t="str">
        <f>IF(J15="","",$M$5-SUM($J$7:J15))</f>
        <v/>
      </c>
      <c r="N15" s="367"/>
      <c r="O15" s="7"/>
      <c r="P15" s="871">
        <f>IF(E!Q15&lt;&gt;E!R15,IF(E!Q15&lt;&gt;0,IF(E!S15&lt;&gt;E!T15,E!P15,),),)</f>
        <v>0</v>
      </c>
      <c r="Q15" s="795">
        <f>IF(E!Q15&lt;&gt;E!R15,IF(E!Q15&lt;&gt;0,IF(E!S15&lt;&gt;E!T15,E!Q15,),),)</f>
        <v>0</v>
      </c>
      <c r="R15" s="628">
        <f>IF(E!Q15&lt;&gt;E!R15,IF(E!Q15&lt;&gt;0,IF(E!S15&lt;&gt;E!T15,0,Q15),Q15),Q15)</f>
        <v>0</v>
      </c>
      <c r="S15" s="796">
        <f>IF(E!Q15&lt;&gt;E!R15,IF(E!Q15&lt;&gt;0,IF(E!S15&lt;&gt;E!T15,E!S15+1,),),)</f>
        <v>0</v>
      </c>
      <c r="T15" s="796">
        <f>IF(E!Q15&lt;&gt;E!R15,IF(E!Q15&lt;&gt;0,IF(E!S15&lt;&gt;E!T15,E!T15,),),)</f>
        <v>0</v>
      </c>
      <c r="U15" s="797">
        <f>IF(E!Q15&lt;&gt;E!R15,IF(E!Q15&lt;&gt;0,IF(E!S15&lt;&gt;E!T15,E!U15,),),)</f>
        <v>0</v>
      </c>
      <c r="V15" s="875">
        <f>IF(E!Q15&lt;&gt;E!R15,IF(E!Q15&lt;&gt;0,IF(E!S15&lt;&gt;E!T15,E!V15,),),)</f>
        <v>0</v>
      </c>
      <c r="W15" s="625">
        <f>IF(Q15="","",$W$5-SUM($Q$7:Q15))</f>
        <v>0</v>
      </c>
      <c r="X15" s="621"/>
      <c r="Y15" s="144" t="str">
        <f>IF(E!Y15&lt;&gt;"",E!Y15,)</f>
        <v>Help from parents</v>
      </c>
      <c r="Z15" s="456">
        <f>E!Z15</f>
        <v>0</v>
      </c>
      <c r="AA15" s="69"/>
      <c r="AB15" s="521"/>
      <c r="AC15" s="858"/>
      <c r="AD15" s="32"/>
      <c r="AE15" s="1137" t="str">
        <f>IF(COUNTIF(AE23:AE44,"&lt;0")&gt;0,"Over yearly budget!
Take an action from the options to your right.","")</f>
        <v/>
      </c>
      <c r="AF15" s="367"/>
      <c r="AG15" s="367"/>
      <c r="AH15" s="367"/>
      <c r="AI15" s="367"/>
      <c r="AJ15" s="367"/>
      <c r="AK15" s="367"/>
      <c r="AL15" s="367"/>
      <c r="AM15" s="367"/>
      <c r="AN15" s="367"/>
      <c r="AO15" s="86"/>
      <c r="AW15" s="52" t="s">
        <v>13</v>
      </c>
    </row>
    <row r="16" spans="1:92" ht="15" customHeight="1">
      <c r="A16" s="367"/>
      <c r="B16" s="849">
        <f>IF(E!B16&lt;&gt;"",E!B16,)</f>
        <v>0</v>
      </c>
      <c r="C16" s="451">
        <f>E!C16</f>
        <v>0</v>
      </c>
      <c r="D16" s="78"/>
      <c r="E16" s="521"/>
      <c r="F16" s="858"/>
      <c r="G16" s="367"/>
      <c r="H16" s="543"/>
      <c r="I16" s="853"/>
      <c r="J16" s="6"/>
      <c r="K16" s="541"/>
      <c r="L16" s="860"/>
      <c r="M16" s="20" t="str">
        <f>IF(J16="","",$M$5-SUM($J$7:J16))</f>
        <v/>
      </c>
      <c r="N16" s="367"/>
      <c r="O16" s="7"/>
      <c r="P16" s="873">
        <f>IF(E!Q16&lt;&gt;E!R16,IF(E!Q16&lt;&gt;0,IF(E!S16&lt;&gt;E!T16,E!P16,),),)</f>
        <v>0</v>
      </c>
      <c r="Q16" s="795">
        <f>IF(E!Q16&lt;&gt;E!R16,IF(E!Q16&lt;&gt;0,IF(E!S16&lt;&gt;E!T16,E!Q16,),),)</f>
        <v>0</v>
      </c>
      <c r="R16" s="628">
        <f>IF(E!Q16&lt;&gt;E!R16,IF(E!Q16&lt;&gt;0,IF(E!S16&lt;&gt;E!T16,0,Q16),Q16),Q16)</f>
        <v>0</v>
      </c>
      <c r="S16" s="796">
        <f>IF(E!Q16&lt;&gt;E!R16,IF(E!Q16&lt;&gt;0,IF(E!S16&lt;&gt;E!T16,E!S16+1,),),)</f>
        <v>0</v>
      </c>
      <c r="T16" s="796">
        <f>IF(E!Q16&lt;&gt;E!R16,IF(E!Q16&lt;&gt;0,IF(E!S16&lt;&gt;E!T16,E!T16,),),)</f>
        <v>0</v>
      </c>
      <c r="U16" s="797">
        <f>IF(E!Q16&lt;&gt;E!R16,IF(E!Q16&lt;&gt;0,IF(E!S16&lt;&gt;E!T16,E!U16,),),)</f>
        <v>0</v>
      </c>
      <c r="V16" s="875">
        <f>IF(E!Q16&lt;&gt;E!R16,IF(E!Q16&lt;&gt;0,IF(E!S16&lt;&gt;E!T16,E!V16,),),)</f>
        <v>0</v>
      </c>
      <c r="W16" s="622">
        <f>IF(Q16="","",$W$5-SUM($Q$7:Q16))</f>
        <v>0</v>
      </c>
      <c r="X16" s="395"/>
      <c r="Y16" s="144" t="str">
        <f>IF(E!Y16&lt;&gt;"",E!Y16,)</f>
        <v>Other Income</v>
      </c>
      <c r="Z16" s="456">
        <f>E!Z16</f>
        <v>0</v>
      </c>
      <c r="AA16" s="69"/>
      <c r="AB16" s="645"/>
      <c r="AC16" s="870"/>
      <c r="AD16" s="32"/>
      <c r="AE16" s="1137"/>
      <c r="AF16" s="367"/>
      <c r="AG16" s="367"/>
      <c r="AH16" s="367"/>
      <c r="AI16" s="367"/>
      <c r="AJ16" s="367"/>
      <c r="AK16" s="367"/>
      <c r="AL16" s="367"/>
      <c r="AM16" s="367"/>
      <c r="AN16" s="367"/>
      <c r="AO16" s="86"/>
      <c r="AW16" s="90">
        <f>13-AR19</f>
        <v>7</v>
      </c>
    </row>
    <row r="17" spans="1:63" ht="15" customHeight="1">
      <c r="A17" s="367"/>
      <c r="B17" s="849">
        <f>IF(E!B17&lt;&gt;"",E!B17,)</f>
        <v>0</v>
      </c>
      <c r="C17" s="451">
        <f>E!C17</f>
        <v>0</v>
      </c>
      <c r="D17" s="78"/>
      <c r="E17" s="521"/>
      <c r="F17" s="858"/>
      <c r="G17" s="367"/>
      <c r="H17" s="543"/>
      <c r="I17" s="853"/>
      <c r="J17" s="6"/>
      <c r="K17" s="541"/>
      <c r="L17" s="860"/>
      <c r="M17" s="20" t="str">
        <f>IF(J17="","",$M$5-SUM($J$7:J17))</f>
        <v/>
      </c>
      <c r="N17" s="367"/>
      <c r="O17" s="7"/>
      <c r="P17" s="871">
        <f>IF(E!Q17&lt;&gt;E!R17,IF(E!Q17&lt;&gt;0,IF(E!S17&lt;&gt;E!T17,E!P17,),),)</f>
        <v>0</v>
      </c>
      <c r="Q17" s="795">
        <f>IF(E!Q17&lt;&gt;E!R17,IF(E!Q17&lt;&gt;0,IF(E!S17&lt;&gt;E!T17,E!Q17,),),)</f>
        <v>0</v>
      </c>
      <c r="R17" s="628">
        <f>IF(E!Q17&lt;&gt;E!R17,IF(E!Q17&lt;&gt;0,IF(E!S17&lt;&gt;E!T17,0,Q17),Q17),Q17)</f>
        <v>0</v>
      </c>
      <c r="S17" s="796">
        <f>IF(E!Q17&lt;&gt;E!R17,IF(E!Q17&lt;&gt;0,IF(E!S17&lt;&gt;E!T17,E!S17+1,),),)</f>
        <v>0</v>
      </c>
      <c r="T17" s="796">
        <f>IF(E!Q17&lt;&gt;E!R17,IF(E!Q17&lt;&gt;0,IF(E!S17&lt;&gt;E!T17,E!T17,),),)</f>
        <v>0</v>
      </c>
      <c r="U17" s="797">
        <f>IF(E!Q17&lt;&gt;E!R17,IF(E!Q17&lt;&gt;0,IF(E!S17&lt;&gt;E!T17,E!U17,),),)</f>
        <v>0</v>
      </c>
      <c r="V17" s="875">
        <f>IF(E!Q17&lt;&gt;E!R17,IF(E!Q17&lt;&gt;0,IF(E!S17&lt;&gt;E!T17,E!V17,),),)</f>
        <v>0</v>
      </c>
      <c r="W17" s="624">
        <f>IF(Q17="","",$W$5-SUM($Q$7:Q17))</f>
        <v>0</v>
      </c>
      <c r="X17" s="621"/>
      <c r="Y17" s="18" t="s">
        <v>179</v>
      </c>
      <c r="Z17" s="17">
        <f>SUM(Z6:Z16)</f>
        <v>0</v>
      </c>
      <c r="AA17" s="19">
        <f>SUM(AA6:AA16)</f>
        <v>0</v>
      </c>
      <c r="AB17" s="642"/>
      <c r="AC17" s="642"/>
      <c r="AD17" s="33"/>
      <c r="AE17" s="1137"/>
      <c r="AF17" s="367"/>
      <c r="AG17" s="367"/>
      <c r="AH17" s="367"/>
      <c r="AI17" s="367"/>
      <c r="AJ17" s="367"/>
      <c r="AK17" s="367"/>
      <c r="AL17" s="367"/>
      <c r="AM17" s="367"/>
      <c r="AN17" s="367"/>
      <c r="AO17" s="86"/>
    </row>
    <row r="18" spans="1:63" ht="15" customHeight="1" thickBot="1">
      <c r="A18" s="367"/>
      <c r="B18" s="16" t="s">
        <v>179</v>
      </c>
      <c r="C18" s="77">
        <f>SUM(C7:C17)</f>
        <v>0</v>
      </c>
      <c r="D18" s="75">
        <f>SUM(D7:D17)</f>
        <v>0</v>
      </c>
      <c r="E18" s="515"/>
      <c r="F18" s="515"/>
      <c r="G18" s="367"/>
      <c r="H18" s="543"/>
      <c r="I18" s="853"/>
      <c r="J18" s="6"/>
      <c r="K18" s="541"/>
      <c r="L18" s="860"/>
      <c r="M18" s="20" t="str">
        <f>IF(J18="","",$M$5-SUM($J$7:J18))</f>
        <v/>
      </c>
      <c r="N18" s="367"/>
      <c r="O18" s="7"/>
      <c r="P18" s="873">
        <f>IF(E!Q18&lt;&gt;E!R18,IF(E!Q18&lt;&gt;0,IF(E!S18&lt;&gt;E!T18,E!P18,),),)</f>
        <v>0</v>
      </c>
      <c r="Q18" s="795">
        <f>IF(E!Q18&lt;&gt;E!R18,IF(E!Q18&lt;&gt;0,IF(E!S18&lt;&gt;E!T18,E!Q18,),),)</f>
        <v>0</v>
      </c>
      <c r="R18" s="628">
        <f>IF(E!Q18&lt;&gt;E!R18,IF(E!Q18&lt;&gt;0,IF(E!S18&lt;&gt;E!T18,0,Q18),Q18),Q18)</f>
        <v>0</v>
      </c>
      <c r="S18" s="796">
        <f>IF(E!Q18&lt;&gt;E!R18,IF(E!Q18&lt;&gt;0,IF(E!S18&lt;&gt;E!T18,E!S18+1,),),)</f>
        <v>0</v>
      </c>
      <c r="T18" s="796">
        <f>IF(E!Q18&lt;&gt;E!R18,IF(E!Q18&lt;&gt;0,IF(E!S18&lt;&gt;E!T18,E!T18,),),)</f>
        <v>0</v>
      </c>
      <c r="U18" s="797">
        <f>IF(E!Q18&lt;&gt;E!R18,IF(E!Q18&lt;&gt;0,IF(E!S18&lt;&gt;E!T18,E!U18,),),)</f>
        <v>0</v>
      </c>
      <c r="V18" s="875">
        <f>IF(E!Q18&lt;&gt;E!R18,IF(E!Q18&lt;&gt;0,IF(E!S18&lt;&gt;E!T18,E!V18,),),)</f>
        <v>0</v>
      </c>
      <c r="W18" s="622">
        <f>IF(Q18="","",$W$5-SUM($Q$7:Q18))</f>
        <v>0</v>
      </c>
      <c r="X18" s="395"/>
      <c r="Y18" s="1204" t="s">
        <v>367</v>
      </c>
      <c r="Z18" s="1205"/>
      <c r="AA18" s="121">
        <f>AA17-AA4</f>
        <v>0</v>
      </c>
      <c r="AB18" s="643"/>
      <c r="AC18" s="643"/>
      <c r="AD18" s="34"/>
      <c r="AE18" s="1137"/>
      <c r="AF18" s="367"/>
      <c r="AG18" s="376"/>
      <c r="AH18" s="885" t="s">
        <v>401</v>
      </c>
      <c r="AI18" s="367"/>
      <c r="AJ18" s="367"/>
      <c r="AK18" s="367"/>
      <c r="AL18" s="367"/>
      <c r="AM18" s="367"/>
      <c r="AN18" s="367"/>
      <c r="AO18" s="86"/>
      <c r="AR18" s="52" t="s">
        <v>5</v>
      </c>
    </row>
    <row r="19" spans="1:63" ht="15" customHeight="1" thickBot="1">
      <c r="A19" s="367"/>
      <c r="B19" s="95" t="s">
        <v>367</v>
      </c>
      <c r="C19" s="98"/>
      <c r="D19" s="97">
        <f>C18-D18</f>
        <v>0</v>
      </c>
      <c r="E19" s="516"/>
      <c r="F19" s="516"/>
      <c r="G19" s="367"/>
      <c r="H19" s="543"/>
      <c r="I19" s="853"/>
      <c r="J19" s="6"/>
      <c r="K19" s="541"/>
      <c r="L19" s="860"/>
      <c r="M19" s="20" t="str">
        <f>IF(J19="","",$M$5-SUM($J$7:J19))</f>
        <v/>
      </c>
      <c r="N19" s="367"/>
      <c r="O19" s="7"/>
      <c r="P19" s="871">
        <f>IF(E!Q19&lt;&gt;E!R19,IF(E!Q19&lt;&gt;0,IF(E!S19&lt;&gt;E!T19,E!P19,),),)</f>
        <v>0</v>
      </c>
      <c r="Q19" s="795">
        <f>IF(E!Q19&lt;&gt;E!R19,IF(E!Q19&lt;&gt;0,IF(E!S19&lt;&gt;E!T19,E!Q19,),),)</f>
        <v>0</v>
      </c>
      <c r="R19" s="628">
        <f>IF(E!Q19&lt;&gt;E!R19,IF(E!Q19&lt;&gt;0,IF(E!S19&lt;&gt;E!T19,0,Q19),Q19),Q19)</f>
        <v>0</v>
      </c>
      <c r="S19" s="796">
        <f>IF(E!Q19&lt;&gt;E!R19,IF(E!Q19&lt;&gt;0,IF(E!S19&lt;&gt;E!T19,E!S19+1,),),)</f>
        <v>0</v>
      </c>
      <c r="T19" s="796">
        <f>IF(E!Q19&lt;&gt;E!R19,IF(E!Q19&lt;&gt;0,IF(E!S19&lt;&gt;E!T19,E!T19,),),)</f>
        <v>0</v>
      </c>
      <c r="U19" s="797">
        <f>IF(E!Q19&lt;&gt;E!R19,IF(E!Q19&lt;&gt;0,IF(E!S19&lt;&gt;E!T19,E!U19,),),)</f>
        <v>0</v>
      </c>
      <c r="V19" s="875">
        <f>IF(E!Q19&lt;&gt;E!R19,IF(E!Q19&lt;&gt;0,IF(E!S19&lt;&gt;E!T19,E!V19,),),)</f>
        <v>0</v>
      </c>
      <c r="W19" s="622">
        <f>IF(Q19="","",$W$5-SUM($Q$7:Q19))</f>
        <v>0</v>
      </c>
      <c r="X19" s="395"/>
      <c r="Y19" s="378"/>
      <c r="Z19" s="378"/>
      <c r="AA19" s="378"/>
      <c r="AB19" s="378"/>
      <c r="AC19" s="378"/>
      <c r="AD19" s="9"/>
      <c r="AE19" s="1137"/>
      <c r="AF19" s="367"/>
      <c r="AG19" s="373"/>
      <c r="AH19" s="886" t="s">
        <v>402</v>
      </c>
      <c r="AI19" s="367"/>
      <c r="AJ19" s="367"/>
      <c r="AK19" s="367"/>
      <c r="AL19" s="367"/>
      <c r="AM19" s="367"/>
      <c r="AN19" s="367"/>
      <c r="AO19" s="86"/>
      <c r="AR19" s="88">
        <v>6</v>
      </c>
      <c r="AV19" s="476" t="s">
        <v>14</v>
      </c>
    </row>
    <row r="20" spans="1:63" ht="15" customHeight="1" thickBot="1">
      <c r="A20" s="367"/>
      <c r="B20" s="1095" t="str">
        <f>IF(D19&gt;0,"Unexpected positive difference - Check why!","")</f>
        <v/>
      </c>
      <c r="C20" s="1095"/>
      <c r="D20" s="1095"/>
      <c r="E20" s="514"/>
      <c r="F20" s="514"/>
      <c r="G20" s="367"/>
      <c r="H20" s="543"/>
      <c r="I20" s="853"/>
      <c r="J20" s="6"/>
      <c r="K20" s="541"/>
      <c r="L20" s="860"/>
      <c r="M20" s="20" t="str">
        <f>IF(J20="","",$M$5-SUM($J$7:J20))</f>
        <v/>
      </c>
      <c r="N20" s="367"/>
      <c r="O20" s="7"/>
      <c r="P20" s="871">
        <f>IF(E!Q20&lt;&gt;E!R20,IF(E!Q20&lt;&gt;0,IF(E!S20&lt;&gt;E!T20,E!P20,),),)</f>
        <v>0</v>
      </c>
      <c r="Q20" s="795">
        <f>IF(E!Q20&lt;&gt;E!R20,IF(E!Q20&lt;&gt;0,IF(E!S20&lt;&gt;E!T20,E!Q20,),),)</f>
        <v>0</v>
      </c>
      <c r="R20" s="628">
        <f>IF(E!Q20&lt;&gt;E!R20,IF(E!Q20&lt;&gt;0,IF(E!S20&lt;&gt;E!T20,0,Q20),Q20),Q20)</f>
        <v>0</v>
      </c>
      <c r="S20" s="796">
        <f>IF(E!Q20&lt;&gt;E!R20,IF(E!Q20&lt;&gt;0,IF(E!S20&lt;&gt;E!T20,E!S20+1,),),)</f>
        <v>0</v>
      </c>
      <c r="T20" s="796">
        <f>IF(E!Q20&lt;&gt;E!R20,IF(E!Q20&lt;&gt;0,IF(E!S20&lt;&gt;E!T20,E!T20,),),)</f>
        <v>0</v>
      </c>
      <c r="U20" s="797">
        <f>IF(E!Q20&lt;&gt;E!R20,IF(E!Q20&lt;&gt;0,IF(E!S20&lt;&gt;E!T20,E!U20,),),)</f>
        <v>0</v>
      </c>
      <c r="V20" s="875">
        <f>IF(E!Q20&lt;&gt;E!R20,IF(E!Q20&lt;&gt;0,IF(E!S20&lt;&gt;E!T20,E!V20,),),)</f>
        <v>0</v>
      </c>
      <c r="W20" s="622">
        <f>IF(Q20="","",$W$5-SUM($Q$7:Q20))</f>
        <v>0</v>
      </c>
      <c r="X20" s="395"/>
      <c r="Y20" s="1206" t="s">
        <v>350</v>
      </c>
      <c r="Z20" s="1207"/>
      <c r="AA20" s="1207"/>
      <c r="AB20" s="552"/>
      <c r="AC20" s="552"/>
      <c r="AD20" s="27"/>
      <c r="AE20" s="1137"/>
      <c r="AF20" s="367"/>
      <c r="AG20" s="374"/>
      <c r="AH20" s="887" t="s">
        <v>466</v>
      </c>
      <c r="AI20" s="367"/>
      <c r="AJ20" s="367"/>
      <c r="AK20" s="367"/>
      <c r="AL20" s="367"/>
      <c r="AM20" s="367"/>
      <c r="AN20" s="367"/>
      <c r="AO20" s="86"/>
      <c r="AQ20" s="1240" t="s">
        <v>29</v>
      </c>
      <c r="AR20" s="1139"/>
      <c r="AS20" s="1139"/>
      <c r="AT20" s="1140"/>
      <c r="AV20" s="476" t="s">
        <v>15</v>
      </c>
    </row>
    <row r="21" spans="1:63" ht="15" customHeight="1">
      <c r="A21" s="367"/>
      <c r="B21" s="399"/>
      <c r="C21" s="400"/>
      <c r="D21" s="400"/>
      <c r="E21" s="400"/>
      <c r="F21" s="400"/>
      <c r="G21" s="367"/>
      <c r="H21" s="543"/>
      <c r="I21" s="853"/>
      <c r="J21" s="6"/>
      <c r="K21" s="541"/>
      <c r="L21" s="860"/>
      <c r="M21" s="20" t="str">
        <f>IF(J21="","",$M$5-SUM($J$7:J21))</f>
        <v/>
      </c>
      <c r="N21" s="367"/>
      <c r="O21" s="7"/>
      <c r="P21" s="873">
        <f>IF(E!Q21&lt;&gt;E!R21,IF(E!Q21&lt;&gt;0,IF(E!S21&lt;&gt;E!T21,E!P21,),),)</f>
        <v>0</v>
      </c>
      <c r="Q21" s="795">
        <f>IF(E!Q21&lt;&gt;E!R21,IF(E!Q21&lt;&gt;0,IF(E!S21&lt;&gt;E!T21,E!Q21,),),)</f>
        <v>0</v>
      </c>
      <c r="R21" s="628">
        <f>IF(E!Q21&lt;&gt;E!R21,IF(E!Q21&lt;&gt;0,IF(E!S21&lt;&gt;E!T21,0,Q21),Q21),Q21)</f>
        <v>0</v>
      </c>
      <c r="S21" s="796">
        <f>IF(E!Q21&lt;&gt;E!R21,IF(E!Q21&lt;&gt;0,IF(E!S21&lt;&gt;E!T21,E!S21+1,),),)</f>
        <v>0</v>
      </c>
      <c r="T21" s="796">
        <f>IF(E!Q21&lt;&gt;E!R21,IF(E!Q21&lt;&gt;0,IF(E!S21&lt;&gt;E!T21,E!T21,),),)</f>
        <v>0</v>
      </c>
      <c r="U21" s="797">
        <f>IF(E!Q21&lt;&gt;E!R21,IF(E!Q21&lt;&gt;0,IF(E!S21&lt;&gt;E!T21,E!U21,),),)</f>
        <v>0</v>
      </c>
      <c r="V21" s="875">
        <f>IF(E!Q21&lt;&gt;E!R21,IF(E!Q21&lt;&gt;0,IF(E!S21&lt;&gt;E!T21,E!V21,),),)</f>
        <v>0</v>
      </c>
      <c r="W21" s="622">
        <f>IF(Q21="","",$W$5-SUM($Q$7:Q21))</f>
        <v>0</v>
      </c>
      <c r="X21" s="395"/>
      <c r="Y21" s="1187" t="s">
        <v>353</v>
      </c>
      <c r="Z21" s="1189" t="s">
        <v>354</v>
      </c>
      <c r="AA21" s="1210" t="s">
        <v>494</v>
      </c>
      <c r="AB21" s="719"/>
      <c r="AC21" s="720"/>
      <c r="AD21" s="1148" t="s">
        <v>2</v>
      </c>
      <c r="AE21" s="1141" t="s">
        <v>406</v>
      </c>
      <c r="AG21" s="1242" t="s">
        <v>405</v>
      </c>
      <c r="AH21" s="887" t="s">
        <v>403</v>
      </c>
      <c r="AI21" s="367"/>
      <c r="AJ21" s="367"/>
      <c r="AK21" s="367"/>
      <c r="AL21" s="367"/>
      <c r="AM21" s="367"/>
      <c r="AN21" s="367"/>
      <c r="AO21" s="86"/>
      <c r="AP21" s="89" t="s">
        <v>3</v>
      </c>
      <c r="AQ21" s="475" t="s">
        <v>7</v>
      </c>
      <c r="AR21" s="1229" t="s">
        <v>11</v>
      </c>
      <c r="AS21" s="476"/>
      <c r="AT21" s="476"/>
      <c r="AU21" s="476"/>
      <c r="AV21" s="476" t="s">
        <v>16</v>
      </c>
      <c r="AW21" s="476"/>
      <c r="AX21" s="90" t="s">
        <v>0</v>
      </c>
    </row>
    <row r="22" spans="1:63" ht="15.75" customHeight="1" thickBot="1">
      <c r="A22" s="367"/>
      <c r="B22" s="401" t="s">
        <v>349</v>
      </c>
      <c r="C22" s="402"/>
      <c r="D22" s="378"/>
      <c r="E22" s="378"/>
      <c r="F22" s="378"/>
      <c r="G22" s="367"/>
      <c r="H22" s="543"/>
      <c r="I22" s="853"/>
      <c r="J22" s="6"/>
      <c r="K22" s="541"/>
      <c r="L22" s="860"/>
      <c r="M22" s="20" t="str">
        <f>IF(J22="","",$M$5-SUM($J$7:J22))</f>
        <v/>
      </c>
      <c r="N22" s="367"/>
      <c r="O22" s="7"/>
      <c r="P22" s="871">
        <f>IF(E!Q22&lt;&gt;E!R22,IF(E!Q22&lt;&gt;0,IF(E!S22&lt;&gt;E!T22,E!P22,),),)</f>
        <v>0</v>
      </c>
      <c r="Q22" s="795">
        <f>IF(E!Q22&lt;&gt;E!R22,IF(E!Q22&lt;&gt;0,IF(E!S22&lt;&gt;E!T22,E!Q22,),),)</f>
        <v>0</v>
      </c>
      <c r="R22" s="628">
        <f>IF(E!Q22&lt;&gt;E!R22,IF(E!Q22&lt;&gt;0,IF(E!S22&lt;&gt;E!T22,0,Q22),Q22),Q22)</f>
        <v>0</v>
      </c>
      <c r="S22" s="796">
        <f>IF(E!Q22&lt;&gt;E!R22,IF(E!Q22&lt;&gt;0,IF(E!S22&lt;&gt;E!T22,E!S22+1,),),)</f>
        <v>0</v>
      </c>
      <c r="T22" s="796">
        <f>IF(E!Q22&lt;&gt;E!R22,IF(E!Q22&lt;&gt;0,IF(E!S22&lt;&gt;E!T22,E!T22,),),)</f>
        <v>0</v>
      </c>
      <c r="U22" s="797">
        <f>IF(E!Q22&lt;&gt;E!R22,IF(E!Q22&lt;&gt;0,IF(E!S22&lt;&gt;E!T22,E!U22,),),)</f>
        <v>0</v>
      </c>
      <c r="V22" s="875">
        <f>IF(E!Q22&lt;&gt;E!R22,IF(E!Q22&lt;&gt;0,IF(E!S22&lt;&gt;E!T22,E!V22,),),)</f>
        <v>0</v>
      </c>
      <c r="W22" s="622">
        <f>IF(Q22="","",$W$5-SUM($Q$7:Q22))</f>
        <v>0</v>
      </c>
      <c r="X22" s="395"/>
      <c r="Y22" s="1188"/>
      <c r="Z22" s="1241"/>
      <c r="AA22" s="1211"/>
      <c r="AB22" s="719"/>
      <c r="AC22" s="721"/>
      <c r="AD22" s="1148"/>
      <c r="AE22" s="1141"/>
      <c r="AF22" s="367"/>
      <c r="AG22" s="1243"/>
      <c r="AH22" s="367"/>
      <c r="AI22" s="367"/>
      <c r="AJ22" s="367"/>
      <c r="AK22" s="367"/>
      <c r="AL22" s="367"/>
      <c r="AM22" s="367"/>
      <c r="AN22" s="367"/>
      <c r="AO22" s="86"/>
      <c r="AP22" s="90" t="s">
        <v>9</v>
      </c>
      <c r="AQ22" s="475" t="s">
        <v>10</v>
      </c>
      <c r="AR22" s="1229"/>
      <c r="AS22" s="475" t="s">
        <v>8</v>
      </c>
      <c r="AT22" s="475" t="s">
        <v>6</v>
      </c>
      <c r="AU22" s="476"/>
      <c r="AV22" s="475" t="s">
        <v>17</v>
      </c>
      <c r="AW22" s="475" t="s">
        <v>18</v>
      </c>
      <c r="AX22" s="706" t="s">
        <v>19</v>
      </c>
      <c r="AZ22" s="725" t="s">
        <v>31</v>
      </c>
      <c r="BA22" s="724"/>
      <c r="BB22" s="724"/>
      <c r="BC22" s="724"/>
      <c r="BD22" s="724"/>
      <c r="BE22" s="724"/>
      <c r="BF22" s="724"/>
      <c r="BG22" s="724"/>
      <c r="BH22" s="724"/>
      <c r="BJ22" s="724"/>
      <c r="BK22" s="724"/>
    </row>
    <row r="23" spans="1:63" ht="15.75">
      <c r="A23" s="367"/>
      <c r="B23" s="1102" t="s">
        <v>428</v>
      </c>
      <c r="C23" s="1104">
        <f ca="1">C40</f>
        <v>0</v>
      </c>
      <c r="D23" s="1105"/>
      <c r="E23" s="1091"/>
      <c r="F23" s="1092"/>
      <c r="G23" s="367"/>
      <c r="H23" s="543"/>
      <c r="I23" s="853"/>
      <c r="J23" s="6"/>
      <c r="K23" s="541"/>
      <c r="L23" s="860"/>
      <c r="M23" s="20" t="str">
        <f>IF(J23="","",$M$5-SUM($J$7:J23))</f>
        <v/>
      </c>
      <c r="N23" s="367"/>
      <c r="O23" s="7"/>
      <c r="P23" s="873">
        <f>IF(E!Q23&lt;&gt;E!R23,IF(E!Q23&lt;&gt;0,IF(E!S23&lt;&gt;E!T23,E!P23,),),)</f>
        <v>0</v>
      </c>
      <c r="Q23" s="795">
        <f>IF(E!Q23&lt;&gt;E!R23,IF(E!Q23&lt;&gt;0,IF(E!S23&lt;&gt;E!T23,E!Q23,),),)</f>
        <v>0</v>
      </c>
      <c r="R23" s="628">
        <f>IF(E!Q23&lt;&gt;E!R23,IF(E!Q23&lt;&gt;0,IF(E!S23&lt;&gt;E!T23,0,Q23),Q23),Q23)</f>
        <v>0</v>
      </c>
      <c r="S23" s="796">
        <f>IF(E!Q23&lt;&gt;E!R23,IF(E!Q23&lt;&gt;0,IF(E!S23&lt;&gt;E!T23,E!S23+1,),),)</f>
        <v>0</v>
      </c>
      <c r="T23" s="796">
        <f>IF(E!Q23&lt;&gt;E!R23,IF(E!Q23&lt;&gt;0,IF(E!S23&lt;&gt;E!T23,E!T23,),),)</f>
        <v>0</v>
      </c>
      <c r="U23" s="797">
        <f>IF(E!Q23&lt;&gt;E!R23,IF(E!Q23&lt;&gt;0,IF(E!S23&lt;&gt;E!T23,E!U23,),),)</f>
        <v>0</v>
      </c>
      <c r="V23" s="875">
        <f>IF(E!Q23&lt;&gt;E!R23,IF(E!Q23&lt;&gt;0,IF(E!S23&lt;&gt;E!T23,E!V23,),),)</f>
        <v>0</v>
      </c>
      <c r="W23" s="622">
        <f>IF(Q23="","",$W$5-SUM($Q$7:Q23))</f>
        <v>0</v>
      </c>
      <c r="X23" s="395"/>
      <c r="Y23" s="905" t="str">
        <f>IF(E!Y23&lt;&gt;"",E!Y23,)</f>
        <v>Municipal Taxes</v>
      </c>
      <c r="Z23" s="457">
        <f>E!Z23</f>
        <v>0</v>
      </c>
      <c r="AA23" s="21">
        <f t="shared" ref="AA23:AA44" si="0">SUMIF($P$7:$P$110,Y23,$Q$7:$Q$110)</f>
        <v>0</v>
      </c>
      <c r="AB23" s="722"/>
      <c r="AC23" s="722"/>
      <c r="AD23" s="35">
        <f t="shared" ref="AD23:AD44" si="1">SUMIF($P$7:$P$110,Y23,$R$7:$R$110)</f>
        <v>0</v>
      </c>
      <c r="AE23" s="23">
        <f>IF(AI23=0,AX23,0)</f>
        <v>0</v>
      </c>
      <c r="AF23" s="367"/>
      <c r="AG23" s="728">
        <f t="shared" ref="AG23:AG44" si="2">IF(AZ23&gt;1,"overrun",IF(AZ23&lt;0,"OK",AZ23))</f>
        <v>0</v>
      </c>
      <c r="AH23" s="367"/>
      <c r="AI23" s="375">
        <v>0</v>
      </c>
      <c r="AJ23" s="367"/>
      <c r="AK23" s="367"/>
      <c r="AL23" s="367"/>
      <c r="AM23" s="367"/>
      <c r="AN23" s="367"/>
      <c r="AO23" s="86"/>
      <c r="AP23" s="51">
        <f t="shared" ref="AP23:AP44" si="3">IF(AI23=1,AX23,0)</f>
        <v>0</v>
      </c>
      <c r="AQ23" s="476">
        <f>E!AQ23+E!AP23</f>
        <v>0</v>
      </c>
      <c r="AR23" s="476">
        <f t="shared" ref="AR23:AR44" si="4">Z23*12-AS23-AQ23</f>
        <v>0</v>
      </c>
      <c r="AS23" s="477">
        <f>AD23+E!AS23</f>
        <v>0</v>
      </c>
      <c r="AT23" s="477">
        <f>AA23+E!AT23</f>
        <v>0</v>
      </c>
      <c r="AU23" s="476"/>
      <c r="AV23" s="477">
        <f>E!AV23-E!AD23+F!Z23-E!AP23</f>
        <v>0</v>
      </c>
      <c r="AW23" s="476">
        <f>IF(AE23&lt;0,AE23,0)</f>
        <v>0</v>
      </c>
      <c r="AX23" s="52">
        <f>IF(Z23=E!Z23,E!AE23-AD23,E!AE23+(Z23-E!Z23)*$AW$16-AD23)</f>
        <v>0</v>
      </c>
      <c r="AZ23" s="726">
        <f>(($Z23*(12-$AR$19))-$AE23)/($Z23*(12-$AR$19)+0.00001)</f>
        <v>0</v>
      </c>
    </row>
    <row r="24" spans="1:63" ht="15.75">
      <c r="A24" s="367"/>
      <c r="B24" s="1103"/>
      <c r="C24" s="1106"/>
      <c r="D24" s="1107"/>
      <c r="E24" s="1091"/>
      <c r="F24" s="1092"/>
      <c r="G24" s="367"/>
      <c r="H24" s="543"/>
      <c r="I24" s="853"/>
      <c r="J24" s="6"/>
      <c r="K24" s="541"/>
      <c r="L24" s="860"/>
      <c r="M24" s="20" t="str">
        <f>IF(J24="","",$M$5-SUM($J$7:J24))</f>
        <v/>
      </c>
      <c r="N24" s="367"/>
      <c r="O24" s="7"/>
      <c r="P24" s="873">
        <f>IF(E!Q24&lt;&gt;E!R24,IF(E!Q24&lt;&gt;0,IF(E!S24&lt;&gt;E!T24,E!P24,),),)</f>
        <v>0</v>
      </c>
      <c r="Q24" s="795">
        <f>IF(E!Q24&lt;&gt;E!R24,IF(E!Q24&lt;&gt;0,IF(E!S24&lt;&gt;E!T24,E!Q24,),),)</f>
        <v>0</v>
      </c>
      <c r="R24" s="628">
        <f>IF(E!Q24&lt;&gt;E!R24,IF(E!Q24&lt;&gt;0,IF(E!S24&lt;&gt;E!T24,0,Q24),Q24),Q24)</f>
        <v>0</v>
      </c>
      <c r="S24" s="796">
        <f>IF(E!Q24&lt;&gt;E!R24,IF(E!Q24&lt;&gt;0,IF(E!S24&lt;&gt;E!T24,E!S24+1,),),)</f>
        <v>0</v>
      </c>
      <c r="T24" s="796">
        <f>IF(E!Q24&lt;&gt;E!R24,IF(E!Q24&lt;&gt;0,IF(E!S24&lt;&gt;E!T24,E!T24,),),)</f>
        <v>0</v>
      </c>
      <c r="U24" s="797">
        <f>IF(E!Q24&lt;&gt;E!R24,IF(E!Q24&lt;&gt;0,IF(E!S24&lt;&gt;E!T24,E!U24,),),)</f>
        <v>0</v>
      </c>
      <c r="V24" s="875">
        <f>IF(E!Q24&lt;&gt;E!R24,IF(E!Q24&lt;&gt;0,IF(E!S24&lt;&gt;E!T24,E!V24,),),)</f>
        <v>0</v>
      </c>
      <c r="W24" s="622">
        <f>IF(Q24="","",$W$5-SUM($Q$7:Q24))</f>
        <v>0</v>
      </c>
      <c r="X24" s="395"/>
      <c r="Y24" s="905" t="str">
        <f>IF(E!Y24&lt;&gt;"",E!Y24,)</f>
        <v>Water and Sewage</v>
      </c>
      <c r="Z24" s="457">
        <f>E!Z24</f>
        <v>0</v>
      </c>
      <c r="AA24" s="20">
        <f t="shared" si="0"/>
        <v>0</v>
      </c>
      <c r="AB24" s="723"/>
      <c r="AC24" s="723"/>
      <c r="AD24" s="36">
        <f t="shared" si="1"/>
        <v>0</v>
      </c>
      <c r="AE24" s="23">
        <f t="shared" ref="AE24:AE44" si="5">IF(AI24=0,AX24,0)</f>
        <v>0</v>
      </c>
      <c r="AF24" s="367"/>
      <c r="AG24" s="728">
        <f t="shared" si="2"/>
        <v>0</v>
      </c>
      <c r="AH24" s="367"/>
      <c r="AI24" s="375">
        <v>0</v>
      </c>
      <c r="AJ24" s="367"/>
      <c r="AK24" s="367"/>
      <c r="AL24" s="367"/>
      <c r="AM24" s="367"/>
      <c r="AN24" s="367"/>
      <c r="AO24" s="86"/>
      <c r="AP24" s="51">
        <f t="shared" si="3"/>
        <v>0</v>
      </c>
      <c r="AQ24" s="476">
        <f>E!AQ24+E!AP24</f>
        <v>0</v>
      </c>
      <c r="AR24" s="476">
        <f t="shared" si="4"/>
        <v>0</v>
      </c>
      <c r="AS24" s="477">
        <f>AD24+E!AS24</f>
        <v>0</v>
      </c>
      <c r="AT24" s="477">
        <f>AA24+E!AT24</f>
        <v>0</v>
      </c>
      <c r="AU24" s="476"/>
      <c r="AV24" s="477">
        <f>E!AV24-E!AD24+F!Z24-E!AP24</f>
        <v>0</v>
      </c>
      <c r="AW24" s="476">
        <f t="shared" ref="AW24:AW44" si="6">IF(AE24&lt;0,AE24,0)</f>
        <v>0</v>
      </c>
      <c r="AX24" s="52">
        <f>IF(Z24=E!Z24,E!AE24-AD24,E!AE24+(Z24-E!Z24)*$AW$16-AD24)</f>
        <v>0</v>
      </c>
      <c r="AZ24" s="726">
        <f t="shared" ref="AZ24:AZ44" si="7">(($Z24*(12-$AR$19))-$AE24)/($Z24*(12-$AR$19)+0.00001)</f>
        <v>0</v>
      </c>
    </row>
    <row r="25" spans="1:63" ht="16.5" thickBot="1">
      <c r="A25" s="367"/>
      <c r="B25" s="1178" t="s">
        <v>388</v>
      </c>
      <c r="C25" s="1118" t="s">
        <v>354</v>
      </c>
      <c r="D25" s="1180" t="s">
        <v>494</v>
      </c>
      <c r="E25" s="1109" t="s">
        <v>380</v>
      </c>
      <c r="F25" s="1108" t="s">
        <v>335</v>
      </c>
      <c r="G25" s="367"/>
      <c r="H25" s="543"/>
      <c r="I25" s="853"/>
      <c r="J25" s="6"/>
      <c r="K25" s="541"/>
      <c r="L25" s="860"/>
      <c r="M25" s="20" t="str">
        <f>IF(J25="","",$M$5-SUM($J$7:J25))</f>
        <v/>
      </c>
      <c r="N25" s="367"/>
      <c r="O25" s="7"/>
      <c r="P25" s="873">
        <f>IF(E!Q25&lt;&gt;E!R25,IF(E!Q25&lt;&gt;0,IF(E!S25&lt;&gt;E!T25,E!P25,),),)</f>
        <v>0</v>
      </c>
      <c r="Q25" s="795">
        <f>IF(E!Q25&lt;&gt;E!R25,IF(E!Q25&lt;&gt;0,IF(E!S25&lt;&gt;E!T25,E!Q25,),),)</f>
        <v>0</v>
      </c>
      <c r="R25" s="628">
        <f>IF(E!Q25&lt;&gt;E!R25,IF(E!Q25&lt;&gt;0,IF(E!S25&lt;&gt;E!T25,0,Q25),Q25),Q25)</f>
        <v>0</v>
      </c>
      <c r="S25" s="796">
        <f>IF(E!Q25&lt;&gt;E!R25,IF(E!Q25&lt;&gt;0,IF(E!S25&lt;&gt;E!T25,E!S25+1,),),)</f>
        <v>0</v>
      </c>
      <c r="T25" s="796">
        <f>IF(E!Q25&lt;&gt;E!R25,IF(E!Q25&lt;&gt;0,IF(E!S25&lt;&gt;E!T25,E!T25,),),)</f>
        <v>0</v>
      </c>
      <c r="U25" s="797">
        <f>IF(E!Q25&lt;&gt;E!R25,IF(E!Q25&lt;&gt;0,IF(E!S25&lt;&gt;E!T25,E!U25,),),)</f>
        <v>0</v>
      </c>
      <c r="V25" s="875">
        <f>IF(E!Q25&lt;&gt;E!R25,IF(E!Q25&lt;&gt;0,IF(E!S25&lt;&gt;E!T25,E!V25,),),)</f>
        <v>0</v>
      </c>
      <c r="W25" s="622">
        <f>IF(Q25="","",$W$5-SUM($Q$7:Q25))</f>
        <v>0</v>
      </c>
      <c r="X25" s="395"/>
      <c r="Y25" s="905" t="str">
        <f>IF(E!Y25&lt;&gt;"",E!Y25,)</f>
        <v>Electricity</v>
      </c>
      <c r="Z25" s="457">
        <f>E!Z25</f>
        <v>0</v>
      </c>
      <c r="AA25" s="20">
        <f t="shared" si="0"/>
        <v>0</v>
      </c>
      <c r="AB25" s="723"/>
      <c r="AC25" s="723"/>
      <c r="AD25" s="36">
        <f t="shared" si="1"/>
        <v>0</v>
      </c>
      <c r="AE25" s="23">
        <f t="shared" si="5"/>
        <v>0</v>
      </c>
      <c r="AF25" s="367"/>
      <c r="AG25" s="728">
        <f t="shared" si="2"/>
        <v>0</v>
      </c>
      <c r="AH25" s="367"/>
      <c r="AI25" s="375">
        <v>0</v>
      </c>
      <c r="AJ25" s="367"/>
      <c r="AK25" s="367"/>
      <c r="AL25" s="367"/>
      <c r="AM25" s="367"/>
      <c r="AN25" s="367"/>
      <c r="AO25" s="86"/>
      <c r="AP25" s="51">
        <f t="shared" si="3"/>
        <v>0</v>
      </c>
      <c r="AQ25" s="476">
        <f>E!AQ25+E!AP25</f>
        <v>0</v>
      </c>
      <c r="AR25" s="476">
        <f t="shared" si="4"/>
        <v>0</v>
      </c>
      <c r="AS25" s="477">
        <f>AD25+E!AS25</f>
        <v>0</v>
      </c>
      <c r="AT25" s="477">
        <f>AA25+E!AT25</f>
        <v>0</v>
      </c>
      <c r="AU25" s="476"/>
      <c r="AV25" s="477">
        <f>E!AV25-E!AD25+F!Z25-E!AP25</f>
        <v>0</v>
      </c>
      <c r="AW25" s="476">
        <f t="shared" si="6"/>
        <v>0</v>
      </c>
      <c r="AX25" s="52">
        <f>IF(Z25=E!Z25,E!AE25-AD25,E!AE25+(Z25-E!Z25)*$AW$16-AD25)</f>
        <v>0</v>
      </c>
      <c r="AZ25" s="726">
        <f t="shared" si="7"/>
        <v>0</v>
      </c>
    </row>
    <row r="26" spans="1:63" ht="15.75">
      <c r="A26" s="367"/>
      <c r="B26" s="1179"/>
      <c r="C26" s="1119"/>
      <c r="D26" s="1181"/>
      <c r="E26" s="1109"/>
      <c r="F26" s="1108"/>
      <c r="G26" s="367"/>
      <c r="H26" s="543"/>
      <c r="I26" s="853"/>
      <c r="J26" s="6"/>
      <c r="K26" s="541"/>
      <c r="L26" s="860"/>
      <c r="M26" s="20" t="str">
        <f>IF(J26="","",$M$5-SUM($J$7:J26))</f>
        <v/>
      </c>
      <c r="N26" s="367"/>
      <c r="O26" s="7"/>
      <c r="P26" s="873">
        <f>IF(E!Q26&lt;&gt;E!R26,IF(E!Q26&lt;&gt;0,IF(E!S26&lt;&gt;E!T26,E!P26,),),)</f>
        <v>0</v>
      </c>
      <c r="Q26" s="795">
        <f>IF(E!Q26&lt;&gt;E!R26,IF(E!Q26&lt;&gt;0,IF(E!S26&lt;&gt;E!T26,E!Q26,),),)</f>
        <v>0</v>
      </c>
      <c r="R26" s="628">
        <f>IF(E!Q26&lt;&gt;E!R26,IF(E!Q26&lt;&gt;0,IF(E!S26&lt;&gt;E!T26,0,Q26),Q26),Q26)</f>
        <v>0</v>
      </c>
      <c r="S26" s="796">
        <f>IF(E!Q26&lt;&gt;E!R26,IF(E!Q26&lt;&gt;0,IF(E!S26&lt;&gt;E!T26,E!S26+1,),),)</f>
        <v>0</v>
      </c>
      <c r="T26" s="796">
        <f>IF(E!Q26&lt;&gt;E!R26,IF(E!Q26&lt;&gt;0,IF(E!S26&lt;&gt;E!T26,E!T26,),),)</f>
        <v>0</v>
      </c>
      <c r="U26" s="797">
        <f>IF(E!Q26&lt;&gt;E!R26,IF(E!Q26&lt;&gt;0,IF(E!S26&lt;&gt;E!T26,E!U26,),),)</f>
        <v>0</v>
      </c>
      <c r="V26" s="875">
        <f>IF(E!Q26&lt;&gt;E!R26,IF(E!Q26&lt;&gt;0,IF(E!S26&lt;&gt;E!T26,E!V26,),),)</f>
        <v>0</v>
      </c>
      <c r="W26" s="622">
        <f>IF(Q26="","",$W$5-SUM($Q$7:Q26))</f>
        <v>0</v>
      </c>
      <c r="X26" s="395"/>
      <c r="Y26" s="905" t="str">
        <f>IF(E!Y26&lt;&gt;"",E!Y26,)</f>
        <v>Gas</v>
      </c>
      <c r="Z26" s="457">
        <f>E!Z26</f>
        <v>0</v>
      </c>
      <c r="AA26" s="20">
        <f t="shared" si="0"/>
        <v>0</v>
      </c>
      <c r="AB26" s="723"/>
      <c r="AC26" s="723"/>
      <c r="AD26" s="36">
        <f t="shared" si="1"/>
        <v>0</v>
      </c>
      <c r="AE26" s="23">
        <f t="shared" si="5"/>
        <v>0</v>
      </c>
      <c r="AF26" s="367"/>
      <c r="AG26" s="728">
        <f t="shared" si="2"/>
        <v>0</v>
      </c>
      <c r="AH26" s="367"/>
      <c r="AI26" s="375">
        <v>0</v>
      </c>
      <c r="AJ26" s="367"/>
      <c r="AK26" s="525" t="s">
        <v>404</v>
      </c>
      <c r="AL26" s="526"/>
      <c r="AM26" s="367"/>
      <c r="AN26" s="367"/>
      <c r="AO26" s="86"/>
      <c r="AP26" s="51">
        <f t="shared" si="3"/>
        <v>0</v>
      </c>
      <c r="AQ26" s="476">
        <f>E!AQ26+E!AP26</f>
        <v>0</v>
      </c>
      <c r="AR26" s="476">
        <f t="shared" si="4"/>
        <v>0</v>
      </c>
      <c r="AS26" s="477">
        <f>AD26+E!AS26</f>
        <v>0</v>
      </c>
      <c r="AT26" s="477">
        <f>AA26+E!AT26</f>
        <v>0</v>
      </c>
      <c r="AU26" s="476"/>
      <c r="AV26" s="477">
        <f>E!AV26-E!AD26+F!Z26-E!AP26</f>
        <v>0</v>
      </c>
      <c r="AW26" s="476">
        <f t="shared" si="6"/>
        <v>0</v>
      </c>
      <c r="AX26" s="52">
        <f>IF(Z26=E!Z26,E!AE26-AD26,E!AE26+(Z26-E!Z26)*$AW$16-AD26)</f>
        <v>0</v>
      </c>
      <c r="AZ26" s="726">
        <f t="shared" si="7"/>
        <v>0</v>
      </c>
    </row>
    <row r="27" spans="1:63" ht="15.75">
      <c r="A27" s="367"/>
      <c r="B27" s="850">
        <f>IF(E!B27&lt;&gt;"",E!B27,)</f>
        <v>0</v>
      </c>
      <c r="C27" s="454">
        <f>E!C27</f>
        <v>0</v>
      </c>
      <c r="D27" s="74"/>
      <c r="E27" s="521"/>
      <c r="F27" s="858"/>
      <c r="G27" s="367"/>
      <c r="H27" s="543"/>
      <c r="I27" s="853"/>
      <c r="J27" s="6"/>
      <c r="K27" s="541"/>
      <c r="L27" s="860"/>
      <c r="M27" s="20" t="str">
        <f>IF(J27="","",$M$5-SUM($J$7:J27))</f>
        <v/>
      </c>
      <c r="N27" s="367"/>
      <c r="O27" s="7"/>
      <c r="P27" s="873">
        <f>IF(E!Q27&lt;&gt;E!R27,IF(E!Q27&lt;&gt;0,IF(E!S27&lt;&gt;E!T27,E!P27,),),)</f>
        <v>0</v>
      </c>
      <c r="Q27" s="795">
        <f>IF(E!Q27&lt;&gt;E!R27,IF(E!Q27&lt;&gt;0,IF(E!S27&lt;&gt;E!T27,E!Q27,),),)</f>
        <v>0</v>
      </c>
      <c r="R27" s="628">
        <f>IF(E!Q27&lt;&gt;E!R27,IF(E!Q27&lt;&gt;0,IF(E!S27&lt;&gt;E!T27,0,Q27),Q27),Q27)</f>
        <v>0</v>
      </c>
      <c r="S27" s="796">
        <f>IF(E!Q27&lt;&gt;E!R27,IF(E!Q27&lt;&gt;0,IF(E!S27&lt;&gt;E!T27,E!S27+1,),),)</f>
        <v>0</v>
      </c>
      <c r="T27" s="796">
        <f>IF(E!Q27&lt;&gt;E!R27,IF(E!Q27&lt;&gt;0,IF(E!S27&lt;&gt;E!T27,E!T27,),),)</f>
        <v>0</v>
      </c>
      <c r="U27" s="797">
        <f>IF(E!Q27&lt;&gt;E!R27,IF(E!Q27&lt;&gt;0,IF(E!S27&lt;&gt;E!T27,E!U27,),),)</f>
        <v>0</v>
      </c>
      <c r="V27" s="875">
        <f>IF(E!Q27&lt;&gt;E!R27,IF(E!Q27&lt;&gt;0,IF(E!S27&lt;&gt;E!T27,E!V27,),),)</f>
        <v>0</v>
      </c>
      <c r="W27" s="622">
        <f>IF(Q27="","",$W$5-SUM($Q$7:Q27))</f>
        <v>0</v>
      </c>
      <c r="X27" s="395"/>
      <c r="Y27" s="905" t="str">
        <f>IF(E!Y27&lt;&gt;"",E!Y27,)</f>
        <v>Heating</v>
      </c>
      <c r="Z27" s="457">
        <f>E!Z27</f>
        <v>0</v>
      </c>
      <c r="AA27" s="20">
        <f t="shared" si="0"/>
        <v>0</v>
      </c>
      <c r="AB27" s="723"/>
      <c r="AC27" s="723"/>
      <c r="AD27" s="36">
        <f t="shared" si="1"/>
        <v>0</v>
      </c>
      <c r="AE27" s="23">
        <f t="shared" si="5"/>
        <v>0</v>
      </c>
      <c r="AF27" s="367"/>
      <c r="AG27" s="728">
        <f t="shared" si="2"/>
        <v>0</v>
      </c>
      <c r="AH27" s="367"/>
      <c r="AI27" s="375">
        <v>0</v>
      </c>
      <c r="AJ27" s="367"/>
      <c r="AK27" s="527"/>
      <c r="AL27" s="394"/>
      <c r="AM27" s="367"/>
      <c r="AN27" s="367"/>
      <c r="AO27" s="86"/>
      <c r="AP27" s="51">
        <f t="shared" si="3"/>
        <v>0</v>
      </c>
      <c r="AQ27" s="476">
        <f>E!AQ27+E!AP27</f>
        <v>0</v>
      </c>
      <c r="AR27" s="476">
        <f t="shared" si="4"/>
        <v>0</v>
      </c>
      <c r="AS27" s="477">
        <f>AD27+E!AS27</f>
        <v>0</v>
      </c>
      <c r="AT27" s="477">
        <f>AA27+E!AT27</f>
        <v>0</v>
      </c>
      <c r="AU27" s="476"/>
      <c r="AV27" s="477">
        <f>E!AV27-E!AD27+F!Z27-E!AP27</f>
        <v>0</v>
      </c>
      <c r="AW27" s="476">
        <f t="shared" si="6"/>
        <v>0</v>
      </c>
      <c r="AX27" s="52">
        <f>IF(Z27=E!Z27,E!AE27-AD27,E!AE27+(Z27-E!Z27)*$AW$16-AD27)</f>
        <v>0</v>
      </c>
      <c r="AZ27" s="726">
        <f t="shared" si="7"/>
        <v>0</v>
      </c>
    </row>
    <row r="28" spans="1:63" ht="15" customHeight="1">
      <c r="A28" s="367"/>
      <c r="B28" s="850">
        <f ca="1">IF(E!B28&lt;&gt;"",E!B28,)</f>
        <v>0</v>
      </c>
      <c r="C28" s="454">
        <f ca="1">E!C28</f>
        <v>0</v>
      </c>
      <c r="D28" s="74"/>
      <c r="E28" s="521"/>
      <c r="F28" s="858"/>
      <c r="G28" s="367"/>
      <c r="H28" s="543"/>
      <c r="I28" s="853"/>
      <c r="J28" s="6"/>
      <c r="K28" s="541"/>
      <c r="L28" s="860"/>
      <c r="M28" s="20" t="str">
        <f>IF(J28="","",$M$5-SUM($J$7:J28))</f>
        <v/>
      </c>
      <c r="N28" s="367"/>
      <c r="O28" s="7"/>
      <c r="P28" s="873">
        <f>IF(E!Q28&lt;&gt;E!R28,IF(E!Q28&lt;&gt;0,IF(E!S28&lt;&gt;E!T28,E!P28,),),)</f>
        <v>0</v>
      </c>
      <c r="Q28" s="795">
        <f>IF(E!Q28&lt;&gt;E!R28,IF(E!Q28&lt;&gt;0,IF(E!S28&lt;&gt;E!T28,E!Q28,),),)</f>
        <v>0</v>
      </c>
      <c r="R28" s="628">
        <f>IF(E!Q28&lt;&gt;E!R28,IF(E!Q28&lt;&gt;0,IF(E!S28&lt;&gt;E!T28,0,Q28),Q28),Q28)</f>
        <v>0</v>
      </c>
      <c r="S28" s="796">
        <f>IF(E!Q28&lt;&gt;E!R28,IF(E!Q28&lt;&gt;0,IF(E!S28&lt;&gt;E!T28,E!S28+1,),),)</f>
        <v>0</v>
      </c>
      <c r="T28" s="796">
        <f>IF(E!Q28&lt;&gt;E!R28,IF(E!Q28&lt;&gt;0,IF(E!S28&lt;&gt;E!T28,E!T28,),),)</f>
        <v>0</v>
      </c>
      <c r="U28" s="797">
        <f>IF(E!Q28&lt;&gt;E!R28,IF(E!Q28&lt;&gt;0,IF(E!S28&lt;&gt;E!T28,E!U28,),),)</f>
        <v>0</v>
      </c>
      <c r="V28" s="875">
        <f>IF(E!Q28&lt;&gt;E!R28,IF(E!Q28&lt;&gt;0,IF(E!S28&lt;&gt;E!T28,E!V28,),),)</f>
        <v>0</v>
      </c>
      <c r="W28" s="622">
        <f>IF(Q28="","",$W$5-SUM($Q$7:Q28))</f>
        <v>0</v>
      </c>
      <c r="X28" s="395"/>
      <c r="Y28" s="906" t="str">
        <f>IF(E!Y28&lt;&gt;"",E!Y28,)</f>
        <v>Education/Schoolbooks</v>
      </c>
      <c r="Z28" s="457">
        <f>E!Z28</f>
        <v>0</v>
      </c>
      <c r="AA28" s="20">
        <f t="shared" si="0"/>
        <v>0</v>
      </c>
      <c r="AB28" s="723"/>
      <c r="AC28" s="723"/>
      <c r="AD28" s="36">
        <f t="shared" si="1"/>
        <v>0</v>
      </c>
      <c r="AE28" s="23">
        <f>IF(AI28=0,AX28,0)</f>
        <v>0</v>
      </c>
      <c r="AF28" s="367"/>
      <c r="AG28" s="728">
        <f t="shared" si="2"/>
        <v>0</v>
      </c>
      <c r="AH28" s="367"/>
      <c r="AI28" s="375">
        <v>0</v>
      </c>
      <c r="AJ28" s="367"/>
      <c r="AK28" s="528" t="s">
        <v>405</v>
      </c>
      <c r="AL28" s="529" t="s">
        <v>407</v>
      </c>
      <c r="AM28" s="367"/>
      <c r="AN28" s="367"/>
      <c r="AO28" s="86"/>
      <c r="AP28" s="51">
        <f t="shared" si="3"/>
        <v>0</v>
      </c>
      <c r="AQ28" s="476">
        <f>E!AQ28+E!AP28</f>
        <v>0</v>
      </c>
      <c r="AR28" s="476">
        <f t="shared" si="4"/>
        <v>0</v>
      </c>
      <c r="AS28" s="477">
        <f>AD28+E!AS28</f>
        <v>0</v>
      </c>
      <c r="AT28" s="477">
        <f>AA28+E!AT28</f>
        <v>0</v>
      </c>
      <c r="AU28" s="476"/>
      <c r="AV28" s="477">
        <f>E!AV28-E!AD28+F!Z28-E!AP28</f>
        <v>0</v>
      </c>
      <c r="AW28" s="476">
        <f t="shared" si="6"/>
        <v>0</v>
      </c>
      <c r="AX28" s="52">
        <f>IF(Z28=E!Z28,E!AE28-AD28,E!AE28+(Z28-E!Z28)*$AW$16-AD28)</f>
        <v>0</v>
      </c>
      <c r="AZ28" s="726">
        <f t="shared" si="7"/>
        <v>0</v>
      </c>
    </row>
    <row r="29" spans="1:63" ht="15" customHeight="1">
      <c r="A29" s="367"/>
      <c r="B29" s="850">
        <f ca="1">IF(E!B29&lt;&gt;"",E!B29,)</f>
        <v>0</v>
      </c>
      <c r="C29" s="454">
        <f ca="1">E!C29</f>
        <v>0</v>
      </c>
      <c r="D29" s="74"/>
      <c r="E29" s="521"/>
      <c r="F29" s="858"/>
      <c r="G29" s="367"/>
      <c r="H29" s="543"/>
      <c r="I29" s="854"/>
      <c r="J29" s="6"/>
      <c r="K29" s="541"/>
      <c r="L29" s="860"/>
      <c r="M29" s="20" t="str">
        <f>IF(J29="","",$M$5-SUM($J$7:J29))</f>
        <v/>
      </c>
      <c r="N29" s="367"/>
      <c r="O29" s="7"/>
      <c r="P29" s="873">
        <f>IF(E!Q29&lt;&gt;E!R29,IF(E!Q29&lt;&gt;0,IF(E!S29&lt;&gt;E!T29,E!P29,),),)</f>
        <v>0</v>
      </c>
      <c r="Q29" s="795">
        <f>IF(E!Q29&lt;&gt;E!R29,IF(E!Q29&lt;&gt;0,IF(E!S29&lt;&gt;E!T29,E!Q29,),),)</f>
        <v>0</v>
      </c>
      <c r="R29" s="628">
        <f>IF(E!Q29&lt;&gt;E!R29,IF(E!Q29&lt;&gt;0,IF(E!S29&lt;&gt;E!T29,0,Q29),Q29),Q29)</f>
        <v>0</v>
      </c>
      <c r="S29" s="796">
        <f>IF(E!Q29&lt;&gt;E!R29,IF(E!Q29&lt;&gt;0,IF(E!S29&lt;&gt;E!T29,E!S29+1,),),)</f>
        <v>0</v>
      </c>
      <c r="T29" s="796">
        <f>IF(E!Q29&lt;&gt;E!R29,IF(E!Q29&lt;&gt;0,IF(E!S29&lt;&gt;E!T29,E!T29,),),)</f>
        <v>0</v>
      </c>
      <c r="U29" s="797">
        <f>IF(E!Q29&lt;&gt;E!R29,IF(E!Q29&lt;&gt;0,IF(E!S29&lt;&gt;E!T29,E!U29,),),)</f>
        <v>0</v>
      </c>
      <c r="V29" s="875">
        <f>IF(E!Q29&lt;&gt;E!R29,IF(E!Q29&lt;&gt;0,IF(E!S29&lt;&gt;E!T29,E!V29,),),)</f>
        <v>0</v>
      </c>
      <c r="W29" s="622">
        <f>IF(Q29="","",$W$5-SUM($Q$7:Q29))</f>
        <v>0</v>
      </c>
      <c r="X29" s="395"/>
      <c r="Y29" s="906" t="str">
        <f>IF(E!Y29&lt;&gt;"",E!Y29,)</f>
        <v>Extracurricular Activities/Camps/Pool</v>
      </c>
      <c r="Z29" s="457">
        <f>E!Z29</f>
        <v>0</v>
      </c>
      <c r="AA29" s="20">
        <f t="shared" si="0"/>
        <v>0</v>
      </c>
      <c r="AB29" s="723"/>
      <c r="AC29" s="723"/>
      <c r="AD29" s="36">
        <f t="shared" si="1"/>
        <v>0</v>
      </c>
      <c r="AE29" s="23">
        <f t="shared" si="5"/>
        <v>0</v>
      </c>
      <c r="AF29" s="367"/>
      <c r="AG29" s="728">
        <f t="shared" si="2"/>
        <v>0</v>
      </c>
      <c r="AH29" s="367"/>
      <c r="AI29" s="375">
        <v>0</v>
      </c>
      <c r="AJ29" s="367"/>
      <c r="AK29" s="530" t="s">
        <v>32</v>
      </c>
      <c r="AL29" s="531" t="s">
        <v>33</v>
      </c>
      <c r="AM29" s="367"/>
      <c r="AN29" s="367"/>
      <c r="AO29" s="86"/>
      <c r="AP29" s="51">
        <f t="shared" si="3"/>
        <v>0</v>
      </c>
      <c r="AQ29" s="476">
        <f>E!AQ29+E!AP29</f>
        <v>0</v>
      </c>
      <c r="AR29" s="476">
        <f t="shared" si="4"/>
        <v>0</v>
      </c>
      <c r="AS29" s="477">
        <f>AD29+E!AS29</f>
        <v>0</v>
      </c>
      <c r="AT29" s="477">
        <f>AA29+E!AT29</f>
        <v>0</v>
      </c>
      <c r="AU29" s="476"/>
      <c r="AV29" s="477">
        <f>E!AV29-E!AD29+F!Z29-E!AP29</f>
        <v>0</v>
      </c>
      <c r="AW29" s="476">
        <f t="shared" si="6"/>
        <v>0</v>
      </c>
      <c r="AX29" s="52">
        <f>IF(Z29=E!Z29,E!AE29-AD29,E!AE29+(Z29-E!Z29)*$AW$16-AD29)</f>
        <v>0</v>
      </c>
      <c r="AZ29" s="726">
        <f t="shared" si="7"/>
        <v>0</v>
      </c>
    </row>
    <row r="30" spans="1:63" ht="15" customHeight="1">
      <c r="A30" s="367"/>
      <c r="B30" s="850">
        <f ca="1">IF(E!B30&lt;&gt;"",E!B30,)</f>
        <v>0</v>
      </c>
      <c r="C30" s="454">
        <f ca="1">E!C30</f>
        <v>0</v>
      </c>
      <c r="D30" s="74"/>
      <c r="E30" s="521"/>
      <c r="F30" s="858"/>
      <c r="G30" s="367"/>
      <c r="H30" s="543"/>
      <c r="I30" s="853"/>
      <c r="J30" s="6"/>
      <c r="K30" s="541"/>
      <c r="L30" s="860"/>
      <c r="M30" s="20" t="str">
        <f>IF(J30="","",$M$5-SUM($J$7:J30))</f>
        <v/>
      </c>
      <c r="N30" s="367"/>
      <c r="O30" s="7"/>
      <c r="P30" s="873">
        <f>IF(E!Q30&lt;&gt;E!R30,IF(E!Q30&lt;&gt;0,IF(E!S30&lt;&gt;E!T30,E!P30,),),)</f>
        <v>0</v>
      </c>
      <c r="Q30" s="795">
        <f>IF(E!Q30&lt;&gt;E!R30,IF(E!Q30&lt;&gt;0,IF(E!S30&lt;&gt;E!T30,E!Q30,),),)</f>
        <v>0</v>
      </c>
      <c r="R30" s="628">
        <f>IF(E!Q30&lt;&gt;E!R30,IF(E!Q30&lt;&gt;0,IF(E!S30&lt;&gt;E!T30,0,Q30),Q30),Q30)</f>
        <v>0</v>
      </c>
      <c r="S30" s="796">
        <f>IF(E!Q30&lt;&gt;E!R30,IF(E!Q30&lt;&gt;0,IF(E!S30&lt;&gt;E!T30,E!S30+1,),),)</f>
        <v>0</v>
      </c>
      <c r="T30" s="796">
        <f>IF(E!Q30&lt;&gt;E!R30,IF(E!Q30&lt;&gt;0,IF(E!S30&lt;&gt;E!T30,E!T30,),),)</f>
        <v>0</v>
      </c>
      <c r="U30" s="797">
        <f>IF(E!Q30&lt;&gt;E!R30,IF(E!Q30&lt;&gt;0,IF(E!S30&lt;&gt;E!T30,E!U30,),),)</f>
        <v>0</v>
      </c>
      <c r="V30" s="875">
        <f>IF(E!Q30&lt;&gt;E!R30,IF(E!Q30&lt;&gt;0,IF(E!S30&lt;&gt;E!T30,E!V30,),),)</f>
        <v>0</v>
      </c>
      <c r="W30" s="622">
        <f>IF(Q30="","",$W$5-SUM($Q$7:Q30))</f>
        <v>0</v>
      </c>
      <c r="X30" s="395"/>
      <c r="Y30" s="906" t="str">
        <f>IF(E!Y30&lt;&gt;"",E!Y30,)</f>
        <v xml:space="preserve">  Car Insurance and Licensing</v>
      </c>
      <c r="Z30" s="457">
        <f>E!Z30</f>
        <v>0</v>
      </c>
      <c r="AA30" s="20">
        <f t="shared" si="0"/>
        <v>0</v>
      </c>
      <c r="AB30" s="723"/>
      <c r="AC30" s="723"/>
      <c r="AD30" s="36">
        <f t="shared" si="1"/>
        <v>0</v>
      </c>
      <c r="AE30" s="23">
        <f t="shared" si="5"/>
        <v>0</v>
      </c>
      <c r="AF30" s="367"/>
      <c r="AG30" s="728">
        <f t="shared" si="2"/>
        <v>0</v>
      </c>
      <c r="AH30" s="367"/>
      <c r="AI30" s="375">
        <v>0</v>
      </c>
      <c r="AJ30" s="367"/>
      <c r="AK30" s="530" t="s">
        <v>34</v>
      </c>
      <c r="AL30" s="532" t="s">
        <v>33</v>
      </c>
      <c r="AM30" s="367"/>
      <c r="AN30" s="367"/>
      <c r="AO30" s="86"/>
      <c r="AP30" s="51">
        <f t="shared" si="3"/>
        <v>0</v>
      </c>
      <c r="AQ30" s="476">
        <f>E!AQ30+E!AP30</f>
        <v>0</v>
      </c>
      <c r="AR30" s="476">
        <f t="shared" si="4"/>
        <v>0</v>
      </c>
      <c r="AS30" s="477">
        <f>AD30+E!AS30</f>
        <v>0</v>
      </c>
      <c r="AT30" s="477">
        <f>AA30+E!AT30</f>
        <v>0</v>
      </c>
      <c r="AU30" s="476"/>
      <c r="AV30" s="477">
        <f>E!AV30-E!AD30+F!Z30-E!AP30</f>
        <v>0</v>
      </c>
      <c r="AW30" s="476">
        <f t="shared" si="6"/>
        <v>0</v>
      </c>
      <c r="AX30" s="52">
        <f>IF(Z30=E!Z30,E!AE30-AD30,E!AE30+(Z30-E!Z30)*$AW$16-AD30)</f>
        <v>0</v>
      </c>
      <c r="AZ30" s="726">
        <f t="shared" si="7"/>
        <v>0</v>
      </c>
    </row>
    <row r="31" spans="1:63" ht="15" customHeight="1">
      <c r="A31" s="367"/>
      <c r="B31" s="850">
        <f ca="1">IF(E!B31&lt;&gt;"",E!B31,)</f>
        <v>0</v>
      </c>
      <c r="C31" s="454">
        <f ca="1">E!C31</f>
        <v>0</v>
      </c>
      <c r="D31" s="74"/>
      <c r="E31" s="521"/>
      <c r="F31" s="858"/>
      <c r="G31" s="367"/>
      <c r="H31" s="543"/>
      <c r="I31" s="853"/>
      <c r="J31" s="6"/>
      <c r="K31" s="541"/>
      <c r="L31" s="860"/>
      <c r="M31" s="20" t="str">
        <f>IF(J31="","",$M$5-SUM($J$7:J31))</f>
        <v/>
      </c>
      <c r="N31" s="367"/>
      <c r="O31" s="7"/>
      <c r="P31" s="871">
        <f>IF(E!Q31&lt;&gt;E!R31,IF(E!Q31&lt;&gt;0,IF(E!S31&lt;&gt;E!T31,E!P31,),),)</f>
        <v>0</v>
      </c>
      <c r="Q31" s="795">
        <f>IF(E!Q31&lt;&gt;E!R31,IF(E!Q31&lt;&gt;0,IF(E!S31&lt;&gt;E!T31,E!Q31,),),)</f>
        <v>0</v>
      </c>
      <c r="R31" s="628">
        <f>IF(E!Q31&lt;&gt;E!R31,IF(E!Q31&lt;&gt;0,IF(E!S31&lt;&gt;E!T31,0,Q31),Q31),Q31)</f>
        <v>0</v>
      </c>
      <c r="S31" s="796">
        <f>IF(E!Q31&lt;&gt;E!R31,IF(E!Q31&lt;&gt;0,IF(E!S31&lt;&gt;E!T31,E!S31+1,),),)</f>
        <v>0</v>
      </c>
      <c r="T31" s="796">
        <f>IF(E!Q31&lt;&gt;E!R31,IF(E!Q31&lt;&gt;0,IF(E!S31&lt;&gt;E!T31,E!T31,),),)</f>
        <v>0</v>
      </c>
      <c r="U31" s="797">
        <f>IF(E!Q31&lt;&gt;E!R31,IF(E!Q31&lt;&gt;0,IF(E!S31&lt;&gt;E!T31,E!U31,),),)</f>
        <v>0</v>
      </c>
      <c r="V31" s="875">
        <f>IF(E!Q31&lt;&gt;E!R31,IF(E!Q31&lt;&gt;0,IF(E!S31&lt;&gt;E!T31,E!V31,),),)</f>
        <v>0</v>
      </c>
      <c r="W31" s="622">
        <f>IF(Q31="","",$W$5-SUM($Q$7:Q31))</f>
        <v>0</v>
      </c>
      <c r="X31" s="395"/>
      <c r="Y31" s="906" t="str">
        <f>IF(E!Y31&lt;&gt;"",E!Y31,)</f>
        <v>Car Maintenance</v>
      </c>
      <c r="Z31" s="457">
        <f>E!Z31</f>
        <v>0</v>
      </c>
      <c r="AA31" s="20">
        <f t="shared" si="0"/>
        <v>0</v>
      </c>
      <c r="AB31" s="723"/>
      <c r="AC31" s="723"/>
      <c r="AD31" s="36">
        <f t="shared" si="1"/>
        <v>0</v>
      </c>
      <c r="AE31" s="23">
        <f t="shared" si="5"/>
        <v>0</v>
      </c>
      <c r="AF31" s="367"/>
      <c r="AG31" s="728">
        <f t="shared" si="2"/>
        <v>0</v>
      </c>
      <c r="AH31" s="367"/>
      <c r="AI31" s="375">
        <v>0</v>
      </c>
      <c r="AJ31" s="367"/>
      <c r="AK31" s="530" t="s">
        <v>35</v>
      </c>
      <c r="AL31" s="533" t="s">
        <v>33</v>
      </c>
      <c r="AM31" s="367"/>
      <c r="AN31" s="367"/>
      <c r="AO31" s="86"/>
      <c r="AP31" s="51">
        <f t="shared" si="3"/>
        <v>0</v>
      </c>
      <c r="AQ31" s="476">
        <f>E!AQ31+E!AP31</f>
        <v>0</v>
      </c>
      <c r="AR31" s="476">
        <f t="shared" si="4"/>
        <v>0</v>
      </c>
      <c r="AS31" s="477">
        <f>AD31+E!AS31</f>
        <v>0</v>
      </c>
      <c r="AT31" s="477">
        <f>AA31+E!AT31</f>
        <v>0</v>
      </c>
      <c r="AU31" s="476"/>
      <c r="AV31" s="477">
        <f>E!AV31-E!AD31+F!Z31-E!AP31</f>
        <v>0</v>
      </c>
      <c r="AW31" s="476">
        <f t="shared" si="6"/>
        <v>0</v>
      </c>
      <c r="AX31" s="52">
        <f>IF(Z31=E!Z31,E!AE31-AD31,E!AE31+(Z31-E!Z31)*$AW$16-AD31)</f>
        <v>0</v>
      </c>
      <c r="AZ31" s="726">
        <f t="shared" si="7"/>
        <v>0</v>
      </c>
    </row>
    <row r="32" spans="1:63" ht="15" customHeight="1">
      <c r="A32" s="367"/>
      <c r="B32" s="850">
        <f ca="1">IF(E!B32&lt;&gt;"",E!B32,)</f>
        <v>0</v>
      </c>
      <c r="C32" s="454">
        <f ca="1">E!C32</f>
        <v>0</v>
      </c>
      <c r="D32" s="74"/>
      <c r="E32" s="521"/>
      <c r="F32" s="858"/>
      <c r="G32" s="367"/>
      <c r="H32" s="543"/>
      <c r="I32" s="853"/>
      <c r="J32" s="6"/>
      <c r="K32" s="541"/>
      <c r="L32" s="860"/>
      <c r="M32" s="20" t="str">
        <f>IF(J32="","",$M$5-SUM($J$7:J32))</f>
        <v/>
      </c>
      <c r="N32" s="367"/>
      <c r="O32" s="7"/>
      <c r="P32" s="873">
        <f>IF(E!Q32&lt;&gt;E!R32,IF(E!Q32&lt;&gt;0,IF(E!S32&lt;&gt;E!T32,E!P32,),),)</f>
        <v>0</v>
      </c>
      <c r="Q32" s="795">
        <f>IF(E!Q32&lt;&gt;E!R32,IF(E!Q32&lt;&gt;0,IF(E!S32&lt;&gt;E!T32,E!Q32,),),)</f>
        <v>0</v>
      </c>
      <c r="R32" s="628">
        <f>IF(E!Q32&lt;&gt;E!R32,IF(E!Q32&lt;&gt;0,IF(E!S32&lt;&gt;E!T32,0,Q32),Q32),Q32)</f>
        <v>0</v>
      </c>
      <c r="S32" s="796">
        <f>IF(E!Q32&lt;&gt;E!R32,IF(E!Q32&lt;&gt;0,IF(E!S32&lt;&gt;E!T32,E!S32+1,),),)</f>
        <v>0</v>
      </c>
      <c r="T32" s="796">
        <f>IF(E!Q32&lt;&gt;E!R32,IF(E!Q32&lt;&gt;0,IF(E!S32&lt;&gt;E!T32,E!T32,),),)</f>
        <v>0</v>
      </c>
      <c r="U32" s="797">
        <f>IF(E!Q32&lt;&gt;E!R32,IF(E!Q32&lt;&gt;0,IF(E!S32&lt;&gt;E!T32,E!U32,),),)</f>
        <v>0</v>
      </c>
      <c r="V32" s="875">
        <f>IF(E!Q32&lt;&gt;E!R32,IF(E!Q32&lt;&gt;0,IF(E!S32&lt;&gt;E!T32,E!V32,),),)</f>
        <v>0</v>
      </c>
      <c r="W32" s="622">
        <f>IF(Q32="","",$W$5-SUM($Q$7:Q32))</f>
        <v>0</v>
      </c>
      <c r="X32" s="389"/>
      <c r="Y32" s="906" t="str">
        <f>IF(E!Y32&lt;&gt;"",E!Y32,)</f>
        <v>Clothing and Shoes</v>
      </c>
      <c r="Z32" s="457">
        <f>E!Z32</f>
        <v>0</v>
      </c>
      <c r="AA32" s="20">
        <f t="shared" si="0"/>
        <v>0</v>
      </c>
      <c r="AB32" s="723"/>
      <c r="AC32" s="723"/>
      <c r="AD32" s="36">
        <f t="shared" si="1"/>
        <v>0</v>
      </c>
      <c r="AE32" s="23">
        <f t="shared" si="5"/>
        <v>0</v>
      </c>
      <c r="AF32" s="367"/>
      <c r="AG32" s="728">
        <f t="shared" si="2"/>
        <v>0</v>
      </c>
      <c r="AH32" s="367"/>
      <c r="AI32" s="375">
        <v>0</v>
      </c>
      <c r="AJ32" s="367"/>
      <c r="AK32" s="530" t="s">
        <v>36</v>
      </c>
      <c r="AL32" s="534" t="s">
        <v>33</v>
      </c>
      <c r="AM32" s="367"/>
      <c r="AN32" s="367"/>
      <c r="AO32" s="86"/>
      <c r="AP32" s="51">
        <f t="shared" si="3"/>
        <v>0</v>
      </c>
      <c r="AQ32" s="476">
        <f>E!AQ32+E!AP32</f>
        <v>0</v>
      </c>
      <c r="AR32" s="476">
        <f t="shared" si="4"/>
        <v>0</v>
      </c>
      <c r="AS32" s="477">
        <f>AD32+E!AS32</f>
        <v>0</v>
      </c>
      <c r="AT32" s="477">
        <f>AA32+E!AT32</f>
        <v>0</v>
      </c>
      <c r="AU32" s="476"/>
      <c r="AV32" s="477">
        <f>E!AV32-E!AD32+F!Z32-E!AP32</f>
        <v>0</v>
      </c>
      <c r="AW32" s="476">
        <f t="shared" si="6"/>
        <v>0</v>
      </c>
      <c r="AX32" s="52">
        <f>IF(Z32=E!Z32,E!AE32-AD32,E!AE32+(Z32-E!Z32)*$AW$16-AD32)</f>
        <v>0</v>
      </c>
      <c r="AZ32" s="726">
        <f t="shared" si="7"/>
        <v>0</v>
      </c>
    </row>
    <row r="33" spans="1:52" ht="15" customHeight="1">
      <c r="A33" s="367"/>
      <c r="B33" s="850">
        <f ca="1">IF(E!B33&lt;&gt;"",E!B33,)</f>
        <v>0</v>
      </c>
      <c r="C33" s="454">
        <f ca="1">E!C33</f>
        <v>0</v>
      </c>
      <c r="D33" s="74"/>
      <c r="E33" s="521"/>
      <c r="F33" s="858"/>
      <c r="G33" s="367"/>
      <c r="H33" s="543"/>
      <c r="I33" s="853"/>
      <c r="J33" s="6"/>
      <c r="K33" s="541"/>
      <c r="L33" s="860"/>
      <c r="M33" s="20" t="str">
        <f>IF(J33="","",$M$5-SUM($J$7:J33))</f>
        <v/>
      </c>
      <c r="N33" s="367"/>
      <c r="O33" s="7"/>
      <c r="P33" s="871">
        <f>IF(E!Q33&lt;&gt;E!R33,IF(E!Q33&lt;&gt;0,IF(E!S33&lt;&gt;E!T33,E!P33,),),)</f>
        <v>0</v>
      </c>
      <c r="Q33" s="795">
        <f>IF(E!Q33&lt;&gt;E!R33,IF(E!Q33&lt;&gt;0,IF(E!S33&lt;&gt;E!T33,E!Q33,),),)</f>
        <v>0</v>
      </c>
      <c r="R33" s="628">
        <f>IF(E!Q33&lt;&gt;E!R33,IF(E!Q33&lt;&gt;0,IF(E!S33&lt;&gt;E!T33,0,Q33),Q33),Q33)</f>
        <v>0</v>
      </c>
      <c r="S33" s="796">
        <f>IF(E!Q33&lt;&gt;E!R33,IF(E!Q33&lt;&gt;0,IF(E!S33&lt;&gt;E!T33,E!S33+1,),),)</f>
        <v>0</v>
      </c>
      <c r="T33" s="796">
        <f>IF(E!Q33&lt;&gt;E!R33,IF(E!Q33&lt;&gt;0,IF(E!S33&lt;&gt;E!T33,E!T33,),),)</f>
        <v>0</v>
      </c>
      <c r="U33" s="797">
        <f>IF(E!Q33&lt;&gt;E!R33,IF(E!Q33&lt;&gt;0,IF(E!S33&lt;&gt;E!T33,E!U33,),),)</f>
        <v>0</v>
      </c>
      <c r="V33" s="875">
        <f>IF(E!Q33&lt;&gt;E!R33,IF(E!Q33&lt;&gt;0,IF(E!S33&lt;&gt;E!T33,E!V33,),),)</f>
        <v>0</v>
      </c>
      <c r="W33" s="622">
        <f>IF(Q33="","",$W$5-SUM($Q$7:Q33))</f>
        <v>0</v>
      </c>
      <c r="X33" s="10"/>
      <c r="Y33" s="906" t="str">
        <f>IF(E!Y33&lt;&gt;"",E!Y33,)</f>
        <v>Medicine/Treatment</v>
      </c>
      <c r="Z33" s="457">
        <f>E!Z33</f>
        <v>0</v>
      </c>
      <c r="AA33" s="20">
        <f t="shared" si="0"/>
        <v>0</v>
      </c>
      <c r="AB33" s="723"/>
      <c r="AC33" s="723"/>
      <c r="AD33" s="36">
        <f t="shared" si="1"/>
        <v>0</v>
      </c>
      <c r="AE33" s="23">
        <f t="shared" si="5"/>
        <v>0</v>
      </c>
      <c r="AF33" s="367"/>
      <c r="AG33" s="728">
        <f t="shared" si="2"/>
        <v>0</v>
      </c>
      <c r="AH33" s="367"/>
      <c r="AI33" s="375">
        <v>0</v>
      </c>
      <c r="AJ33" s="367"/>
      <c r="AK33" s="530" t="s">
        <v>37</v>
      </c>
      <c r="AL33" s="535" t="s">
        <v>33</v>
      </c>
      <c r="AM33" s="367"/>
      <c r="AN33" s="367"/>
      <c r="AO33" s="86"/>
      <c r="AP33" s="51">
        <f t="shared" si="3"/>
        <v>0</v>
      </c>
      <c r="AQ33" s="476">
        <f>E!AQ33+E!AP33</f>
        <v>0</v>
      </c>
      <c r="AR33" s="476">
        <f t="shared" si="4"/>
        <v>0</v>
      </c>
      <c r="AS33" s="477">
        <f>AD33+E!AS33</f>
        <v>0</v>
      </c>
      <c r="AT33" s="477">
        <f>AA33+E!AT33</f>
        <v>0</v>
      </c>
      <c r="AU33" s="476"/>
      <c r="AV33" s="477">
        <f>E!AV33-E!AD33+F!Z33-E!AP33</f>
        <v>0</v>
      </c>
      <c r="AW33" s="476">
        <f t="shared" si="6"/>
        <v>0</v>
      </c>
      <c r="AX33" s="52">
        <f>IF(Z33=E!Z33,E!AE33-AD33,E!AE33+(Z33-E!Z33)*$AW$16-AD33)</f>
        <v>0</v>
      </c>
      <c r="AZ33" s="726">
        <f t="shared" si="7"/>
        <v>0</v>
      </c>
    </row>
    <row r="34" spans="1:52" ht="15" customHeight="1">
      <c r="A34" s="367"/>
      <c r="B34" s="850">
        <f ca="1">IF(E!B34&lt;&gt;"",E!B34,)</f>
        <v>0</v>
      </c>
      <c r="C34" s="454">
        <f ca="1">E!C34</f>
        <v>0</v>
      </c>
      <c r="D34" s="74"/>
      <c r="E34" s="521"/>
      <c r="F34" s="858"/>
      <c r="G34" s="367"/>
      <c r="H34" s="543"/>
      <c r="I34" s="853"/>
      <c r="J34" s="6"/>
      <c r="K34" s="541"/>
      <c r="L34" s="860"/>
      <c r="M34" s="20" t="str">
        <f>IF(J34="","",$M$5-SUM($J$7:J34))</f>
        <v/>
      </c>
      <c r="N34" s="367"/>
      <c r="O34" s="7"/>
      <c r="P34" s="873">
        <f>IF(E!Q34&lt;&gt;E!R34,IF(E!Q34&lt;&gt;0,IF(E!S34&lt;&gt;E!T34,E!P34,),),)</f>
        <v>0</v>
      </c>
      <c r="Q34" s="795">
        <f>IF(E!Q34&lt;&gt;E!R34,IF(E!Q34&lt;&gt;0,IF(E!S34&lt;&gt;E!T34,E!Q34,),),)</f>
        <v>0</v>
      </c>
      <c r="R34" s="628">
        <f>IF(E!Q34&lt;&gt;E!R34,IF(E!Q34&lt;&gt;0,IF(E!S34&lt;&gt;E!T34,0,Q34),Q34),Q34)</f>
        <v>0</v>
      </c>
      <c r="S34" s="796">
        <f>IF(E!Q34&lt;&gt;E!R34,IF(E!Q34&lt;&gt;0,IF(E!S34&lt;&gt;E!T34,E!S34+1,),),)</f>
        <v>0</v>
      </c>
      <c r="T34" s="796">
        <f>IF(E!Q34&lt;&gt;E!R34,IF(E!Q34&lt;&gt;0,IF(E!S34&lt;&gt;E!T34,E!T34,),),)</f>
        <v>0</v>
      </c>
      <c r="U34" s="797">
        <f>IF(E!Q34&lt;&gt;E!R34,IF(E!Q34&lt;&gt;0,IF(E!S34&lt;&gt;E!T34,E!U34,),),)</f>
        <v>0</v>
      </c>
      <c r="V34" s="875">
        <f>IF(E!Q34&lt;&gt;E!R34,IF(E!Q34&lt;&gt;0,IF(E!S34&lt;&gt;E!T34,E!V34,),),)</f>
        <v>0</v>
      </c>
      <c r="W34" s="622">
        <f>IF(Q34="","",$W$5-SUM($Q$7:Q34))</f>
        <v>0</v>
      </c>
      <c r="X34" s="10"/>
      <c r="Y34" s="905" t="str">
        <f>IF(E!Y34&lt;&gt;"",E!Y34,)</f>
        <v>Bank Interest and Fees</v>
      </c>
      <c r="Z34" s="457">
        <f>E!Z34</f>
        <v>0</v>
      </c>
      <c r="AA34" s="20">
        <f t="shared" si="0"/>
        <v>0</v>
      </c>
      <c r="AB34" s="723"/>
      <c r="AC34" s="723"/>
      <c r="AD34" s="36">
        <f t="shared" si="1"/>
        <v>0</v>
      </c>
      <c r="AE34" s="23">
        <f t="shared" si="5"/>
        <v>0</v>
      </c>
      <c r="AF34" s="367"/>
      <c r="AG34" s="728">
        <f t="shared" si="2"/>
        <v>0</v>
      </c>
      <c r="AH34" s="367"/>
      <c r="AI34" s="375">
        <v>0</v>
      </c>
      <c r="AJ34" s="367"/>
      <c r="AK34" s="530" t="s">
        <v>38</v>
      </c>
      <c r="AL34" s="536" t="s">
        <v>33</v>
      </c>
      <c r="AM34" s="367"/>
      <c r="AN34" s="367"/>
      <c r="AO34" s="86"/>
      <c r="AP34" s="51">
        <f t="shared" si="3"/>
        <v>0</v>
      </c>
      <c r="AQ34" s="476">
        <f>E!AQ34+E!AP34</f>
        <v>0</v>
      </c>
      <c r="AR34" s="476">
        <f t="shared" si="4"/>
        <v>0</v>
      </c>
      <c r="AS34" s="477">
        <f>AD34+E!AS34</f>
        <v>0</v>
      </c>
      <c r="AT34" s="477">
        <f>AA34+E!AT34</f>
        <v>0</v>
      </c>
      <c r="AU34" s="476"/>
      <c r="AV34" s="477">
        <f>E!AV34-E!AD34+F!Z34-E!AP34</f>
        <v>0</v>
      </c>
      <c r="AW34" s="476">
        <f t="shared" si="6"/>
        <v>0</v>
      </c>
      <c r="AX34" s="52">
        <f>IF(Z34=E!Z34,E!AE34-AD34,E!AE34+(Z34-E!Z34)*$AW$16-AD34)</f>
        <v>0</v>
      </c>
      <c r="AZ34" s="726">
        <f t="shared" si="7"/>
        <v>0</v>
      </c>
    </row>
    <row r="35" spans="1:52" ht="15" customHeight="1">
      <c r="A35" s="367"/>
      <c r="B35" s="850">
        <f ca="1">IF(E!B35&lt;&gt;"",E!B35,)</f>
        <v>0</v>
      </c>
      <c r="C35" s="454">
        <f ca="1">E!C35</f>
        <v>0</v>
      </c>
      <c r="D35" s="74"/>
      <c r="E35" s="521"/>
      <c r="F35" s="858"/>
      <c r="G35" s="367"/>
      <c r="H35" s="543"/>
      <c r="I35" s="853"/>
      <c r="J35" s="6"/>
      <c r="K35" s="541"/>
      <c r="L35" s="860"/>
      <c r="M35" s="20" t="str">
        <f>IF(J35="","",$M$5-SUM($J$7:J35))</f>
        <v/>
      </c>
      <c r="N35" s="367"/>
      <c r="O35" s="7"/>
      <c r="P35" s="871">
        <f>IF(E!Q35&lt;&gt;E!R35,IF(E!Q35&lt;&gt;0,IF(E!S35&lt;&gt;E!T35,E!P35,),),)</f>
        <v>0</v>
      </c>
      <c r="Q35" s="799">
        <f>IF(E!Q35&lt;&gt;E!R35,IF(E!Q35&lt;&gt;0,IF(E!S35&lt;&gt;E!T35,E!Q35,),),)</f>
        <v>0</v>
      </c>
      <c r="R35" s="628">
        <f>IF(E!Q35&lt;&gt;E!R35,IF(E!Q35&lt;&gt;0,IF(E!S35&lt;&gt;E!T35,0,Q35),Q35),Q35)</f>
        <v>0</v>
      </c>
      <c r="S35" s="796">
        <f>IF(E!Q35&lt;&gt;E!R35,IF(E!Q35&lt;&gt;0,IF(E!S35&lt;&gt;E!T35,E!S35+1,),),)</f>
        <v>0</v>
      </c>
      <c r="T35" s="796">
        <f>IF(E!Q35&lt;&gt;E!R35,IF(E!Q35&lt;&gt;0,IF(E!S35&lt;&gt;E!T35,E!T35,),),)</f>
        <v>0</v>
      </c>
      <c r="U35" s="797">
        <f>IF(E!Q35&lt;&gt;E!R35,IF(E!Q35&lt;&gt;0,IF(E!S35&lt;&gt;E!T35,E!U35,),),)</f>
        <v>0</v>
      </c>
      <c r="V35" s="875">
        <f>IF(E!Q35&lt;&gt;E!R35,IF(E!Q35&lt;&gt;0,IF(E!S35&lt;&gt;E!T35,E!V35,),),)</f>
        <v>0</v>
      </c>
      <c r="W35" s="626">
        <f>IF(Q35="","",$W$5-SUM($Q$7:Q35))</f>
        <v>0</v>
      </c>
      <c r="X35" s="395"/>
      <c r="Y35" s="905" t="str">
        <f>IF(E!Y35&lt;&gt;"",E!Y35,)</f>
        <v>Dental treatments</v>
      </c>
      <c r="Z35" s="457">
        <f>E!Z35</f>
        <v>0</v>
      </c>
      <c r="AA35" s="20">
        <f t="shared" si="0"/>
        <v>0</v>
      </c>
      <c r="AB35" s="723"/>
      <c r="AC35" s="723"/>
      <c r="AD35" s="36">
        <f t="shared" si="1"/>
        <v>0</v>
      </c>
      <c r="AE35" s="23">
        <f t="shared" si="5"/>
        <v>0</v>
      </c>
      <c r="AF35" s="367"/>
      <c r="AG35" s="728">
        <f t="shared" si="2"/>
        <v>0</v>
      </c>
      <c r="AH35" s="367"/>
      <c r="AI35" s="375">
        <v>0</v>
      </c>
      <c r="AJ35" s="367"/>
      <c r="AK35" s="530" t="s">
        <v>39</v>
      </c>
      <c r="AL35" s="537" t="s">
        <v>33</v>
      </c>
      <c r="AM35" s="367"/>
      <c r="AN35" s="367"/>
      <c r="AO35" s="86"/>
      <c r="AP35" s="51">
        <f t="shared" si="3"/>
        <v>0</v>
      </c>
      <c r="AQ35" s="476">
        <f>E!AQ35+E!AP35</f>
        <v>0</v>
      </c>
      <c r="AR35" s="476">
        <f t="shared" si="4"/>
        <v>0</v>
      </c>
      <c r="AS35" s="477">
        <f>AD35+E!AS35</f>
        <v>0</v>
      </c>
      <c r="AT35" s="477">
        <f>AA35+E!AT35</f>
        <v>0</v>
      </c>
      <c r="AU35" s="476"/>
      <c r="AV35" s="477">
        <f>E!AV35-E!AD35+F!Z35-E!AP35</f>
        <v>0</v>
      </c>
      <c r="AW35" s="476">
        <f t="shared" si="6"/>
        <v>0</v>
      </c>
      <c r="AX35" s="52">
        <f>IF(Z35=E!Z35,E!AE35-AD35,E!AE35+(Z35-E!Z35)*$AW$16-AD35)</f>
        <v>0</v>
      </c>
      <c r="AZ35" s="726">
        <f t="shared" si="7"/>
        <v>0</v>
      </c>
    </row>
    <row r="36" spans="1:52" ht="15" customHeight="1">
      <c r="A36" s="367"/>
      <c r="B36" s="850">
        <f ca="1">IF(E!B36&lt;&gt;"",E!B36,)</f>
        <v>0</v>
      </c>
      <c r="C36" s="454">
        <f ca="1">E!C36</f>
        <v>0</v>
      </c>
      <c r="D36" s="74"/>
      <c r="E36" s="521"/>
      <c r="F36" s="858"/>
      <c r="G36" s="367"/>
      <c r="H36" s="543"/>
      <c r="I36" s="853"/>
      <c r="J36" s="6"/>
      <c r="K36" s="541"/>
      <c r="L36" s="860"/>
      <c r="M36" s="20" t="str">
        <f>IF(J36="","",$M$5-SUM($J$7:J36))</f>
        <v/>
      </c>
      <c r="N36" s="367"/>
      <c r="O36" s="7"/>
      <c r="P36" s="873">
        <f>IF(E!Q36&lt;&gt;E!R36,IF(E!Q36&lt;&gt;0,IF(E!S36&lt;&gt;E!T36,E!P36,),),)</f>
        <v>0</v>
      </c>
      <c r="Q36" s="795">
        <f>IF(E!Q36&lt;&gt;E!R36,IF(E!Q36&lt;&gt;0,IF(E!S36&lt;&gt;E!T36,E!Q36,),),)</f>
        <v>0</v>
      </c>
      <c r="R36" s="628">
        <f>IF(E!Q36&lt;&gt;E!R36,IF(E!Q36&lt;&gt;0,IF(E!S36&lt;&gt;E!T36,0,Q36),Q36),Q36)</f>
        <v>0</v>
      </c>
      <c r="S36" s="796">
        <f>IF(E!Q36&lt;&gt;E!R36,IF(E!Q36&lt;&gt;0,IF(E!S36&lt;&gt;E!T36,E!S36+1,),),)</f>
        <v>0</v>
      </c>
      <c r="T36" s="796">
        <f>IF(E!Q36&lt;&gt;E!R36,IF(E!Q36&lt;&gt;0,IF(E!S36&lt;&gt;E!T36,E!T36,),),)</f>
        <v>0</v>
      </c>
      <c r="U36" s="797">
        <f>IF(E!Q36&lt;&gt;E!R36,IF(E!Q36&lt;&gt;0,IF(E!S36&lt;&gt;E!T36,E!U36,),),)</f>
        <v>0</v>
      </c>
      <c r="V36" s="875">
        <f>IF(E!Q36&lt;&gt;E!R36,IF(E!Q36&lt;&gt;0,IF(E!S36&lt;&gt;E!T36,E!V36,),),)</f>
        <v>0</v>
      </c>
      <c r="W36" s="622">
        <f>IF(Q36="","",$W$5-SUM($Q$7:Q36))</f>
        <v>0</v>
      </c>
      <c r="X36" s="395"/>
      <c r="Y36" s="905" t="str">
        <f>IF(E!Y36&lt;&gt;"",E!Y36,)</f>
        <v>Eyeglasses/Contact Lens</v>
      </c>
      <c r="Z36" s="457">
        <f>E!Z36</f>
        <v>0</v>
      </c>
      <c r="AA36" s="20">
        <f t="shared" si="0"/>
        <v>0</v>
      </c>
      <c r="AB36" s="723"/>
      <c r="AC36" s="723"/>
      <c r="AD36" s="36">
        <f t="shared" si="1"/>
        <v>0</v>
      </c>
      <c r="AE36" s="23">
        <f t="shared" si="5"/>
        <v>0</v>
      </c>
      <c r="AF36" s="367"/>
      <c r="AG36" s="728">
        <f t="shared" si="2"/>
        <v>0</v>
      </c>
      <c r="AH36" s="367"/>
      <c r="AI36" s="375">
        <v>0</v>
      </c>
      <c r="AJ36" s="367"/>
      <c r="AK36" s="530" t="s">
        <v>40</v>
      </c>
      <c r="AL36" s="538" t="s">
        <v>33</v>
      </c>
      <c r="AM36" s="367"/>
      <c r="AN36" s="367"/>
      <c r="AO36" s="86"/>
      <c r="AP36" s="51">
        <f t="shared" si="3"/>
        <v>0</v>
      </c>
      <c r="AQ36" s="476">
        <f>E!AQ36+E!AP36</f>
        <v>0</v>
      </c>
      <c r="AR36" s="476">
        <f t="shared" si="4"/>
        <v>0</v>
      </c>
      <c r="AS36" s="477">
        <f>AD36+E!AS36</f>
        <v>0</v>
      </c>
      <c r="AT36" s="477">
        <f>AA36+E!AT36</f>
        <v>0</v>
      </c>
      <c r="AU36" s="476"/>
      <c r="AV36" s="477">
        <f>E!AV36-E!AD36+F!Z36-E!AP36</f>
        <v>0</v>
      </c>
      <c r="AW36" s="476">
        <f t="shared" si="6"/>
        <v>0</v>
      </c>
      <c r="AX36" s="52">
        <f>IF(Z36=E!Z36,E!AE36-AD36,E!AE36+(Z36-E!Z36)*$AW$16-AD36)</f>
        <v>0</v>
      </c>
      <c r="AZ36" s="726">
        <f t="shared" si="7"/>
        <v>0</v>
      </c>
    </row>
    <row r="37" spans="1:52" ht="15" customHeight="1" thickBot="1">
      <c r="A37" s="367"/>
      <c r="B37" s="850">
        <f ca="1">IF(E!B37&lt;&gt;"",E!B37,)</f>
        <v>0</v>
      </c>
      <c r="C37" s="454">
        <f ca="1">E!C37</f>
        <v>0</v>
      </c>
      <c r="D37" s="74"/>
      <c r="E37" s="521"/>
      <c r="F37" s="858"/>
      <c r="G37" s="367"/>
      <c r="H37" s="543"/>
      <c r="I37" s="853"/>
      <c r="J37" s="6"/>
      <c r="K37" s="541"/>
      <c r="L37" s="860"/>
      <c r="M37" s="20" t="str">
        <f>IF(J37="","",$M$5-SUM($J$7:J37))</f>
        <v/>
      </c>
      <c r="N37" s="367"/>
      <c r="O37" s="7"/>
      <c r="P37" s="871">
        <f>IF(E!Q37&lt;&gt;E!R37,IF(E!Q37&lt;&gt;0,IF(E!S37&lt;&gt;E!T37,E!P37,),),)</f>
        <v>0</v>
      </c>
      <c r="Q37" s="795">
        <f>IF(E!Q37&lt;&gt;E!R37,IF(E!Q37&lt;&gt;0,IF(E!S37&lt;&gt;E!T37,E!Q37,),),)</f>
        <v>0</v>
      </c>
      <c r="R37" s="628">
        <f>IF(E!Q37&lt;&gt;E!R37,IF(E!Q37&lt;&gt;0,IF(E!S37&lt;&gt;E!T37,0,Q37),Q37),Q37)</f>
        <v>0</v>
      </c>
      <c r="S37" s="796">
        <f>IF(E!Q37&lt;&gt;E!R37,IF(E!Q37&lt;&gt;0,IF(E!S37&lt;&gt;E!T37,E!S37+1,),),)</f>
        <v>0</v>
      </c>
      <c r="T37" s="796">
        <f>IF(E!Q37&lt;&gt;E!R37,IF(E!Q37&lt;&gt;0,IF(E!S37&lt;&gt;E!T37,E!T37,),),)</f>
        <v>0</v>
      </c>
      <c r="U37" s="797">
        <f>IF(E!Q37&lt;&gt;E!R37,IF(E!Q37&lt;&gt;0,IF(E!S37&lt;&gt;E!T37,E!U37,),),)</f>
        <v>0</v>
      </c>
      <c r="V37" s="875">
        <f>IF(E!Q37&lt;&gt;E!R37,IF(E!Q37&lt;&gt;0,IF(E!S37&lt;&gt;E!T37,E!V37,),),)</f>
        <v>0</v>
      </c>
      <c r="W37" s="622">
        <f>IF(Q37="","",$W$5-SUM($Q$7:Q37))</f>
        <v>0</v>
      </c>
      <c r="X37" s="395"/>
      <c r="Y37" s="905" t="str">
        <f>IF(E!Y37&lt;&gt;"",E!Y37,)</f>
        <v>Vacations</v>
      </c>
      <c r="Z37" s="457">
        <f>E!Z37</f>
        <v>0</v>
      </c>
      <c r="AA37" s="20">
        <f t="shared" si="0"/>
        <v>0</v>
      </c>
      <c r="AB37" s="723"/>
      <c r="AC37" s="723"/>
      <c r="AD37" s="36">
        <f t="shared" si="1"/>
        <v>0</v>
      </c>
      <c r="AE37" s="23">
        <f t="shared" si="5"/>
        <v>0</v>
      </c>
      <c r="AF37" s="367"/>
      <c r="AG37" s="728">
        <f t="shared" si="2"/>
        <v>0</v>
      </c>
      <c r="AH37" s="367"/>
      <c r="AI37" s="375">
        <v>0</v>
      </c>
      <c r="AJ37" s="367"/>
      <c r="AK37" s="539" t="s">
        <v>41</v>
      </c>
      <c r="AL37" s="540" t="s">
        <v>33</v>
      </c>
      <c r="AM37" s="367"/>
      <c r="AN37" s="367"/>
      <c r="AO37" s="86"/>
      <c r="AP37" s="51">
        <f t="shared" si="3"/>
        <v>0</v>
      </c>
      <c r="AQ37" s="476">
        <f>E!AQ37+E!AP37</f>
        <v>0</v>
      </c>
      <c r="AR37" s="476">
        <f t="shared" si="4"/>
        <v>0</v>
      </c>
      <c r="AS37" s="477">
        <f>AD37+E!AS37</f>
        <v>0</v>
      </c>
      <c r="AT37" s="477">
        <f>AA37+E!AT37</f>
        <v>0</v>
      </c>
      <c r="AU37" s="476"/>
      <c r="AV37" s="477">
        <f>E!AV37-E!AD37+F!Z37-E!AP37</f>
        <v>0</v>
      </c>
      <c r="AW37" s="476">
        <f t="shared" si="6"/>
        <v>0</v>
      </c>
      <c r="AX37" s="52">
        <f>IF(Z37=E!Z37,E!AE37-AD37,E!AE37+(Z37-E!Z37)*$AW$16-AD37)</f>
        <v>0</v>
      </c>
      <c r="AZ37" s="726">
        <f t="shared" si="7"/>
        <v>0</v>
      </c>
    </row>
    <row r="38" spans="1:52" ht="15" customHeight="1">
      <c r="A38" s="367"/>
      <c r="B38" s="850">
        <f ca="1">IF(E!B38&lt;&gt;"",E!B38,)</f>
        <v>0</v>
      </c>
      <c r="C38" s="454">
        <f ca="1">E!C38</f>
        <v>0</v>
      </c>
      <c r="D38" s="74"/>
      <c r="E38" s="521"/>
      <c r="F38" s="858"/>
      <c r="G38" s="367"/>
      <c r="H38" s="543"/>
      <c r="I38" s="853"/>
      <c r="J38" s="6"/>
      <c r="K38" s="541"/>
      <c r="L38" s="860"/>
      <c r="M38" s="20" t="str">
        <f>IF(J38="","",$M$5-SUM($J$7:J38))</f>
        <v/>
      </c>
      <c r="N38" s="367"/>
      <c r="O38" s="7"/>
      <c r="P38" s="873">
        <f>IF(E!Q38&lt;&gt;E!R38,IF(E!Q38&lt;&gt;0,IF(E!S38&lt;&gt;E!T38,E!P38,),),)</f>
        <v>0</v>
      </c>
      <c r="Q38" s="795">
        <f>IF(E!Q38&lt;&gt;E!R38,IF(E!Q38&lt;&gt;0,IF(E!S38&lt;&gt;E!T38,E!Q38,),),)</f>
        <v>0</v>
      </c>
      <c r="R38" s="628">
        <f>IF(E!Q38&lt;&gt;E!R38,IF(E!Q38&lt;&gt;0,IF(E!S38&lt;&gt;E!T38,0,Q38),Q38),Q38)</f>
        <v>0</v>
      </c>
      <c r="S38" s="796">
        <f>IF(E!Q38&lt;&gt;E!R38,IF(E!Q38&lt;&gt;0,IF(E!S38&lt;&gt;E!T38,E!S38+1,),),)</f>
        <v>0</v>
      </c>
      <c r="T38" s="796">
        <f>IF(E!Q38&lt;&gt;E!R38,IF(E!Q38&lt;&gt;0,IF(E!S38&lt;&gt;E!T38,E!T38,),),)</f>
        <v>0</v>
      </c>
      <c r="U38" s="797">
        <f>IF(E!Q38&lt;&gt;E!R38,IF(E!Q38&lt;&gt;0,IF(E!S38&lt;&gt;E!T38,E!U38,),),)</f>
        <v>0</v>
      </c>
      <c r="V38" s="875">
        <f>IF(E!Q38&lt;&gt;E!R38,IF(E!Q38&lt;&gt;0,IF(E!S38&lt;&gt;E!T38,E!V38,),),)</f>
        <v>0</v>
      </c>
      <c r="W38" s="625">
        <f>IF(Q38="","",$W$5-SUM($Q$7:Q38))</f>
        <v>0</v>
      </c>
      <c r="X38" s="621"/>
      <c r="Y38" s="906" t="str">
        <f>IF(E!Y38&lt;&gt;"",E!Y38,)</f>
        <v>Religious expenses</v>
      </c>
      <c r="Z38" s="457">
        <f>E!Z38</f>
        <v>0</v>
      </c>
      <c r="AA38" s="20">
        <f t="shared" si="0"/>
        <v>0</v>
      </c>
      <c r="AB38" s="723"/>
      <c r="AC38" s="723"/>
      <c r="AD38" s="36">
        <f t="shared" si="1"/>
        <v>0</v>
      </c>
      <c r="AE38" s="23">
        <f t="shared" si="5"/>
        <v>0</v>
      </c>
      <c r="AF38" s="367"/>
      <c r="AG38" s="728">
        <f t="shared" si="2"/>
        <v>0</v>
      </c>
      <c r="AH38" s="367"/>
      <c r="AI38" s="375">
        <v>0</v>
      </c>
      <c r="AJ38" s="367"/>
      <c r="AK38" s="367"/>
      <c r="AL38" s="367"/>
      <c r="AM38" s="367"/>
      <c r="AN38" s="367"/>
      <c r="AO38" s="86"/>
      <c r="AP38" s="51">
        <f t="shared" si="3"/>
        <v>0</v>
      </c>
      <c r="AQ38" s="476">
        <f>E!AQ38+E!AP38</f>
        <v>0</v>
      </c>
      <c r="AR38" s="476">
        <f t="shared" si="4"/>
        <v>0</v>
      </c>
      <c r="AS38" s="477">
        <f>AD38+E!AS38</f>
        <v>0</v>
      </c>
      <c r="AT38" s="477">
        <f>AA38+E!AT38</f>
        <v>0</v>
      </c>
      <c r="AU38" s="476"/>
      <c r="AV38" s="477">
        <f>E!AV38-E!AD38+F!Z38-E!AP38</f>
        <v>0</v>
      </c>
      <c r="AW38" s="476">
        <f t="shared" si="6"/>
        <v>0</v>
      </c>
      <c r="AX38" s="52">
        <f>IF(Z38=E!Z38,E!AE38-AD38,E!AE38+(Z38-E!Z38)*$AW$16-AD38)</f>
        <v>0</v>
      </c>
      <c r="AZ38" s="726">
        <f t="shared" si="7"/>
        <v>0</v>
      </c>
    </row>
    <row r="39" spans="1:52" ht="15" customHeight="1">
      <c r="A39" s="367"/>
      <c r="B39" s="850">
        <f ca="1">IF(E!B39&lt;&gt;"",E!B39,)</f>
        <v>0</v>
      </c>
      <c r="C39" s="454">
        <f ca="1">E!C39</f>
        <v>0</v>
      </c>
      <c r="D39" s="74"/>
      <c r="E39" s="521"/>
      <c r="F39" s="858"/>
      <c r="G39" s="367"/>
      <c r="H39" s="543"/>
      <c r="I39" s="853"/>
      <c r="J39" s="6"/>
      <c r="K39" s="541"/>
      <c r="L39" s="860"/>
      <c r="M39" s="20" t="str">
        <f>IF(J39="","",$M$5-SUM($J$7:J39))</f>
        <v/>
      </c>
      <c r="N39" s="367"/>
      <c r="O39" s="7"/>
      <c r="P39" s="872">
        <f>IF(E!Q39&lt;&gt;E!R39,IF(E!Q39&lt;&gt;0,IF(E!S39&lt;&gt;E!T39,E!P39,),),)</f>
        <v>0</v>
      </c>
      <c r="Q39" s="795">
        <f>IF(E!Q39&lt;&gt;E!R39,IF(E!Q39&lt;&gt;0,IF(E!S39&lt;&gt;E!T39,E!Q39,),),)</f>
        <v>0</v>
      </c>
      <c r="R39" s="628">
        <f>IF(E!Q39&lt;&gt;E!R39,IF(E!Q39&lt;&gt;0,IF(E!S39&lt;&gt;E!T39,0,Q39),Q39),Q39)</f>
        <v>0</v>
      </c>
      <c r="S39" s="796">
        <f>IF(E!Q39&lt;&gt;E!R39,IF(E!Q39&lt;&gt;0,IF(E!S39&lt;&gt;E!T39,E!S39+1,),),)</f>
        <v>0</v>
      </c>
      <c r="T39" s="796">
        <f>IF(E!Q39&lt;&gt;E!R39,IF(E!Q39&lt;&gt;0,IF(E!S39&lt;&gt;E!T39,E!T39,),),)</f>
        <v>0</v>
      </c>
      <c r="U39" s="797">
        <f>IF(E!Q39&lt;&gt;E!R39,IF(E!Q39&lt;&gt;0,IF(E!S39&lt;&gt;E!T39,E!U39,),),)</f>
        <v>0</v>
      </c>
      <c r="V39" s="875">
        <f>IF(E!Q39&lt;&gt;E!R39,IF(E!Q39&lt;&gt;0,IF(E!S39&lt;&gt;E!T39,E!V39,),),)</f>
        <v>0</v>
      </c>
      <c r="W39" s="622">
        <f>IF(Q39="","",$W$5-SUM($Q$7:Q39))</f>
        <v>0</v>
      </c>
      <c r="X39" s="395"/>
      <c r="Y39" s="906" t="str">
        <f>IF(E!Y39&lt;&gt;"",E!Y39,)</f>
        <v>Gifts</v>
      </c>
      <c r="Z39" s="457">
        <f>E!Z39</f>
        <v>0</v>
      </c>
      <c r="AA39" s="20">
        <f t="shared" si="0"/>
        <v>0</v>
      </c>
      <c r="AB39" s="723"/>
      <c r="AC39" s="723"/>
      <c r="AD39" s="36">
        <f t="shared" si="1"/>
        <v>0</v>
      </c>
      <c r="AE39" s="23">
        <f t="shared" si="5"/>
        <v>0</v>
      </c>
      <c r="AF39" s="367"/>
      <c r="AG39" s="728">
        <f t="shared" si="2"/>
        <v>0</v>
      </c>
      <c r="AH39" s="367"/>
      <c r="AI39" s="375">
        <v>0</v>
      </c>
      <c r="AJ39" s="367"/>
      <c r="AK39" s="367"/>
      <c r="AL39" s="367"/>
      <c r="AM39" s="367"/>
      <c r="AN39" s="367"/>
      <c r="AO39" s="86"/>
      <c r="AP39" s="51">
        <f t="shared" si="3"/>
        <v>0</v>
      </c>
      <c r="AQ39" s="476">
        <f>E!AQ39+E!AP39</f>
        <v>0</v>
      </c>
      <c r="AR39" s="476">
        <f t="shared" si="4"/>
        <v>0</v>
      </c>
      <c r="AS39" s="477">
        <f>AD39+E!AS39</f>
        <v>0</v>
      </c>
      <c r="AT39" s="477">
        <f>AA39+E!AT39</f>
        <v>0</v>
      </c>
      <c r="AU39" s="476"/>
      <c r="AV39" s="477">
        <f>E!AV39-E!AD39+F!Z39-E!AP39</f>
        <v>0</v>
      </c>
      <c r="AW39" s="476">
        <f t="shared" si="6"/>
        <v>0</v>
      </c>
      <c r="AX39" s="52">
        <f>IF(Z39=E!Z39,E!AE39-AD39,E!AE39+(Z39-E!Z39)*$AW$16-AD39)</f>
        <v>0</v>
      </c>
      <c r="AZ39" s="726">
        <f t="shared" si="7"/>
        <v>0</v>
      </c>
    </row>
    <row r="40" spans="1:52" ht="15" customHeight="1">
      <c r="A40" s="367"/>
      <c r="B40" s="16" t="s">
        <v>179</v>
      </c>
      <c r="C40" s="77">
        <f ca="1">SUM(C27:C39)+SUM(C65:C86)</f>
        <v>0</v>
      </c>
      <c r="D40" s="75">
        <f>SUM(D27:D39)+SUM(D65:D86)</f>
        <v>0</v>
      </c>
      <c r="E40" s="515"/>
      <c r="F40" s="515"/>
      <c r="G40" s="367"/>
      <c r="H40" s="543"/>
      <c r="I40" s="853"/>
      <c r="J40" s="6"/>
      <c r="K40" s="541"/>
      <c r="L40" s="860"/>
      <c r="M40" s="20" t="str">
        <f>IF(J40="","",$M$5-SUM($J$7:J40))</f>
        <v/>
      </c>
      <c r="N40" s="367"/>
      <c r="O40" s="7"/>
      <c r="P40" s="871">
        <f>IF(E!Q40&lt;&gt;E!R40,IF(E!Q40&lt;&gt;0,IF(E!S40&lt;&gt;E!T40,E!P40,),),)</f>
        <v>0</v>
      </c>
      <c r="Q40" s="795">
        <f>IF(E!Q40&lt;&gt;E!R40,IF(E!Q40&lt;&gt;0,IF(E!S40&lt;&gt;E!T40,E!Q40,),),)</f>
        <v>0</v>
      </c>
      <c r="R40" s="628">
        <f>IF(E!Q40&lt;&gt;E!R40,IF(E!Q40&lt;&gt;0,IF(E!S40&lt;&gt;E!T40,0,Q40),Q40),Q40)</f>
        <v>0</v>
      </c>
      <c r="S40" s="796">
        <f>IF(E!Q40&lt;&gt;E!R40,IF(E!Q40&lt;&gt;0,IF(E!S40&lt;&gt;E!T40,E!S40+1,),),)</f>
        <v>0</v>
      </c>
      <c r="T40" s="796">
        <f>IF(E!Q40&lt;&gt;E!R40,IF(E!Q40&lt;&gt;0,IF(E!S40&lt;&gt;E!T40,E!T40,),),)</f>
        <v>0</v>
      </c>
      <c r="U40" s="797">
        <f>IF(E!Q40&lt;&gt;E!R40,IF(E!Q40&lt;&gt;0,IF(E!S40&lt;&gt;E!T40,E!U40,),),)</f>
        <v>0</v>
      </c>
      <c r="V40" s="875">
        <f>IF(E!Q40&lt;&gt;E!R40,IF(E!Q40&lt;&gt;0,IF(E!S40&lt;&gt;E!T40,E!V40,),),)</f>
        <v>0</v>
      </c>
      <c r="W40" s="622">
        <f>IF(Q40="","",$W$5-SUM($Q$7:Q40))</f>
        <v>0</v>
      </c>
      <c r="X40" s="395"/>
      <c r="Y40" s="906" t="str">
        <f>IF(E!Y40&lt;&gt;"",E!Y40,)</f>
        <v>Small Purchases</v>
      </c>
      <c r="Z40" s="457">
        <f>E!Z40</f>
        <v>0</v>
      </c>
      <c r="AA40" s="20">
        <f t="shared" si="0"/>
        <v>0</v>
      </c>
      <c r="AB40" s="723"/>
      <c r="AC40" s="723"/>
      <c r="AD40" s="36">
        <f t="shared" si="1"/>
        <v>0</v>
      </c>
      <c r="AE40" s="23">
        <f t="shared" si="5"/>
        <v>0</v>
      </c>
      <c r="AF40" s="367"/>
      <c r="AG40" s="728">
        <f t="shared" si="2"/>
        <v>0</v>
      </c>
      <c r="AH40" s="367"/>
      <c r="AI40" s="375">
        <v>0</v>
      </c>
      <c r="AJ40" s="367"/>
      <c r="AK40" s="367"/>
      <c r="AL40" s="367"/>
      <c r="AM40" s="367"/>
      <c r="AN40" s="367"/>
      <c r="AO40" s="86"/>
      <c r="AP40" s="51">
        <f t="shared" si="3"/>
        <v>0</v>
      </c>
      <c r="AQ40" s="476">
        <f>E!AQ40+E!AP40</f>
        <v>0</v>
      </c>
      <c r="AR40" s="476">
        <f t="shared" si="4"/>
        <v>0</v>
      </c>
      <c r="AS40" s="477">
        <f>AD40+E!AS40</f>
        <v>0</v>
      </c>
      <c r="AT40" s="477">
        <f>AA40+E!AT40</f>
        <v>0</v>
      </c>
      <c r="AU40" s="476"/>
      <c r="AV40" s="477">
        <f>E!AV40-E!AD40+F!Z40-E!AP40</f>
        <v>0</v>
      </c>
      <c r="AW40" s="476">
        <f t="shared" si="6"/>
        <v>0</v>
      </c>
      <c r="AX40" s="52">
        <f>IF(Z40=E!Z40,E!AE40-AD40,E!AE40+(Z40-E!Z40)*$AW$16-AD40)</f>
        <v>0</v>
      </c>
      <c r="AZ40" s="726">
        <f t="shared" si="7"/>
        <v>0</v>
      </c>
    </row>
    <row r="41" spans="1:52" ht="15" customHeight="1" thickBot="1">
      <c r="A41" s="367"/>
      <c r="B41" s="11" t="s">
        <v>367</v>
      </c>
      <c r="C41" s="1093">
        <f ca="1">C40-D40</f>
        <v>0</v>
      </c>
      <c r="D41" s="1094"/>
      <c r="E41" s="517"/>
      <c r="F41" s="517"/>
      <c r="G41" s="367"/>
      <c r="H41" s="543"/>
      <c r="I41" s="853"/>
      <c r="J41" s="6"/>
      <c r="K41" s="541"/>
      <c r="L41" s="860"/>
      <c r="M41" s="20" t="str">
        <f>IF(J41="","",$M$5-SUM($J$7:J41))</f>
        <v/>
      </c>
      <c r="N41" s="367"/>
      <c r="O41" s="7"/>
      <c r="P41" s="871">
        <f>IF(E!Q41&lt;&gt;E!R41,IF(E!Q41&lt;&gt;0,IF(E!S41&lt;&gt;E!T41,E!P41,),),)</f>
        <v>0</v>
      </c>
      <c r="Q41" s="795">
        <f>IF(E!Q41&lt;&gt;E!R41,IF(E!Q41&lt;&gt;0,IF(E!S41&lt;&gt;E!T41,E!Q41,),),)</f>
        <v>0</v>
      </c>
      <c r="R41" s="628">
        <f>IF(E!Q41&lt;&gt;E!R41,IF(E!Q41&lt;&gt;0,IF(E!S41&lt;&gt;E!T41,0,Q41),Q41),Q41)</f>
        <v>0</v>
      </c>
      <c r="S41" s="796">
        <f>IF(E!Q41&lt;&gt;E!R41,IF(E!Q41&lt;&gt;0,IF(E!S41&lt;&gt;E!T41,E!S41+1,),),)</f>
        <v>0</v>
      </c>
      <c r="T41" s="796">
        <f>IF(E!Q41&lt;&gt;E!R41,IF(E!Q41&lt;&gt;0,IF(E!S41&lt;&gt;E!T41,E!T41,),),)</f>
        <v>0</v>
      </c>
      <c r="U41" s="797">
        <f>IF(E!Q41&lt;&gt;E!R41,IF(E!Q41&lt;&gt;0,IF(E!S41&lt;&gt;E!T41,E!U41,),),)</f>
        <v>0</v>
      </c>
      <c r="V41" s="875">
        <f>IF(E!Q41&lt;&gt;E!R41,IF(E!Q41&lt;&gt;0,IF(E!S41&lt;&gt;E!T41,E!V41,),),)</f>
        <v>0</v>
      </c>
      <c r="W41" s="622">
        <f>IF(Q41="","",$W$5-SUM($Q$7:Q41))</f>
        <v>0</v>
      </c>
      <c r="X41" s="395"/>
      <c r="Y41" s="905" t="str">
        <f>IF(E!Y41&lt;&gt;"",E!Y41,)</f>
        <v>Haircuts / Cosmetics Treatments</v>
      </c>
      <c r="Z41" s="457">
        <f>E!Z41</f>
        <v>0</v>
      </c>
      <c r="AA41" s="20">
        <f t="shared" si="0"/>
        <v>0</v>
      </c>
      <c r="AB41" s="723"/>
      <c r="AC41" s="723"/>
      <c r="AD41" s="36">
        <f t="shared" si="1"/>
        <v>0</v>
      </c>
      <c r="AE41" s="23">
        <f t="shared" si="5"/>
        <v>0</v>
      </c>
      <c r="AF41" s="367"/>
      <c r="AG41" s="728">
        <f t="shared" si="2"/>
        <v>0</v>
      </c>
      <c r="AH41" s="367"/>
      <c r="AI41" s="375">
        <v>0</v>
      </c>
      <c r="AJ41" s="367"/>
      <c r="AK41" s="367"/>
      <c r="AL41" s="367"/>
      <c r="AM41" s="367"/>
      <c r="AN41" s="367"/>
      <c r="AO41" s="86"/>
      <c r="AP41" s="51">
        <f t="shared" si="3"/>
        <v>0</v>
      </c>
      <c r="AQ41" s="476">
        <f>E!AQ41+E!AP41</f>
        <v>0</v>
      </c>
      <c r="AR41" s="476">
        <f t="shared" si="4"/>
        <v>0</v>
      </c>
      <c r="AS41" s="477">
        <f>AD41+E!AS41</f>
        <v>0</v>
      </c>
      <c r="AT41" s="477">
        <f>AA41+E!AT41</f>
        <v>0</v>
      </c>
      <c r="AU41" s="476"/>
      <c r="AV41" s="477">
        <f>E!AV41-E!AD41+F!Z41-E!AP41</f>
        <v>0</v>
      </c>
      <c r="AW41" s="476">
        <f t="shared" si="6"/>
        <v>0</v>
      </c>
      <c r="AX41" s="52">
        <f>IF(Z41=E!Z41,E!AE41-AD41,E!AE41+(Z41-E!Z41)*$AW$16-AD41)</f>
        <v>0</v>
      </c>
      <c r="AZ41" s="726">
        <f t="shared" si="7"/>
        <v>0</v>
      </c>
    </row>
    <row r="42" spans="1:52" ht="15" customHeight="1">
      <c r="A42" s="367"/>
      <c r="B42" s="1095" t="str">
        <f ca="1">IF(C41&gt;0,"Unexpected positive difference - Check why!","")</f>
        <v/>
      </c>
      <c r="C42" s="1095"/>
      <c r="D42" s="1095"/>
      <c r="E42" s="514"/>
      <c r="F42" s="514"/>
      <c r="G42" s="367"/>
      <c r="H42" s="543"/>
      <c r="I42" s="853"/>
      <c r="J42" s="6"/>
      <c r="K42" s="541"/>
      <c r="L42" s="860"/>
      <c r="M42" s="20" t="str">
        <f>IF(J42="","",$M$5-SUM($J$7:J42))</f>
        <v/>
      </c>
      <c r="N42" s="367"/>
      <c r="O42" s="7"/>
      <c r="P42" s="873">
        <f>IF(E!Q42&lt;&gt;E!R42,IF(E!Q42&lt;&gt;0,IF(E!S42&lt;&gt;E!T42,E!P42,),),)</f>
        <v>0</v>
      </c>
      <c r="Q42" s="795">
        <f>IF(E!Q42&lt;&gt;E!R42,IF(E!Q42&lt;&gt;0,IF(E!S42&lt;&gt;E!T42,E!Q42,),),)</f>
        <v>0</v>
      </c>
      <c r="R42" s="628">
        <f>IF(E!Q42&lt;&gt;E!R42,IF(E!Q42&lt;&gt;0,IF(E!S42&lt;&gt;E!T42,0,Q42),Q42),Q42)</f>
        <v>0</v>
      </c>
      <c r="S42" s="796">
        <f>IF(E!Q42&lt;&gt;E!R42,IF(E!Q42&lt;&gt;0,IF(E!S42&lt;&gt;E!T42,E!S42+1,),),)</f>
        <v>0</v>
      </c>
      <c r="T42" s="796">
        <f>IF(E!Q42&lt;&gt;E!R42,IF(E!Q42&lt;&gt;0,IF(E!S42&lt;&gt;E!T42,E!T42,),),)</f>
        <v>0</v>
      </c>
      <c r="U42" s="797">
        <f>IF(E!Q42&lt;&gt;E!R42,IF(E!Q42&lt;&gt;0,IF(E!S42&lt;&gt;E!T42,E!U42,),),)</f>
        <v>0</v>
      </c>
      <c r="V42" s="875">
        <f>IF(E!Q42&lt;&gt;E!R42,IF(E!Q42&lt;&gt;0,IF(E!S42&lt;&gt;E!T42,E!V42,),),)</f>
        <v>0</v>
      </c>
      <c r="W42" s="622">
        <f>IF(Q42="","",$W$5-SUM($Q$7:Q42))</f>
        <v>0</v>
      </c>
      <c r="X42" s="395"/>
      <c r="Y42" s="905" t="str">
        <f>IF(E!Y42&lt;&gt;"",E!Y42,)</f>
        <v>National Insurance</v>
      </c>
      <c r="Z42" s="457">
        <f>E!Z42</f>
        <v>0</v>
      </c>
      <c r="AA42" s="20">
        <f t="shared" si="0"/>
        <v>0</v>
      </c>
      <c r="AB42" s="723"/>
      <c r="AC42" s="723"/>
      <c r="AD42" s="36">
        <f t="shared" si="1"/>
        <v>0</v>
      </c>
      <c r="AE42" s="23">
        <f t="shared" si="5"/>
        <v>0</v>
      </c>
      <c r="AF42" s="367"/>
      <c r="AG42" s="728">
        <f t="shared" si="2"/>
        <v>0</v>
      </c>
      <c r="AH42" s="367"/>
      <c r="AI42" s="375">
        <v>0</v>
      </c>
      <c r="AJ42" s="367"/>
      <c r="AK42" s="367"/>
      <c r="AL42" s="367"/>
      <c r="AM42" s="367"/>
      <c r="AN42" s="367"/>
      <c r="AO42" s="86"/>
      <c r="AP42" s="51">
        <f t="shared" si="3"/>
        <v>0</v>
      </c>
      <c r="AQ42" s="476">
        <f>E!AQ42+E!AP42</f>
        <v>0</v>
      </c>
      <c r="AR42" s="476">
        <f t="shared" si="4"/>
        <v>0</v>
      </c>
      <c r="AS42" s="477">
        <f>AD42+E!AS42</f>
        <v>0</v>
      </c>
      <c r="AT42" s="477">
        <f>AA42+E!AT42</f>
        <v>0</v>
      </c>
      <c r="AU42" s="476"/>
      <c r="AV42" s="477">
        <f>E!AV42-E!AD42+F!Z42-E!AP42</f>
        <v>0</v>
      </c>
      <c r="AW42" s="476">
        <f t="shared" si="6"/>
        <v>0</v>
      </c>
      <c r="AX42" s="52">
        <f>IF(Z42=E!Z42,E!AE42-AD42,E!AE42+(Z42-E!Z42)*$AW$16-AD42)</f>
        <v>0</v>
      </c>
      <c r="AZ42" s="726">
        <f t="shared" si="7"/>
        <v>0</v>
      </c>
    </row>
    <row r="43" spans="1:52" ht="15" customHeight="1" thickBot="1">
      <c r="A43" s="367"/>
      <c r="B43" s="1117" t="s">
        <v>351</v>
      </c>
      <c r="C43" s="1117"/>
      <c r="D43" s="367"/>
      <c r="E43" s="367"/>
      <c r="F43" s="367"/>
      <c r="G43" s="367"/>
      <c r="H43" s="543"/>
      <c r="I43" s="854"/>
      <c r="J43" s="6"/>
      <c r="K43" s="541"/>
      <c r="L43" s="860"/>
      <c r="M43" s="20" t="str">
        <f>IF(J43="","",$M$5-SUM($J$7:J43))</f>
        <v/>
      </c>
      <c r="N43" s="367"/>
      <c r="O43" s="7"/>
      <c r="P43" s="871">
        <f>IF(E!Q43&lt;&gt;E!R43,IF(E!Q43&lt;&gt;0,IF(E!S43&lt;&gt;E!T43,E!P43,),),)</f>
        <v>0</v>
      </c>
      <c r="Q43" s="795">
        <f>IF(E!Q43&lt;&gt;E!R43,IF(E!Q43&lt;&gt;0,IF(E!S43&lt;&gt;E!T43,E!Q43,),),)</f>
        <v>0</v>
      </c>
      <c r="R43" s="628">
        <f>IF(E!Q43&lt;&gt;E!R43,IF(E!Q43&lt;&gt;0,IF(E!S43&lt;&gt;E!T43,0,Q43),Q43),Q43)</f>
        <v>0</v>
      </c>
      <c r="S43" s="796">
        <f>IF(E!Q43&lt;&gt;E!R43,IF(E!Q43&lt;&gt;0,IF(E!S43&lt;&gt;E!T43,E!S43+1,),),)</f>
        <v>0</v>
      </c>
      <c r="T43" s="796">
        <f>IF(E!Q43&lt;&gt;E!R43,IF(E!Q43&lt;&gt;0,IF(E!S43&lt;&gt;E!T43,E!T43,),),)</f>
        <v>0</v>
      </c>
      <c r="U43" s="797">
        <f>IF(E!Q43&lt;&gt;E!R43,IF(E!Q43&lt;&gt;0,IF(E!S43&lt;&gt;E!T43,E!U43,),),)</f>
        <v>0</v>
      </c>
      <c r="V43" s="875">
        <f>IF(E!Q43&lt;&gt;E!R43,IF(E!Q43&lt;&gt;0,IF(E!S43&lt;&gt;E!T43,E!V43,),),)</f>
        <v>0</v>
      </c>
      <c r="W43" s="622">
        <f>IF(Q43="","",$W$5-SUM($Q$7:Q43))</f>
        <v>0</v>
      </c>
      <c r="X43" s="395"/>
      <c r="Y43" s="905">
        <f>IF(E!Y43&lt;&gt;"",E!Y43,)</f>
        <v>0</v>
      </c>
      <c r="Z43" s="457">
        <f>E!Z43</f>
        <v>0</v>
      </c>
      <c r="AA43" s="20">
        <f t="shared" si="0"/>
        <v>0</v>
      </c>
      <c r="AB43" s="723"/>
      <c r="AC43" s="723"/>
      <c r="AD43" s="36">
        <f t="shared" si="1"/>
        <v>0</v>
      </c>
      <c r="AE43" s="23">
        <f t="shared" si="5"/>
        <v>0</v>
      </c>
      <c r="AF43" s="367"/>
      <c r="AG43" s="728">
        <f t="shared" si="2"/>
        <v>0</v>
      </c>
      <c r="AH43" s="367"/>
      <c r="AI43" s="375">
        <v>0</v>
      </c>
      <c r="AJ43" s="367"/>
      <c r="AK43" s="367"/>
      <c r="AL43" s="367"/>
      <c r="AM43" s="367"/>
      <c r="AN43" s="367"/>
      <c r="AO43" s="86"/>
      <c r="AP43" s="51">
        <f t="shared" si="3"/>
        <v>0</v>
      </c>
      <c r="AQ43" s="476">
        <f>E!AQ43+E!AP43</f>
        <v>0</v>
      </c>
      <c r="AR43" s="476">
        <f t="shared" si="4"/>
        <v>0</v>
      </c>
      <c r="AS43" s="477">
        <f>AD43+E!AS43</f>
        <v>0</v>
      </c>
      <c r="AT43" s="477">
        <f>AA43+E!AT43</f>
        <v>0</v>
      </c>
      <c r="AU43" s="476"/>
      <c r="AV43" s="477">
        <f>E!AV43-E!AD43+F!Z43-E!AP43</f>
        <v>0</v>
      </c>
      <c r="AW43" s="476">
        <f t="shared" si="6"/>
        <v>0</v>
      </c>
      <c r="AX43" s="52">
        <f>IF(Z43=E!Z43,E!AE43-AD43,E!AE43+(Z43-E!Z43)*$AW$16-AD43)</f>
        <v>0</v>
      </c>
      <c r="AZ43" s="726">
        <f t="shared" si="7"/>
        <v>0</v>
      </c>
    </row>
    <row r="44" spans="1:52" ht="15" customHeight="1">
      <c r="A44" s="367"/>
      <c r="B44" s="811" t="s">
        <v>353</v>
      </c>
      <c r="C44" s="100" t="s">
        <v>354</v>
      </c>
      <c r="D44" s="915" t="s">
        <v>494</v>
      </c>
      <c r="E44" s="518"/>
      <c r="F44" s="518"/>
      <c r="G44" s="367"/>
      <c r="H44" s="543"/>
      <c r="I44" s="853"/>
      <c r="J44" s="6"/>
      <c r="K44" s="541"/>
      <c r="L44" s="860"/>
      <c r="M44" s="20" t="str">
        <f>IF(J44="","",$M$5-SUM($J$7:J44))</f>
        <v/>
      </c>
      <c r="N44" s="367"/>
      <c r="O44" s="7"/>
      <c r="P44" s="871">
        <f>IF(E!Q44&lt;&gt;E!R44,IF(E!Q44&lt;&gt;0,IF(E!S44&lt;&gt;E!T44,E!P44,),),)</f>
        <v>0</v>
      </c>
      <c r="Q44" s="795">
        <f>IF(E!Q44&lt;&gt;E!R44,IF(E!Q44&lt;&gt;0,IF(E!S44&lt;&gt;E!T44,E!Q44,),),)</f>
        <v>0</v>
      </c>
      <c r="R44" s="628">
        <f>IF(E!Q44&lt;&gt;E!R44,IF(E!Q44&lt;&gt;0,IF(E!S44&lt;&gt;E!T44,0,Q44),Q44),Q44)</f>
        <v>0</v>
      </c>
      <c r="S44" s="796">
        <f>IF(E!Q44&lt;&gt;E!R44,IF(E!Q44&lt;&gt;0,IF(E!S44&lt;&gt;E!T44,E!S44+1,),),)</f>
        <v>0</v>
      </c>
      <c r="T44" s="796">
        <f>IF(E!Q44&lt;&gt;E!R44,IF(E!Q44&lt;&gt;0,IF(E!S44&lt;&gt;E!T44,E!T44,),),)</f>
        <v>0</v>
      </c>
      <c r="U44" s="797">
        <f>IF(E!Q44&lt;&gt;E!R44,IF(E!Q44&lt;&gt;0,IF(E!S44&lt;&gt;E!T44,E!U44,),),)</f>
        <v>0</v>
      </c>
      <c r="V44" s="875">
        <f>IF(E!Q44&lt;&gt;E!R44,IF(E!Q44&lt;&gt;0,IF(E!S44&lt;&gt;E!T44,E!V44,),),)</f>
        <v>0</v>
      </c>
      <c r="W44" s="622">
        <f>IF(Q44="","",$W$5-SUM($Q$7:Q44))</f>
        <v>0</v>
      </c>
      <c r="X44" s="396"/>
      <c r="Y44" s="905">
        <f>IF(E!Y44&lt;&gt;"",E!Y44,)</f>
        <v>0</v>
      </c>
      <c r="Z44" s="457">
        <f>E!Z44</f>
        <v>0</v>
      </c>
      <c r="AA44" s="20">
        <f t="shared" si="0"/>
        <v>0</v>
      </c>
      <c r="AB44" s="723"/>
      <c r="AC44" s="723"/>
      <c r="AD44" s="36">
        <f t="shared" si="1"/>
        <v>0</v>
      </c>
      <c r="AE44" s="23">
        <f t="shared" si="5"/>
        <v>0</v>
      </c>
      <c r="AF44" s="367"/>
      <c r="AG44" s="728">
        <f t="shared" si="2"/>
        <v>0</v>
      </c>
      <c r="AH44" s="367"/>
      <c r="AI44" s="375">
        <v>0</v>
      </c>
      <c r="AJ44" s="367"/>
      <c r="AK44" s="367"/>
      <c r="AL44" s="367"/>
      <c r="AM44" s="367"/>
      <c r="AN44" s="367"/>
      <c r="AO44" s="86"/>
      <c r="AP44" s="51">
        <f t="shared" si="3"/>
        <v>0</v>
      </c>
      <c r="AQ44" s="476">
        <f>E!AQ44+E!AP44</f>
        <v>0</v>
      </c>
      <c r="AR44" s="476">
        <f t="shared" si="4"/>
        <v>0</v>
      </c>
      <c r="AS44" s="477">
        <f>AD44+E!AS44</f>
        <v>0</v>
      </c>
      <c r="AT44" s="477">
        <f>AA44+E!AT44</f>
        <v>0</v>
      </c>
      <c r="AU44" s="476"/>
      <c r="AV44" s="477">
        <f>E!AV44-E!AD44+F!Z44-E!AP44</f>
        <v>0</v>
      </c>
      <c r="AW44" s="476">
        <f t="shared" si="6"/>
        <v>0</v>
      </c>
      <c r="AX44" s="52">
        <f>IF(Z44=E!Z44,E!AE44-AD44,E!AE44+(Z44-E!Z44)*$AW$16-AD44)</f>
        <v>0</v>
      </c>
      <c r="AZ44" s="727">
        <f t="shared" si="7"/>
        <v>0</v>
      </c>
    </row>
    <row r="45" spans="1:52" ht="15.75">
      <c r="A45" s="367"/>
      <c r="B45" s="850" t="str">
        <f>IF(E!B45&lt;&gt;"",E!B45,)</f>
        <v>Food</v>
      </c>
      <c r="C45" s="455">
        <f>E!C45</f>
        <v>0</v>
      </c>
      <c r="D45" s="80">
        <f t="shared" ref="D45:D56" si="8">SUMIF($I$7:$I$110,B45,$J$7:$J$110)</f>
        <v>0</v>
      </c>
      <c r="E45" s="519"/>
      <c r="F45" s="519"/>
      <c r="G45" s="367"/>
      <c r="H45" s="543"/>
      <c r="I45" s="853"/>
      <c r="J45" s="6"/>
      <c r="K45" s="541"/>
      <c r="L45" s="860"/>
      <c r="M45" s="20" t="str">
        <f>IF(J45="","",$M$5-SUM($J$7:J45))</f>
        <v/>
      </c>
      <c r="N45" s="367"/>
      <c r="O45" s="107"/>
      <c r="P45" s="873">
        <f>IF(E!Q45&lt;&gt;E!R45,IF(E!Q45&lt;&gt;0,IF(E!S45&lt;&gt;E!T45,E!P45,),),)</f>
        <v>0</v>
      </c>
      <c r="Q45" s="795">
        <f>IF(E!Q45&lt;&gt;E!R45,IF(E!Q45&lt;&gt;0,IF(E!S45&lt;&gt;E!T45,E!Q45,),),)</f>
        <v>0</v>
      </c>
      <c r="R45" s="628">
        <f>IF(E!Q45&lt;&gt;E!R45,IF(E!Q45&lt;&gt;0,IF(E!S45&lt;&gt;E!T45,0,Q45),Q45),Q45)</f>
        <v>0</v>
      </c>
      <c r="S45" s="796">
        <f>IF(E!Q45&lt;&gt;E!R45,IF(E!Q45&lt;&gt;0,IF(E!S45&lt;&gt;E!T45,E!S45+1,),),)</f>
        <v>0</v>
      </c>
      <c r="T45" s="796">
        <f>IF(E!Q45&lt;&gt;E!R45,IF(E!Q45&lt;&gt;0,IF(E!S45&lt;&gt;E!T45,E!T45,),),)</f>
        <v>0</v>
      </c>
      <c r="U45" s="797">
        <f>IF(E!Q45&lt;&gt;E!R45,IF(E!Q45&lt;&gt;0,IF(E!S45&lt;&gt;E!T45,E!U45,),),)</f>
        <v>0</v>
      </c>
      <c r="V45" s="875">
        <f>IF(E!Q45&lt;&gt;E!R45,IF(E!Q45&lt;&gt;0,IF(E!S45&lt;&gt;E!T45,E!V45,),),)</f>
        <v>0</v>
      </c>
      <c r="W45" s="622">
        <f>IF(Q45="","",$W$5-SUM($Q$7:Q45))</f>
        <v>0</v>
      </c>
      <c r="X45" s="397"/>
      <c r="Y45" s="18" t="s">
        <v>179</v>
      </c>
      <c r="Z45" s="17">
        <f>SUM(Z23:Z44)</f>
        <v>0</v>
      </c>
      <c r="AA45" s="20">
        <f>SUM(AA23:AA44)</f>
        <v>0</v>
      </c>
      <c r="AB45" s="723"/>
      <c r="AC45" s="723"/>
      <c r="AD45" s="36"/>
      <c r="AE45" s="24">
        <f>SUM(AE23:AE44)</f>
        <v>0</v>
      </c>
      <c r="AF45" s="367"/>
      <c r="AG45" s="367"/>
      <c r="AH45" s="367"/>
      <c r="AI45" s="367"/>
      <c r="AJ45" s="367"/>
      <c r="AK45" s="367"/>
      <c r="AL45" s="367"/>
      <c r="AM45" s="367"/>
      <c r="AN45" s="367"/>
      <c r="AO45" s="86"/>
      <c r="AP45" s="52">
        <f>SUM(AP23:AP44)</f>
        <v>0</v>
      </c>
      <c r="AQ45" s="476">
        <f>SUM(AQ23:AQ44)</f>
        <v>0</v>
      </c>
      <c r="AR45" s="476">
        <f>SUM(AR23:AR44)</f>
        <v>0</v>
      </c>
      <c r="AS45" s="476">
        <f>SUM(AS23:AS44)</f>
        <v>0</v>
      </c>
      <c r="AT45" s="476">
        <f>SUM(AT23:AT44)</f>
        <v>0</v>
      </c>
      <c r="AU45" s="476"/>
      <c r="AV45" s="476">
        <f>SUM(AV23:AV44)</f>
        <v>0</v>
      </c>
      <c r="AW45" s="476">
        <f>SUM(AW23:AW44)</f>
        <v>0</v>
      </c>
      <c r="AX45" s="52">
        <f>SUM(AX23:AX44)</f>
        <v>0</v>
      </c>
    </row>
    <row r="46" spans="1:52" ht="15.75" customHeight="1" thickBot="1">
      <c r="A46" s="367"/>
      <c r="B46" s="850" t="str">
        <f>IF(E!B46&lt;&gt;"",E!B46,)</f>
        <v>Public Transportation</v>
      </c>
      <c r="C46" s="455">
        <f>E!C46</f>
        <v>0</v>
      </c>
      <c r="D46" s="80">
        <f t="shared" si="8"/>
        <v>0</v>
      </c>
      <c r="E46" s="519"/>
      <c r="F46" s="519"/>
      <c r="G46" s="367"/>
      <c r="H46" s="543"/>
      <c r="I46" s="853"/>
      <c r="J46" s="6"/>
      <c r="K46" s="541"/>
      <c r="L46" s="860"/>
      <c r="M46" s="20" t="str">
        <f>IF(J46="","",$M$5-SUM($J$7:J46))</f>
        <v/>
      </c>
      <c r="N46" s="367"/>
      <c r="O46" s="652"/>
      <c r="P46" s="865" t="s">
        <v>429</v>
      </c>
      <c r="Q46" s="620"/>
      <c r="R46" s="619"/>
      <c r="S46" s="629"/>
      <c r="T46" s="629"/>
      <c r="U46" s="646"/>
      <c r="V46" s="618"/>
      <c r="W46" s="627">
        <f>W5-AA45</f>
        <v>0</v>
      </c>
      <c r="X46" s="386"/>
      <c r="Y46" s="125" t="s">
        <v>367</v>
      </c>
      <c r="Z46" s="1202">
        <f>Z45-AA45</f>
        <v>0</v>
      </c>
      <c r="AA46" s="1203"/>
      <c r="AB46" s="644"/>
      <c r="AC46" s="644"/>
      <c r="AD46" s="37"/>
      <c r="AF46" s="367"/>
      <c r="AG46" s="367"/>
      <c r="AH46" s="367"/>
      <c r="AI46" s="367"/>
      <c r="AJ46" s="367"/>
      <c r="AK46" s="367"/>
      <c r="AL46" s="367"/>
      <c r="AM46" s="367"/>
      <c r="AN46" s="367"/>
      <c r="AO46" s="86"/>
    </row>
    <row r="47" spans="1:52" ht="15.75" customHeight="1">
      <c r="A47" s="367"/>
      <c r="B47" s="850" t="str">
        <f>IF(E!B47&lt;&gt;"",E!B47,)</f>
        <v>Gas and Parking</v>
      </c>
      <c r="C47" s="455">
        <f>E!C47</f>
        <v>0</v>
      </c>
      <c r="D47" s="80">
        <f t="shared" si="8"/>
        <v>0</v>
      </c>
      <c r="E47" s="519"/>
      <c r="F47" s="519"/>
      <c r="G47" s="367"/>
      <c r="H47" s="543"/>
      <c r="I47" s="853"/>
      <c r="J47" s="6"/>
      <c r="K47" s="541"/>
      <c r="L47" s="860"/>
      <c r="M47" s="20" t="str">
        <f>IF(J47="","",$M$5-SUM($J$7:J47))</f>
        <v/>
      </c>
      <c r="N47" s="367"/>
      <c r="O47" s="385"/>
      <c r="P47" s="393"/>
      <c r="Q47" s="378"/>
      <c r="R47" s="392"/>
      <c r="S47" s="387"/>
      <c r="T47" s="387"/>
      <c r="U47" s="387"/>
      <c r="V47" s="617"/>
      <c r="W47" s="392"/>
      <c r="X47" s="386"/>
      <c r="Y47" s="388"/>
      <c r="Z47" s="389"/>
      <c r="AA47" s="389"/>
      <c r="AB47" s="389"/>
      <c r="AC47" s="389"/>
      <c r="AD47" s="389"/>
      <c r="AE47" s="367"/>
      <c r="AF47" s="367"/>
      <c r="AG47" s="367"/>
      <c r="AH47" s="367"/>
      <c r="AI47" s="367"/>
      <c r="AJ47" s="367"/>
      <c r="AK47" s="367"/>
      <c r="AL47" s="367"/>
      <c r="AM47" s="367"/>
      <c r="AN47" s="367"/>
      <c r="AO47" s="86"/>
    </row>
    <row r="48" spans="1:52" ht="19.5" thickBot="1">
      <c r="A48" s="367"/>
      <c r="B48" s="850" t="str">
        <f>IF(E!B48&lt;&gt;"",E!B48,)</f>
        <v>Telephone-Landline/Long Distance</v>
      </c>
      <c r="C48" s="455">
        <f>E!C48</f>
        <v>0</v>
      </c>
      <c r="D48" s="80">
        <f t="shared" si="8"/>
        <v>0</v>
      </c>
      <c r="E48" s="519"/>
      <c r="F48" s="519"/>
      <c r="G48" s="367"/>
      <c r="H48" s="543"/>
      <c r="I48" s="853"/>
      <c r="J48" s="6"/>
      <c r="K48" s="541"/>
      <c r="L48" s="860"/>
      <c r="M48" s="20" t="str">
        <f>IF(J48="","",$M$5-SUM($J$7:J48))</f>
        <v/>
      </c>
      <c r="N48" s="367"/>
      <c r="P48" s="819" t="s">
        <v>395</v>
      </c>
      <c r="Q48" s="94" t="str">
        <f>M2</f>
        <v/>
      </c>
      <c r="R48" s="94" t="str">
        <f>N2</f>
        <v/>
      </c>
      <c r="S48" s="1215"/>
      <c r="T48" s="1215"/>
      <c r="U48" s="390"/>
      <c r="V48" s="390"/>
      <c r="W48" s="390"/>
      <c r="X48" s="386"/>
      <c r="Y48" s="386"/>
      <c r="Z48" s="386"/>
      <c r="AA48" s="386"/>
      <c r="AB48" s="391"/>
      <c r="AC48" s="391"/>
      <c r="AD48" s="391"/>
      <c r="AE48" s="367"/>
      <c r="AF48" s="367"/>
      <c r="AG48" s="367"/>
      <c r="AH48" s="367"/>
      <c r="AI48" s="367"/>
      <c r="AJ48" s="367"/>
      <c r="AK48" s="367"/>
      <c r="AL48" s="367"/>
      <c r="AM48" s="367"/>
      <c r="AN48" s="367"/>
      <c r="AO48" s="86"/>
    </row>
    <row r="49" spans="1:92" ht="16.5" thickBot="1">
      <c r="A49" s="367"/>
      <c r="B49" s="850" t="str">
        <f>IF(E!B49&lt;&gt;"",E!B49,)</f>
        <v>Cell Phones</v>
      </c>
      <c r="C49" s="455">
        <f>E!C49</f>
        <v>0</v>
      </c>
      <c r="D49" s="80">
        <f t="shared" si="8"/>
        <v>0</v>
      </c>
      <c r="E49" s="519"/>
      <c r="F49" s="519"/>
      <c r="G49" s="367"/>
      <c r="H49" s="543"/>
      <c r="I49" s="853"/>
      <c r="J49" s="6"/>
      <c r="K49" s="541"/>
      <c r="L49" s="860"/>
      <c r="M49" s="20" t="str">
        <f>IF(J49="","",$M$5-SUM($J$7:J49))</f>
        <v/>
      </c>
      <c r="N49" s="367"/>
      <c r="O49" s="377"/>
      <c r="P49" s="653" t="s">
        <v>288</v>
      </c>
      <c r="Q49" s="654" t="s">
        <v>354</v>
      </c>
      <c r="R49" s="654" t="s">
        <v>398</v>
      </c>
      <c r="S49" s="1216" t="s">
        <v>298</v>
      </c>
      <c r="T49" s="1217"/>
      <c r="U49" s="648"/>
      <c r="V49" s="371"/>
      <c r="W49" s="371"/>
      <c r="X49" s="367"/>
      <c r="Y49" s="386"/>
      <c r="Z49" s="386"/>
      <c r="AA49" s="386"/>
      <c r="AB49" s="391"/>
      <c r="AC49" s="391"/>
      <c r="AD49" s="391"/>
      <c r="AE49" s="367"/>
      <c r="AF49" s="367"/>
      <c r="AG49" s="367"/>
      <c r="AH49" s="367"/>
      <c r="AI49" s="367"/>
      <c r="AJ49" s="367"/>
      <c r="AK49" s="367"/>
      <c r="AL49" s="367"/>
      <c r="AM49" s="367"/>
      <c r="AN49" s="367"/>
      <c r="AO49" s="86"/>
    </row>
    <row r="50" spans="1:92" ht="15.75">
      <c r="A50" s="367"/>
      <c r="B50" s="850" t="str">
        <f>IF(E!B50&lt;&gt;"",E!B50,)</f>
        <v>Home</v>
      </c>
      <c r="C50" s="455">
        <f>E!C50</f>
        <v>0</v>
      </c>
      <c r="D50" s="80">
        <f t="shared" si="8"/>
        <v>0</v>
      </c>
      <c r="E50" s="519"/>
      <c r="F50" s="519"/>
      <c r="G50" s="367"/>
      <c r="H50" s="543"/>
      <c r="I50" s="853"/>
      <c r="J50" s="6"/>
      <c r="K50" s="541"/>
      <c r="L50" s="860"/>
      <c r="M50" s="20" t="str">
        <f>IF(J50="","",$M$5-SUM($J$7:J50))</f>
        <v/>
      </c>
      <c r="N50" s="367"/>
      <c r="O50" s="377"/>
      <c r="P50" s="655" t="s">
        <v>151</v>
      </c>
      <c r="Q50" s="22">
        <f>C18</f>
        <v>0</v>
      </c>
      <c r="R50" s="22">
        <f>D18</f>
        <v>0</v>
      </c>
      <c r="S50" s="1096">
        <f>Q50-R50</f>
        <v>0</v>
      </c>
      <c r="T50" s="1097"/>
      <c r="U50" s="647"/>
      <c r="V50" s="371"/>
      <c r="W50" s="371"/>
      <c r="X50" s="367"/>
      <c r="Y50" s="386"/>
      <c r="Z50" s="386"/>
      <c r="AA50" s="386"/>
      <c r="AB50" s="386"/>
      <c r="AC50" s="386"/>
      <c r="AD50" s="386"/>
      <c r="AE50" s="367"/>
      <c r="AF50" s="367"/>
      <c r="AG50" s="367"/>
      <c r="AH50" s="367"/>
      <c r="AI50" s="367"/>
      <c r="AJ50" s="367"/>
      <c r="AK50" s="367"/>
      <c r="AL50" s="367"/>
      <c r="AM50" s="367"/>
      <c r="AN50" s="367"/>
      <c r="AO50" s="86"/>
    </row>
    <row r="51" spans="1:92" ht="15.75">
      <c r="A51" s="367"/>
      <c r="B51" s="850" t="str">
        <f>IF(E!B51&lt;&gt;"",E!B51,)</f>
        <v>Cleaning help / Babysitter</v>
      </c>
      <c r="C51" s="455">
        <f>E!C51</f>
        <v>0</v>
      </c>
      <c r="D51" s="80">
        <f t="shared" si="8"/>
        <v>0</v>
      </c>
      <c r="E51" s="519"/>
      <c r="F51" s="519"/>
      <c r="G51" s="367"/>
      <c r="H51" s="543"/>
      <c r="I51" s="853"/>
      <c r="J51" s="6"/>
      <c r="K51" s="541"/>
      <c r="L51" s="860"/>
      <c r="M51" s="20" t="str">
        <f>IF(J51="","",$M$5-SUM($J$7:J51))</f>
        <v/>
      </c>
      <c r="N51" s="367"/>
      <c r="O51" s="377"/>
      <c r="P51" s="656" t="s">
        <v>396</v>
      </c>
      <c r="Q51" s="22">
        <f>Z45</f>
        <v>0</v>
      </c>
      <c r="R51" s="22">
        <f>AA45</f>
        <v>0</v>
      </c>
      <c r="S51" s="1147">
        <f>Q51-R51</f>
        <v>0</v>
      </c>
      <c r="T51" s="1147"/>
      <c r="U51" s="647"/>
      <c r="V51" s="371"/>
      <c r="W51" s="371"/>
      <c r="X51" s="367"/>
      <c r="Y51" s="367"/>
      <c r="Z51" s="367"/>
      <c r="AA51" s="367"/>
      <c r="AB51" s="367"/>
      <c r="AC51" s="367"/>
      <c r="AD51" s="367"/>
      <c r="AE51" s="367"/>
      <c r="AF51" s="367"/>
      <c r="AG51" s="367"/>
      <c r="AH51" s="367"/>
      <c r="AI51" s="367"/>
      <c r="AJ51" s="367"/>
      <c r="AK51" s="367"/>
      <c r="AL51" s="367"/>
      <c r="AM51" s="367"/>
      <c r="AN51" s="367"/>
      <c r="AO51" s="86"/>
    </row>
    <row r="52" spans="1:92" ht="15.75">
      <c r="A52" s="367"/>
      <c r="B52" s="850" t="str">
        <f>IF(E!B52&lt;&gt;"",E!B52,)</f>
        <v>Cigarettes</v>
      </c>
      <c r="C52" s="455">
        <f>E!C52</f>
        <v>0</v>
      </c>
      <c r="D52" s="80">
        <f t="shared" si="8"/>
        <v>0</v>
      </c>
      <c r="E52" s="519"/>
      <c r="F52" s="519"/>
      <c r="G52" s="367"/>
      <c r="H52" s="543"/>
      <c r="I52" s="853"/>
      <c r="J52" s="6"/>
      <c r="K52" s="541"/>
      <c r="L52" s="860"/>
      <c r="M52" s="20" t="str">
        <f>IF(J52="","",$M$5-SUM($J$7:J52))</f>
        <v/>
      </c>
      <c r="N52" s="367"/>
      <c r="O52" s="377"/>
      <c r="P52" s="657" t="s">
        <v>397</v>
      </c>
      <c r="Q52" s="22">
        <f>C57</f>
        <v>0</v>
      </c>
      <c r="R52" s="22">
        <f>D57</f>
        <v>0</v>
      </c>
      <c r="S52" s="1098">
        <f>Q52-R52</f>
        <v>0</v>
      </c>
      <c r="T52" s="1099"/>
      <c r="U52" s="649"/>
      <c r="V52" s="371"/>
      <c r="W52" s="370"/>
      <c r="X52" s="367"/>
      <c r="Y52" s="367"/>
      <c r="Z52" s="367"/>
      <c r="AA52" s="367"/>
      <c r="AB52" s="367"/>
      <c r="AC52" s="367"/>
      <c r="AD52" s="367"/>
      <c r="AE52" s="367"/>
      <c r="AF52" s="367"/>
      <c r="AG52" s="367"/>
      <c r="AH52" s="367"/>
      <c r="AI52" s="367"/>
      <c r="AJ52" s="367"/>
      <c r="AK52" s="367"/>
      <c r="AL52" s="367"/>
      <c r="AM52" s="367"/>
      <c r="AN52" s="367"/>
      <c r="AO52" s="86"/>
    </row>
    <row r="53" spans="1:92" ht="15.75">
      <c r="A53" s="367"/>
      <c r="B53" s="850" t="str">
        <f>IF(E!B53&lt;&gt;"",E!B53,)</f>
        <v>Other</v>
      </c>
      <c r="C53" s="455">
        <f>E!C53</f>
        <v>0</v>
      </c>
      <c r="D53" s="80">
        <f t="shared" si="8"/>
        <v>0</v>
      </c>
      <c r="E53" s="519"/>
      <c r="F53" s="519"/>
      <c r="G53" s="367"/>
      <c r="H53" s="543"/>
      <c r="I53" s="853"/>
      <c r="J53" s="6"/>
      <c r="K53" s="541"/>
      <c r="L53" s="860"/>
      <c r="M53" s="20" t="str">
        <f>IF(J53="","",$M$5-SUM($J$7:J53))</f>
        <v/>
      </c>
      <c r="N53" s="1110" t="str">
        <f ca="1">IF(D19&lt;=0,IF(C41&lt;=0,"","Pass positive diff?"),"Pass positive diff?")</f>
        <v/>
      </c>
      <c r="O53" s="1233"/>
      <c r="P53" s="658" t="s">
        <v>308</v>
      </c>
      <c r="Q53" s="150">
        <f>SUM(Q50:Q52)</f>
        <v>0</v>
      </c>
      <c r="R53" s="150">
        <f>SUM(R50:R52)</f>
        <v>0</v>
      </c>
      <c r="S53" s="1100">
        <f>Q53-R53</f>
        <v>0</v>
      </c>
      <c r="T53" s="1101"/>
      <c r="U53" s="788"/>
      <c r="V53" s="371"/>
      <c r="W53" s="371"/>
      <c r="X53" s="367"/>
      <c r="Y53" s="367"/>
      <c r="Z53" s="367"/>
      <c r="AA53" s="367"/>
      <c r="AB53" s="367"/>
      <c r="AC53" s="367"/>
      <c r="AD53" s="367"/>
      <c r="AE53" s="367"/>
      <c r="AF53" s="367"/>
      <c r="AG53" s="367"/>
      <c r="AH53" s="367"/>
      <c r="AI53" s="367"/>
      <c r="AJ53" s="367"/>
      <c r="AK53" s="367"/>
      <c r="AL53" s="367"/>
      <c r="AM53" s="367"/>
      <c r="AN53" s="367"/>
      <c r="AO53" s="86"/>
    </row>
    <row r="54" spans="1:92" ht="15.75">
      <c r="A54" s="367"/>
      <c r="B54" s="850">
        <f>IF(E!B54&lt;&gt;"",E!B54,)</f>
        <v>0</v>
      </c>
      <c r="C54" s="455">
        <f>E!C54</f>
        <v>0</v>
      </c>
      <c r="D54" s="80">
        <f t="shared" si="8"/>
        <v>0</v>
      </c>
      <c r="E54" s="519"/>
      <c r="F54" s="519"/>
      <c r="G54" s="367"/>
      <c r="H54" s="1199" t="s">
        <v>392</v>
      </c>
      <c r="I54" s="855" t="s">
        <v>430</v>
      </c>
      <c r="J54" s="816"/>
      <c r="K54" s="589"/>
      <c r="L54" s="590"/>
      <c r="M54" s="102">
        <f ca="1">M5-D57</f>
        <v>0</v>
      </c>
      <c r="N54" s="1110"/>
      <c r="O54" s="1233"/>
      <c r="P54" s="659" t="s">
        <v>296</v>
      </c>
      <c r="Q54" s="22">
        <f>AA4</f>
        <v>0</v>
      </c>
      <c r="R54" s="22">
        <f>AA17</f>
        <v>0</v>
      </c>
      <c r="S54" s="1096">
        <f>R54-Q54</f>
        <v>0</v>
      </c>
      <c r="T54" s="1097"/>
      <c r="U54" s="647"/>
      <c r="V54" s="371"/>
      <c r="W54" s="371"/>
      <c r="X54" s="367"/>
      <c r="Y54" s="367"/>
      <c r="Z54" s="367"/>
      <c r="AA54" s="367"/>
      <c r="AB54" s="367"/>
      <c r="AC54" s="367"/>
      <c r="AD54" s="367"/>
      <c r="AE54" s="367"/>
      <c r="AF54" s="367"/>
      <c r="AG54" s="367"/>
      <c r="AH54" s="367"/>
      <c r="AI54" s="367"/>
      <c r="AJ54" s="367"/>
      <c r="AK54" s="367"/>
      <c r="AL54" s="367"/>
      <c r="AM54" s="367"/>
      <c r="AN54" s="367"/>
      <c r="AO54" s="86"/>
    </row>
    <row r="55" spans="1:92" ht="16.5" thickBot="1">
      <c r="A55" s="367"/>
      <c r="B55" s="850">
        <f>IF(E!B55&lt;&gt;"",E!B55,)</f>
        <v>0</v>
      </c>
      <c r="C55" s="455">
        <f>E!C55</f>
        <v>0</v>
      </c>
      <c r="D55" s="80">
        <f t="shared" si="8"/>
        <v>0</v>
      </c>
      <c r="E55" s="519"/>
      <c r="F55" s="519"/>
      <c r="G55" s="367"/>
      <c r="H55" s="1200"/>
      <c r="I55" s="856" t="s">
        <v>393</v>
      </c>
      <c r="J55" s="821"/>
      <c r="K55" s="592"/>
      <c r="L55" s="591"/>
      <c r="M55" s="99">
        <f>IF(D19&lt;=0,D19,IF(N55="Yes",D19,0))</f>
        <v>0</v>
      </c>
      <c r="N55" s="438" t="str">
        <f>IF(D19&gt;0,"No","")</f>
        <v/>
      </c>
      <c r="O55" s="377"/>
      <c r="P55" s="660" t="s">
        <v>349</v>
      </c>
      <c r="Q55" s="22">
        <f ca="1">C40</f>
        <v>0</v>
      </c>
      <c r="R55" s="22">
        <f>D40</f>
        <v>0</v>
      </c>
      <c r="S55" s="1144">
        <f ca="1">Q55-R55</f>
        <v>0</v>
      </c>
      <c r="T55" s="1146"/>
      <c r="U55" s="649"/>
      <c r="V55" s="370"/>
      <c r="W55" s="371"/>
      <c r="X55" s="367"/>
      <c r="Y55" s="367"/>
      <c r="Z55" s="367"/>
      <c r="AA55" s="367"/>
      <c r="AB55" s="367"/>
      <c r="AC55" s="367"/>
      <c r="AD55" s="367"/>
      <c r="AE55" s="367"/>
      <c r="AF55" s="367"/>
      <c r="AG55" s="367"/>
      <c r="AH55" s="367"/>
      <c r="AI55" s="367"/>
      <c r="AJ55" s="367"/>
      <c r="AK55" s="367"/>
      <c r="AL55" s="367"/>
      <c r="AM55" s="367"/>
      <c r="AN55" s="367"/>
      <c r="AO55" s="86"/>
      <c r="AP55" s="52" t="s">
        <v>408</v>
      </c>
      <c r="AQ55" s="52" t="s">
        <v>410</v>
      </c>
    </row>
    <row r="56" spans="1:92" ht="16.5" thickBot="1">
      <c r="A56" s="367"/>
      <c r="B56" s="850">
        <f>IF(E!B56&lt;&gt;"",E!B56,)</f>
        <v>0</v>
      </c>
      <c r="C56" s="455">
        <f>E!C56</f>
        <v>0</v>
      </c>
      <c r="D56" s="80">
        <f t="shared" si="8"/>
        <v>0</v>
      </c>
      <c r="E56" s="519"/>
      <c r="F56" s="519"/>
      <c r="G56" s="367"/>
      <c r="H56" s="1201"/>
      <c r="I56" s="1115" t="s">
        <v>394</v>
      </c>
      <c r="J56" s="1116"/>
      <c r="K56" s="587"/>
      <c r="L56" s="594"/>
      <c r="M56" s="1">
        <f ca="1">IF(C41&lt;=0,C41,IF(N56="Yes",C41,0))</f>
        <v>0</v>
      </c>
      <c r="N56" s="438" t="str">
        <f ca="1">IF(C41&gt;0,"No","")</f>
        <v/>
      </c>
      <c r="O56" s="377"/>
      <c r="P56" s="661" t="s">
        <v>179</v>
      </c>
      <c r="Q56" s="662">
        <f ca="1">Q54-Q53-Q55</f>
        <v>0</v>
      </c>
      <c r="R56" s="662">
        <f>R54-R53-R55</f>
        <v>0</v>
      </c>
      <c r="S56" s="1144">
        <f ca="1">SUM(S53:S55)</f>
        <v>0</v>
      </c>
      <c r="T56" s="1145"/>
      <c r="U56" s="647"/>
      <c r="V56" s="371"/>
      <c r="W56" s="371"/>
      <c r="X56" s="367"/>
      <c r="Y56" s="367"/>
      <c r="Z56" s="367"/>
      <c r="AA56" s="367"/>
      <c r="AB56" s="367"/>
      <c r="AC56" s="367"/>
      <c r="AD56" s="367"/>
      <c r="AE56" s="367"/>
      <c r="AF56" s="367"/>
      <c r="AG56" s="367"/>
      <c r="AH56" s="367"/>
      <c r="AI56" s="367"/>
      <c r="AJ56" s="367"/>
      <c r="AK56" s="367"/>
      <c r="AL56" s="367"/>
      <c r="AM56" s="367"/>
      <c r="AN56" s="367"/>
      <c r="AO56" s="86"/>
      <c r="AP56" s="52" t="s">
        <v>409</v>
      </c>
      <c r="AQ56" s="52" t="s">
        <v>411</v>
      </c>
    </row>
    <row r="57" spans="1:92" ht="16.5" thickBot="1">
      <c r="A57" s="367"/>
      <c r="B57" s="16" t="s">
        <v>179</v>
      </c>
      <c r="C57" s="77">
        <f>SUM(C45:C56)</f>
        <v>0</v>
      </c>
      <c r="D57" s="76">
        <f>SUM(D45:D56)</f>
        <v>0</v>
      </c>
      <c r="E57" s="520"/>
      <c r="F57" s="520"/>
      <c r="G57" s="367"/>
      <c r="H57" s="12"/>
      <c r="I57" s="13"/>
      <c r="J57" s="14"/>
      <c r="K57" s="593"/>
      <c r="L57" s="14"/>
      <c r="M57" s="14"/>
      <c r="N57" s="367"/>
      <c r="O57" s="377"/>
      <c r="P57" s="438"/>
      <c r="Q57" s="790"/>
      <c r="R57" s="790"/>
      <c r="S57" s="789"/>
      <c r="T57" s="370"/>
      <c r="U57" s="370"/>
      <c r="V57" s="371"/>
      <c r="W57" s="371"/>
      <c r="X57" s="367"/>
      <c r="Y57" s="367"/>
      <c r="Z57" s="367"/>
      <c r="AA57" s="367"/>
      <c r="AB57" s="367"/>
      <c r="AC57" s="367"/>
      <c r="AD57" s="367"/>
      <c r="AE57" s="367"/>
      <c r="AF57" s="367"/>
      <c r="AG57" s="367"/>
      <c r="AH57" s="367"/>
      <c r="AI57" s="367"/>
      <c r="AJ57" s="367"/>
      <c r="AK57" s="367"/>
      <c r="AL57" s="367"/>
      <c r="AM57" s="367"/>
      <c r="AN57" s="367"/>
      <c r="AO57" s="86"/>
    </row>
    <row r="58" spans="1:92" ht="16.5" customHeight="1" thickBot="1">
      <c r="A58" s="367"/>
      <c r="B58" s="101" t="s">
        <v>367</v>
      </c>
      <c r="C58" s="1113">
        <f>C57-D57</f>
        <v>0</v>
      </c>
      <c r="D58" s="1114"/>
      <c r="E58" s="517"/>
      <c r="F58" s="517"/>
      <c r="G58" s="367"/>
      <c r="H58" s="818" t="s">
        <v>431</v>
      </c>
      <c r="I58" s="817"/>
      <c r="J58" s="817"/>
      <c r="K58" s="588"/>
      <c r="L58" s="588"/>
      <c r="M58" s="103">
        <f ca="1">SUM(M54:M56)</f>
        <v>0</v>
      </c>
      <c r="N58" s="729" t="str">
        <f>AQ55</f>
        <v>Pass</v>
      </c>
      <c r="O58" s="377"/>
      <c r="P58" s="663" t="s">
        <v>400</v>
      </c>
      <c r="Q58" s="664" t="str">
        <f>IF(Z56="","","Expected")</f>
        <v/>
      </c>
      <c r="R58" s="664" t="s">
        <v>398</v>
      </c>
      <c r="S58" s="1236" t="str">
        <f>IF(Z56="","","Diff")</f>
        <v/>
      </c>
      <c r="T58" s="1237"/>
      <c r="U58" s="651"/>
      <c r="V58" s="370"/>
      <c r="W58" s="371"/>
      <c r="X58" s="367"/>
      <c r="Y58" s="367"/>
      <c r="Z58" s="367"/>
      <c r="AA58" s="367"/>
      <c r="AB58" s="367"/>
      <c r="AC58" s="367"/>
      <c r="AD58" s="367"/>
      <c r="AE58" s="367"/>
      <c r="AF58" s="367"/>
      <c r="AG58" s="367"/>
      <c r="AH58" s="367"/>
      <c r="AI58" s="367"/>
      <c r="AJ58" s="367"/>
      <c r="AK58" s="367"/>
      <c r="AL58" s="367"/>
      <c r="AM58" s="367"/>
      <c r="AN58" s="367"/>
      <c r="AO58" s="86"/>
    </row>
    <row r="59" spans="1:92" ht="16.5" thickTop="1" thickBot="1">
      <c r="A59" s="367"/>
      <c r="B59" s="880" t="s">
        <v>382</v>
      </c>
      <c r="C59" s="367"/>
      <c r="D59" s="367"/>
      <c r="E59" s="367"/>
      <c r="F59" s="367"/>
      <c r="G59" s="367"/>
      <c r="H59" s="367"/>
      <c r="I59" s="367"/>
      <c r="J59" s="367"/>
      <c r="K59" s="367"/>
      <c r="L59" s="367"/>
      <c r="M59" s="367"/>
      <c r="N59" s="367"/>
      <c r="O59" s="377"/>
      <c r="P59" s="665" t="s">
        <v>399</v>
      </c>
      <c r="Q59" s="666">
        <f>E!R59+F!R56</f>
        <v>0</v>
      </c>
      <c r="R59" s="667"/>
      <c r="S59" s="1235">
        <f>Q59-R59</f>
        <v>0</v>
      </c>
      <c r="T59" s="1146"/>
      <c r="U59" s="649"/>
      <c r="V59" s="371"/>
      <c r="W59" s="371"/>
      <c r="X59" s="367"/>
      <c r="Y59" s="367"/>
      <c r="Z59" s="367"/>
      <c r="AA59" s="367"/>
      <c r="AB59" s="367"/>
      <c r="AC59" s="367"/>
      <c r="AD59" s="367"/>
      <c r="AE59" s="367"/>
      <c r="AF59" s="367"/>
      <c r="AG59" s="367"/>
      <c r="AH59" s="367"/>
      <c r="AI59" s="367"/>
      <c r="AJ59" s="367"/>
      <c r="AK59" s="367"/>
      <c r="AL59" s="367"/>
      <c r="AM59" s="367"/>
      <c r="AN59" s="367"/>
      <c r="AO59" s="86"/>
    </row>
    <row r="60" spans="1:92" ht="15">
      <c r="A60" s="367"/>
      <c r="B60" s="807" t="s">
        <v>383</v>
      </c>
      <c r="C60" s="367"/>
      <c r="D60" s="882" t="s">
        <v>384</v>
      </c>
      <c r="E60" s="367"/>
      <c r="F60" s="367"/>
      <c r="G60" s="367"/>
      <c r="I60" s="367"/>
      <c r="J60" s="367"/>
      <c r="K60" s="367"/>
      <c r="L60" s="367"/>
      <c r="M60" s="367"/>
      <c r="N60" s="367"/>
      <c r="O60" s="377"/>
      <c r="P60" s="367"/>
      <c r="Q60" s="367"/>
      <c r="R60" s="367"/>
      <c r="S60" s="371"/>
      <c r="T60" s="371"/>
      <c r="U60" s="371"/>
      <c r="V60" s="371"/>
      <c r="W60" s="367"/>
      <c r="X60" s="367"/>
      <c r="Y60" s="367"/>
      <c r="Z60" s="367"/>
      <c r="AA60" s="367"/>
      <c r="AB60" s="367"/>
      <c r="AC60" s="367"/>
      <c r="AD60" s="367"/>
      <c r="AE60" s="367"/>
      <c r="AF60" s="367"/>
      <c r="AG60" s="367"/>
      <c r="AH60" s="367"/>
      <c r="AI60" s="367"/>
      <c r="AJ60" s="367"/>
      <c r="AK60" s="367"/>
      <c r="AL60" s="367"/>
      <c r="AM60" s="367"/>
      <c r="AN60" s="367"/>
      <c r="AO60" s="86"/>
    </row>
    <row r="61" spans="1:92" ht="15.75" collapsed="1" thickBot="1">
      <c r="A61" s="367"/>
      <c r="B61" s="884" t="s">
        <v>385</v>
      </c>
      <c r="C61" s="367"/>
      <c r="D61" s="367"/>
      <c r="E61" s="367"/>
      <c r="F61" s="367"/>
      <c r="G61" s="367"/>
      <c r="I61" s="367"/>
      <c r="K61" s="510"/>
      <c r="L61" s="510"/>
      <c r="M61" s="510"/>
      <c r="N61" s="367"/>
      <c r="O61" s="511"/>
      <c r="Q61" s="367"/>
      <c r="R61" s="367"/>
      <c r="S61" s="371"/>
      <c r="T61" s="371"/>
      <c r="U61" s="371"/>
      <c r="V61" s="371"/>
      <c r="W61" s="367"/>
      <c r="X61" s="367"/>
      <c r="Y61" s="367"/>
      <c r="Z61" s="367"/>
      <c r="AA61" s="367"/>
      <c r="AB61" s="367"/>
      <c r="AC61" s="367"/>
      <c r="AD61" s="367"/>
      <c r="AE61" s="367"/>
      <c r="AF61" s="367"/>
      <c r="AG61" s="367"/>
      <c r="AH61" s="367"/>
      <c r="AI61" s="367"/>
      <c r="AJ61" s="367"/>
      <c r="AK61" s="367"/>
      <c r="AL61" s="367"/>
      <c r="AM61" s="367"/>
      <c r="AN61" s="367"/>
      <c r="AO61" s="86"/>
    </row>
    <row r="62" spans="1:92" ht="15.75" hidden="1" customHeight="1" outlineLevel="1" thickBot="1">
      <c r="A62" s="367"/>
      <c r="B62" s="367"/>
      <c r="C62" s="367"/>
      <c r="D62" s="367"/>
      <c r="E62" s="367"/>
      <c r="F62" s="367"/>
      <c r="G62" s="367"/>
      <c r="H62" s="505"/>
      <c r="I62" s="367"/>
      <c r="J62" s="367"/>
      <c r="K62" s="581"/>
      <c r="L62" s="367"/>
      <c r="M62" s="367"/>
      <c r="N62" s="367"/>
      <c r="O62" s="511"/>
      <c r="P62" s="505"/>
      <c r="Q62" s="367"/>
      <c r="R62" s="367"/>
      <c r="S62" s="371"/>
      <c r="T62" s="371"/>
      <c r="U62" s="371"/>
      <c r="V62" s="631"/>
      <c r="W62" s="367"/>
      <c r="X62" s="367"/>
      <c r="Y62" s="367"/>
      <c r="Z62" s="367"/>
      <c r="AA62" s="367"/>
      <c r="AB62" s="367"/>
      <c r="AC62" s="367"/>
      <c r="AD62" s="367"/>
      <c r="AE62" s="367"/>
      <c r="AF62" s="367"/>
      <c r="AG62" s="367"/>
      <c r="AH62" s="367"/>
      <c r="AI62" s="367"/>
      <c r="AJ62" s="367"/>
      <c r="AK62" s="367"/>
      <c r="AL62" s="367"/>
      <c r="AM62" s="367"/>
      <c r="AN62" s="367"/>
      <c r="AO62" s="86"/>
    </row>
    <row r="63" spans="1:92" s="367" customFormat="1" ht="33.75" hidden="1" customHeight="1" outlineLevel="1">
      <c r="B63" s="1120" t="s">
        <v>388</v>
      </c>
      <c r="C63" s="1122" t="s">
        <v>354</v>
      </c>
      <c r="D63" s="1124" t="s">
        <v>358</v>
      </c>
      <c r="E63" s="1126" t="s">
        <v>380</v>
      </c>
      <c r="F63" s="1127" t="s">
        <v>335</v>
      </c>
      <c r="H63" s="503" t="s">
        <v>356</v>
      </c>
      <c r="I63" s="682" t="s">
        <v>357</v>
      </c>
      <c r="J63" s="812" t="s">
        <v>358</v>
      </c>
      <c r="K63" s="598" t="s">
        <v>380</v>
      </c>
      <c r="L63" s="600" t="s">
        <v>335</v>
      </c>
      <c r="M63" s="504" t="s">
        <v>389</v>
      </c>
      <c r="O63" s="506" t="s">
        <v>356</v>
      </c>
      <c r="P63" s="507" t="s">
        <v>357</v>
      </c>
      <c r="Q63" s="813" t="s">
        <v>358</v>
      </c>
      <c r="R63" s="507" t="s">
        <v>359</v>
      </c>
      <c r="S63" s="814" t="s">
        <v>390</v>
      </c>
      <c r="T63" s="815" t="s">
        <v>391</v>
      </c>
      <c r="U63" s="637" t="s">
        <v>380</v>
      </c>
      <c r="V63" s="616" t="s">
        <v>335</v>
      </c>
      <c r="W63" s="632" t="s">
        <v>389</v>
      </c>
      <c r="AO63" s="86"/>
      <c r="AP63" s="86"/>
      <c r="AQ63" s="86"/>
      <c r="AR63" s="86"/>
      <c r="AS63" s="86"/>
      <c r="AT63" s="86"/>
      <c r="AU63" s="86"/>
      <c r="AV63" s="86"/>
      <c r="AW63" s="86"/>
      <c r="AX63" s="86"/>
      <c r="AY63" s="86"/>
      <c r="CM63" s="86"/>
      <c r="CN63" s="86"/>
    </row>
    <row r="64" spans="1:92" s="367" customFormat="1" ht="15" hidden="1" customHeight="1" outlineLevel="1">
      <c r="B64" s="1121"/>
      <c r="C64" s="1123"/>
      <c r="D64" s="1125"/>
      <c r="E64" s="1126"/>
      <c r="F64" s="1127"/>
      <c r="H64" s="543"/>
      <c r="I64" s="853"/>
      <c r="J64" s="6"/>
      <c r="K64" s="541"/>
      <c r="L64" s="860"/>
      <c r="M64" s="20" t="str">
        <f>IF(J64="","",$M$5-SUM($J$7:J64))</f>
        <v/>
      </c>
      <c r="O64" s="106"/>
      <c r="P64" s="871">
        <f>IF(E!Q64&lt;&gt;E!R64,IF(E!Q64&lt;&gt;0,IF(E!S64&lt;&gt;E!T64,E!P64,),),)</f>
        <v>0</v>
      </c>
      <c r="Q64" s="795">
        <f>IF(E!Q64&lt;&gt;E!R64,IF(E!Q64&lt;&gt;0,IF(E!S64&lt;&gt;E!T64,E!Q64,),),)</f>
        <v>0</v>
      </c>
      <c r="R64" s="628">
        <f>IF(E!Q64&lt;&gt;E!R64,IF(E!Q64&lt;&gt;0,IF(E!S64&lt;&gt;E!T64,0,Q64),Q64),Q64)</f>
        <v>0</v>
      </c>
      <c r="S64" s="796">
        <f>IF(E!Q64&lt;&gt;E!R64,IF(E!Q64&lt;&gt;0,IF(E!S64&lt;&gt;E!T64,E!S64+1,),),)</f>
        <v>0</v>
      </c>
      <c r="T64" s="796">
        <f>IF(E!Q64&lt;&gt;E!R64,IF(E!Q64&lt;&gt;0,IF(E!S64&lt;&gt;E!T64,E!T64,),),)</f>
        <v>0</v>
      </c>
      <c r="U64" s="797">
        <f>IF(E!Q64&lt;&gt;E!R64,IF(E!Q64&lt;&gt;0,IF(E!S64&lt;&gt;E!T64,E!U64,),),)</f>
        <v>0</v>
      </c>
      <c r="V64" s="875">
        <f>IF(E!Q64&lt;&gt;E!R64,IF(E!Q64&lt;&gt;0,IF(E!S64&lt;&gt;E!T64,E!V64,),),)</f>
        <v>0</v>
      </c>
      <c r="W64" s="633">
        <f>IF(Q64="","",$W$5-SUM($Q$7:$Q$45)-SUM($Q$64:Q64))</f>
        <v>0</v>
      </c>
      <c r="AO64" s="86"/>
      <c r="AP64" s="86"/>
      <c r="AQ64" s="86"/>
      <c r="AR64" s="86"/>
      <c r="AS64" s="86"/>
      <c r="AT64" s="86"/>
      <c r="AU64" s="86"/>
      <c r="AV64" s="86"/>
      <c r="AW64" s="86"/>
      <c r="AX64" s="86"/>
      <c r="AY64" s="86"/>
      <c r="CM64" s="86"/>
      <c r="CN64" s="86"/>
    </row>
    <row r="65" spans="2:92" s="367" customFormat="1" ht="15" hidden="1" customHeight="1" outlineLevel="1">
      <c r="B65" s="852">
        <f ca="1">IF(E!B65&lt;&gt;"",E!B65,)</f>
        <v>0</v>
      </c>
      <c r="C65" s="454">
        <f ca="1">E!C65</f>
        <v>0</v>
      </c>
      <c r="D65" s="74"/>
      <c r="E65" s="521"/>
      <c r="F65" s="858"/>
      <c r="H65" s="543"/>
      <c r="I65" s="853"/>
      <c r="J65" s="6"/>
      <c r="K65" s="541"/>
      <c r="L65" s="860"/>
      <c r="M65" s="20" t="str">
        <f>IF(J65="","",$M$5-SUM($J$7:J65))</f>
        <v/>
      </c>
      <c r="O65" s="7"/>
      <c r="P65" s="872">
        <f>IF(E!Q65&lt;&gt;E!R65,IF(E!Q65&lt;&gt;0,IF(E!S65&lt;&gt;E!T65,E!P65,),),)</f>
        <v>0</v>
      </c>
      <c r="Q65" s="795">
        <f>IF(E!Q65&lt;&gt;E!R65,IF(E!Q65&lt;&gt;0,IF(E!S65&lt;&gt;E!T65,E!Q65,),),)</f>
        <v>0</v>
      </c>
      <c r="R65" s="628">
        <f>IF(E!Q65&lt;&gt;E!R65,IF(E!Q65&lt;&gt;0,IF(E!S65&lt;&gt;E!T65,0,Q65),Q65),Q65)</f>
        <v>0</v>
      </c>
      <c r="S65" s="796">
        <f>IF(E!Q65&lt;&gt;E!R65,IF(E!Q65&lt;&gt;0,IF(E!S65&lt;&gt;E!T65,E!S65+1,),),)</f>
        <v>0</v>
      </c>
      <c r="T65" s="796">
        <f>IF(E!Q65&lt;&gt;E!R65,IF(E!Q65&lt;&gt;0,IF(E!S65&lt;&gt;E!T65,E!T65,),),)</f>
        <v>0</v>
      </c>
      <c r="U65" s="797">
        <f>IF(E!Q65&lt;&gt;E!R65,IF(E!Q65&lt;&gt;0,IF(E!S65&lt;&gt;E!T65,E!U65,),),)</f>
        <v>0</v>
      </c>
      <c r="V65" s="875">
        <f>IF(E!Q65&lt;&gt;E!R65,IF(E!Q65&lt;&gt;0,IF(E!S65&lt;&gt;E!T65,E!V65,),),)</f>
        <v>0</v>
      </c>
      <c r="W65" s="633">
        <f>IF(Q65="","",$W$5-SUM($Q$7:$Q$45)-SUM($Q$64:Q65))</f>
        <v>0</v>
      </c>
      <c r="AO65" s="86"/>
      <c r="AP65" s="86"/>
      <c r="AQ65" s="86"/>
      <c r="AR65" s="86"/>
      <c r="AS65" s="86"/>
      <c r="AT65" s="86"/>
      <c r="AU65" s="86"/>
      <c r="AV65" s="86"/>
      <c r="AW65" s="86"/>
      <c r="AX65" s="86"/>
      <c r="AY65" s="86"/>
      <c r="CM65" s="86"/>
      <c r="CN65" s="86"/>
    </row>
    <row r="66" spans="2:92" s="367" customFormat="1" ht="15.75" hidden="1" customHeight="1" outlineLevel="1">
      <c r="B66" s="852">
        <f ca="1">IF(E!B66&lt;&gt;"",E!B66,)</f>
        <v>0</v>
      </c>
      <c r="C66" s="454">
        <f ca="1">E!C66</f>
        <v>0</v>
      </c>
      <c r="D66" s="74"/>
      <c r="E66" s="521"/>
      <c r="F66" s="858"/>
      <c r="H66" s="543"/>
      <c r="I66" s="853"/>
      <c r="J66" s="6"/>
      <c r="K66" s="541"/>
      <c r="L66" s="860"/>
      <c r="M66" s="20" t="str">
        <f>IF(J66="","",$M$5-SUM($J$7:J66))</f>
        <v/>
      </c>
      <c r="O66" s="7"/>
      <c r="P66" s="871">
        <f>IF(E!Q66&lt;&gt;E!R66,IF(E!Q66&lt;&gt;0,IF(E!S66&lt;&gt;E!T66,E!P66,),),)</f>
        <v>0</v>
      </c>
      <c r="Q66" s="795">
        <f>IF(E!Q66&lt;&gt;E!R66,IF(E!Q66&lt;&gt;0,IF(E!S66&lt;&gt;E!T66,E!Q66,),),)</f>
        <v>0</v>
      </c>
      <c r="R66" s="628">
        <f>IF(E!Q66&lt;&gt;E!R66,IF(E!Q66&lt;&gt;0,IF(E!S66&lt;&gt;E!T66,0,Q66),Q66),Q66)</f>
        <v>0</v>
      </c>
      <c r="S66" s="796">
        <f>IF(E!Q66&lt;&gt;E!R66,IF(E!Q66&lt;&gt;0,IF(E!S66&lt;&gt;E!T66,E!S66+1,),),)</f>
        <v>0</v>
      </c>
      <c r="T66" s="796">
        <f>IF(E!Q66&lt;&gt;E!R66,IF(E!Q66&lt;&gt;0,IF(E!S66&lt;&gt;E!T66,E!T66,),),)</f>
        <v>0</v>
      </c>
      <c r="U66" s="797">
        <f>IF(E!Q66&lt;&gt;E!R66,IF(E!Q66&lt;&gt;0,IF(E!S66&lt;&gt;E!T66,E!U66,),),)</f>
        <v>0</v>
      </c>
      <c r="V66" s="875">
        <f>IF(E!Q66&lt;&gt;E!R66,IF(E!Q66&lt;&gt;0,IF(E!S66&lt;&gt;E!T66,E!V66,),),)</f>
        <v>0</v>
      </c>
      <c r="W66" s="633">
        <f>IF(Q66="","",$W$5-SUM($Q$7:$Q$45)-SUM($Q$64:Q66))</f>
        <v>0</v>
      </c>
      <c r="AO66" s="86"/>
      <c r="AP66" s="86"/>
      <c r="AQ66" s="86"/>
      <c r="AR66" s="86"/>
      <c r="AS66" s="86"/>
      <c r="AT66" s="86"/>
      <c r="AU66" s="86"/>
      <c r="AV66" s="86"/>
      <c r="AW66" s="86"/>
      <c r="AX66" s="86"/>
      <c r="AY66" s="86"/>
      <c r="CM66" s="86"/>
      <c r="CN66" s="86"/>
    </row>
    <row r="67" spans="2:92" s="367" customFormat="1" ht="15.75" hidden="1" customHeight="1" outlineLevel="1">
      <c r="B67" s="852">
        <f ca="1">IF(E!B67&lt;&gt;"",E!B67,)</f>
        <v>0</v>
      </c>
      <c r="C67" s="454">
        <f ca="1">E!C67</f>
        <v>0</v>
      </c>
      <c r="D67" s="74"/>
      <c r="E67" s="521"/>
      <c r="F67" s="858"/>
      <c r="H67" s="543"/>
      <c r="I67" s="853"/>
      <c r="J67" s="6"/>
      <c r="K67" s="541"/>
      <c r="L67" s="860"/>
      <c r="M67" s="20" t="str">
        <f>IF(J67="","",$M$5-SUM($J$7:J67))</f>
        <v/>
      </c>
      <c r="O67" s="7"/>
      <c r="P67" s="871">
        <f>IF(E!Q67&lt;&gt;E!R67,IF(E!Q67&lt;&gt;0,IF(E!S67&lt;&gt;E!T67,E!P67,),),)</f>
        <v>0</v>
      </c>
      <c r="Q67" s="798">
        <f>IF(E!Q67&lt;&gt;E!R67,IF(E!Q67&lt;&gt;0,IF(E!S67&lt;&gt;E!T67,E!Q67,),),)</f>
        <v>0</v>
      </c>
      <c r="R67" s="628">
        <f>IF(E!Q67&lt;&gt;E!R67,IF(E!Q67&lt;&gt;0,IF(E!S67&lt;&gt;E!T67,0,Q67),Q67),Q67)</f>
        <v>0</v>
      </c>
      <c r="S67" s="796">
        <f>IF(E!Q67&lt;&gt;E!R67,IF(E!Q67&lt;&gt;0,IF(E!S67&lt;&gt;E!T67,E!S67+1,),),)</f>
        <v>0</v>
      </c>
      <c r="T67" s="796">
        <f>IF(E!Q67&lt;&gt;E!R67,IF(E!Q67&lt;&gt;0,IF(E!S67&lt;&gt;E!T67,E!T67,),),)</f>
        <v>0</v>
      </c>
      <c r="U67" s="797">
        <f>IF(E!Q67&lt;&gt;E!R67,IF(E!Q67&lt;&gt;0,IF(E!S67&lt;&gt;E!T67,E!U67,),),)</f>
        <v>0</v>
      </c>
      <c r="V67" s="875">
        <f>IF(E!Q67&lt;&gt;E!R67,IF(E!Q67&lt;&gt;0,IF(E!S67&lt;&gt;E!T67,E!V67,),),)</f>
        <v>0</v>
      </c>
      <c r="W67" s="633">
        <f>IF(Q67="","",$W$5-SUM($Q$7:$Q$45)-SUM($Q$64:Q67))</f>
        <v>0</v>
      </c>
      <c r="AO67" s="86"/>
      <c r="AP67" s="86"/>
      <c r="AQ67" s="86"/>
      <c r="AR67" s="86"/>
      <c r="AS67" s="86"/>
      <c r="AT67" s="86"/>
      <c r="AU67" s="86"/>
      <c r="AV67" s="86"/>
      <c r="AW67" s="86"/>
      <c r="AX67" s="86"/>
      <c r="AY67" s="86"/>
      <c r="CM67" s="86"/>
      <c r="CN67" s="86"/>
    </row>
    <row r="68" spans="2:92" s="367" customFormat="1" ht="15.75" hidden="1" customHeight="1" outlineLevel="1">
      <c r="B68" s="852">
        <f ca="1">IF(E!B68&lt;&gt;"",E!B68,)</f>
        <v>0</v>
      </c>
      <c r="C68" s="454">
        <f ca="1">E!C68</f>
        <v>0</v>
      </c>
      <c r="D68" s="74"/>
      <c r="E68" s="521"/>
      <c r="F68" s="858"/>
      <c r="H68" s="543"/>
      <c r="I68" s="853"/>
      <c r="J68" s="6"/>
      <c r="K68" s="541"/>
      <c r="L68" s="860"/>
      <c r="M68" s="20" t="str">
        <f>IF(J68="","",$M$5-SUM($J$7:J68))</f>
        <v/>
      </c>
      <c r="O68" s="7"/>
      <c r="P68" s="871">
        <f>IF(E!Q68&lt;&gt;E!R68,IF(E!Q68&lt;&gt;0,IF(E!S68&lt;&gt;E!T68,E!P68,),),)</f>
        <v>0</v>
      </c>
      <c r="Q68" s="795">
        <f>IF(E!Q68&lt;&gt;E!R68,IF(E!Q68&lt;&gt;0,IF(E!S68&lt;&gt;E!T68,E!Q68,),),)</f>
        <v>0</v>
      </c>
      <c r="R68" s="628">
        <f>IF(E!Q68&lt;&gt;E!R68,IF(E!Q68&lt;&gt;0,IF(E!S68&lt;&gt;E!T68,0,Q68),Q68),Q68)</f>
        <v>0</v>
      </c>
      <c r="S68" s="796">
        <f>IF(E!Q68&lt;&gt;E!R68,IF(E!Q68&lt;&gt;0,IF(E!S68&lt;&gt;E!T68,E!S68+1,),),)</f>
        <v>0</v>
      </c>
      <c r="T68" s="796">
        <f>IF(E!Q68&lt;&gt;E!R68,IF(E!Q68&lt;&gt;0,IF(E!S68&lt;&gt;E!T68,E!T68,),),)</f>
        <v>0</v>
      </c>
      <c r="U68" s="797">
        <f>IF(E!Q68&lt;&gt;E!R68,IF(E!Q68&lt;&gt;0,IF(E!S68&lt;&gt;E!T68,E!U68,),),)</f>
        <v>0</v>
      </c>
      <c r="V68" s="875">
        <f>IF(E!Q68&lt;&gt;E!R68,IF(E!Q68&lt;&gt;0,IF(E!S68&lt;&gt;E!T68,E!V68,),),)</f>
        <v>0</v>
      </c>
      <c r="W68" s="633">
        <f>IF(Q68="","",$W$5-SUM($Q$7:$Q$45)-SUM($Q$64:Q68))</f>
        <v>0</v>
      </c>
      <c r="AO68" s="86"/>
      <c r="AP68" s="86"/>
      <c r="AQ68" s="86"/>
      <c r="AR68" s="86"/>
      <c r="AS68" s="86"/>
      <c r="AT68" s="86"/>
      <c r="AU68" s="86"/>
      <c r="AV68" s="86"/>
      <c r="AW68" s="86"/>
      <c r="AX68" s="86"/>
      <c r="AY68" s="86"/>
      <c r="CM68" s="86"/>
      <c r="CN68" s="86"/>
    </row>
    <row r="69" spans="2:92" s="367" customFormat="1" ht="15.75" hidden="1" customHeight="1" outlineLevel="1">
      <c r="B69" s="852">
        <f ca="1">IF(E!B69&lt;&gt;"",E!B69,)</f>
        <v>0</v>
      </c>
      <c r="C69" s="454">
        <f ca="1">E!C69</f>
        <v>0</v>
      </c>
      <c r="D69" s="74"/>
      <c r="E69" s="521"/>
      <c r="F69" s="858"/>
      <c r="H69" s="543"/>
      <c r="I69" s="853"/>
      <c r="J69" s="6"/>
      <c r="K69" s="541"/>
      <c r="L69" s="860"/>
      <c r="M69" s="20" t="str">
        <f>IF(J69="","",$M$5-SUM($J$7:J69))</f>
        <v/>
      </c>
      <c r="O69" s="7"/>
      <c r="P69" s="871">
        <f>IF(E!Q69&lt;&gt;E!R69,IF(E!Q69&lt;&gt;0,IF(E!S69&lt;&gt;E!T69,E!P69,),),)</f>
        <v>0</v>
      </c>
      <c r="Q69" s="795">
        <f>IF(E!Q69&lt;&gt;E!R69,IF(E!Q69&lt;&gt;0,IF(E!S69&lt;&gt;E!T69,E!Q69,),),)</f>
        <v>0</v>
      </c>
      <c r="R69" s="628">
        <f>IF(E!Q69&lt;&gt;E!R69,IF(E!Q69&lt;&gt;0,IF(E!S69&lt;&gt;E!T69,0,Q69),Q69),Q69)</f>
        <v>0</v>
      </c>
      <c r="S69" s="796">
        <f>IF(E!Q69&lt;&gt;E!R69,IF(E!Q69&lt;&gt;0,IF(E!S69&lt;&gt;E!T69,E!S69+1,),),)</f>
        <v>0</v>
      </c>
      <c r="T69" s="796">
        <f>IF(E!Q69&lt;&gt;E!R69,IF(E!Q69&lt;&gt;0,IF(E!S69&lt;&gt;E!T69,E!T69,),),)</f>
        <v>0</v>
      </c>
      <c r="U69" s="797">
        <f>IF(E!Q69&lt;&gt;E!R69,IF(E!Q69&lt;&gt;0,IF(E!S69&lt;&gt;E!T69,E!U69,),),)</f>
        <v>0</v>
      </c>
      <c r="V69" s="875">
        <f>IF(E!Q69&lt;&gt;E!R69,IF(E!Q69&lt;&gt;0,IF(E!S69&lt;&gt;E!T69,E!V69,),),)</f>
        <v>0</v>
      </c>
      <c r="W69" s="633">
        <f>IF(Q69="","",$W$5-SUM($Q$7:$Q$45)-SUM($Q$64:Q69))</f>
        <v>0</v>
      </c>
      <c r="AO69" s="86"/>
      <c r="AP69" s="86"/>
      <c r="AQ69" s="86"/>
      <c r="AR69" s="86"/>
      <c r="AS69" s="86"/>
      <c r="AT69" s="86"/>
      <c r="AU69" s="86"/>
      <c r="AV69" s="86"/>
      <c r="AW69" s="86"/>
      <c r="AX69" s="86"/>
      <c r="AY69" s="86"/>
      <c r="CM69" s="86"/>
      <c r="CN69" s="86"/>
    </row>
    <row r="70" spans="2:92" s="367" customFormat="1" ht="15.75" hidden="1" customHeight="1" outlineLevel="1">
      <c r="B70" s="852">
        <f ca="1">IF(E!B70&lt;&gt;"",E!B70,)</f>
        <v>0</v>
      </c>
      <c r="C70" s="454">
        <f ca="1">E!C70</f>
        <v>0</v>
      </c>
      <c r="D70" s="74"/>
      <c r="E70" s="521"/>
      <c r="F70" s="858"/>
      <c r="H70" s="543"/>
      <c r="I70" s="853"/>
      <c r="J70" s="6"/>
      <c r="K70" s="541"/>
      <c r="L70" s="860"/>
      <c r="M70" s="20" t="str">
        <f>IF(J70="","",$M$5-SUM($J$7:J70))</f>
        <v/>
      </c>
      <c r="O70" s="7"/>
      <c r="P70" s="871">
        <f>IF(E!Q70&lt;&gt;E!R70,IF(E!Q70&lt;&gt;0,IF(E!S70&lt;&gt;E!T70,E!P70,),),)</f>
        <v>0</v>
      </c>
      <c r="Q70" s="795">
        <f>IF(E!Q70&lt;&gt;E!R70,IF(E!Q70&lt;&gt;0,IF(E!S70&lt;&gt;E!T70,E!Q70,),),)</f>
        <v>0</v>
      </c>
      <c r="R70" s="628">
        <f>IF(E!Q70&lt;&gt;E!R70,IF(E!Q70&lt;&gt;0,IF(E!S70&lt;&gt;E!T70,0,Q70),Q70),Q70)</f>
        <v>0</v>
      </c>
      <c r="S70" s="796">
        <f>IF(E!Q70&lt;&gt;E!R70,IF(E!Q70&lt;&gt;0,IF(E!S70&lt;&gt;E!T70,E!S70+1,),),)</f>
        <v>0</v>
      </c>
      <c r="T70" s="796">
        <f>IF(E!Q70&lt;&gt;E!R70,IF(E!Q70&lt;&gt;0,IF(E!S70&lt;&gt;E!T70,E!T70,),),)</f>
        <v>0</v>
      </c>
      <c r="U70" s="797">
        <f>IF(E!Q70&lt;&gt;E!R70,IF(E!Q70&lt;&gt;0,IF(E!S70&lt;&gt;E!T70,E!U70,),),)</f>
        <v>0</v>
      </c>
      <c r="V70" s="875">
        <f>IF(E!Q70&lt;&gt;E!R70,IF(E!Q70&lt;&gt;0,IF(E!S70&lt;&gt;E!T70,E!V70,),),)</f>
        <v>0</v>
      </c>
      <c r="W70" s="633">
        <f>IF(Q70="","",$W$5-SUM($Q$7:$Q$45)-SUM($Q$64:Q70))</f>
        <v>0</v>
      </c>
      <c r="AO70" s="86"/>
      <c r="AP70" s="86"/>
      <c r="AQ70" s="86"/>
      <c r="AR70" s="86"/>
      <c r="AS70" s="86"/>
      <c r="AT70" s="86"/>
      <c r="AU70" s="86"/>
      <c r="AV70" s="86"/>
      <c r="AW70" s="86"/>
      <c r="AX70" s="86"/>
      <c r="AY70" s="86"/>
      <c r="CM70" s="86"/>
      <c r="CN70" s="86"/>
    </row>
    <row r="71" spans="2:92" s="367" customFormat="1" ht="15.75" hidden="1" customHeight="1" outlineLevel="1">
      <c r="B71" s="852">
        <f ca="1">IF(E!B71&lt;&gt;"",E!B71,)</f>
        <v>0</v>
      </c>
      <c r="C71" s="454">
        <f ca="1">E!C71</f>
        <v>0</v>
      </c>
      <c r="D71" s="74"/>
      <c r="E71" s="521"/>
      <c r="F71" s="858"/>
      <c r="H71" s="543"/>
      <c r="I71" s="853"/>
      <c r="J71" s="6"/>
      <c r="K71" s="541"/>
      <c r="L71" s="860"/>
      <c r="M71" s="20" t="str">
        <f>IF(J71="","",$M$5-SUM($J$7:J71))</f>
        <v/>
      </c>
      <c r="O71" s="7"/>
      <c r="P71" s="871">
        <f>IF(E!Q71&lt;&gt;E!R71,IF(E!Q71&lt;&gt;0,IF(E!S71&lt;&gt;E!T71,E!P71,),),)</f>
        <v>0</v>
      </c>
      <c r="Q71" s="795">
        <f>IF(E!Q71&lt;&gt;E!R71,IF(E!Q71&lt;&gt;0,IF(E!S71&lt;&gt;E!T71,E!Q71,),),)</f>
        <v>0</v>
      </c>
      <c r="R71" s="628">
        <f>IF(E!Q71&lt;&gt;E!R71,IF(E!Q71&lt;&gt;0,IF(E!S71&lt;&gt;E!T71,0,Q71),Q71),Q71)</f>
        <v>0</v>
      </c>
      <c r="S71" s="796">
        <f>IF(E!Q71&lt;&gt;E!R71,IF(E!Q71&lt;&gt;0,IF(E!S71&lt;&gt;E!T71,E!S71+1,),),)</f>
        <v>0</v>
      </c>
      <c r="T71" s="796">
        <f>IF(E!Q71&lt;&gt;E!R71,IF(E!Q71&lt;&gt;0,IF(E!S71&lt;&gt;E!T71,E!T71,),),)</f>
        <v>0</v>
      </c>
      <c r="U71" s="797">
        <f>IF(E!Q71&lt;&gt;E!R71,IF(E!Q71&lt;&gt;0,IF(E!S71&lt;&gt;E!T71,E!U71,),),)</f>
        <v>0</v>
      </c>
      <c r="V71" s="875">
        <f>IF(E!Q71&lt;&gt;E!R71,IF(E!Q71&lt;&gt;0,IF(E!S71&lt;&gt;E!T71,E!V71,),),)</f>
        <v>0</v>
      </c>
      <c r="W71" s="633">
        <f>IF(Q71="","",$W$5-SUM($Q$7:$Q$45)-SUM($Q$64:Q71))</f>
        <v>0</v>
      </c>
      <c r="AO71" s="86"/>
      <c r="AP71" s="86"/>
      <c r="AQ71" s="86"/>
      <c r="AR71" s="86"/>
      <c r="AS71" s="86"/>
      <c r="AT71" s="86"/>
      <c r="AU71" s="86"/>
      <c r="AV71" s="86"/>
      <c r="AW71" s="86"/>
      <c r="AX71" s="86"/>
      <c r="AY71" s="86"/>
      <c r="CM71" s="86"/>
      <c r="CN71" s="86"/>
    </row>
    <row r="72" spans="2:92" s="367" customFormat="1" ht="15.75" hidden="1" customHeight="1" outlineLevel="1">
      <c r="B72" s="852">
        <f ca="1">IF(E!B72&lt;&gt;"",E!B72,)</f>
        <v>0</v>
      </c>
      <c r="C72" s="454">
        <f ca="1">E!C72</f>
        <v>0</v>
      </c>
      <c r="D72" s="74"/>
      <c r="E72" s="521"/>
      <c r="F72" s="858"/>
      <c r="H72" s="543"/>
      <c r="I72" s="853"/>
      <c r="J72" s="6"/>
      <c r="K72" s="541"/>
      <c r="L72" s="860"/>
      <c r="M72" s="20" t="str">
        <f>IF(J72="","",$M$5-SUM($J$7:J72))</f>
        <v/>
      </c>
      <c r="O72" s="7"/>
      <c r="P72" s="871">
        <f>IF(E!Q72&lt;&gt;E!R72,IF(E!Q72&lt;&gt;0,IF(E!S72&lt;&gt;E!T72,E!P72,),),)</f>
        <v>0</v>
      </c>
      <c r="Q72" s="795">
        <f>IF(E!Q72&lt;&gt;E!R72,IF(E!Q72&lt;&gt;0,IF(E!S72&lt;&gt;E!T72,E!Q72,),),)</f>
        <v>0</v>
      </c>
      <c r="R72" s="628">
        <f>IF(E!Q72&lt;&gt;E!R72,IF(E!Q72&lt;&gt;0,IF(E!S72&lt;&gt;E!T72,0,Q72),Q72),Q72)</f>
        <v>0</v>
      </c>
      <c r="S72" s="796">
        <f>IF(E!Q72&lt;&gt;E!R72,IF(E!Q72&lt;&gt;0,IF(E!S72&lt;&gt;E!T72,E!S72+1,),),)</f>
        <v>0</v>
      </c>
      <c r="T72" s="796">
        <f>IF(E!Q72&lt;&gt;E!R72,IF(E!Q72&lt;&gt;0,IF(E!S72&lt;&gt;E!T72,E!T72,),),)</f>
        <v>0</v>
      </c>
      <c r="U72" s="797">
        <f>IF(E!Q72&lt;&gt;E!R72,IF(E!Q72&lt;&gt;0,IF(E!S72&lt;&gt;E!T72,E!U72,),),)</f>
        <v>0</v>
      </c>
      <c r="V72" s="875">
        <f>IF(E!Q72&lt;&gt;E!R72,IF(E!Q72&lt;&gt;0,IF(E!S72&lt;&gt;E!T72,E!V72,),),)</f>
        <v>0</v>
      </c>
      <c r="W72" s="633">
        <f>IF(Q72="","",$W$5-SUM($Q$7:$Q$45)-SUM($Q$64:Q72))</f>
        <v>0</v>
      </c>
      <c r="AO72" s="86"/>
      <c r="AP72" s="86"/>
      <c r="AQ72" s="86"/>
      <c r="AR72" s="86"/>
      <c r="AS72" s="86"/>
      <c r="AT72" s="86"/>
      <c r="AU72" s="86"/>
      <c r="AV72" s="86"/>
      <c r="AW72" s="86"/>
      <c r="AX72" s="86"/>
      <c r="AY72" s="86"/>
      <c r="CM72" s="86"/>
      <c r="CN72" s="86"/>
    </row>
    <row r="73" spans="2:92" s="367" customFormat="1" ht="15.75" hidden="1" customHeight="1" outlineLevel="1">
      <c r="B73" s="852">
        <f ca="1">IF(E!B73&lt;&gt;"",E!B73,)</f>
        <v>0</v>
      </c>
      <c r="C73" s="454">
        <f ca="1">E!C73</f>
        <v>0</v>
      </c>
      <c r="D73" s="74"/>
      <c r="E73" s="521"/>
      <c r="F73" s="858"/>
      <c r="H73" s="543"/>
      <c r="I73" s="853"/>
      <c r="J73" s="6"/>
      <c r="K73" s="541"/>
      <c r="L73" s="860"/>
      <c r="M73" s="20" t="str">
        <f>IF(J73="","",$M$5-SUM($J$7:J73))</f>
        <v/>
      </c>
      <c r="O73" s="7"/>
      <c r="P73" s="873">
        <f>IF(E!Q73&lt;&gt;E!R73,IF(E!Q73&lt;&gt;0,IF(E!S73&lt;&gt;E!T73,E!P73,),),)</f>
        <v>0</v>
      </c>
      <c r="Q73" s="795">
        <f>IF(E!Q73&lt;&gt;E!R73,IF(E!Q73&lt;&gt;0,IF(E!S73&lt;&gt;E!T73,E!Q73,),),)</f>
        <v>0</v>
      </c>
      <c r="R73" s="628">
        <f>IF(E!Q73&lt;&gt;E!R73,IF(E!Q73&lt;&gt;0,IF(E!S73&lt;&gt;E!T73,0,Q73),Q73),Q73)</f>
        <v>0</v>
      </c>
      <c r="S73" s="796">
        <f>IF(E!Q73&lt;&gt;E!R73,IF(E!Q73&lt;&gt;0,IF(E!S73&lt;&gt;E!T73,E!S73+1,),),)</f>
        <v>0</v>
      </c>
      <c r="T73" s="796">
        <f>IF(E!Q73&lt;&gt;E!R73,IF(E!Q73&lt;&gt;0,IF(E!S73&lt;&gt;E!T73,E!T73,),),)</f>
        <v>0</v>
      </c>
      <c r="U73" s="797">
        <f>IF(E!Q73&lt;&gt;E!R73,IF(E!Q73&lt;&gt;0,IF(E!S73&lt;&gt;E!T73,E!U73,),),)</f>
        <v>0</v>
      </c>
      <c r="V73" s="875">
        <f>IF(E!Q73&lt;&gt;E!R73,IF(E!Q73&lt;&gt;0,IF(E!S73&lt;&gt;E!T73,E!V73,),),)</f>
        <v>0</v>
      </c>
      <c r="W73" s="633">
        <f>IF(Q73="","",$W$5-SUM($Q$7:$Q$45)-SUM($Q$64:Q73))</f>
        <v>0</v>
      </c>
      <c r="AO73" s="86"/>
      <c r="AP73" s="86"/>
      <c r="AQ73" s="86"/>
      <c r="AR73" s="86"/>
      <c r="AS73" s="86"/>
      <c r="AT73" s="86"/>
      <c r="AU73" s="86"/>
      <c r="AV73" s="86"/>
      <c r="AW73" s="86"/>
      <c r="AX73" s="86"/>
      <c r="AY73" s="86"/>
      <c r="CM73" s="86"/>
      <c r="CN73" s="86"/>
    </row>
    <row r="74" spans="2:92" s="367" customFormat="1" ht="15.75" hidden="1" customHeight="1" outlineLevel="1">
      <c r="B74" s="852">
        <f ca="1">IF(E!B74&lt;&gt;"",E!B74,)</f>
        <v>0</v>
      </c>
      <c r="C74" s="454">
        <f ca="1">E!C74</f>
        <v>0</v>
      </c>
      <c r="D74" s="74"/>
      <c r="E74" s="521"/>
      <c r="F74" s="858"/>
      <c r="H74" s="543"/>
      <c r="I74" s="853"/>
      <c r="J74" s="6"/>
      <c r="K74" s="541"/>
      <c r="L74" s="860"/>
      <c r="M74" s="20" t="str">
        <f>IF(J74="","",$M$5-SUM($J$7:J74))</f>
        <v/>
      </c>
      <c r="O74" s="7"/>
      <c r="P74" s="871">
        <f>IF(E!Q74&lt;&gt;E!R74,IF(E!Q74&lt;&gt;0,IF(E!S74&lt;&gt;E!T74,E!P74,),),)</f>
        <v>0</v>
      </c>
      <c r="Q74" s="795">
        <f>IF(E!Q74&lt;&gt;E!R74,IF(E!Q74&lt;&gt;0,IF(E!S74&lt;&gt;E!T74,E!Q74,),),)</f>
        <v>0</v>
      </c>
      <c r="R74" s="628">
        <f>IF(E!Q74&lt;&gt;E!R74,IF(E!Q74&lt;&gt;0,IF(E!S74&lt;&gt;E!T74,0,Q74),Q74),Q74)</f>
        <v>0</v>
      </c>
      <c r="S74" s="796">
        <f>IF(E!Q74&lt;&gt;E!R74,IF(E!Q74&lt;&gt;0,IF(E!S74&lt;&gt;E!T74,E!S74+1,),),)</f>
        <v>0</v>
      </c>
      <c r="T74" s="796">
        <f>IF(E!Q74&lt;&gt;E!R74,IF(E!Q74&lt;&gt;0,IF(E!S74&lt;&gt;E!T74,E!T74,),),)</f>
        <v>0</v>
      </c>
      <c r="U74" s="797">
        <f>IF(E!Q74&lt;&gt;E!R74,IF(E!Q74&lt;&gt;0,IF(E!S74&lt;&gt;E!T74,E!U74,),),)</f>
        <v>0</v>
      </c>
      <c r="V74" s="875">
        <f>IF(E!Q74&lt;&gt;E!R74,IF(E!Q74&lt;&gt;0,IF(E!S74&lt;&gt;E!T74,E!V74,),),)</f>
        <v>0</v>
      </c>
      <c r="W74" s="633">
        <f>IF(Q74="","",$W$5-SUM($Q$7:$Q$45)-SUM($Q$64:Q74))</f>
        <v>0</v>
      </c>
      <c r="AO74" s="86"/>
      <c r="AP74" s="86"/>
      <c r="AQ74" s="86"/>
      <c r="AR74" s="86"/>
      <c r="AS74" s="86"/>
      <c r="AT74" s="86"/>
      <c r="AU74" s="86"/>
      <c r="AV74" s="86"/>
      <c r="AW74" s="86"/>
      <c r="AX74" s="86"/>
      <c r="AY74" s="86"/>
      <c r="CM74" s="86"/>
      <c r="CN74" s="86"/>
    </row>
    <row r="75" spans="2:92" s="367" customFormat="1" ht="15.75" hidden="1" customHeight="1" outlineLevel="1">
      <c r="B75" s="852">
        <f ca="1">IF(E!B75&lt;&gt;"",E!B75,)</f>
        <v>0</v>
      </c>
      <c r="C75" s="454">
        <f ca="1">E!C75</f>
        <v>0</v>
      </c>
      <c r="D75" s="74"/>
      <c r="E75" s="521"/>
      <c r="F75" s="858"/>
      <c r="H75" s="543"/>
      <c r="I75" s="853"/>
      <c r="J75" s="6"/>
      <c r="K75" s="541"/>
      <c r="L75" s="860"/>
      <c r="M75" s="20" t="str">
        <f>IF(J75="","",$M$5-SUM($J$7:J75))</f>
        <v/>
      </c>
      <c r="O75" s="7"/>
      <c r="P75" s="873">
        <f>IF(E!Q75&lt;&gt;E!R75,IF(E!Q75&lt;&gt;0,IF(E!S75&lt;&gt;E!T75,E!P75,),),)</f>
        <v>0</v>
      </c>
      <c r="Q75" s="795">
        <f>IF(E!Q75&lt;&gt;E!R75,IF(E!Q75&lt;&gt;0,IF(E!S75&lt;&gt;E!T75,E!Q75,),),)</f>
        <v>0</v>
      </c>
      <c r="R75" s="628">
        <f>IF(E!Q75&lt;&gt;E!R75,IF(E!Q75&lt;&gt;0,IF(E!S75&lt;&gt;E!T75,0,Q75),Q75),Q75)</f>
        <v>0</v>
      </c>
      <c r="S75" s="796">
        <f>IF(E!Q75&lt;&gt;E!R75,IF(E!Q75&lt;&gt;0,IF(E!S75&lt;&gt;E!T75,E!S75+1,),),)</f>
        <v>0</v>
      </c>
      <c r="T75" s="796">
        <f>IF(E!Q75&lt;&gt;E!R75,IF(E!Q75&lt;&gt;0,IF(E!S75&lt;&gt;E!T75,E!T75,),),)</f>
        <v>0</v>
      </c>
      <c r="U75" s="797">
        <f>IF(E!Q75&lt;&gt;E!R75,IF(E!Q75&lt;&gt;0,IF(E!S75&lt;&gt;E!T75,E!U75,),),)</f>
        <v>0</v>
      </c>
      <c r="V75" s="875">
        <f>IF(E!Q75&lt;&gt;E!R75,IF(E!Q75&lt;&gt;0,IF(E!S75&lt;&gt;E!T75,E!V75,),),)</f>
        <v>0</v>
      </c>
      <c r="W75" s="633">
        <f>IF(Q75="","",$W$5-SUM($Q$7:$Q$45)-SUM($Q$64:Q75))</f>
        <v>0</v>
      </c>
      <c r="AO75" s="86"/>
      <c r="AP75" s="86"/>
      <c r="AQ75" s="86"/>
      <c r="AR75" s="86"/>
      <c r="AS75" s="86"/>
      <c r="AT75" s="86"/>
      <c r="AU75" s="86"/>
      <c r="AV75" s="86"/>
      <c r="AW75" s="86"/>
      <c r="AX75" s="86"/>
      <c r="AY75" s="86"/>
      <c r="CM75" s="86"/>
      <c r="CN75" s="86"/>
    </row>
    <row r="76" spans="2:92" s="367" customFormat="1" ht="15.75" hidden="1" customHeight="1" outlineLevel="1">
      <c r="B76" s="852">
        <f ca="1">IF(E!B76&lt;&gt;"",E!B76,)</f>
        <v>0</v>
      </c>
      <c r="C76" s="454">
        <f ca="1">E!C76</f>
        <v>0</v>
      </c>
      <c r="D76" s="74"/>
      <c r="E76" s="521"/>
      <c r="F76" s="858"/>
      <c r="H76" s="543"/>
      <c r="I76" s="853"/>
      <c r="J76" s="6"/>
      <c r="K76" s="541"/>
      <c r="L76" s="860"/>
      <c r="M76" s="20" t="str">
        <f>IF(J76="","",$M$5-SUM($J$7:J76))</f>
        <v/>
      </c>
      <c r="O76" s="7"/>
      <c r="P76" s="871">
        <f>IF(E!Q76&lt;&gt;E!R76,IF(E!Q76&lt;&gt;0,IF(E!S76&lt;&gt;E!T76,E!P76,),),)</f>
        <v>0</v>
      </c>
      <c r="Q76" s="795">
        <f>IF(E!Q76&lt;&gt;E!R76,IF(E!Q76&lt;&gt;0,IF(E!S76&lt;&gt;E!T76,E!Q76,),),)</f>
        <v>0</v>
      </c>
      <c r="R76" s="628">
        <f>IF(E!Q76&lt;&gt;E!R76,IF(E!Q76&lt;&gt;0,IF(E!S76&lt;&gt;E!T76,0,Q76),Q76),Q76)</f>
        <v>0</v>
      </c>
      <c r="S76" s="796">
        <f>IF(E!Q76&lt;&gt;E!R76,IF(E!Q76&lt;&gt;0,IF(E!S76&lt;&gt;E!T76,E!S76+1,),),)</f>
        <v>0</v>
      </c>
      <c r="T76" s="796">
        <f>IF(E!Q76&lt;&gt;E!R76,IF(E!Q76&lt;&gt;0,IF(E!S76&lt;&gt;E!T76,E!T76,),),)</f>
        <v>0</v>
      </c>
      <c r="U76" s="797">
        <f>IF(E!Q76&lt;&gt;E!R76,IF(E!Q76&lt;&gt;0,IF(E!S76&lt;&gt;E!T76,E!U76,),),)</f>
        <v>0</v>
      </c>
      <c r="V76" s="875">
        <f>IF(E!Q76&lt;&gt;E!R76,IF(E!Q76&lt;&gt;0,IF(E!S76&lt;&gt;E!T76,E!V76,),),)</f>
        <v>0</v>
      </c>
      <c r="W76" s="633">
        <f>IF(Q76="","",$W$5-SUM($Q$7:$Q$45)-SUM($Q$64:Q76))</f>
        <v>0</v>
      </c>
      <c r="AO76" s="86"/>
      <c r="AP76" s="86"/>
      <c r="AQ76" s="86"/>
      <c r="AR76" s="86"/>
      <c r="AS76" s="86"/>
      <c r="AT76" s="86"/>
      <c r="AU76" s="86"/>
      <c r="AV76" s="86"/>
      <c r="AW76" s="86"/>
      <c r="AX76" s="86"/>
      <c r="AY76" s="86"/>
      <c r="CM76" s="86"/>
      <c r="CN76" s="86"/>
    </row>
    <row r="77" spans="2:92" s="367" customFormat="1" ht="15.75" hidden="1" customHeight="1" outlineLevel="1">
      <c r="B77" s="852">
        <f ca="1">IF(E!B77&lt;&gt;"",E!B77,)</f>
        <v>0</v>
      </c>
      <c r="C77" s="454">
        <f ca="1">E!C77</f>
        <v>0</v>
      </c>
      <c r="D77" s="74"/>
      <c r="E77" s="521"/>
      <c r="F77" s="858"/>
      <c r="H77" s="543"/>
      <c r="I77" s="853"/>
      <c r="J77" s="6"/>
      <c r="K77" s="541"/>
      <c r="L77" s="860"/>
      <c r="M77" s="20" t="str">
        <f>IF(J77="","",$M$5-SUM($J$7:J77))</f>
        <v/>
      </c>
      <c r="O77" s="7"/>
      <c r="P77" s="871">
        <f>IF(E!Q77&lt;&gt;E!R77,IF(E!Q77&lt;&gt;0,IF(E!S77&lt;&gt;E!T77,E!P77,),),)</f>
        <v>0</v>
      </c>
      <c r="Q77" s="795">
        <f>IF(E!Q77&lt;&gt;E!R77,IF(E!Q77&lt;&gt;0,IF(E!S77&lt;&gt;E!T77,E!Q77,),),)</f>
        <v>0</v>
      </c>
      <c r="R77" s="628">
        <f>IF(E!Q77&lt;&gt;E!R77,IF(E!Q77&lt;&gt;0,IF(E!S77&lt;&gt;E!T77,0,Q77),Q77),Q77)</f>
        <v>0</v>
      </c>
      <c r="S77" s="796">
        <f>IF(E!Q77&lt;&gt;E!R77,IF(E!Q77&lt;&gt;0,IF(E!S77&lt;&gt;E!T77,E!S77+1,),),)</f>
        <v>0</v>
      </c>
      <c r="T77" s="796">
        <f>IF(E!Q77&lt;&gt;E!R77,IF(E!Q77&lt;&gt;0,IF(E!S77&lt;&gt;E!T77,E!T77,),),)</f>
        <v>0</v>
      </c>
      <c r="U77" s="797">
        <f>IF(E!Q77&lt;&gt;E!R77,IF(E!Q77&lt;&gt;0,IF(E!S77&lt;&gt;E!T77,E!U77,),),)</f>
        <v>0</v>
      </c>
      <c r="V77" s="875">
        <f>IF(E!Q77&lt;&gt;E!R77,IF(E!Q77&lt;&gt;0,IF(E!S77&lt;&gt;E!T77,E!V77,),),)</f>
        <v>0</v>
      </c>
      <c r="W77" s="633">
        <f>IF(Q77="","",$W$5-SUM($Q$7:$Q$45)-SUM($Q$64:Q77))</f>
        <v>0</v>
      </c>
      <c r="AO77" s="86"/>
      <c r="AP77" s="86"/>
      <c r="AQ77" s="86"/>
      <c r="AR77" s="86"/>
      <c r="AS77" s="86"/>
      <c r="AT77" s="86"/>
      <c r="AU77" s="86"/>
      <c r="AV77" s="86"/>
      <c r="AW77" s="86"/>
      <c r="AX77" s="86"/>
      <c r="AY77" s="86"/>
      <c r="CM77" s="86"/>
      <c r="CN77" s="86"/>
    </row>
    <row r="78" spans="2:92" s="367" customFormat="1" ht="15.75" hidden="1" customHeight="1" outlineLevel="1">
      <c r="B78" s="852">
        <f ca="1">IF(E!B78&lt;&gt;"",E!B78,)</f>
        <v>0</v>
      </c>
      <c r="C78" s="454">
        <f ca="1">E!C78</f>
        <v>0</v>
      </c>
      <c r="D78" s="74"/>
      <c r="E78" s="521"/>
      <c r="F78" s="858"/>
      <c r="H78" s="543"/>
      <c r="I78" s="853"/>
      <c r="J78" s="6"/>
      <c r="K78" s="541"/>
      <c r="L78" s="860"/>
      <c r="M78" s="20" t="str">
        <f>IF(J78="","",$M$5-SUM($J$7:J78))</f>
        <v/>
      </c>
      <c r="O78" s="7"/>
      <c r="P78" s="873">
        <f>IF(E!Q78&lt;&gt;E!R78,IF(E!Q78&lt;&gt;0,IF(E!S78&lt;&gt;E!T78,E!P78,),),)</f>
        <v>0</v>
      </c>
      <c r="Q78" s="795">
        <f>IF(E!Q78&lt;&gt;E!R78,IF(E!Q78&lt;&gt;0,IF(E!S78&lt;&gt;E!T78,E!Q78,),),)</f>
        <v>0</v>
      </c>
      <c r="R78" s="628">
        <f>IF(E!Q78&lt;&gt;E!R78,IF(E!Q78&lt;&gt;0,IF(E!S78&lt;&gt;E!T78,0,Q78),Q78),Q78)</f>
        <v>0</v>
      </c>
      <c r="S78" s="796">
        <f>IF(E!Q78&lt;&gt;E!R78,IF(E!Q78&lt;&gt;0,IF(E!S78&lt;&gt;E!T78,E!S78+1,),),)</f>
        <v>0</v>
      </c>
      <c r="T78" s="796">
        <f>IF(E!Q78&lt;&gt;E!R78,IF(E!Q78&lt;&gt;0,IF(E!S78&lt;&gt;E!T78,E!T78,),),)</f>
        <v>0</v>
      </c>
      <c r="U78" s="797">
        <f>IF(E!Q78&lt;&gt;E!R78,IF(E!Q78&lt;&gt;0,IF(E!S78&lt;&gt;E!T78,E!U78,),),)</f>
        <v>0</v>
      </c>
      <c r="V78" s="875">
        <f>IF(E!Q78&lt;&gt;E!R78,IF(E!Q78&lt;&gt;0,IF(E!S78&lt;&gt;E!T78,E!V78,),),)</f>
        <v>0</v>
      </c>
      <c r="W78" s="633">
        <f>IF(Q78="","",$W$5-SUM($Q$7:$Q$45)-SUM($Q$64:Q78))</f>
        <v>0</v>
      </c>
      <c r="AO78" s="86"/>
      <c r="AP78" s="86"/>
      <c r="AQ78" s="86"/>
      <c r="AR78" s="86"/>
      <c r="AS78" s="86"/>
      <c r="AT78" s="86"/>
      <c r="AU78" s="86"/>
      <c r="AV78" s="86"/>
      <c r="AW78" s="86"/>
      <c r="AX78" s="86"/>
      <c r="AY78" s="86"/>
      <c r="CM78" s="86"/>
      <c r="CN78" s="86"/>
    </row>
    <row r="79" spans="2:92" s="367" customFormat="1" ht="15.75" hidden="1" customHeight="1" outlineLevel="1">
      <c r="B79" s="852">
        <f ca="1">IF(E!B79&lt;&gt;"",E!B79,)</f>
        <v>0</v>
      </c>
      <c r="C79" s="454">
        <f ca="1">E!C79</f>
        <v>0</v>
      </c>
      <c r="D79" s="74"/>
      <c r="E79" s="521"/>
      <c r="F79" s="858"/>
      <c r="H79" s="543"/>
      <c r="I79" s="853"/>
      <c r="J79" s="6"/>
      <c r="K79" s="541"/>
      <c r="L79" s="860"/>
      <c r="M79" s="20" t="str">
        <f>IF(J79="","",$M$5-SUM($J$7:J79))</f>
        <v/>
      </c>
      <c r="O79" s="7"/>
      <c r="P79" s="871">
        <f>IF(E!Q79&lt;&gt;E!R79,IF(E!Q79&lt;&gt;0,IF(E!S79&lt;&gt;E!T79,E!P79,),),)</f>
        <v>0</v>
      </c>
      <c r="Q79" s="795">
        <f>IF(E!Q79&lt;&gt;E!R79,IF(E!Q79&lt;&gt;0,IF(E!S79&lt;&gt;E!T79,E!Q79,),),)</f>
        <v>0</v>
      </c>
      <c r="R79" s="628">
        <f>IF(E!Q79&lt;&gt;E!R79,IF(E!Q79&lt;&gt;0,IF(E!S79&lt;&gt;E!T79,0,Q79),Q79),Q79)</f>
        <v>0</v>
      </c>
      <c r="S79" s="796">
        <f>IF(E!Q79&lt;&gt;E!R79,IF(E!Q79&lt;&gt;0,IF(E!S79&lt;&gt;E!T79,E!S79+1,),),)</f>
        <v>0</v>
      </c>
      <c r="T79" s="796">
        <f>IF(E!Q79&lt;&gt;E!R79,IF(E!Q79&lt;&gt;0,IF(E!S79&lt;&gt;E!T79,E!T79,),),)</f>
        <v>0</v>
      </c>
      <c r="U79" s="797">
        <f>IF(E!Q79&lt;&gt;E!R79,IF(E!Q79&lt;&gt;0,IF(E!S79&lt;&gt;E!T79,E!U79,),),)</f>
        <v>0</v>
      </c>
      <c r="V79" s="875">
        <f>IF(E!Q79&lt;&gt;E!R79,IF(E!Q79&lt;&gt;0,IF(E!S79&lt;&gt;E!T79,E!V79,),),)</f>
        <v>0</v>
      </c>
      <c r="W79" s="633">
        <f>IF(Q79="","",$W$5-SUM($Q$7:$Q$45)-SUM($Q$64:Q79))</f>
        <v>0</v>
      </c>
      <c r="AO79" s="86"/>
      <c r="AP79" s="86"/>
      <c r="AQ79" s="86"/>
      <c r="AR79" s="86"/>
      <c r="AS79" s="86"/>
      <c r="AT79" s="86"/>
      <c r="AU79" s="86"/>
      <c r="AV79" s="86"/>
      <c r="AW79" s="86"/>
      <c r="AX79" s="86"/>
      <c r="AY79" s="86"/>
      <c r="CM79" s="86"/>
      <c r="CN79" s="86"/>
    </row>
    <row r="80" spans="2:92" s="367" customFormat="1" ht="15.75" hidden="1" customHeight="1" outlineLevel="1">
      <c r="B80" s="852">
        <f ca="1">IF(E!B80&lt;&gt;"",E!B80,)</f>
        <v>0</v>
      </c>
      <c r="C80" s="454">
        <f ca="1">E!C80</f>
        <v>0</v>
      </c>
      <c r="D80" s="74"/>
      <c r="E80" s="521"/>
      <c r="F80" s="858"/>
      <c r="H80" s="543"/>
      <c r="I80" s="853"/>
      <c r="J80" s="6"/>
      <c r="K80" s="541"/>
      <c r="L80" s="860"/>
      <c r="M80" s="20" t="str">
        <f>IF(J80="","",$M$5-SUM($J$7:J80))</f>
        <v/>
      </c>
      <c r="O80" s="7"/>
      <c r="P80" s="873">
        <f>IF(E!Q80&lt;&gt;E!R80,IF(E!Q80&lt;&gt;0,IF(E!S80&lt;&gt;E!T80,E!P80,),),)</f>
        <v>0</v>
      </c>
      <c r="Q80" s="795">
        <f>IF(E!Q80&lt;&gt;E!R80,IF(E!Q80&lt;&gt;0,IF(E!S80&lt;&gt;E!T80,E!Q80,),),)</f>
        <v>0</v>
      </c>
      <c r="R80" s="628">
        <f>IF(E!Q80&lt;&gt;E!R80,IF(E!Q80&lt;&gt;0,IF(E!S80&lt;&gt;E!T80,0,Q80),Q80),Q80)</f>
        <v>0</v>
      </c>
      <c r="S80" s="796">
        <f>IF(E!Q80&lt;&gt;E!R80,IF(E!Q80&lt;&gt;0,IF(E!S80&lt;&gt;E!T80,E!S80+1,),),)</f>
        <v>0</v>
      </c>
      <c r="T80" s="796">
        <f>IF(E!Q80&lt;&gt;E!R80,IF(E!Q80&lt;&gt;0,IF(E!S80&lt;&gt;E!T80,E!T80,),),)</f>
        <v>0</v>
      </c>
      <c r="U80" s="797">
        <f>IF(E!Q80&lt;&gt;E!R80,IF(E!Q80&lt;&gt;0,IF(E!S80&lt;&gt;E!T80,E!U80,),),)</f>
        <v>0</v>
      </c>
      <c r="V80" s="875">
        <f>IF(E!Q80&lt;&gt;E!R80,IF(E!Q80&lt;&gt;0,IF(E!S80&lt;&gt;E!T80,E!V80,),),)</f>
        <v>0</v>
      </c>
      <c r="W80" s="633">
        <f>IF(Q80="","",$W$5-SUM($Q$7:$Q$45)-SUM($Q$64:Q80))</f>
        <v>0</v>
      </c>
      <c r="AO80" s="86"/>
      <c r="AP80" s="86"/>
      <c r="AQ80" s="86"/>
      <c r="AR80" s="86"/>
      <c r="AS80" s="86"/>
      <c r="AT80" s="86"/>
      <c r="AU80" s="86"/>
      <c r="AV80" s="86"/>
      <c r="AW80" s="86"/>
      <c r="AX80" s="86"/>
      <c r="AY80" s="86"/>
      <c r="CM80" s="86"/>
      <c r="CN80" s="86"/>
    </row>
    <row r="81" spans="2:92" s="367" customFormat="1" ht="15.75" hidden="1" customHeight="1" outlineLevel="1">
      <c r="B81" s="852">
        <f ca="1">IF(E!B81&lt;&gt;"",E!B81,)</f>
        <v>0</v>
      </c>
      <c r="C81" s="454">
        <f ca="1">E!C81</f>
        <v>0</v>
      </c>
      <c r="D81" s="74"/>
      <c r="E81" s="521"/>
      <c r="F81" s="858"/>
      <c r="H81" s="543"/>
      <c r="I81" s="853"/>
      <c r="J81" s="6"/>
      <c r="K81" s="541"/>
      <c r="L81" s="860"/>
      <c r="M81" s="20" t="str">
        <f>IF(J81="","",$M$5-SUM($J$7:J81))</f>
        <v/>
      </c>
      <c r="O81" s="7"/>
      <c r="P81" s="873">
        <f>IF(E!Q81&lt;&gt;E!R81,IF(E!Q81&lt;&gt;0,IF(E!S81&lt;&gt;E!T81,E!P81,),),)</f>
        <v>0</v>
      </c>
      <c r="Q81" s="795">
        <f>IF(E!Q81&lt;&gt;E!R81,IF(E!Q81&lt;&gt;0,IF(E!S81&lt;&gt;E!T81,E!Q81,),),)</f>
        <v>0</v>
      </c>
      <c r="R81" s="628">
        <f>IF(E!Q81&lt;&gt;E!R81,IF(E!Q81&lt;&gt;0,IF(E!S81&lt;&gt;E!T81,0,Q81),Q81),Q81)</f>
        <v>0</v>
      </c>
      <c r="S81" s="796">
        <f>IF(E!Q81&lt;&gt;E!R81,IF(E!Q81&lt;&gt;0,IF(E!S81&lt;&gt;E!T81,E!S81+1,),),)</f>
        <v>0</v>
      </c>
      <c r="T81" s="796">
        <f>IF(E!Q81&lt;&gt;E!R81,IF(E!Q81&lt;&gt;0,IF(E!S81&lt;&gt;E!T81,E!T81,),),)</f>
        <v>0</v>
      </c>
      <c r="U81" s="797">
        <f>IF(E!Q81&lt;&gt;E!R81,IF(E!Q81&lt;&gt;0,IF(E!S81&lt;&gt;E!T81,E!U81,),),)</f>
        <v>0</v>
      </c>
      <c r="V81" s="875">
        <f>IF(E!Q81&lt;&gt;E!R81,IF(E!Q81&lt;&gt;0,IF(E!S81&lt;&gt;E!T81,E!V81,),),)</f>
        <v>0</v>
      </c>
      <c r="W81" s="633">
        <f>IF(Q81="","",$W$5-SUM($Q$7:$Q$45)-SUM($Q$64:Q81))</f>
        <v>0</v>
      </c>
      <c r="AO81" s="86"/>
      <c r="AP81" s="86"/>
      <c r="AQ81" s="86"/>
      <c r="AR81" s="86"/>
      <c r="AS81" s="86"/>
      <c r="AT81" s="86"/>
      <c r="AU81" s="86"/>
      <c r="AV81" s="86"/>
      <c r="AW81" s="86"/>
      <c r="AX81" s="86"/>
      <c r="AY81" s="86"/>
      <c r="CM81" s="86"/>
      <c r="CN81" s="86"/>
    </row>
    <row r="82" spans="2:92" s="367" customFormat="1" ht="15.75" hidden="1" customHeight="1" outlineLevel="1">
      <c r="B82" s="852">
        <f ca="1">IF(E!B82&lt;&gt;"",E!B82,)</f>
        <v>0</v>
      </c>
      <c r="C82" s="454">
        <f ca="1">E!C82</f>
        <v>0</v>
      </c>
      <c r="D82" s="74"/>
      <c r="E82" s="521"/>
      <c r="F82" s="858"/>
      <c r="H82" s="543"/>
      <c r="I82" s="853"/>
      <c r="J82" s="6"/>
      <c r="K82" s="541"/>
      <c r="L82" s="860"/>
      <c r="M82" s="20" t="str">
        <f>IF(J82="","",$M$5-SUM($J$7:J82))</f>
        <v/>
      </c>
      <c r="O82" s="7"/>
      <c r="P82" s="873">
        <f>IF(E!Q82&lt;&gt;E!R82,IF(E!Q82&lt;&gt;0,IF(E!S82&lt;&gt;E!T82,E!P82,),),)</f>
        <v>0</v>
      </c>
      <c r="Q82" s="795">
        <f>IF(E!Q82&lt;&gt;E!R82,IF(E!Q82&lt;&gt;0,IF(E!S82&lt;&gt;E!T82,E!Q82,),),)</f>
        <v>0</v>
      </c>
      <c r="R82" s="628">
        <f>IF(E!Q82&lt;&gt;E!R82,IF(E!Q82&lt;&gt;0,IF(E!S82&lt;&gt;E!T82,0,Q82),Q82),Q82)</f>
        <v>0</v>
      </c>
      <c r="S82" s="796">
        <f>IF(E!Q82&lt;&gt;E!R82,IF(E!Q82&lt;&gt;0,IF(E!S82&lt;&gt;E!T82,E!S82+1,),),)</f>
        <v>0</v>
      </c>
      <c r="T82" s="796">
        <f>IF(E!Q82&lt;&gt;E!R82,IF(E!Q82&lt;&gt;0,IF(E!S82&lt;&gt;E!T82,E!T82,),),)</f>
        <v>0</v>
      </c>
      <c r="U82" s="797">
        <f>IF(E!Q82&lt;&gt;E!R82,IF(E!Q82&lt;&gt;0,IF(E!S82&lt;&gt;E!T82,E!U82,),),)</f>
        <v>0</v>
      </c>
      <c r="V82" s="875">
        <f>IF(E!Q82&lt;&gt;E!R82,IF(E!Q82&lt;&gt;0,IF(E!S82&lt;&gt;E!T82,E!V82,),),)</f>
        <v>0</v>
      </c>
      <c r="W82" s="633">
        <f>IF(Q82="","",$W$5-SUM($Q$7:$Q$45)-SUM($Q$64:Q82))</f>
        <v>0</v>
      </c>
      <c r="AO82" s="86"/>
      <c r="AP82" s="86"/>
      <c r="AQ82" s="86"/>
      <c r="AR82" s="86"/>
      <c r="AS82" s="86"/>
      <c r="AT82" s="86"/>
      <c r="AU82" s="86"/>
      <c r="AV82" s="86"/>
      <c r="AW82" s="86"/>
      <c r="AX82" s="86"/>
      <c r="AY82" s="86"/>
      <c r="CM82" s="86"/>
      <c r="CN82" s="86"/>
    </row>
    <row r="83" spans="2:92" s="367" customFormat="1" ht="15.75" hidden="1" customHeight="1" outlineLevel="1">
      <c r="B83" s="852">
        <f ca="1">IF(E!B83&lt;&gt;"",E!B83,)</f>
        <v>0</v>
      </c>
      <c r="C83" s="454">
        <f ca="1">E!C83</f>
        <v>0</v>
      </c>
      <c r="D83" s="74"/>
      <c r="E83" s="521"/>
      <c r="F83" s="858"/>
      <c r="H83" s="543"/>
      <c r="I83" s="853"/>
      <c r="J83" s="6"/>
      <c r="K83" s="541"/>
      <c r="L83" s="860"/>
      <c r="M83" s="20" t="str">
        <f>IF(J83="","",$M$5-SUM($J$7:J83))</f>
        <v/>
      </c>
      <c r="O83" s="7"/>
      <c r="P83" s="873">
        <f>IF(E!Q83&lt;&gt;E!R83,IF(E!Q83&lt;&gt;0,IF(E!S83&lt;&gt;E!T83,E!P83,),),)</f>
        <v>0</v>
      </c>
      <c r="Q83" s="795">
        <f>IF(E!Q83&lt;&gt;E!R83,IF(E!Q83&lt;&gt;0,IF(E!S83&lt;&gt;E!T83,E!Q83,),),)</f>
        <v>0</v>
      </c>
      <c r="R83" s="628">
        <f>IF(E!Q83&lt;&gt;E!R83,IF(E!Q83&lt;&gt;0,IF(E!S83&lt;&gt;E!T83,0,Q83),Q83),Q83)</f>
        <v>0</v>
      </c>
      <c r="S83" s="796">
        <f>IF(E!Q83&lt;&gt;E!R83,IF(E!Q83&lt;&gt;0,IF(E!S83&lt;&gt;E!T83,E!S83+1,),),)</f>
        <v>0</v>
      </c>
      <c r="T83" s="796">
        <f>IF(E!Q83&lt;&gt;E!R83,IF(E!Q83&lt;&gt;0,IF(E!S83&lt;&gt;E!T83,E!T83,),),)</f>
        <v>0</v>
      </c>
      <c r="U83" s="797">
        <f>IF(E!Q83&lt;&gt;E!R83,IF(E!Q83&lt;&gt;0,IF(E!S83&lt;&gt;E!T83,E!U83,),),)</f>
        <v>0</v>
      </c>
      <c r="V83" s="875">
        <f>IF(E!Q83&lt;&gt;E!R83,IF(E!Q83&lt;&gt;0,IF(E!S83&lt;&gt;E!T83,E!V83,),),)</f>
        <v>0</v>
      </c>
      <c r="W83" s="633">
        <f>IF(Q83="","",$W$5-SUM($Q$7:$Q$45)-SUM($Q$64:Q83))</f>
        <v>0</v>
      </c>
      <c r="AO83" s="86"/>
      <c r="AP83" s="86"/>
      <c r="AQ83" s="86"/>
      <c r="AR83" s="86"/>
      <c r="AS83" s="86"/>
      <c r="AT83" s="86"/>
      <c r="AU83" s="86"/>
      <c r="AV83" s="86"/>
      <c r="AW83" s="86"/>
      <c r="AX83" s="86"/>
      <c r="AY83" s="86"/>
      <c r="CM83" s="86"/>
      <c r="CN83" s="86"/>
    </row>
    <row r="84" spans="2:92" s="367" customFormat="1" ht="15.75" hidden="1" customHeight="1" outlineLevel="1">
      <c r="B84" s="852">
        <f ca="1">IF(E!B84&lt;&gt;"",E!B84,)</f>
        <v>0</v>
      </c>
      <c r="C84" s="454">
        <f ca="1">E!C84</f>
        <v>0</v>
      </c>
      <c r="D84" s="74"/>
      <c r="E84" s="521"/>
      <c r="F84" s="858"/>
      <c r="H84" s="543"/>
      <c r="I84" s="853"/>
      <c r="J84" s="6"/>
      <c r="K84" s="541"/>
      <c r="L84" s="860"/>
      <c r="M84" s="20" t="str">
        <f>IF(J84="","",$M$5-SUM($J$7:J84))</f>
        <v/>
      </c>
      <c r="O84" s="7"/>
      <c r="P84" s="873">
        <f>IF(E!Q84&lt;&gt;E!R84,IF(E!Q84&lt;&gt;0,IF(E!S84&lt;&gt;E!T84,E!P84,),),)</f>
        <v>0</v>
      </c>
      <c r="Q84" s="795">
        <f>IF(E!Q84&lt;&gt;E!R84,IF(E!Q84&lt;&gt;0,IF(E!S84&lt;&gt;E!T84,E!Q84,),),)</f>
        <v>0</v>
      </c>
      <c r="R84" s="628">
        <f>IF(E!Q84&lt;&gt;E!R84,IF(E!Q84&lt;&gt;0,IF(E!S84&lt;&gt;E!T84,0,Q84),Q84),Q84)</f>
        <v>0</v>
      </c>
      <c r="S84" s="796">
        <f>IF(E!Q84&lt;&gt;E!R84,IF(E!Q84&lt;&gt;0,IF(E!S84&lt;&gt;E!T84,E!S84+1,),),)</f>
        <v>0</v>
      </c>
      <c r="T84" s="796">
        <f>IF(E!Q84&lt;&gt;E!R84,IF(E!Q84&lt;&gt;0,IF(E!S84&lt;&gt;E!T84,E!T84,),),)</f>
        <v>0</v>
      </c>
      <c r="U84" s="797">
        <f>IF(E!Q84&lt;&gt;E!R84,IF(E!Q84&lt;&gt;0,IF(E!S84&lt;&gt;E!T84,E!U84,),),)</f>
        <v>0</v>
      </c>
      <c r="V84" s="875">
        <f>IF(E!Q84&lt;&gt;E!R84,IF(E!Q84&lt;&gt;0,IF(E!S84&lt;&gt;E!T84,E!V84,),),)</f>
        <v>0</v>
      </c>
      <c r="W84" s="633">
        <f>IF(Q84="","",$W$5-SUM($Q$7:$Q$45)-SUM($Q$64:Q84))</f>
        <v>0</v>
      </c>
      <c r="AO84" s="86"/>
      <c r="AP84" s="86"/>
      <c r="AQ84" s="86"/>
      <c r="AR84" s="86"/>
      <c r="AS84" s="86"/>
      <c r="AT84" s="86"/>
      <c r="AU84" s="86"/>
      <c r="AV84" s="86"/>
      <c r="AW84" s="86"/>
      <c r="AX84" s="86"/>
      <c r="AY84" s="86"/>
      <c r="CM84" s="86"/>
      <c r="CN84" s="86"/>
    </row>
    <row r="85" spans="2:92" s="367" customFormat="1" ht="15.75" hidden="1" customHeight="1" outlineLevel="1">
      <c r="B85" s="852">
        <f ca="1">IF(E!B85&lt;&gt;"",E!B85,)</f>
        <v>0</v>
      </c>
      <c r="C85" s="454">
        <f ca="1">E!C85</f>
        <v>0</v>
      </c>
      <c r="D85" s="74"/>
      <c r="E85" s="521"/>
      <c r="F85" s="858"/>
      <c r="H85" s="543"/>
      <c r="I85" s="853"/>
      <c r="J85" s="6"/>
      <c r="K85" s="541"/>
      <c r="L85" s="860"/>
      <c r="M85" s="20" t="str">
        <f>IF(J85="","",$M$5-SUM($J$7:J85))</f>
        <v/>
      </c>
      <c r="O85" s="7"/>
      <c r="P85" s="873">
        <f>IF(E!Q85&lt;&gt;E!R85,IF(E!Q85&lt;&gt;0,IF(E!S85&lt;&gt;E!T85,E!P85,),),)</f>
        <v>0</v>
      </c>
      <c r="Q85" s="795">
        <f>IF(E!Q85&lt;&gt;E!R85,IF(E!Q85&lt;&gt;0,IF(E!S85&lt;&gt;E!T85,E!Q85,),),)</f>
        <v>0</v>
      </c>
      <c r="R85" s="628">
        <f>IF(E!Q85&lt;&gt;E!R85,IF(E!Q85&lt;&gt;0,IF(E!S85&lt;&gt;E!T85,0,Q85),Q85),Q85)</f>
        <v>0</v>
      </c>
      <c r="S85" s="796">
        <f>IF(E!Q85&lt;&gt;E!R85,IF(E!Q85&lt;&gt;0,IF(E!S85&lt;&gt;E!T85,E!S85+1,),),)</f>
        <v>0</v>
      </c>
      <c r="T85" s="796">
        <f>IF(E!Q85&lt;&gt;E!R85,IF(E!Q85&lt;&gt;0,IF(E!S85&lt;&gt;E!T85,E!T85,),),)</f>
        <v>0</v>
      </c>
      <c r="U85" s="797">
        <f>IF(E!Q85&lt;&gt;E!R85,IF(E!Q85&lt;&gt;0,IF(E!S85&lt;&gt;E!T85,E!U85,),),)</f>
        <v>0</v>
      </c>
      <c r="V85" s="875">
        <f>IF(E!Q85&lt;&gt;E!R85,IF(E!Q85&lt;&gt;0,IF(E!S85&lt;&gt;E!T85,E!V85,),),)</f>
        <v>0</v>
      </c>
      <c r="W85" s="633">
        <f>IF(Q85="","",$W$5-SUM($Q$7:$Q$45)-SUM($Q$64:Q85))</f>
        <v>0</v>
      </c>
      <c r="AO85" s="86"/>
      <c r="AP85" s="86"/>
      <c r="AQ85" s="86"/>
      <c r="AR85" s="86"/>
      <c r="AS85" s="86"/>
      <c r="AT85" s="86"/>
      <c r="AU85" s="86"/>
      <c r="AV85" s="86"/>
      <c r="AW85" s="86"/>
      <c r="AX85" s="86"/>
      <c r="AY85" s="86"/>
      <c r="CM85" s="86"/>
      <c r="CN85" s="86"/>
    </row>
    <row r="86" spans="2:92" s="367" customFormat="1" ht="15.75" hidden="1" customHeight="1" outlineLevel="1">
      <c r="B86" s="852">
        <f ca="1">IF(E!B86&lt;&gt;"",E!B86,)</f>
        <v>0</v>
      </c>
      <c r="C86" s="454">
        <f ca="1">E!C86</f>
        <v>0</v>
      </c>
      <c r="D86" s="74"/>
      <c r="E86" s="521"/>
      <c r="F86" s="858"/>
      <c r="H86" s="543"/>
      <c r="I86" s="854"/>
      <c r="J86" s="6"/>
      <c r="K86" s="541"/>
      <c r="L86" s="860"/>
      <c r="M86" s="20" t="str">
        <f>IF(J86="","",$M$5-SUM($J$7:J86))</f>
        <v/>
      </c>
      <c r="O86" s="7"/>
      <c r="P86" s="873">
        <f>IF(E!Q86&lt;&gt;E!R86,IF(E!Q86&lt;&gt;0,IF(E!S86&lt;&gt;E!T86,E!P86,),),)</f>
        <v>0</v>
      </c>
      <c r="Q86" s="795">
        <f>IF(E!Q86&lt;&gt;E!R86,IF(E!Q86&lt;&gt;0,IF(E!S86&lt;&gt;E!T86,E!Q86,),),)</f>
        <v>0</v>
      </c>
      <c r="R86" s="628">
        <f>IF(E!Q86&lt;&gt;E!R86,IF(E!Q86&lt;&gt;0,IF(E!S86&lt;&gt;E!T86,0,Q86),Q86),Q86)</f>
        <v>0</v>
      </c>
      <c r="S86" s="796">
        <f>IF(E!Q86&lt;&gt;E!R86,IF(E!Q86&lt;&gt;0,IF(E!S86&lt;&gt;E!T86,E!S86+1,),),)</f>
        <v>0</v>
      </c>
      <c r="T86" s="796">
        <f>IF(E!Q86&lt;&gt;E!R86,IF(E!Q86&lt;&gt;0,IF(E!S86&lt;&gt;E!T86,E!T86,),),)</f>
        <v>0</v>
      </c>
      <c r="U86" s="797">
        <f>IF(E!Q86&lt;&gt;E!R86,IF(E!Q86&lt;&gt;0,IF(E!S86&lt;&gt;E!T86,E!U86,),),)</f>
        <v>0</v>
      </c>
      <c r="V86" s="875">
        <f>IF(E!Q86&lt;&gt;E!R86,IF(E!Q86&lt;&gt;0,IF(E!S86&lt;&gt;E!T86,E!V86,),),)</f>
        <v>0</v>
      </c>
      <c r="W86" s="633">
        <f>IF(Q86="","",$W$5-SUM($Q$7:$Q$45)-SUM($Q$64:Q86))</f>
        <v>0</v>
      </c>
      <c r="AO86" s="86"/>
      <c r="AP86" s="86"/>
      <c r="AQ86" s="86"/>
      <c r="AR86" s="86"/>
      <c r="AS86" s="86"/>
      <c r="AT86" s="86"/>
      <c r="AU86" s="86"/>
      <c r="AV86" s="86"/>
      <c r="AW86" s="86"/>
      <c r="AX86" s="86"/>
      <c r="AY86" s="86"/>
      <c r="CM86" s="86"/>
      <c r="CN86" s="86"/>
    </row>
    <row r="87" spans="2:92" s="367" customFormat="1" ht="15.75" hidden="1" customHeight="1" outlineLevel="1">
      <c r="H87" s="543"/>
      <c r="I87" s="853"/>
      <c r="J87" s="6"/>
      <c r="K87" s="541"/>
      <c r="L87" s="860"/>
      <c r="M87" s="20" t="str">
        <f>IF(J87="","",$M$5-SUM($J$7:J87))</f>
        <v/>
      </c>
      <c r="O87" s="7"/>
      <c r="P87" s="873">
        <f>IF(E!Q87&lt;&gt;E!R87,IF(E!Q87&lt;&gt;0,IF(E!S87&lt;&gt;E!T87,E!P87,),),)</f>
        <v>0</v>
      </c>
      <c r="Q87" s="795">
        <f>IF(E!Q87&lt;&gt;E!R87,IF(E!Q87&lt;&gt;0,IF(E!S87&lt;&gt;E!T87,E!Q87,),),)</f>
        <v>0</v>
      </c>
      <c r="R87" s="628">
        <f>IF(E!Q87&lt;&gt;E!R87,IF(E!Q87&lt;&gt;0,IF(E!S87&lt;&gt;E!T87,0,Q87),Q87),Q87)</f>
        <v>0</v>
      </c>
      <c r="S87" s="796">
        <f>IF(E!Q87&lt;&gt;E!R87,IF(E!Q87&lt;&gt;0,IF(E!S87&lt;&gt;E!T87,E!S87+1,),),)</f>
        <v>0</v>
      </c>
      <c r="T87" s="796">
        <f>IF(E!Q87&lt;&gt;E!R87,IF(E!Q87&lt;&gt;0,IF(E!S87&lt;&gt;E!T87,E!T87,),),)</f>
        <v>0</v>
      </c>
      <c r="U87" s="797">
        <f>IF(E!Q87&lt;&gt;E!R87,IF(E!Q87&lt;&gt;0,IF(E!S87&lt;&gt;E!T87,E!U87,),),)</f>
        <v>0</v>
      </c>
      <c r="V87" s="875">
        <f>IF(E!Q87&lt;&gt;E!R87,IF(E!Q87&lt;&gt;0,IF(E!S87&lt;&gt;E!T87,E!V87,),),)</f>
        <v>0</v>
      </c>
      <c r="W87" s="633">
        <f>IF(Q87="","",$W$5-SUM($Q$7:$Q$45)-SUM($Q$64:Q87))</f>
        <v>0</v>
      </c>
      <c r="AO87" s="86"/>
      <c r="AP87" s="86"/>
      <c r="AQ87" s="86"/>
      <c r="AR87" s="86"/>
      <c r="AS87" s="86"/>
      <c r="AT87" s="86"/>
      <c r="AU87" s="86"/>
      <c r="AV87" s="86"/>
      <c r="AW87" s="86"/>
      <c r="AX87" s="86"/>
      <c r="AY87" s="86"/>
      <c r="CM87" s="86"/>
      <c r="CN87" s="86"/>
    </row>
    <row r="88" spans="2:92" s="367" customFormat="1" ht="15.75" hidden="1" customHeight="1" outlineLevel="1">
      <c r="H88" s="543"/>
      <c r="I88" s="853"/>
      <c r="J88" s="6"/>
      <c r="K88" s="541"/>
      <c r="L88" s="860"/>
      <c r="M88" s="20" t="str">
        <f>IF(J88="","",$M$5-SUM($J$7:J88))</f>
        <v/>
      </c>
      <c r="O88" s="7"/>
      <c r="P88" s="871">
        <f>IF(E!Q88&lt;&gt;E!R88,IF(E!Q88&lt;&gt;0,IF(E!S88&lt;&gt;E!T88,E!P88,),),)</f>
        <v>0</v>
      </c>
      <c r="Q88" s="795">
        <f>IF(E!Q88&lt;&gt;E!R88,IF(E!Q88&lt;&gt;0,IF(E!S88&lt;&gt;E!T88,E!Q88,),),)</f>
        <v>0</v>
      </c>
      <c r="R88" s="628">
        <f>IF(E!Q88&lt;&gt;E!R88,IF(E!Q88&lt;&gt;0,IF(E!S88&lt;&gt;E!T88,0,Q88),Q88),Q88)</f>
        <v>0</v>
      </c>
      <c r="S88" s="796">
        <f>IF(E!Q88&lt;&gt;E!R88,IF(E!Q88&lt;&gt;0,IF(E!S88&lt;&gt;E!T88,E!S88+1,),),)</f>
        <v>0</v>
      </c>
      <c r="T88" s="796">
        <f>IF(E!Q88&lt;&gt;E!R88,IF(E!Q88&lt;&gt;0,IF(E!S88&lt;&gt;E!T88,E!T88,),),)</f>
        <v>0</v>
      </c>
      <c r="U88" s="797">
        <f>IF(E!Q88&lt;&gt;E!R88,IF(E!Q88&lt;&gt;0,IF(E!S88&lt;&gt;E!T88,E!U88,),),)</f>
        <v>0</v>
      </c>
      <c r="V88" s="875">
        <f>IF(E!Q88&lt;&gt;E!R88,IF(E!Q88&lt;&gt;0,IF(E!S88&lt;&gt;E!T88,E!V88,),),)</f>
        <v>0</v>
      </c>
      <c r="W88" s="633">
        <f>IF(Q88="","",$W$5-SUM($Q$7:$Q$45)-SUM($Q$64:Q88))</f>
        <v>0</v>
      </c>
      <c r="AO88" s="86"/>
      <c r="AP88" s="86"/>
      <c r="AQ88" s="86"/>
      <c r="AR88" s="86"/>
      <c r="AS88" s="86"/>
      <c r="AT88" s="86"/>
      <c r="AU88" s="86"/>
      <c r="AV88" s="86"/>
      <c r="AW88" s="86"/>
      <c r="AX88" s="86"/>
      <c r="AY88" s="86"/>
      <c r="CM88" s="86"/>
      <c r="CN88" s="86"/>
    </row>
    <row r="89" spans="2:92" s="367" customFormat="1" ht="15.75" hidden="1" customHeight="1" outlineLevel="1">
      <c r="H89" s="543"/>
      <c r="I89" s="853"/>
      <c r="J89" s="6"/>
      <c r="K89" s="541"/>
      <c r="L89" s="860"/>
      <c r="M89" s="20" t="str">
        <f>IF(J89="","",$M$5-SUM($J$7:J89))</f>
        <v/>
      </c>
      <c r="O89" s="7"/>
      <c r="P89" s="873">
        <f>IF(E!Q89&lt;&gt;E!R89,IF(E!Q89&lt;&gt;0,IF(E!S89&lt;&gt;E!T89,E!P89,),),)</f>
        <v>0</v>
      </c>
      <c r="Q89" s="795">
        <f>IF(E!Q89&lt;&gt;E!R89,IF(E!Q89&lt;&gt;0,IF(E!S89&lt;&gt;E!T89,E!Q89,),),)</f>
        <v>0</v>
      </c>
      <c r="R89" s="628">
        <f>IF(E!Q89&lt;&gt;E!R89,IF(E!Q89&lt;&gt;0,IF(E!S89&lt;&gt;E!T89,0,Q89),Q89),Q89)</f>
        <v>0</v>
      </c>
      <c r="S89" s="796">
        <f>IF(E!Q89&lt;&gt;E!R89,IF(E!Q89&lt;&gt;0,IF(E!S89&lt;&gt;E!T89,E!S89+1,),),)</f>
        <v>0</v>
      </c>
      <c r="T89" s="796">
        <f>IF(E!Q89&lt;&gt;E!R89,IF(E!Q89&lt;&gt;0,IF(E!S89&lt;&gt;E!T89,E!T89,),),)</f>
        <v>0</v>
      </c>
      <c r="U89" s="797">
        <f>IF(E!Q89&lt;&gt;E!R89,IF(E!Q89&lt;&gt;0,IF(E!S89&lt;&gt;E!T89,E!U89,),),)</f>
        <v>0</v>
      </c>
      <c r="V89" s="875">
        <f>IF(E!Q89&lt;&gt;E!R89,IF(E!Q89&lt;&gt;0,IF(E!S89&lt;&gt;E!T89,E!V89,),),)</f>
        <v>0</v>
      </c>
      <c r="W89" s="633">
        <f>IF(Q89="","",$W$5-SUM($Q$7:$Q$45)-SUM($Q$64:Q89))</f>
        <v>0</v>
      </c>
      <c r="AO89" s="86"/>
      <c r="AP89" s="86"/>
      <c r="AQ89" s="86"/>
      <c r="AR89" s="86"/>
      <c r="AS89" s="86"/>
      <c r="AT89" s="86"/>
      <c r="AU89" s="86"/>
      <c r="AV89" s="86"/>
      <c r="AW89" s="86"/>
      <c r="AX89" s="86"/>
      <c r="AY89" s="86"/>
      <c r="CM89" s="86"/>
      <c r="CN89" s="86"/>
    </row>
    <row r="90" spans="2:92" s="367" customFormat="1" ht="15.75" hidden="1" customHeight="1" outlineLevel="1">
      <c r="H90" s="543"/>
      <c r="I90" s="853"/>
      <c r="J90" s="6"/>
      <c r="K90" s="541"/>
      <c r="L90" s="860"/>
      <c r="M90" s="20" t="str">
        <f>IF(J90="","",$M$5-SUM($J$7:J90))</f>
        <v/>
      </c>
      <c r="O90" s="7"/>
      <c r="P90" s="871">
        <f>IF(E!Q90&lt;&gt;E!R90,IF(E!Q90&lt;&gt;0,IF(E!S90&lt;&gt;E!T90,E!P90,),),)</f>
        <v>0</v>
      </c>
      <c r="Q90" s="795">
        <f>IF(E!Q90&lt;&gt;E!R90,IF(E!Q90&lt;&gt;0,IF(E!S90&lt;&gt;E!T90,E!Q90,),),)</f>
        <v>0</v>
      </c>
      <c r="R90" s="628">
        <f>IF(E!Q90&lt;&gt;E!R90,IF(E!Q90&lt;&gt;0,IF(E!S90&lt;&gt;E!T90,0,Q90),Q90),Q90)</f>
        <v>0</v>
      </c>
      <c r="S90" s="796">
        <f>IF(E!Q90&lt;&gt;E!R90,IF(E!Q90&lt;&gt;0,IF(E!S90&lt;&gt;E!T90,E!S90+1,),),)</f>
        <v>0</v>
      </c>
      <c r="T90" s="796">
        <f>IF(E!Q90&lt;&gt;E!R90,IF(E!Q90&lt;&gt;0,IF(E!S90&lt;&gt;E!T90,E!T90,),),)</f>
        <v>0</v>
      </c>
      <c r="U90" s="797">
        <f>IF(E!Q90&lt;&gt;E!R90,IF(E!Q90&lt;&gt;0,IF(E!S90&lt;&gt;E!T90,E!U90,),),)</f>
        <v>0</v>
      </c>
      <c r="V90" s="875">
        <f>IF(E!Q90&lt;&gt;E!R90,IF(E!Q90&lt;&gt;0,IF(E!S90&lt;&gt;E!T90,E!V90,),),)</f>
        <v>0</v>
      </c>
      <c r="W90" s="633">
        <f>IF(Q90="","",$W$5-SUM($Q$7:$Q$45)-SUM($Q$64:Q90))</f>
        <v>0</v>
      </c>
      <c r="AO90" s="86"/>
      <c r="AP90" s="86"/>
      <c r="AQ90" s="86"/>
      <c r="AR90" s="86"/>
      <c r="AS90" s="86"/>
      <c r="AT90" s="86"/>
      <c r="AU90" s="86"/>
      <c r="AV90" s="86"/>
      <c r="AW90" s="86"/>
      <c r="AX90" s="86"/>
      <c r="AY90" s="86"/>
      <c r="CM90" s="86"/>
      <c r="CN90" s="86"/>
    </row>
    <row r="91" spans="2:92" s="367" customFormat="1" ht="15.75" hidden="1" customHeight="1" outlineLevel="1">
      <c r="H91" s="543"/>
      <c r="I91" s="853"/>
      <c r="J91" s="6"/>
      <c r="K91" s="541"/>
      <c r="L91" s="860"/>
      <c r="M91" s="20" t="str">
        <f>IF(J91="","",$M$5-SUM($J$7:J91))</f>
        <v/>
      </c>
      <c r="O91" s="7"/>
      <c r="P91" s="873">
        <f>IF(E!Q91&lt;&gt;E!R91,IF(E!Q91&lt;&gt;0,IF(E!S91&lt;&gt;E!T91,E!P91,),),)</f>
        <v>0</v>
      </c>
      <c r="Q91" s="795">
        <f>IF(E!Q91&lt;&gt;E!R91,IF(E!Q91&lt;&gt;0,IF(E!S91&lt;&gt;E!T91,E!Q91,),),)</f>
        <v>0</v>
      </c>
      <c r="R91" s="628">
        <f>IF(E!Q91&lt;&gt;E!R91,IF(E!Q91&lt;&gt;0,IF(E!S91&lt;&gt;E!T91,0,Q91),Q91),Q91)</f>
        <v>0</v>
      </c>
      <c r="S91" s="796">
        <f>IF(E!Q91&lt;&gt;E!R91,IF(E!Q91&lt;&gt;0,IF(E!S91&lt;&gt;E!T91,E!S91+1,),),)</f>
        <v>0</v>
      </c>
      <c r="T91" s="796">
        <f>IF(E!Q91&lt;&gt;E!R91,IF(E!Q91&lt;&gt;0,IF(E!S91&lt;&gt;E!T91,E!T91,),),)</f>
        <v>0</v>
      </c>
      <c r="U91" s="797">
        <f>IF(E!Q91&lt;&gt;E!R91,IF(E!Q91&lt;&gt;0,IF(E!S91&lt;&gt;E!T91,E!U91,),),)</f>
        <v>0</v>
      </c>
      <c r="V91" s="875">
        <f>IF(E!Q91&lt;&gt;E!R91,IF(E!Q91&lt;&gt;0,IF(E!S91&lt;&gt;E!T91,E!V91,),),)</f>
        <v>0</v>
      </c>
      <c r="W91" s="633">
        <f>IF(Q91="","",$W$5-SUM($Q$7:$Q$45)-SUM($Q$64:Q91))</f>
        <v>0</v>
      </c>
      <c r="AO91" s="86"/>
      <c r="AP91" s="86"/>
      <c r="AQ91" s="86"/>
      <c r="AR91" s="86"/>
      <c r="AS91" s="86"/>
      <c r="AT91" s="86"/>
      <c r="AU91" s="86"/>
      <c r="AV91" s="86"/>
      <c r="AW91" s="86"/>
      <c r="AX91" s="86"/>
      <c r="AY91" s="86"/>
      <c r="CM91" s="86"/>
      <c r="CN91" s="86"/>
    </row>
    <row r="92" spans="2:92" s="367" customFormat="1" ht="15.75" hidden="1" customHeight="1" outlineLevel="1">
      <c r="H92" s="543"/>
      <c r="I92" s="853"/>
      <c r="J92" s="6"/>
      <c r="K92" s="541"/>
      <c r="L92" s="860"/>
      <c r="M92" s="20" t="str">
        <f>IF(J92="","",$M$5-SUM($J$7:J92))</f>
        <v/>
      </c>
      <c r="O92" s="7"/>
      <c r="P92" s="871">
        <f>IF(E!Q92&lt;&gt;E!R92,IF(E!Q92&lt;&gt;0,IF(E!S92&lt;&gt;E!T92,E!P92,),),)</f>
        <v>0</v>
      </c>
      <c r="Q92" s="799">
        <f>IF(E!Q92&lt;&gt;E!R92,IF(E!Q92&lt;&gt;0,IF(E!S92&lt;&gt;E!T92,E!Q92,),),)</f>
        <v>0</v>
      </c>
      <c r="R92" s="628">
        <f>IF(E!Q92&lt;&gt;E!R92,IF(E!Q92&lt;&gt;0,IF(E!S92&lt;&gt;E!T92,0,Q92),Q92),Q92)</f>
        <v>0</v>
      </c>
      <c r="S92" s="796">
        <f>IF(E!Q92&lt;&gt;E!R92,IF(E!Q92&lt;&gt;0,IF(E!S92&lt;&gt;E!T92,E!S92+1,),),)</f>
        <v>0</v>
      </c>
      <c r="T92" s="796">
        <f>IF(E!Q92&lt;&gt;E!R92,IF(E!Q92&lt;&gt;0,IF(E!S92&lt;&gt;E!T92,E!T92,),),)</f>
        <v>0</v>
      </c>
      <c r="U92" s="797">
        <f>IF(E!Q92&lt;&gt;E!R92,IF(E!Q92&lt;&gt;0,IF(E!S92&lt;&gt;E!T92,E!U92,),),)</f>
        <v>0</v>
      </c>
      <c r="V92" s="875">
        <f>IF(E!Q92&lt;&gt;E!R92,IF(E!Q92&lt;&gt;0,IF(E!S92&lt;&gt;E!T92,E!V92,),),)</f>
        <v>0</v>
      </c>
      <c r="W92" s="634">
        <f>IF(Q92="","",$W$5-SUM($Q$7:$Q$45)-SUM($Q$64:Q92))</f>
        <v>0</v>
      </c>
      <c r="AO92" s="86"/>
      <c r="AP92" s="86"/>
      <c r="AQ92" s="86"/>
      <c r="AR92" s="86"/>
      <c r="AS92" s="86"/>
      <c r="AT92" s="86"/>
      <c r="AU92" s="86"/>
      <c r="AV92" s="86"/>
      <c r="AW92" s="86"/>
      <c r="AX92" s="86"/>
      <c r="AY92" s="86"/>
      <c r="CM92" s="86"/>
      <c r="CN92" s="86"/>
    </row>
    <row r="93" spans="2:92" s="367" customFormat="1" ht="15.75" hidden="1" customHeight="1" outlineLevel="1">
      <c r="H93" s="543"/>
      <c r="I93" s="853"/>
      <c r="J93" s="6"/>
      <c r="K93" s="541"/>
      <c r="L93" s="860"/>
      <c r="M93" s="20" t="str">
        <f>IF(J93="","",$M$5-SUM($J$7:J93))</f>
        <v/>
      </c>
      <c r="O93" s="7"/>
      <c r="P93" s="873">
        <f>IF(E!Q93&lt;&gt;E!R93,IF(E!Q93&lt;&gt;0,IF(E!S93&lt;&gt;E!T93,E!P93,),),)</f>
        <v>0</v>
      </c>
      <c r="Q93" s="795">
        <f>IF(E!Q93&lt;&gt;E!R93,IF(E!Q93&lt;&gt;0,IF(E!S93&lt;&gt;E!T93,E!Q93,),),)</f>
        <v>0</v>
      </c>
      <c r="R93" s="628">
        <f>IF(E!Q93&lt;&gt;E!R93,IF(E!Q93&lt;&gt;0,IF(E!S93&lt;&gt;E!T93,0,Q93),Q93),Q93)</f>
        <v>0</v>
      </c>
      <c r="S93" s="796">
        <f>IF(E!Q93&lt;&gt;E!R93,IF(E!Q93&lt;&gt;0,IF(E!S93&lt;&gt;E!T93,E!S93+1,),),)</f>
        <v>0</v>
      </c>
      <c r="T93" s="796">
        <f>IF(E!Q93&lt;&gt;E!R93,IF(E!Q93&lt;&gt;0,IF(E!S93&lt;&gt;E!T93,E!T93,),),)</f>
        <v>0</v>
      </c>
      <c r="U93" s="797">
        <f>IF(E!Q93&lt;&gt;E!R93,IF(E!Q93&lt;&gt;0,IF(E!S93&lt;&gt;E!T93,E!U93,),),)</f>
        <v>0</v>
      </c>
      <c r="V93" s="875">
        <f>IF(E!Q93&lt;&gt;E!R93,IF(E!Q93&lt;&gt;0,IF(E!S93&lt;&gt;E!T93,E!V93,),),)</f>
        <v>0</v>
      </c>
      <c r="W93" s="633">
        <f>IF(Q93="","",$W$5-SUM($Q$7:$Q$45)-SUM($Q$64:Q93))</f>
        <v>0</v>
      </c>
      <c r="AO93" s="86"/>
      <c r="AP93" s="86"/>
      <c r="AQ93" s="86"/>
      <c r="AR93" s="86"/>
      <c r="AS93" s="86"/>
      <c r="AT93" s="86"/>
      <c r="AU93" s="86"/>
      <c r="AV93" s="86"/>
      <c r="AW93" s="86"/>
      <c r="AX93" s="86"/>
      <c r="AY93" s="86"/>
      <c r="CM93" s="86"/>
      <c r="CN93" s="86"/>
    </row>
    <row r="94" spans="2:92" s="367" customFormat="1" ht="15.75" hidden="1" customHeight="1" outlineLevel="1">
      <c r="H94" s="543"/>
      <c r="I94" s="853"/>
      <c r="J94" s="6"/>
      <c r="K94" s="541"/>
      <c r="L94" s="860"/>
      <c r="M94" s="20" t="str">
        <f>IF(J94="","",$M$5-SUM($J$7:J94))</f>
        <v/>
      </c>
      <c r="O94" s="7"/>
      <c r="P94" s="871">
        <f>IF(E!Q94&lt;&gt;E!R94,IF(E!Q94&lt;&gt;0,IF(E!S94&lt;&gt;E!T94,E!P94,),),)</f>
        <v>0</v>
      </c>
      <c r="Q94" s="795">
        <f>IF(E!Q94&lt;&gt;E!R94,IF(E!Q94&lt;&gt;0,IF(E!S94&lt;&gt;E!T94,E!Q94,),),)</f>
        <v>0</v>
      </c>
      <c r="R94" s="628">
        <f>IF(E!Q94&lt;&gt;E!R94,IF(E!Q94&lt;&gt;0,IF(E!S94&lt;&gt;E!T94,0,Q94),Q94),Q94)</f>
        <v>0</v>
      </c>
      <c r="S94" s="796">
        <f>IF(E!Q94&lt;&gt;E!R94,IF(E!Q94&lt;&gt;0,IF(E!S94&lt;&gt;E!T94,E!S94+1,),),)</f>
        <v>0</v>
      </c>
      <c r="T94" s="796">
        <f>IF(E!Q94&lt;&gt;E!R94,IF(E!Q94&lt;&gt;0,IF(E!S94&lt;&gt;E!T94,E!T94,),),)</f>
        <v>0</v>
      </c>
      <c r="U94" s="797">
        <f>IF(E!Q94&lt;&gt;E!R94,IF(E!Q94&lt;&gt;0,IF(E!S94&lt;&gt;E!T94,E!U94,),),)</f>
        <v>0</v>
      </c>
      <c r="V94" s="875">
        <f>IF(E!Q94&lt;&gt;E!R94,IF(E!Q94&lt;&gt;0,IF(E!S94&lt;&gt;E!T94,E!V94,),),)</f>
        <v>0</v>
      </c>
      <c r="W94" s="633">
        <f>IF(Q94="","",$W$5-SUM($Q$7:$Q$45)-SUM($Q$64:Q94))</f>
        <v>0</v>
      </c>
      <c r="AO94" s="86"/>
      <c r="AP94" s="86"/>
      <c r="AQ94" s="86"/>
      <c r="AR94" s="86"/>
      <c r="AS94" s="86"/>
      <c r="AT94" s="86"/>
      <c r="AU94" s="86"/>
      <c r="AV94" s="86"/>
      <c r="AW94" s="86"/>
      <c r="AX94" s="86"/>
      <c r="AY94" s="86"/>
      <c r="CM94" s="86"/>
      <c r="CN94" s="86"/>
    </row>
    <row r="95" spans="2:92" s="367" customFormat="1" ht="15.75" hidden="1" customHeight="1" outlineLevel="1">
      <c r="H95" s="543"/>
      <c r="I95" s="853"/>
      <c r="J95" s="6"/>
      <c r="K95" s="541"/>
      <c r="L95" s="860"/>
      <c r="M95" s="20" t="str">
        <f>IF(J95="","",$M$5-SUM($J$7:J95))</f>
        <v/>
      </c>
      <c r="O95" s="7"/>
      <c r="P95" s="873">
        <f>IF(E!Q95&lt;&gt;E!R95,IF(E!Q95&lt;&gt;0,IF(E!S95&lt;&gt;E!T95,E!P95,),),)</f>
        <v>0</v>
      </c>
      <c r="Q95" s="795">
        <f>IF(E!Q95&lt;&gt;E!R95,IF(E!Q95&lt;&gt;0,IF(E!S95&lt;&gt;E!T95,E!Q95,),),)</f>
        <v>0</v>
      </c>
      <c r="R95" s="628">
        <f>IF(E!Q95&lt;&gt;E!R95,IF(E!Q95&lt;&gt;0,IF(E!S95&lt;&gt;E!T95,0,Q95),Q95),Q95)</f>
        <v>0</v>
      </c>
      <c r="S95" s="796">
        <f>IF(E!Q95&lt;&gt;E!R95,IF(E!Q95&lt;&gt;0,IF(E!S95&lt;&gt;E!T95,E!S95+1,),),)</f>
        <v>0</v>
      </c>
      <c r="T95" s="796">
        <f>IF(E!Q95&lt;&gt;E!R95,IF(E!Q95&lt;&gt;0,IF(E!S95&lt;&gt;E!T95,E!T95,),),)</f>
        <v>0</v>
      </c>
      <c r="U95" s="797">
        <f>IF(E!Q95&lt;&gt;E!R95,IF(E!Q95&lt;&gt;0,IF(E!S95&lt;&gt;E!T95,E!U95,),),)</f>
        <v>0</v>
      </c>
      <c r="V95" s="875">
        <f>IF(E!Q95&lt;&gt;E!R95,IF(E!Q95&lt;&gt;0,IF(E!S95&lt;&gt;E!T95,E!V95,),),)</f>
        <v>0</v>
      </c>
      <c r="W95" s="633">
        <f>IF(Q95="","",$W$5-SUM($Q$7:$Q$45)-SUM($Q$64:Q95))</f>
        <v>0</v>
      </c>
      <c r="AO95" s="86"/>
      <c r="AP95" s="86"/>
      <c r="AQ95" s="86"/>
      <c r="AR95" s="86"/>
      <c r="AS95" s="86"/>
      <c r="AT95" s="86"/>
      <c r="AU95" s="86"/>
      <c r="AV95" s="86"/>
      <c r="AW95" s="86"/>
      <c r="AX95" s="86"/>
      <c r="AY95" s="86"/>
      <c r="CM95" s="86"/>
      <c r="CN95" s="86"/>
    </row>
    <row r="96" spans="2:92" s="367" customFormat="1" ht="15.75" hidden="1" customHeight="1" outlineLevel="1">
      <c r="H96" s="543"/>
      <c r="I96" s="853"/>
      <c r="J96" s="6"/>
      <c r="K96" s="541"/>
      <c r="L96" s="860"/>
      <c r="M96" s="20" t="str">
        <f>IF(J96="","",$M$5-SUM($J$7:J96))</f>
        <v/>
      </c>
      <c r="O96" s="7"/>
      <c r="P96" s="872">
        <f>IF(E!Q96&lt;&gt;E!R96,IF(E!Q96&lt;&gt;0,IF(E!S96&lt;&gt;E!T96,E!P96,),),)</f>
        <v>0</v>
      </c>
      <c r="Q96" s="795">
        <f>IF(E!Q96&lt;&gt;E!R96,IF(E!Q96&lt;&gt;0,IF(E!S96&lt;&gt;E!T96,E!Q96,),),)</f>
        <v>0</v>
      </c>
      <c r="R96" s="628">
        <f>IF(E!Q96&lt;&gt;E!R96,IF(E!Q96&lt;&gt;0,IF(E!S96&lt;&gt;E!T96,0,Q96),Q96),Q96)</f>
        <v>0</v>
      </c>
      <c r="S96" s="796">
        <f>IF(E!Q96&lt;&gt;E!R96,IF(E!Q96&lt;&gt;0,IF(E!S96&lt;&gt;E!T96,E!S96+1,),),)</f>
        <v>0</v>
      </c>
      <c r="T96" s="796">
        <f>IF(E!Q96&lt;&gt;E!R96,IF(E!Q96&lt;&gt;0,IF(E!S96&lt;&gt;E!T96,E!T96,),),)</f>
        <v>0</v>
      </c>
      <c r="U96" s="797">
        <f>IF(E!Q96&lt;&gt;E!R96,IF(E!Q96&lt;&gt;0,IF(E!S96&lt;&gt;E!T96,E!U96,),),)</f>
        <v>0</v>
      </c>
      <c r="V96" s="875">
        <f>IF(E!Q96&lt;&gt;E!R96,IF(E!Q96&lt;&gt;0,IF(E!S96&lt;&gt;E!T96,E!V96,),),)</f>
        <v>0</v>
      </c>
      <c r="W96" s="633">
        <f>IF(Q96="","",$W$5-SUM($Q$7:$Q$45)-SUM($Q$64:Q96))</f>
        <v>0</v>
      </c>
      <c r="AO96" s="86"/>
      <c r="AP96" s="86"/>
      <c r="AQ96" s="86"/>
      <c r="AR96" s="86"/>
      <c r="AS96" s="86"/>
      <c r="AT96" s="86"/>
      <c r="AU96" s="86"/>
      <c r="AV96" s="86"/>
      <c r="AW96" s="86"/>
      <c r="AX96" s="86"/>
      <c r="AY96" s="86"/>
      <c r="CM96" s="86"/>
      <c r="CN96" s="86"/>
    </row>
    <row r="97" spans="8:92" s="367" customFormat="1" ht="15.75" hidden="1" customHeight="1" outlineLevel="1">
      <c r="H97" s="543"/>
      <c r="I97" s="853"/>
      <c r="J97" s="6"/>
      <c r="K97" s="541"/>
      <c r="L97" s="860"/>
      <c r="M97" s="20" t="str">
        <f>IF(J97="","",$M$5-SUM($J$7:J97))</f>
        <v/>
      </c>
      <c r="O97" s="7"/>
      <c r="P97" s="871">
        <f>IF(E!Q97&lt;&gt;E!R97,IF(E!Q97&lt;&gt;0,IF(E!S97&lt;&gt;E!T97,E!P97,),),)</f>
        <v>0</v>
      </c>
      <c r="Q97" s="795">
        <f>IF(E!Q97&lt;&gt;E!R97,IF(E!Q97&lt;&gt;0,IF(E!S97&lt;&gt;E!T97,E!Q97,),),)</f>
        <v>0</v>
      </c>
      <c r="R97" s="628">
        <f>IF(E!Q97&lt;&gt;E!R97,IF(E!Q97&lt;&gt;0,IF(E!S97&lt;&gt;E!T97,0,Q97),Q97),Q97)</f>
        <v>0</v>
      </c>
      <c r="S97" s="796">
        <f>IF(E!Q97&lt;&gt;E!R97,IF(E!Q97&lt;&gt;0,IF(E!S97&lt;&gt;E!T97,E!S97+1,),),)</f>
        <v>0</v>
      </c>
      <c r="T97" s="796">
        <f>IF(E!Q97&lt;&gt;E!R97,IF(E!Q97&lt;&gt;0,IF(E!S97&lt;&gt;E!T97,E!T97,),),)</f>
        <v>0</v>
      </c>
      <c r="U97" s="797">
        <f>IF(E!Q97&lt;&gt;E!R97,IF(E!Q97&lt;&gt;0,IF(E!S97&lt;&gt;E!T97,E!U97,),),)</f>
        <v>0</v>
      </c>
      <c r="V97" s="875">
        <f>IF(E!Q97&lt;&gt;E!R97,IF(E!Q97&lt;&gt;0,IF(E!S97&lt;&gt;E!T97,E!V97,),),)</f>
        <v>0</v>
      </c>
      <c r="W97" s="633">
        <f>IF(Q97="","",$W$5-SUM($Q$7:$Q$45)-SUM($Q$64:Q97))</f>
        <v>0</v>
      </c>
      <c r="AO97" s="86"/>
      <c r="AP97" s="86"/>
      <c r="AQ97" s="86"/>
      <c r="AR97" s="86"/>
      <c r="AS97" s="86"/>
      <c r="AT97" s="86"/>
      <c r="AU97" s="86"/>
      <c r="AV97" s="86"/>
      <c r="AW97" s="86"/>
      <c r="AX97" s="86"/>
      <c r="AY97" s="86"/>
      <c r="CM97" s="86"/>
      <c r="CN97" s="86"/>
    </row>
    <row r="98" spans="8:92" s="367" customFormat="1" ht="15.75" hidden="1" customHeight="1" outlineLevel="1">
      <c r="H98" s="543"/>
      <c r="I98" s="853"/>
      <c r="J98" s="6"/>
      <c r="K98" s="541"/>
      <c r="L98" s="860"/>
      <c r="M98" s="20" t="str">
        <f>IF(J98="","",$M$5-SUM($J$7:J98))</f>
        <v/>
      </c>
      <c r="O98" s="7"/>
      <c r="P98" s="871">
        <f>IF(E!Q98&lt;&gt;E!R98,IF(E!Q98&lt;&gt;0,IF(E!S98&lt;&gt;E!T98,E!P98,),),)</f>
        <v>0</v>
      </c>
      <c r="Q98" s="795">
        <f>IF(E!Q98&lt;&gt;E!R98,IF(E!Q98&lt;&gt;0,IF(E!S98&lt;&gt;E!T98,E!Q98,),),)</f>
        <v>0</v>
      </c>
      <c r="R98" s="628">
        <f>IF(E!Q98&lt;&gt;E!R98,IF(E!Q98&lt;&gt;0,IF(E!S98&lt;&gt;E!T98,0,Q98),Q98),Q98)</f>
        <v>0</v>
      </c>
      <c r="S98" s="796">
        <f>IF(E!Q98&lt;&gt;E!R98,IF(E!Q98&lt;&gt;0,IF(E!S98&lt;&gt;E!T98,E!S98+1,),),)</f>
        <v>0</v>
      </c>
      <c r="T98" s="796">
        <f>IF(E!Q98&lt;&gt;E!R98,IF(E!Q98&lt;&gt;0,IF(E!S98&lt;&gt;E!T98,E!T98,),),)</f>
        <v>0</v>
      </c>
      <c r="U98" s="797">
        <f>IF(E!Q98&lt;&gt;E!R98,IF(E!Q98&lt;&gt;0,IF(E!S98&lt;&gt;E!T98,E!U98,),),)</f>
        <v>0</v>
      </c>
      <c r="V98" s="875">
        <f>IF(E!Q98&lt;&gt;E!R98,IF(E!Q98&lt;&gt;0,IF(E!S98&lt;&gt;E!T98,E!V98,),),)</f>
        <v>0</v>
      </c>
      <c r="W98" s="633">
        <f>IF(Q98="","",$W$5-SUM($Q$7:$Q$45)-SUM($Q$64:Q98))</f>
        <v>0</v>
      </c>
      <c r="AO98" s="86"/>
      <c r="AP98" s="86"/>
      <c r="AQ98" s="86"/>
      <c r="AR98" s="86"/>
      <c r="AS98" s="86"/>
      <c r="AT98" s="86"/>
      <c r="AU98" s="86"/>
      <c r="AV98" s="86"/>
      <c r="AW98" s="86"/>
      <c r="AX98" s="86"/>
      <c r="AY98" s="86"/>
      <c r="CM98" s="86"/>
      <c r="CN98" s="86"/>
    </row>
    <row r="99" spans="8:92" s="367" customFormat="1" ht="15.75" hidden="1" customHeight="1" outlineLevel="1">
      <c r="H99" s="543"/>
      <c r="I99" s="853"/>
      <c r="J99" s="6"/>
      <c r="K99" s="541"/>
      <c r="L99" s="860"/>
      <c r="M99" s="20" t="str">
        <f>IF(J99="","",$M$5-SUM($J$7:J99))</f>
        <v/>
      </c>
      <c r="O99" s="7"/>
      <c r="P99" s="873">
        <f>IF(E!Q99&lt;&gt;E!R99,IF(E!Q99&lt;&gt;0,IF(E!S99&lt;&gt;E!T99,E!P99,),),)</f>
        <v>0</v>
      </c>
      <c r="Q99" s="795">
        <f>IF(E!Q99&lt;&gt;E!R99,IF(E!Q99&lt;&gt;0,IF(E!S99&lt;&gt;E!T99,E!Q99,),),)</f>
        <v>0</v>
      </c>
      <c r="R99" s="628">
        <f>IF(E!Q99&lt;&gt;E!R99,IF(E!Q99&lt;&gt;0,IF(E!S99&lt;&gt;E!T99,0,Q99),Q99),Q99)</f>
        <v>0</v>
      </c>
      <c r="S99" s="796">
        <f>IF(E!Q99&lt;&gt;E!R99,IF(E!Q99&lt;&gt;0,IF(E!S99&lt;&gt;E!T99,E!S99+1,),),)</f>
        <v>0</v>
      </c>
      <c r="T99" s="796">
        <f>IF(E!Q99&lt;&gt;E!R99,IF(E!Q99&lt;&gt;0,IF(E!S99&lt;&gt;E!T99,E!T99,),),)</f>
        <v>0</v>
      </c>
      <c r="U99" s="797">
        <f>IF(E!Q99&lt;&gt;E!R99,IF(E!Q99&lt;&gt;0,IF(E!S99&lt;&gt;E!T99,E!U99,),),)</f>
        <v>0</v>
      </c>
      <c r="V99" s="875">
        <f>IF(E!Q99&lt;&gt;E!R99,IF(E!Q99&lt;&gt;0,IF(E!S99&lt;&gt;E!T99,E!V99,),),)</f>
        <v>0</v>
      </c>
      <c r="W99" s="633">
        <f>IF(Q99="","",$W$5-SUM($Q$7:$Q$45)-SUM($Q$64:Q99))</f>
        <v>0</v>
      </c>
      <c r="AO99" s="86"/>
      <c r="AP99" s="86"/>
      <c r="AQ99" s="86"/>
      <c r="AR99" s="86"/>
      <c r="AS99" s="86"/>
      <c r="AT99" s="86"/>
      <c r="AU99" s="86"/>
      <c r="AV99" s="86"/>
      <c r="AW99" s="86"/>
      <c r="AX99" s="86"/>
      <c r="AY99" s="86"/>
      <c r="CM99" s="86"/>
      <c r="CN99" s="86"/>
    </row>
    <row r="100" spans="8:92" s="367" customFormat="1" ht="15.75" hidden="1" customHeight="1" outlineLevel="1">
      <c r="H100" s="543"/>
      <c r="I100" s="854"/>
      <c r="J100" s="6"/>
      <c r="K100" s="541"/>
      <c r="L100" s="860"/>
      <c r="M100" s="20" t="str">
        <f>IF(J100="","",$M$5-SUM($J$7:J100))</f>
        <v/>
      </c>
      <c r="O100" s="7"/>
      <c r="P100" s="871">
        <f>IF(E!Q100&lt;&gt;E!R100,IF(E!Q100&lt;&gt;0,IF(E!S100&lt;&gt;E!T100,E!P100,),),)</f>
        <v>0</v>
      </c>
      <c r="Q100" s="795">
        <f>IF(E!Q100&lt;&gt;E!R100,IF(E!Q100&lt;&gt;0,IF(E!S100&lt;&gt;E!T100,E!Q100,),),)</f>
        <v>0</v>
      </c>
      <c r="R100" s="628">
        <f>IF(E!Q100&lt;&gt;E!R100,IF(E!Q100&lt;&gt;0,IF(E!S100&lt;&gt;E!T100,0,Q100),Q100),Q100)</f>
        <v>0</v>
      </c>
      <c r="S100" s="796">
        <f>IF(E!Q100&lt;&gt;E!R100,IF(E!Q100&lt;&gt;0,IF(E!S100&lt;&gt;E!T100,E!S100+1,),),)</f>
        <v>0</v>
      </c>
      <c r="T100" s="796">
        <f>IF(E!Q100&lt;&gt;E!R100,IF(E!Q100&lt;&gt;0,IF(E!S100&lt;&gt;E!T100,E!T100,),),)</f>
        <v>0</v>
      </c>
      <c r="U100" s="797">
        <f>IF(E!Q100&lt;&gt;E!R100,IF(E!Q100&lt;&gt;0,IF(E!S100&lt;&gt;E!T100,E!U100,),),)</f>
        <v>0</v>
      </c>
      <c r="V100" s="875">
        <f>IF(E!Q100&lt;&gt;E!R100,IF(E!Q100&lt;&gt;0,IF(E!S100&lt;&gt;E!T100,E!V100,),),)</f>
        <v>0</v>
      </c>
      <c r="W100" s="633">
        <f>IF(Q100="","",$W$5-SUM($Q$7:$Q$45)-SUM($Q$64:Q100))</f>
        <v>0</v>
      </c>
      <c r="AO100" s="86"/>
      <c r="AP100" s="86"/>
      <c r="AQ100" s="86"/>
      <c r="AR100" s="86"/>
      <c r="AS100" s="86"/>
      <c r="AT100" s="86"/>
      <c r="AU100" s="86"/>
      <c r="AV100" s="86"/>
      <c r="AW100" s="86"/>
      <c r="AX100" s="86"/>
      <c r="AY100" s="86"/>
      <c r="CM100" s="86"/>
      <c r="CN100" s="86"/>
    </row>
    <row r="101" spans="8:92" s="367" customFormat="1" ht="15.75" hidden="1" customHeight="1" outlineLevel="1">
      <c r="H101" s="543"/>
      <c r="I101" s="853"/>
      <c r="J101" s="6"/>
      <c r="K101" s="541"/>
      <c r="L101" s="860"/>
      <c r="M101" s="20" t="str">
        <f>IF(J101="","",$M$5-SUM($J$7:J101))</f>
        <v/>
      </c>
      <c r="O101" s="7"/>
      <c r="P101" s="871">
        <f>IF(E!Q101&lt;&gt;E!R101,IF(E!Q101&lt;&gt;0,IF(E!S101&lt;&gt;E!T101,E!P101,),),)</f>
        <v>0</v>
      </c>
      <c r="Q101" s="795">
        <f>IF(E!Q101&lt;&gt;E!R101,IF(E!Q101&lt;&gt;0,IF(E!S101&lt;&gt;E!T101,E!Q101,),),)</f>
        <v>0</v>
      </c>
      <c r="R101" s="628">
        <f>IF(E!Q101&lt;&gt;E!R101,IF(E!Q101&lt;&gt;0,IF(E!S101&lt;&gt;E!T101,0,Q101),Q101),Q101)</f>
        <v>0</v>
      </c>
      <c r="S101" s="796">
        <f>IF(E!Q101&lt;&gt;E!R101,IF(E!Q101&lt;&gt;0,IF(E!S101&lt;&gt;E!T101,E!S101+1,),),)</f>
        <v>0</v>
      </c>
      <c r="T101" s="796">
        <f>IF(E!Q101&lt;&gt;E!R101,IF(E!Q101&lt;&gt;0,IF(E!S101&lt;&gt;E!T101,E!T101,),),)</f>
        <v>0</v>
      </c>
      <c r="U101" s="797">
        <f>IF(E!Q101&lt;&gt;E!R101,IF(E!Q101&lt;&gt;0,IF(E!S101&lt;&gt;E!T101,E!U101,),),)</f>
        <v>0</v>
      </c>
      <c r="V101" s="875">
        <f>IF(E!Q101&lt;&gt;E!R101,IF(E!Q101&lt;&gt;0,IF(E!S101&lt;&gt;E!T101,E!V101,),),)</f>
        <v>0</v>
      </c>
      <c r="W101" s="633">
        <f>IF(Q101="","",$W$5-SUM($Q$7:$Q$45)-SUM($Q$64:Q101))</f>
        <v>0</v>
      </c>
      <c r="AO101" s="86"/>
      <c r="AP101" s="86"/>
      <c r="AQ101" s="86"/>
      <c r="AR101" s="86"/>
      <c r="AS101" s="86"/>
      <c r="AT101" s="86"/>
      <c r="AU101" s="86"/>
      <c r="AV101" s="86"/>
      <c r="AW101" s="86"/>
      <c r="AX101" s="86"/>
      <c r="AY101" s="86"/>
      <c r="CM101" s="86"/>
      <c r="CN101" s="86"/>
    </row>
    <row r="102" spans="8:92" s="367" customFormat="1" ht="15.75" hidden="1" customHeight="1" outlineLevel="1">
      <c r="H102" s="543"/>
      <c r="I102" s="853"/>
      <c r="J102" s="6"/>
      <c r="K102" s="541"/>
      <c r="L102" s="860"/>
      <c r="M102" s="20" t="str">
        <f>IF(J102="","",$M$5-SUM($J$7:J102))</f>
        <v/>
      </c>
      <c r="O102" s="7"/>
      <c r="P102" s="873">
        <f>IF(E!Q102&lt;&gt;E!R102,IF(E!Q102&lt;&gt;0,IF(E!S102&lt;&gt;E!T102,E!P102,),),)</f>
        <v>0</v>
      </c>
      <c r="Q102" s="795">
        <f>IF(E!Q102&lt;&gt;E!R102,IF(E!Q102&lt;&gt;0,IF(E!S102&lt;&gt;E!T102,E!Q102,),),)</f>
        <v>0</v>
      </c>
      <c r="R102" s="628">
        <f>IF(E!Q102&lt;&gt;E!R102,IF(E!Q102&lt;&gt;0,IF(E!S102&lt;&gt;E!T102,0,Q102),Q102),Q102)</f>
        <v>0</v>
      </c>
      <c r="S102" s="796">
        <f>IF(E!Q102&lt;&gt;E!R102,IF(E!Q102&lt;&gt;0,IF(E!S102&lt;&gt;E!T102,E!S102+1,),),)</f>
        <v>0</v>
      </c>
      <c r="T102" s="796">
        <f>IF(E!Q102&lt;&gt;E!R102,IF(E!Q102&lt;&gt;0,IF(E!S102&lt;&gt;E!T102,E!T102,),),)</f>
        <v>0</v>
      </c>
      <c r="U102" s="797">
        <f>IF(E!Q102&lt;&gt;E!R102,IF(E!Q102&lt;&gt;0,IF(E!S102&lt;&gt;E!T102,E!U102,),),)</f>
        <v>0</v>
      </c>
      <c r="V102" s="875">
        <f>IF(E!Q102&lt;&gt;E!R102,IF(E!Q102&lt;&gt;0,IF(E!S102&lt;&gt;E!T102,E!V102,),),)</f>
        <v>0</v>
      </c>
      <c r="W102" s="633">
        <f>IF(Q102="","",$W$5-SUM($Q$7:$Q$45)-SUM($Q$64:Q102))</f>
        <v>0</v>
      </c>
      <c r="AO102" s="86"/>
      <c r="AP102" s="86"/>
      <c r="AQ102" s="86"/>
      <c r="AR102" s="86"/>
      <c r="AS102" s="86"/>
      <c r="AT102" s="86"/>
      <c r="AU102" s="86"/>
      <c r="AV102" s="86"/>
      <c r="AW102" s="86"/>
      <c r="AX102" s="86"/>
      <c r="AY102" s="86"/>
      <c r="CM102" s="86"/>
      <c r="CN102" s="86"/>
    </row>
    <row r="103" spans="8:92" s="367" customFormat="1" ht="15.75" hidden="1" customHeight="1" outlineLevel="1">
      <c r="H103" s="543"/>
      <c r="I103" s="853"/>
      <c r="J103" s="6"/>
      <c r="K103" s="541"/>
      <c r="L103" s="860"/>
      <c r="M103" s="20" t="str">
        <f>IF(J103="","",$M$5-SUM($J$7:J103))</f>
        <v/>
      </c>
      <c r="O103" s="7"/>
      <c r="P103" s="871">
        <f>IF(E!Q103&lt;&gt;E!R103,IF(E!Q103&lt;&gt;0,IF(E!S103&lt;&gt;E!T103,E!P103,),),)</f>
        <v>0</v>
      </c>
      <c r="Q103" s="795">
        <f>IF(E!Q103&lt;&gt;E!R103,IF(E!Q103&lt;&gt;0,IF(E!S103&lt;&gt;E!T103,E!Q103,),),)</f>
        <v>0</v>
      </c>
      <c r="R103" s="628">
        <f>IF(E!Q103&lt;&gt;E!R103,IF(E!Q103&lt;&gt;0,IF(E!S103&lt;&gt;E!T103,0,Q103),Q103),Q103)</f>
        <v>0</v>
      </c>
      <c r="S103" s="796">
        <f>IF(E!Q103&lt;&gt;E!R103,IF(E!Q103&lt;&gt;0,IF(E!S103&lt;&gt;E!T103,E!S103+1,),),)</f>
        <v>0</v>
      </c>
      <c r="T103" s="796">
        <f>IF(E!Q103&lt;&gt;E!R103,IF(E!Q103&lt;&gt;0,IF(E!S103&lt;&gt;E!T103,E!T103,),),)</f>
        <v>0</v>
      </c>
      <c r="U103" s="797">
        <f>IF(E!Q103&lt;&gt;E!R103,IF(E!Q103&lt;&gt;0,IF(E!S103&lt;&gt;E!T103,E!U103,),),)</f>
        <v>0</v>
      </c>
      <c r="V103" s="875">
        <f>IF(E!Q103&lt;&gt;E!R103,IF(E!Q103&lt;&gt;0,IF(E!S103&lt;&gt;E!T103,E!V103,),),)</f>
        <v>0</v>
      </c>
      <c r="W103" s="633">
        <f>IF(Q103="","",$W$5-SUM($Q$7:$Q$45)-SUM($Q$64:Q103))</f>
        <v>0</v>
      </c>
      <c r="AO103" s="86"/>
      <c r="AP103" s="86"/>
      <c r="AQ103" s="86"/>
      <c r="AR103" s="86"/>
      <c r="AS103" s="86"/>
      <c r="AT103" s="86"/>
      <c r="AU103" s="86"/>
      <c r="AV103" s="86"/>
      <c r="AW103" s="86"/>
      <c r="AX103" s="86"/>
      <c r="AY103" s="86"/>
      <c r="CM103" s="86"/>
      <c r="CN103" s="86"/>
    </row>
    <row r="104" spans="8:92" s="367" customFormat="1" ht="15.75" hidden="1" customHeight="1" outlineLevel="1">
      <c r="H104" s="543"/>
      <c r="I104" s="853"/>
      <c r="J104" s="6"/>
      <c r="K104" s="541"/>
      <c r="L104" s="860"/>
      <c r="M104" s="20" t="str">
        <f>IF(J104="","",$M$5-SUM($J$7:J104))</f>
        <v/>
      </c>
      <c r="O104" s="7"/>
      <c r="P104" s="873">
        <f>IF(E!Q104&lt;&gt;E!R104,IF(E!Q104&lt;&gt;0,IF(E!S104&lt;&gt;E!T104,E!P104,),),)</f>
        <v>0</v>
      </c>
      <c r="Q104" s="795">
        <f>IF(E!Q104&lt;&gt;E!R104,IF(E!Q104&lt;&gt;0,IF(E!S104&lt;&gt;E!T104,E!Q104,),),)</f>
        <v>0</v>
      </c>
      <c r="R104" s="628">
        <f>IF(E!Q104&lt;&gt;E!R104,IF(E!Q104&lt;&gt;0,IF(E!S104&lt;&gt;E!T104,0,Q104),Q104),Q104)</f>
        <v>0</v>
      </c>
      <c r="S104" s="796">
        <f>IF(E!Q104&lt;&gt;E!R104,IF(E!Q104&lt;&gt;0,IF(E!S104&lt;&gt;E!T104,E!S104+1,),),)</f>
        <v>0</v>
      </c>
      <c r="T104" s="796">
        <f>IF(E!Q104&lt;&gt;E!R104,IF(E!Q104&lt;&gt;0,IF(E!S104&lt;&gt;E!T104,E!T104,),),)</f>
        <v>0</v>
      </c>
      <c r="U104" s="797">
        <f>IF(E!Q104&lt;&gt;E!R104,IF(E!Q104&lt;&gt;0,IF(E!S104&lt;&gt;E!T104,E!U104,),),)</f>
        <v>0</v>
      </c>
      <c r="V104" s="875">
        <f>IF(E!Q104&lt;&gt;E!R104,IF(E!Q104&lt;&gt;0,IF(E!S104&lt;&gt;E!T104,E!V104,),),)</f>
        <v>0</v>
      </c>
      <c r="W104" s="633">
        <f>IF(Q104="","",$W$5-SUM($Q$7:$Q$45)-SUM($Q$64:Q104))</f>
        <v>0</v>
      </c>
      <c r="AO104" s="86"/>
      <c r="AP104" s="86"/>
      <c r="AQ104" s="86"/>
      <c r="AR104" s="86"/>
      <c r="AS104" s="86"/>
      <c r="AT104" s="86"/>
      <c r="AU104" s="86"/>
      <c r="AV104" s="86"/>
      <c r="AW104" s="86"/>
      <c r="AX104" s="86"/>
      <c r="AY104" s="86"/>
      <c r="CM104" s="86"/>
      <c r="CN104" s="86"/>
    </row>
    <row r="105" spans="8:92" s="367" customFormat="1" ht="15.75" hidden="1" customHeight="1" outlineLevel="1">
      <c r="H105" s="543"/>
      <c r="I105" s="853"/>
      <c r="J105" s="6"/>
      <c r="K105" s="541"/>
      <c r="L105" s="860"/>
      <c r="M105" s="20" t="str">
        <f>IF(J105="","",$M$5-SUM($J$7:J105))</f>
        <v/>
      </c>
      <c r="O105" s="7"/>
      <c r="P105" s="872">
        <f>IF(E!Q105&lt;&gt;E!R105,IF(E!Q105&lt;&gt;0,IF(E!S105&lt;&gt;E!T105,E!P105,),),)</f>
        <v>0</v>
      </c>
      <c r="Q105" s="795">
        <f>IF(E!Q105&lt;&gt;E!R105,IF(E!Q105&lt;&gt;0,IF(E!S105&lt;&gt;E!T105,E!Q105,),),)</f>
        <v>0</v>
      </c>
      <c r="R105" s="628">
        <f>IF(E!Q105&lt;&gt;E!R105,IF(E!Q105&lt;&gt;0,IF(E!S105&lt;&gt;E!T105,0,Q105),Q105),Q105)</f>
        <v>0</v>
      </c>
      <c r="S105" s="796">
        <f>IF(E!Q105&lt;&gt;E!R105,IF(E!Q105&lt;&gt;0,IF(E!S105&lt;&gt;E!T105,E!S105+1,),),)</f>
        <v>0</v>
      </c>
      <c r="T105" s="796">
        <f>IF(E!Q105&lt;&gt;E!R105,IF(E!Q105&lt;&gt;0,IF(E!S105&lt;&gt;E!T105,E!T105,),),)</f>
        <v>0</v>
      </c>
      <c r="U105" s="797">
        <f>IF(E!Q105&lt;&gt;E!R105,IF(E!Q105&lt;&gt;0,IF(E!S105&lt;&gt;E!T105,E!U105,),),)</f>
        <v>0</v>
      </c>
      <c r="V105" s="875">
        <f>IF(E!Q105&lt;&gt;E!R105,IF(E!Q105&lt;&gt;0,IF(E!S105&lt;&gt;E!T105,E!V105,),),)</f>
        <v>0</v>
      </c>
      <c r="W105" s="633">
        <f>IF(Q105="","",$W$5-SUM($Q$7:$Q$45)-SUM($Q$64:Q105))</f>
        <v>0</v>
      </c>
      <c r="AO105" s="86"/>
      <c r="AP105" s="86"/>
      <c r="AQ105" s="86"/>
      <c r="AR105" s="86"/>
      <c r="AS105" s="86"/>
      <c r="AT105" s="86"/>
      <c r="AU105" s="86"/>
      <c r="AV105" s="86"/>
      <c r="AW105" s="86"/>
      <c r="AX105" s="86"/>
      <c r="AY105" s="86"/>
      <c r="CM105" s="86"/>
      <c r="CN105" s="86"/>
    </row>
    <row r="106" spans="8:92" s="367" customFormat="1" ht="15.75" hidden="1" customHeight="1" outlineLevel="1">
      <c r="H106" s="543"/>
      <c r="I106" s="853"/>
      <c r="J106" s="6"/>
      <c r="K106" s="541"/>
      <c r="L106" s="860"/>
      <c r="M106" s="20" t="str">
        <f>IF(J106="","",$M$5-SUM($J$7:J106))</f>
        <v/>
      </c>
      <c r="O106" s="7"/>
      <c r="P106" s="871">
        <f>IF(E!Q106&lt;&gt;E!R106,IF(E!Q106&lt;&gt;0,IF(E!S106&lt;&gt;E!T106,E!P106,),),)</f>
        <v>0</v>
      </c>
      <c r="Q106" s="795">
        <f>IF(E!Q106&lt;&gt;E!R106,IF(E!Q106&lt;&gt;0,IF(E!S106&lt;&gt;E!T106,E!Q106,),),)</f>
        <v>0</v>
      </c>
      <c r="R106" s="628">
        <f>IF(E!Q106&lt;&gt;E!R106,IF(E!Q106&lt;&gt;0,IF(E!S106&lt;&gt;E!T106,0,Q106),Q106),Q106)</f>
        <v>0</v>
      </c>
      <c r="S106" s="796">
        <f>IF(E!Q106&lt;&gt;E!R106,IF(E!Q106&lt;&gt;0,IF(E!S106&lt;&gt;E!T106,E!S106+1,),),)</f>
        <v>0</v>
      </c>
      <c r="T106" s="796">
        <f>IF(E!Q106&lt;&gt;E!R106,IF(E!Q106&lt;&gt;0,IF(E!S106&lt;&gt;E!T106,E!T106,),),)</f>
        <v>0</v>
      </c>
      <c r="U106" s="797">
        <f>IF(E!Q106&lt;&gt;E!R106,IF(E!Q106&lt;&gt;0,IF(E!S106&lt;&gt;E!T106,E!U106,),),)</f>
        <v>0</v>
      </c>
      <c r="V106" s="875">
        <f>IF(E!Q106&lt;&gt;E!R106,IF(E!Q106&lt;&gt;0,IF(E!S106&lt;&gt;E!T106,E!V106,),),)</f>
        <v>0</v>
      </c>
      <c r="W106" s="633">
        <f>IF(Q106="","",$W$5-SUM($Q$7:$Q$45)-SUM($Q$64:Q106))</f>
        <v>0</v>
      </c>
      <c r="AO106" s="86"/>
      <c r="AP106" s="86"/>
      <c r="AQ106" s="86"/>
      <c r="AR106" s="86"/>
      <c r="AS106" s="86"/>
      <c r="AT106" s="86"/>
      <c r="AU106" s="86"/>
      <c r="AV106" s="86"/>
      <c r="AW106" s="86"/>
      <c r="AX106" s="86"/>
      <c r="AY106" s="86"/>
      <c r="CM106" s="86"/>
      <c r="CN106" s="86"/>
    </row>
    <row r="107" spans="8:92" s="367" customFormat="1" ht="15.75" hidden="1" customHeight="1" outlineLevel="1">
      <c r="H107" s="543"/>
      <c r="I107" s="853"/>
      <c r="J107" s="6"/>
      <c r="K107" s="541"/>
      <c r="L107" s="860"/>
      <c r="M107" s="20" t="str">
        <f>IF(J107="","",$M$5-SUM($J$7:J107))</f>
        <v/>
      </c>
      <c r="O107" s="7"/>
      <c r="P107" s="871">
        <f>IF(E!Q107&lt;&gt;E!R107,IF(E!Q107&lt;&gt;0,IF(E!S107&lt;&gt;E!T107,E!P107,),),)</f>
        <v>0</v>
      </c>
      <c r="Q107" s="795">
        <f>IF(E!Q107&lt;&gt;E!R107,IF(E!Q107&lt;&gt;0,IF(E!S107&lt;&gt;E!T107,E!Q107,),),)</f>
        <v>0</v>
      </c>
      <c r="R107" s="628">
        <f>IF(E!Q107&lt;&gt;E!R107,IF(E!Q107&lt;&gt;0,IF(E!S107&lt;&gt;E!T107,0,Q107),Q107),Q107)</f>
        <v>0</v>
      </c>
      <c r="S107" s="796">
        <f>IF(E!Q107&lt;&gt;E!R107,IF(E!Q107&lt;&gt;0,IF(E!S107&lt;&gt;E!T107,E!S107+1,),),)</f>
        <v>0</v>
      </c>
      <c r="T107" s="796">
        <f>IF(E!Q107&lt;&gt;E!R107,IF(E!Q107&lt;&gt;0,IF(E!S107&lt;&gt;E!T107,E!T107,),),)</f>
        <v>0</v>
      </c>
      <c r="U107" s="797">
        <f>IF(E!Q107&lt;&gt;E!R107,IF(E!Q107&lt;&gt;0,IF(E!S107&lt;&gt;E!T107,E!U107,),),)</f>
        <v>0</v>
      </c>
      <c r="V107" s="875">
        <f>IF(E!Q107&lt;&gt;E!R107,IF(E!Q107&lt;&gt;0,IF(E!S107&lt;&gt;E!T107,E!V107,),),)</f>
        <v>0</v>
      </c>
      <c r="W107" s="633">
        <f>IF(Q107="","",$W$5-SUM($Q$7:$Q$45)-SUM($Q$64:Q107))</f>
        <v>0</v>
      </c>
      <c r="AO107" s="86"/>
      <c r="AP107" s="86"/>
      <c r="AQ107" s="86"/>
      <c r="AR107" s="86"/>
      <c r="AS107" s="86"/>
      <c r="AT107" s="86"/>
      <c r="AU107" s="86"/>
      <c r="AV107" s="86"/>
      <c r="AW107" s="86"/>
      <c r="AX107" s="86"/>
      <c r="AY107" s="86"/>
      <c r="CM107" s="86"/>
      <c r="CN107" s="86"/>
    </row>
    <row r="108" spans="8:92" s="367" customFormat="1" ht="15.75" hidden="1" customHeight="1" outlineLevel="1">
      <c r="H108" s="543"/>
      <c r="I108" s="853"/>
      <c r="J108" s="6"/>
      <c r="K108" s="541"/>
      <c r="L108" s="860"/>
      <c r="M108" s="20" t="str">
        <f>IF(J108="","",$M$5-SUM($J$7:J108))</f>
        <v/>
      </c>
      <c r="O108" s="7"/>
      <c r="P108" s="873">
        <f>IF(E!Q108&lt;&gt;E!R108,IF(E!Q108&lt;&gt;0,IF(E!S108&lt;&gt;E!T108,E!P108,),),)</f>
        <v>0</v>
      </c>
      <c r="Q108" s="795">
        <f>IF(E!Q108&lt;&gt;E!R108,IF(E!Q108&lt;&gt;0,IF(E!S108&lt;&gt;E!T108,E!Q108,),),)</f>
        <v>0</v>
      </c>
      <c r="R108" s="628">
        <f>IF(E!Q108&lt;&gt;E!R108,IF(E!Q108&lt;&gt;0,IF(E!S108&lt;&gt;E!T108,0,Q108),Q108),Q108)</f>
        <v>0</v>
      </c>
      <c r="S108" s="796">
        <f>IF(E!Q108&lt;&gt;E!R108,IF(E!Q108&lt;&gt;0,IF(E!S108&lt;&gt;E!T108,E!S108+1,),),)</f>
        <v>0</v>
      </c>
      <c r="T108" s="796">
        <f>IF(E!Q108&lt;&gt;E!R108,IF(E!Q108&lt;&gt;0,IF(E!S108&lt;&gt;E!T108,E!T108,),),)</f>
        <v>0</v>
      </c>
      <c r="U108" s="797">
        <f>IF(E!Q108&lt;&gt;E!R108,IF(E!Q108&lt;&gt;0,IF(E!S108&lt;&gt;E!T108,E!U108,),),)</f>
        <v>0</v>
      </c>
      <c r="V108" s="875">
        <f>IF(E!Q108&lt;&gt;E!R108,IF(E!Q108&lt;&gt;0,IF(E!S108&lt;&gt;E!T108,E!V108,),),)</f>
        <v>0</v>
      </c>
      <c r="W108" s="633">
        <f>IF(Q108="","",$W$5-SUM($Q$7:$Q$45)-SUM($Q$64:Q108))</f>
        <v>0</v>
      </c>
      <c r="AO108" s="86"/>
      <c r="AP108" s="86"/>
      <c r="AQ108" s="86"/>
      <c r="AR108" s="86"/>
      <c r="AS108" s="86"/>
      <c r="AT108" s="86"/>
      <c r="AU108" s="86"/>
      <c r="AV108" s="86"/>
      <c r="AW108" s="86"/>
      <c r="AX108" s="86"/>
      <c r="AY108" s="86"/>
      <c r="CM108" s="86"/>
      <c r="CN108" s="86"/>
    </row>
    <row r="109" spans="8:92" s="367" customFormat="1" ht="15.75" hidden="1" customHeight="1" outlineLevel="1">
      <c r="H109" s="543"/>
      <c r="I109" s="853"/>
      <c r="J109" s="6"/>
      <c r="K109" s="541"/>
      <c r="L109" s="860"/>
      <c r="M109" s="20" t="str">
        <f>IF(J109="","",$M$5-SUM($J$7:J109))</f>
        <v/>
      </c>
      <c r="O109" s="7"/>
      <c r="P109" s="871">
        <f>IF(E!Q109&lt;&gt;E!R109,IF(E!Q109&lt;&gt;0,IF(E!S109&lt;&gt;E!T109,E!P109,),),)</f>
        <v>0</v>
      </c>
      <c r="Q109" s="795">
        <f>IF(E!Q109&lt;&gt;E!R109,IF(E!Q109&lt;&gt;0,IF(E!S109&lt;&gt;E!T109,E!Q109,),),)</f>
        <v>0</v>
      </c>
      <c r="R109" s="628">
        <f>IF(E!Q109&lt;&gt;E!R109,IF(E!Q109&lt;&gt;0,IF(E!S109&lt;&gt;E!T109,0,Q109),Q109),Q109)</f>
        <v>0</v>
      </c>
      <c r="S109" s="796">
        <f>IF(E!Q109&lt;&gt;E!R109,IF(E!Q109&lt;&gt;0,IF(E!S109&lt;&gt;E!T109,E!S109+1,),),)</f>
        <v>0</v>
      </c>
      <c r="T109" s="796">
        <f>IF(E!Q109&lt;&gt;E!R109,IF(E!Q109&lt;&gt;0,IF(E!S109&lt;&gt;E!T109,E!T109,),),)</f>
        <v>0</v>
      </c>
      <c r="U109" s="797">
        <f>IF(E!Q109&lt;&gt;E!R109,IF(E!Q109&lt;&gt;0,IF(E!S109&lt;&gt;E!T109,E!U109,),),)</f>
        <v>0</v>
      </c>
      <c r="V109" s="875">
        <f>IF(E!Q109&lt;&gt;E!R109,IF(E!Q109&lt;&gt;0,IF(E!S109&lt;&gt;E!T109,E!V109,),),)</f>
        <v>0</v>
      </c>
      <c r="W109" s="633">
        <f>IF(Q109="","",$W$5-SUM($Q$7:$Q$45)-SUM($Q$64:Q109))</f>
        <v>0</v>
      </c>
      <c r="AO109" s="86"/>
      <c r="AP109" s="86"/>
      <c r="AQ109" s="86"/>
      <c r="AR109" s="86"/>
      <c r="AS109" s="86"/>
      <c r="AT109" s="86"/>
      <c r="AU109" s="86"/>
      <c r="AV109" s="86"/>
      <c r="AW109" s="86"/>
      <c r="AX109" s="86"/>
      <c r="AY109" s="86"/>
      <c r="CM109" s="86"/>
      <c r="CN109" s="86"/>
    </row>
    <row r="110" spans="8:92" s="367" customFormat="1" ht="16.5" hidden="1" customHeight="1" outlineLevel="1" thickBot="1">
      <c r="H110" s="544"/>
      <c r="I110" s="857"/>
      <c r="J110" s="545"/>
      <c r="K110" s="601"/>
      <c r="L110" s="861"/>
      <c r="M110" s="546" t="str">
        <f>IF(J110="","",$M$5-SUM($J$7:J110))</f>
        <v/>
      </c>
      <c r="O110" s="523"/>
      <c r="P110" s="874">
        <f>IF(E!Q110&lt;&gt;E!R110,IF(E!Q110&lt;&gt;0,IF(E!S110&lt;&gt;E!T110,E!P110,),),)</f>
        <v>0</v>
      </c>
      <c r="Q110" s="800">
        <f>IF(E!Q110&lt;&gt;E!R110,IF(E!Q110&lt;&gt;0,IF(E!S110&lt;&gt;E!T110,E!Q110,),),)</f>
        <v>0</v>
      </c>
      <c r="R110" s="630">
        <f>IF(E!Q110&lt;&gt;E!R110,IF(E!Q110&lt;&gt;0,IF(E!S110&lt;&gt;E!T110,0,Q110),Q110),Q110)</f>
        <v>0</v>
      </c>
      <c r="S110" s="801">
        <f>IF(E!Q110&lt;&gt;E!R110,IF(E!Q110&lt;&gt;0,IF(E!S110&lt;&gt;E!T110,E!S110+1,),),)</f>
        <v>0</v>
      </c>
      <c r="T110" s="801">
        <f>IF(E!Q110&lt;&gt;E!R110,IF(E!Q110&lt;&gt;0,IF(E!S110&lt;&gt;E!T110,E!T110,),),)</f>
        <v>0</v>
      </c>
      <c r="U110" s="802">
        <f>IF(E!Q110&lt;&gt;E!R110,IF(E!Q110&lt;&gt;0,IF(E!S110&lt;&gt;E!T110,E!U110,),),)</f>
        <v>0</v>
      </c>
      <c r="V110" s="876">
        <f>IF(E!Q110&lt;&gt;E!R110,IF(E!Q110&lt;&gt;0,IF(E!S110&lt;&gt;E!T110,E!V110,),),)</f>
        <v>0</v>
      </c>
      <c r="W110" s="635">
        <f>IF(Q110="","",$W$5-SUM($Q$7:$Q$45)-SUM($Q$64:Q110))</f>
        <v>0</v>
      </c>
      <c r="AO110" s="86"/>
      <c r="AP110" s="86"/>
      <c r="AQ110" s="86"/>
      <c r="AR110" s="86"/>
      <c r="AS110" s="86"/>
      <c r="AT110" s="86"/>
      <c r="AU110" s="86"/>
      <c r="AV110" s="86"/>
      <c r="AW110" s="86"/>
      <c r="AX110" s="86"/>
      <c r="AY110" s="86"/>
      <c r="CM110" s="86"/>
      <c r="CN110" s="86"/>
    </row>
    <row r="111" spans="8:92" s="367" customFormat="1">
      <c r="K111" s="593"/>
      <c r="L111" s="593"/>
      <c r="O111" s="511"/>
      <c r="S111" s="371"/>
      <c r="T111" s="371"/>
      <c r="U111" s="371"/>
      <c r="V111" s="371"/>
      <c r="AO111" s="86"/>
      <c r="AP111" s="86"/>
      <c r="AQ111" s="86"/>
      <c r="AR111" s="86"/>
      <c r="AS111" s="86"/>
      <c r="AT111" s="86"/>
      <c r="AU111" s="86"/>
      <c r="AV111" s="86"/>
      <c r="AW111" s="86"/>
      <c r="AX111" s="86"/>
      <c r="AY111" s="86"/>
      <c r="CM111" s="86"/>
      <c r="CN111" s="86"/>
    </row>
    <row r="112" spans="8:92" s="367" customFormat="1">
      <c r="O112" s="511"/>
      <c r="S112" s="371"/>
      <c r="T112" s="371"/>
      <c r="U112" s="371"/>
      <c r="V112" s="371"/>
      <c r="AO112" s="86"/>
      <c r="AP112" s="86"/>
      <c r="AQ112" s="86"/>
      <c r="AR112" s="86"/>
      <c r="AS112" s="86"/>
      <c r="AT112" s="86"/>
      <c r="AU112" s="86"/>
      <c r="AV112" s="86"/>
      <c r="AW112" s="86"/>
      <c r="AX112" s="86"/>
      <c r="AY112" s="86"/>
      <c r="CM112" s="86"/>
      <c r="CN112" s="86"/>
    </row>
    <row r="113" spans="15:92" s="367" customFormat="1">
      <c r="O113" s="511"/>
      <c r="S113" s="371"/>
      <c r="T113" s="371"/>
      <c r="U113" s="371"/>
      <c r="V113" s="371"/>
      <c r="AO113" s="86"/>
      <c r="AP113" s="86"/>
      <c r="AQ113" s="86"/>
      <c r="AR113" s="86"/>
      <c r="AS113" s="86"/>
      <c r="AT113" s="86"/>
      <c r="AU113" s="86"/>
      <c r="AV113" s="86"/>
      <c r="AW113" s="86"/>
      <c r="AX113" s="86"/>
      <c r="AY113" s="86"/>
      <c r="CM113" s="86"/>
      <c r="CN113" s="86"/>
    </row>
    <row r="114" spans="15:92" s="367" customFormat="1">
      <c r="O114" s="511"/>
      <c r="S114" s="371"/>
      <c r="T114" s="371"/>
      <c r="U114" s="371"/>
      <c r="V114" s="371"/>
      <c r="AO114" s="86"/>
      <c r="AP114" s="86"/>
      <c r="AQ114" s="86"/>
      <c r="AR114" s="86"/>
      <c r="AS114" s="86"/>
      <c r="AT114" s="86"/>
      <c r="AU114" s="86"/>
      <c r="AV114" s="86"/>
      <c r="AW114" s="86"/>
      <c r="AX114" s="86"/>
      <c r="AY114" s="86"/>
      <c r="CM114" s="86"/>
      <c r="CN114" s="86"/>
    </row>
    <row r="115" spans="15:92" s="367" customFormat="1">
      <c r="O115" s="511"/>
      <c r="S115" s="371"/>
      <c r="T115" s="371"/>
      <c r="U115" s="371"/>
      <c r="V115" s="371"/>
      <c r="AO115" s="86"/>
      <c r="AP115" s="86"/>
      <c r="AQ115" s="86"/>
      <c r="AR115" s="86"/>
      <c r="AS115" s="86"/>
      <c r="AT115" s="86"/>
      <c r="AU115" s="86"/>
      <c r="AV115" s="86"/>
      <c r="AW115" s="86"/>
      <c r="AX115" s="86"/>
      <c r="AY115" s="86"/>
      <c r="CM115" s="86"/>
      <c r="CN115" s="86"/>
    </row>
    <row r="116" spans="15:92" s="367" customFormat="1">
      <c r="O116" s="511"/>
      <c r="S116" s="371"/>
      <c r="T116" s="371"/>
      <c r="U116" s="371"/>
      <c r="V116" s="371"/>
      <c r="AO116" s="86"/>
      <c r="AP116" s="86"/>
      <c r="AQ116" s="86"/>
      <c r="AR116" s="86"/>
      <c r="AS116" s="86"/>
      <c r="AT116" s="86"/>
      <c r="AU116" s="86"/>
      <c r="AV116" s="86"/>
      <c r="AW116" s="86"/>
      <c r="AX116" s="86"/>
      <c r="AY116" s="86"/>
      <c r="CM116" s="86"/>
      <c r="CN116" s="86"/>
    </row>
    <row r="117" spans="15:92" s="367" customFormat="1">
      <c r="O117" s="511"/>
      <c r="S117" s="371"/>
      <c r="T117" s="371"/>
      <c r="U117" s="371"/>
      <c r="V117" s="371"/>
      <c r="AO117" s="86"/>
      <c r="AP117" s="86"/>
      <c r="AQ117" s="86"/>
      <c r="AR117" s="86"/>
      <c r="AS117" s="86"/>
      <c r="AT117" s="86"/>
      <c r="AU117" s="86"/>
      <c r="AV117" s="86"/>
      <c r="AW117" s="86"/>
      <c r="AX117" s="86"/>
      <c r="AY117" s="86"/>
      <c r="CM117" s="86"/>
      <c r="CN117" s="86"/>
    </row>
    <row r="118" spans="15:92" s="367" customFormat="1">
      <c r="O118" s="511"/>
      <c r="S118" s="371"/>
      <c r="T118" s="371"/>
      <c r="U118" s="371"/>
      <c r="V118" s="371"/>
      <c r="AO118" s="86"/>
      <c r="AP118" s="86"/>
      <c r="AQ118" s="86"/>
      <c r="AR118" s="86"/>
      <c r="AS118" s="86"/>
      <c r="AT118" s="86"/>
      <c r="AU118" s="86"/>
      <c r="AV118" s="86"/>
      <c r="AW118" s="86"/>
      <c r="AX118" s="86"/>
      <c r="AY118" s="86"/>
      <c r="CM118" s="86"/>
      <c r="CN118" s="86"/>
    </row>
    <row r="119" spans="15:92" s="367" customFormat="1">
      <c r="O119" s="511"/>
      <c r="S119" s="371"/>
      <c r="T119" s="371"/>
      <c r="U119" s="371"/>
      <c r="V119" s="371"/>
      <c r="AO119" s="86"/>
      <c r="AP119" s="86"/>
      <c r="AQ119" s="86"/>
      <c r="AR119" s="86"/>
      <c r="AS119" s="86"/>
      <c r="AT119" s="86"/>
      <c r="AU119" s="86"/>
      <c r="AV119" s="86"/>
      <c r="AW119" s="86"/>
      <c r="AX119" s="86"/>
      <c r="AY119" s="86"/>
      <c r="CM119" s="86"/>
      <c r="CN119" s="86"/>
    </row>
    <row r="120" spans="15:92" s="367" customFormat="1">
      <c r="O120" s="511"/>
      <c r="S120" s="371"/>
      <c r="T120" s="371"/>
      <c r="U120" s="371"/>
      <c r="V120" s="371"/>
      <c r="AO120" s="86"/>
      <c r="AP120" s="86"/>
      <c r="AQ120" s="86"/>
      <c r="AR120" s="86"/>
      <c r="AS120" s="86"/>
      <c r="AT120" s="86"/>
      <c r="AU120" s="86"/>
      <c r="AV120" s="86"/>
      <c r="AW120" s="86"/>
      <c r="AX120" s="86"/>
      <c r="AY120" s="86"/>
      <c r="CM120" s="86"/>
      <c r="CN120" s="86"/>
    </row>
    <row r="121" spans="15:92" s="367" customFormat="1">
      <c r="O121" s="511"/>
      <c r="S121" s="371"/>
      <c r="T121" s="371"/>
      <c r="U121" s="371"/>
      <c r="V121" s="371"/>
      <c r="AO121" s="86"/>
      <c r="AP121" s="86"/>
      <c r="AQ121" s="86"/>
      <c r="AR121" s="86"/>
      <c r="AS121" s="86"/>
      <c r="AT121" s="86"/>
      <c r="AU121" s="86"/>
      <c r="AV121" s="86"/>
      <c r="AW121" s="86"/>
      <c r="AX121" s="86"/>
      <c r="AY121" s="86"/>
      <c r="CM121" s="86"/>
      <c r="CN121" s="86"/>
    </row>
    <row r="122" spans="15:92" s="367" customFormat="1">
      <c r="O122" s="511"/>
      <c r="S122" s="371"/>
      <c r="T122" s="371"/>
      <c r="U122" s="371"/>
      <c r="V122" s="371"/>
      <c r="AO122" s="86"/>
      <c r="AP122" s="86"/>
      <c r="AQ122" s="86"/>
      <c r="AR122" s="86"/>
      <c r="AS122" s="86"/>
      <c r="AT122" s="86"/>
      <c r="AU122" s="86"/>
      <c r="AV122" s="86"/>
      <c r="AW122" s="86"/>
      <c r="AX122" s="86"/>
      <c r="AY122" s="86"/>
      <c r="CM122" s="86"/>
      <c r="CN122" s="86"/>
    </row>
    <row r="123" spans="15:92" s="367" customFormat="1">
      <c r="O123" s="511"/>
      <c r="S123" s="371"/>
      <c r="T123" s="371"/>
      <c r="U123" s="371"/>
      <c r="V123" s="371"/>
      <c r="AO123" s="86"/>
      <c r="AP123" s="86"/>
      <c r="AQ123" s="86"/>
      <c r="AR123" s="86"/>
      <c r="AS123" s="86"/>
      <c r="AT123" s="86"/>
      <c r="AU123" s="86"/>
      <c r="AV123" s="86"/>
      <c r="AW123" s="86"/>
      <c r="AX123" s="86"/>
      <c r="AY123" s="86"/>
      <c r="CM123" s="86"/>
      <c r="CN123" s="86"/>
    </row>
    <row r="124" spans="15:92" s="367" customFormat="1">
      <c r="O124" s="511"/>
      <c r="S124" s="371"/>
      <c r="T124" s="371"/>
      <c r="U124" s="371"/>
      <c r="V124" s="371"/>
      <c r="AO124" s="86"/>
      <c r="AP124" s="86"/>
      <c r="AQ124" s="86"/>
      <c r="AR124" s="86"/>
      <c r="AS124" s="86"/>
      <c r="AT124" s="86"/>
      <c r="AU124" s="86"/>
      <c r="AV124" s="86"/>
      <c r="AW124" s="86"/>
      <c r="AX124" s="86"/>
      <c r="AY124" s="86"/>
      <c r="CM124" s="86"/>
      <c r="CN124" s="86"/>
    </row>
    <row r="125" spans="15:92" s="367" customFormat="1">
      <c r="O125" s="511"/>
      <c r="S125" s="371"/>
      <c r="T125" s="371"/>
      <c r="U125" s="371"/>
      <c r="V125" s="371"/>
      <c r="AO125" s="86"/>
      <c r="AP125" s="86"/>
      <c r="AQ125" s="86"/>
      <c r="AR125" s="86"/>
      <c r="AS125" s="86"/>
      <c r="AT125" s="86"/>
      <c r="AU125" s="86"/>
      <c r="AV125" s="86"/>
      <c r="AW125" s="86"/>
      <c r="AX125" s="86"/>
      <c r="AY125" s="86"/>
      <c r="CM125" s="86"/>
      <c r="CN125" s="86"/>
    </row>
    <row r="126" spans="15:92" s="367" customFormat="1">
      <c r="O126" s="511"/>
      <c r="S126" s="371"/>
      <c r="T126" s="371"/>
      <c r="U126" s="371"/>
      <c r="V126" s="371"/>
      <c r="AO126" s="86"/>
      <c r="AP126" s="86"/>
      <c r="AQ126" s="86"/>
      <c r="AR126" s="86"/>
      <c r="AS126" s="86"/>
      <c r="AT126" s="86"/>
      <c r="AU126" s="86"/>
      <c r="AV126" s="86"/>
      <c r="AW126" s="86"/>
      <c r="AX126" s="86"/>
      <c r="AY126" s="86"/>
      <c r="CM126" s="86"/>
      <c r="CN126" s="86"/>
    </row>
    <row r="127" spans="15:92" s="367" customFormat="1">
      <c r="O127" s="511"/>
      <c r="S127" s="371"/>
      <c r="T127" s="371"/>
      <c r="U127" s="371"/>
      <c r="V127" s="371"/>
      <c r="AO127" s="86"/>
      <c r="AP127" s="86"/>
      <c r="AQ127" s="86"/>
      <c r="AR127" s="86"/>
      <c r="AS127" s="86"/>
      <c r="AT127" s="86"/>
      <c r="AU127" s="86"/>
      <c r="AV127" s="86"/>
      <c r="AW127" s="86"/>
      <c r="AX127" s="86"/>
      <c r="AY127" s="86"/>
      <c r="CM127" s="86"/>
      <c r="CN127" s="86"/>
    </row>
    <row r="128" spans="15:92" s="367" customFormat="1">
      <c r="O128" s="511"/>
      <c r="S128" s="371"/>
      <c r="T128" s="371"/>
      <c r="U128" s="371"/>
      <c r="V128" s="371"/>
      <c r="AO128" s="86"/>
      <c r="AP128" s="86"/>
      <c r="AQ128" s="86"/>
      <c r="AR128" s="86"/>
      <c r="AS128" s="86"/>
      <c r="AT128" s="86"/>
      <c r="AU128" s="86"/>
      <c r="AV128" s="86"/>
      <c r="AW128" s="86"/>
      <c r="AX128" s="86"/>
      <c r="AY128" s="86"/>
      <c r="CM128" s="86"/>
      <c r="CN128" s="86"/>
    </row>
    <row r="129" spans="15:92" s="367" customFormat="1">
      <c r="O129" s="511"/>
      <c r="S129" s="371"/>
      <c r="T129" s="371"/>
      <c r="U129" s="371"/>
      <c r="V129" s="371"/>
      <c r="AO129" s="86"/>
      <c r="AP129" s="86"/>
      <c r="AQ129" s="86"/>
      <c r="AR129" s="86"/>
      <c r="AS129" s="86"/>
      <c r="AT129" s="86"/>
      <c r="AU129" s="86"/>
      <c r="AV129" s="86"/>
      <c r="AW129" s="86"/>
      <c r="AX129" s="86"/>
      <c r="AY129" s="86"/>
      <c r="CM129" s="86"/>
      <c r="CN129" s="86"/>
    </row>
    <row r="130" spans="15:92" s="367" customFormat="1">
      <c r="O130" s="511"/>
      <c r="S130" s="371"/>
      <c r="T130" s="371"/>
      <c r="U130" s="371"/>
      <c r="V130" s="371"/>
      <c r="AO130" s="86"/>
      <c r="AP130" s="86"/>
      <c r="AQ130" s="86"/>
      <c r="AR130" s="86"/>
      <c r="AS130" s="86"/>
      <c r="AT130" s="86"/>
      <c r="AU130" s="86"/>
      <c r="AV130" s="86"/>
      <c r="AW130" s="86"/>
      <c r="AX130" s="86"/>
      <c r="AY130" s="86"/>
      <c r="CM130" s="86"/>
      <c r="CN130" s="86"/>
    </row>
    <row r="131" spans="15:92" s="367" customFormat="1">
      <c r="O131" s="511"/>
      <c r="S131" s="371"/>
      <c r="T131" s="371"/>
      <c r="U131" s="371"/>
      <c r="V131" s="371"/>
      <c r="AO131" s="86"/>
      <c r="AP131" s="86"/>
      <c r="AQ131" s="86"/>
      <c r="AR131" s="86"/>
      <c r="AS131" s="86"/>
      <c r="AT131" s="86"/>
      <c r="AU131" s="86"/>
      <c r="AV131" s="86"/>
      <c r="AW131" s="86"/>
      <c r="AX131" s="86"/>
      <c r="AY131" s="86"/>
      <c r="CM131" s="86"/>
      <c r="CN131" s="86"/>
    </row>
    <row r="132" spans="15:92" s="367" customFormat="1">
      <c r="O132" s="511"/>
      <c r="S132" s="371"/>
      <c r="T132" s="371"/>
      <c r="U132" s="371"/>
      <c r="V132" s="371"/>
      <c r="AO132" s="86"/>
      <c r="AP132" s="86"/>
      <c r="AQ132" s="86"/>
      <c r="AR132" s="86"/>
      <c r="AS132" s="86"/>
      <c r="AT132" s="86"/>
      <c r="AU132" s="86"/>
      <c r="AV132" s="86"/>
      <c r="AW132" s="86"/>
      <c r="AX132" s="86"/>
      <c r="AY132" s="86"/>
      <c r="CM132" s="86"/>
      <c r="CN132" s="86"/>
    </row>
    <row r="133" spans="15:92" s="367" customFormat="1">
      <c r="O133" s="511"/>
      <c r="S133" s="371"/>
      <c r="T133" s="371"/>
      <c r="U133" s="371"/>
      <c r="V133" s="371"/>
      <c r="AO133" s="86"/>
      <c r="AP133" s="86"/>
      <c r="AQ133" s="86"/>
      <c r="AR133" s="86"/>
      <c r="AS133" s="86"/>
      <c r="AT133" s="86"/>
      <c r="AU133" s="86"/>
      <c r="AV133" s="86"/>
      <c r="AW133" s="86"/>
      <c r="AX133" s="86"/>
      <c r="AY133" s="86"/>
      <c r="CM133" s="86"/>
      <c r="CN133" s="86"/>
    </row>
    <row r="134" spans="15:92" s="367" customFormat="1">
      <c r="O134" s="511"/>
      <c r="S134" s="371"/>
      <c r="T134" s="371"/>
      <c r="U134" s="371"/>
      <c r="V134" s="371"/>
      <c r="AO134" s="86"/>
      <c r="AP134" s="86"/>
      <c r="AQ134" s="86"/>
      <c r="AR134" s="86"/>
      <c r="AS134" s="86"/>
      <c r="AT134" s="86"/>
      <c r="AU134" s="86"/>
      <c r="AV134" s="86"/>
      <c r="AW134" s="86"/>
      <c r="AX134" s="86"/>
      <c r="AY134" s="86"/>
      <c r="CM134" s="86"/>
      <c r="CN134" s="86"/>
    </row>
    <row r="135" spans="15:92" s="367" customFormat="1">
      <c r="O135" s="511"/>
      <c r="S135" s="371"/>
      <c r="T135" s="371"/>
      <c r="U135" s="371"/>
      <c r="V135" s="371"/>
      <c r="AO135" s="86"/>
      <c r="AP135" s="86"/>
      <c r="AQ135" s="86"/>
      <c r="AR135" s="86"/>
      <c r="AS135" s="86"/>
      <c r="AT135" s="86"/>
      <c r="AU135" s="86"/>
      <c r="AV135" s="86"/>
      <c r="AW135" s="86"/>
      <c r="AX135" s="86"/>
      <c r="AY135" s="86"/>
      <c r="CM135" s="86"/>
      <c r="CN135" s="86"/>
    </row>
    <row r="136" spans="15:92" s="367" customFormat="1">
      <c r="O136" s="511"/>
      <c r="S136" s="371"/>
      <c r="T136" s="371"/>
      <c r="U136" s="371"/>
      <c r="V136" s="371"/>
      <c r="AO136" s="86"/>
      <c r="AP136" s="86"/>
      <c r="AQ136" s="86"/>
      <c r="AR136" s="86"/>
      <c r="AS136" s="86"/>
      <c r="AT136" s="86"/>
      <c r="AU136" s="86"/>
      <c r="AV136" s="86"/>
      <c r="AW136" s="86"/>
      <c r="AX136" s="86"/>
      <c r="AY136" s="86"/>
      <c r="CM136" s="86"/>
      <c r="CN136" s="86"/>
    </row>
    <row r="137" spans="15:92" s="367" customFormat="1">
      <c r="O137" s="511"/>
      <c r="S137" s="371"/>
      <c r="T137" s="371"/>
      <c r="U137" s="371"/>
      <c r="V137" s="371"/>
      <c r="AO137" s="86"/>
      <c r="AP137" s="86"/>
      <c r="AQ137" s="86"/>
      <c r="AR137" s="86"/>
      <c r="AS137" s="86"/>
      <c r="AT137" s="86"/>
      <c r="AU137" s="86"/>
      <c r="AV137" s="86"/>
      <c r="AW137" s="86"/>
      <c r="AX137" s="86"/>
      <c r="AY137" s="86"/>
      <c r="CM137" s="86"/>
      <c r="CN137" s="86"/>
    </row>
    <row r="138" spans="15:92" s="367" customFormat="1">
      <c r="O138" s="511"/>
      <c r="S138" s="371"/>
      <c r="T138" s="371"/>
      <c r="U138" s="371"/>
      <c r="V138" s="371"/>
      <c r="AO138" s="86"/>
      <c r="AP138" s="86"/>
      <c r="AQ138" s="86"/>
      <c r="AR138" s="86"/>
      <c r="AS138" s="86"/>
      <c r="AT138" s="86"/>
      <c r="AU138" s="86"/>
      <c r="AV138" s="86"/>
      <c r="AW138" s="86"/>
      <c r="AX138" s="86"/>
      <c r="AY138" s="86"/>
      <c r="CM138" s="86"/>
      <c r="CN138" s="86"/>
    </row>
    <row r="139" spans="15:92" s="367" customFormat="1">
      <c r="O139" s="511"/>
      <c r="S139" s="371"/>
      <c r="T139" s="371"/>
      <c r="U139" s="371"/>
      <c r="V139" s="371"/>
      <c r="AO139" s="86"/>
      <c r="AP139" s="86"/>
      <c r="AQ139" s="86"/>
      <c r="AR139" s="86"/>
      <c r="AS139" s="86"/>
      <c r="AT139" s="86"/>
      <c r="AU139" s="86"/>
      <c r="AV139" s="86"/>
      <c r="AW139" s="86"/>
      <c r="AX139" s="86"/>
      <c r="AY139" s="86"/>
      <c r="CM139" s="86"/>
      <c r="CN139" s="86"/>
    </row>
    <row r="140" spans="15:92" s="367" customFormat="1">
      <c r="O140" s="511"/>
      <c r="S140" s="371"/>
      <c r="T140" s="371"/>
      <c r="U140" s="371"/>
      <c r="V140" s="371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CM140" s="86"/>
      <c r="CN140" s="86"/>
    </row>
    <row r="141" spans="15:92" s="367" customFormat="1">
      <c r="O141" s="511"/>
      <c r="S141" s="371"/>
      <c r="T141" s="371"/>
      <c r="U141" s="371"/>
      <c r="V141" s="371"/>
      <c r="AO141" s="86"/>
      <c r="AP141" s="86"/>
      <c r="AQ141" s="86"/>
      <c r="AR141" s="86"/>
      <c r="AS141" s="86"/>
      <c r="AT141" s="86"/>
      <c r="AU141" s="86"/>
      <c r="AV141" s="86"/>
      <c r="AW141" s="86"/>
      <c r="AX141" s="86"/>
      <c r="AY141" s="86"/>
      <c r="CM141" s="86"/>
      <c r="CN141" s="86"/>
    </row>
    <row r="142" spans="15:92" s="367" customFormat="1">
      <c r="O142" s="511"/>
      <c r="S142" s="371"/>
      <c r="T142" s="371"/>
      <c r="U142" s="371"/>
      <c r="V142" s="371"/>
      <c r="AO142" s="86"/>
      <c r="AP142" s="86"/>
      <c r="AQ142" s="86"/>
      <c r="AR142" s="86"/>
      <c r="AS142" s="86"/>
      <c r="AT142" s="86"/>
      <c r="AU142" s="86"/>
      <c r="AV142" s="86"/>
      <c r="AW142" s="86"/>
      <c r="AX142" s="86"/>
      <c r="AY142" s="86"/>
      <c r="CM142" s="86"/>
      <c r="CN142" s="86"/>
    </row>
    <row r="143" spans="15:92" s="367" customFormat="1">
      <c r="O143" s="511"/>
      <c r="S143" s="371"/>
      <c r="T143" s="371"/>
      <c r="U143" s="371"/>
      <c r="V143" s="371"/>
      <c r="AO143" s="86"/>
      <c r="AP143" s="86"/>
      <c r="AQ143" s="86"/>
      <c r="AR143" s="86"/>
      <c r="AS143" s="86"/>
      <c r="AT143" s="86"/>
      <c r="AU143" s="86"/>
      <c r="AV143" s="86"/>
      <c r="AW143" s="86"/>
      <c r="AX143" s="86"/>
      <c r="AY143" s="86"/>
      <c r="CM143" s="86"/>
      <c r="CN143" s="86"/>
    </row>
    <row r="144" spans="15:92" s="367" customFormat="1">
      <c r="O144" s="511"/>
      <c r="S144" s="371"/>
      <c r="T144" s="371"/>
      <c r="U144" s="371"/>
      <c r="V144" s="371"/>
      <c r="AO144" s="86"/>
      <c r="AP144" s="86"/>
      <c r="AQ144" s="86"/>
      <c r="AR144" s="86"/>
      <c r="AS144" s="86"/>
      <c r="AT144" s="86"/>
      <c r="AU144" s="86"/>
      <c r="AV144" s="86"/>
      <c r="AW144" s="86"/>
      <c r="AX144" s="86"/>
      <c r="AY144" s="86"/>
      <c r="CM144" s="86"/>
      <c r="CN144" s="86"/>
    </row>
    <row r="145" spans="1:92" s="367" customFormat="1">
      <c r="O145" s="511"/>
      <c r="S145" s="371"/>
      <c r="T145" s="371"/>
      <c r="U145" s="371"/>
      <c r="V145" s="371"/>
      <c r="AO145" s="86"/>
      <c r="AP145" s="86"/>
      <c r="AQ145" s="86"/>
      <c r="AR145" s="86"/>
      <c r="AS145" s="86"/>
      <c r="AT145" s="86"/>
      <c r="AU145" s="86"/>
      <c r="AV145" s="86"/>
      <c r="AW145" s="86"/>
      <c r="AX145" s="86"/>
      <c r="AY145" s="86"/>
      <c r="CM145" s="86"/>
      <c r="CN145" s="86"/>
    </row>
    <row r="146" spans="1:92" s="367" customFormat="1">
      <c r="O146" s="511"/>
      <c r="S146" s="371"/>
      <c r="T146" s="371"/>
      <c r="U146" s="371"/>
      <c r="V146" s="371"/>
      <c r="AO146" s="86"/>
      <c r="AP146" s="86"/>
      <c r="AQ146" s="86"/>
      <c r="AR146" s="86"/>
      <c r="AS146" s="86"/>
      <c r="AT146" s="86"/>
      <c r="AU146" s="86"/>
      <c r="AV146" s="86"/>
      <c r="AW146" s="86"/>
      <c r="AX146" s="86"/>
      <c r="AY146" s="86"/>
      <c r="CM146" s="86"/>
      <c r="CN146" s="86"/>
    </row>
    <row r="147" spans="1:92" s="367" customFormat="1">
      <c r="O147" s="511"/>
      <c r="S147" s="371"/>
      <c r="T147" s="371"/>
      <c r="U147" s="371"/>
      <c r="V147" s="371"/>
      <c r="AO147" s="86"/>
      <c r="AP147" s="86"/>
      <c r="AQ147" s="86"/>
      <c r="AR147" s="86"/>
      <c r="AS147" s="86"/>
      <c r="AT147" s="86"/>
      <c r="AU147" s="86"/>
      <c r="AV147" s="86"/>
      <c r="AW147" s="86"/>
      <c r="AX147" s="86"/>
      <c r="AY147" s="86"/>
      <c r="CM147" s="86"/>
      <c r="CN147" s="86"/>
    </row>
    <row r="148" spans="1:92" s="367" customFormat="1">
      <c r="O148" s="511"/>
      <c r="S148" s="371"/>
      <c r="T148" s="371"/>
      <c r="U148" s="371"/>
      <c r="V148" s="371"/>
      <c r="AO148" s="86"/>
      <c r="AP148" s="86"/>
      <c r="AQ148" s="86"/>
      <c r="AR148" s="86"/>
      <c r="AS148" s="86"/>
      <c r="AT148" s="86"/>
      <c r="AU148" s="86"/>
      <c r="AV148" s="86"/>
      <c r="AW148" s="86"/>
      <c r="AX148" s="86"/>
      <c r="AY148" s="86"/>
      <c r="CM148" s="86"/>
      <c r="CN148" s="86"/>
    </row>
    <row r="149" spans="1:92" s="367" customFormat="1">
      <c r="O149" s="511"/>
      <c r="S149" s="371"/>
      <c r="T149" s="371"/>
      <c r="U149" s="371"/>
      <c r="V149" s="371"/>
      <c r="AO149" s="86"/>
      <c r="AP149" s="86"/>
      <c r="AQ149" s="86"/>
      <c r="AR149" s="86"/>
      <c r="AS149" s="86"/>
      <c r="AT149" s="86"/>
      <c r="AU149" s="86"/>
      <c r="AV149" s="86"/>
      <c r="AW149" s="86"/>
      <c r="AX149" s="86"/>
      <c r="AY149" s="86"/>
      <c r="CM149" s="86"/>
      <c r="CN149" s="86"/>
    </row>
    <row r="150" spans="1:92" s="367" customFormat="1">
      <c r="O150" s="511"/>
      <c r="S150" s="371"/>
      <c r="T150" s="371"/>
      <c r="U150" s="371"/>
      <c r="V150" s="371"/>
      <c r="AO150" s="86"/>
      <c r="AP150" s="86"/>
      <c r="AQ150" s="86"/>
      <c r="AR150" s="86"/>
      <c r="AS150" s="86"/>
      <c r="AT150" s="86"/>
      <c r="AU150" s="86"/>
      <c r="AV150" s="86"/>
      <c r="AW150" s="86"/>
      <c r="AX150" s="86"/>
      <c r="AY150" s="86"/>
      <c r="CM150" s="86"/>
      <c r="CN150" s="86"/>
    </row>
    <row r="151" spans="1:92" s="367" customFormat="1">
      <c r="O151" s="511"/>
      <c r="S151" s="371"/>
      <c r="T151" s="371"/>
      <c r="U151" s="371"/>
      <c r="V151" s="371"/>
      <c r="AO151" s="86"/>
      <c r="AP151" s="86"/>
      <c r="AQ151" s="86"/>
      <c r="AR151" s="86"/>
      <c r="AS151" s="86"/>
      <c r="AT151" s="86"/>
      <c r="AU151" s="86"/>
      <c r="AV151" s="86"/>
      <c r="AW151" s="86"/>
      <c r="AX151" s="86"/>
      <c r="AY151" s="86"/>
      <c r="CM151" s="86"/>
      <c r="CN151" s="86"/>
    </row>
    <row r="152" spans="1:92">
      <c r="A152" s="367"/>
      <c r="B152" s="367"/>
      <c r="C152" s="367"/>
      <c r="D152" s="367"/>
      <c r="E152" s="367"/>
      <c r="F152" s="367"/>
      <c r="G152" s="367"/>
      <c r="H152" s="367"/>
      <c r="I152" s="367"/>
      <c r="J152" s="367"/>
      <c r="K152" s="367"/>
      <c r="L152" s="367"/>
      <c r="M152" s="367"/>
      <c r="N152" s="367"/>
      <c r="O152" s="377"/>
      <c r="P152" s="367"/>
      <c r="Q152" s="367"/>
      <c r="R152" s="367"/>
      <c r="S152" s="371"/>
      <c r="T152" s="371"/>
      <c r="U152" s="371"/>
      <c r="V152" s="371"/>
      <c r="W152" s="367"/>
      <c r="X152" s="367"/>
      <c r="Y152" s="367"/>
      <c r="Z152" s="367"/>
      <c r="AA152" s="367"/>
      <c r="AB152" s="367"/>
      <c r="AC152" s="367"/>
      <c r="AD152" s="367"/>
      <c r="AE152" s="367"/>
      <c r="AF152" s="367"/>
      <c r="AG152" s="367"/>
      <c r="AH152" s="367"/>
      <c r="AI152" s="367"/>
      <c r="AJ152" s="367"/>
      <c r="AK152" s="367"/>
      <c r="AL152" s="367"/>
      <c r="AM152" s="367"/>
      <c r="AN152" s="367"/>
      <c r="AO152" s="86"/>
    </row>
  </sheetData>
  <sheetProtection password="D37A" sheet="1" scenarios="1" formatCells="0" formatColumns="0" formatRows="0" insertColumns="0" insertRows="0" sort="0" autoFilter="0"/>
  <mergeCells count="72">
    <mergeCell ref="S51:T51"/>
    <mergeCell ref="S52:T52"/>
    <mergeCell ref="S59:T59"/>
    <mergeCell ref="S53:T53"/>
    <mergeCell ref="S54:T54"/>
    <mergeCell ref="S55:T55"/>
    <mergeCell ref="S56:T56"/>
    <mergeCell ref="S58:T58"/>
    <mergeCell ref="N2:O2"/>
    <mergeCell ref="H54:H56"/>
    <mergeCell ref="C41:D41"/>
    <mergeCell ref="I56:J56"/>
    <mergeCell ref="B42:D42"/>
    <mergeCell ref="B3:C3"/>
    <mergeCell ref="B23:B24"/>
    <mergeCell ref="B25:B26"/>
    <mergeCell ref="N53:O54"/>
    <mergeCell ref="E5:E6"/>
    <mergeCell ref="C5:C6"/>
    <mergeCell ref="F5:F6"/>
    <mergeCell ref="K5:K6"/>
    <mergeCell ref="Y3:AA3"/>
    <mergeCell ref="C58:D58"/>
    <mergeCell ref="C23:D24"/>
    <mergeCell ref="D25:D26"/>
    <mergeCell ref="C25:C26"/>
    <mergeCell ref="F25:F26"/>
    <mergeCell ref="E25:E26"/>
    <mergeCell ref="E23:F24"/>
    <mergeCell ref="C4:D4"/>
    <mergeCell ref="Y4:Z4"/>
    <mergeCell ref="E4:F4"/>
    <mergeCell ref="D5:D6"/>
    <mergeCell ref="H5:H6"/>
    <mergeCell ref="O5:O6"/>
    <mergeCell ref="B43:C43"/>
    <mergeCell ref="L5:L6"/>
    <mergeCell ref="AR21:AR22"/>
    <mergeCell ref="AE15:AE20"/>
    <mergeCell ref="AE21:AE22"/>
    <mergeCell ref="Y21:Y22"/>
    <mergeCell ref="Z21:Z22"/>
    <mergeCell ref="AG21:AG22"/>
    <mergeCell ref="AD21:AD22"/>
    <mergeCell ref="AA21:AA22"/>
    <mergeCell ref="AP12:AX12"/>
    <mergeCell ref="Y18:Z18"/>
    <mergeCell ref="Y20:AA20"/>
    <mergeCell ref="AQ20:AT20"/>
    <mergeCell ref="P5:Q6"/>
    <mergeCell ref="AE5:AE7"/>
    <mergeCell ref="AE10:AE12"/>
    <mergeCell ref="U5:U6"/>
    <mergeCell ref="S4:S5"/>
    <mergeCell ref="R5:R6"/>
    <mergeCell ref="T4:T5"/>
    <mergeCell ref="AB4:AC4"/>
    <mergeCell ref="V5:V6"/>
    <mergeCell ref="W5:W6"/>
    <mergeCell ref="B63:B64"/>
    <mergeCell ref="C63:C64"/>
    <mergeCell ref="D63:D64"/>
    <mergeCell ref="E63:E64"/>
    <mergeCell ref="F63:F64"/>
    <mergeCell ref="S49:T49"/>
    <mergeCell ref="S50:T50"/>
    <mergeCell ref="S48:T48"/>
    <mergeCell ref="Z46:AA46"/>
    <mergeCell ref="B5:B6"/>
    <mergeCell ref="B20:D20"/>
    <mergeCell ref="I5:J6"/>
    <mergeCell ref="M5:M6"/>
  </mergeCells>
  <conditionalFormatting sqref="AE23:AE44 Q56:S56 S50:S55">
    <cfRule type="cellIs" dxfId="3351" priority="6" stopIfTrue="1" operator="lessThan">
      <formula>0</formula>
    </cfRule>
  </conditionalFormatting>
  <conditionalFormatting sqref="AE13:AE14">
    <cfRule type="containsText" dxfId="3350" priority="364" stopIfTrue="1" operator="containsText" text="חריגה">
      <formula>NOT(ISERROR(SEARCH("חריגה",AE13)))</formula>
    </cfRule>
  </conditionalFormatting>
  <conditionalFormatting sqref="AI23:AI44">
    <cfRule type="cellIs" dxfId="3349" priority="363" stopIfTrue="1" operator="equal">
      <formula>1</formula>
    </cfRule>
  </conditionalFormatting>
  <conditionalFormatting sqref="E20:F20 E42:F42">
    <cfRule type="containsText" dxfId="3348" priority="362" stopIfTrue="1" operator="containsText" text="חיובי">
      <formula>NOT(ISERROR(SEARCH("חיובי",E20)))</formula>
    </cfRule>
  </conditionalFormatting>
  <conditionalFormatting sqref="W46 K54:M54 K58:M58 D19 C41">
    <cfRule type="cellIs" dxfId="3347" priority="361" stopIfTrue="1" operator="lessThan">
      <formula>0</formula>
    </cfRule>
  </conditionalFormatting>
  <conditionalFormatting sqref="D45">
    <cfRule type="cellIs" dxfId="3346" priority="382" stopIfTrue="1" operator="greaterThan">
      <formula>$C$45</formula>
    </cfRule>
  </conditionalFormatting>
  <conditionalFormatting sqref="D46">
    <cfRule type="cellIs" dxfId="3345" priority="383" stopIfTrue="1" operator="greaterThan">
      <formula>$C$46</formula>
    </cfRule>
  </conditionalFormatting>
  <conditionalFormatting sqref="D47">
    <cfRule type="cellIs" dxfId="3344" priority="384" stopIfTrue="1" operator="greaterThan">
      <formula>$C$47</formula>
    </cfRule>
  </conditionalFormatting>
  <conditionalFormatting sqref="D48">
    <cfRule type="cellIs" dxfId="3343" priority="385" stopIfTrue="1" operator="greaterThan">
      <formula>$C$48</formula>
    </cfRule>
  </conditionalFormatting>
  <conditionalFormatting sqref="D49">
    <cfRule type="cellIs" dxfId="3342" priority="386" stopIfTrue="1" operator="greaterThan">
      <formula>$C$49</formula>
    </cfRule>
  </conditionalFormatting>
  <conditionalFormatting sqref="D50">
    <cfRule type="cellIs" dxfId="3341" priority="387" stopIfTrue="1" operator="greaterThan">
      <formula>$C$50</formula>
    </cfRule>
  </conditionalFormatting>
  <conditionalFormatting sqref="D51">
    <cfRule type="cellIs" dxfId="3340" priority="388" stopIfTrue="1" operator="greaterThan">
      <formula>$C$51</formula>
    </cfRule>
  </conditionalFormatting>
  <conditionalFormatting sqref="D52">
    <cfRule type="cellIs" dxfId="3339" priority="389" stopIfTrue="1" operator="greaterThan">
      <formula>$C$52</formula>
    </cfRule>
  </conditionalFormatting>
  <conditionalFormatting sqref="D53">
    <cfRule type="cellIs" dxfId="3338" priority="390" stopIfTrue="1" operator="greaterThan">
      <formula>$C$53</formula>
    </cfRule>
  </conditionalFormatting>
  <conditionalFormatting sqref="D54">
    <cfRule type="cellIs" dxfId="3337" priority="391" stopIfTrue="1" operator="greaterThan">
      <formula>$C$54</formula>
    </cfRule>
  </conditionalFormatting>
  <conditionalFormatting sqref="D55">
    <cfRule type="cellIs" dxfId="3336" priority="392" stopIfTrue="1" operator="greaterThan">
      <formula>$C$55</formula>
    </cfRule>
  </conditionalFormatting>
  <conditionalFormatting sqref="D56">
    <cfRule type="cellIs" dxfId="3335" priority="393" stopIfTrue="1" operator="greaterThan">
      <formula>$C$56</formula>
    </cfRule>
  </conditionalFormatting>
  <conditionalFormatting sqref="C7">
    <cfRule type="expression" dxfId="3334" priority="357" stopIfTrue="1">
      <formula>AND(C7&lt;&gt;0, NOT(ISTEXT(B7)))</formula>
    </cfRule>
    <cfRule type="cellIs" dxfId="3333" priority="358" stopIfTrue="1" operator="lessThan">
      <formula>0</formula>
    </cfRule>
  </conditionalFormatting>
  <conditionalFormatting sqref="C8">
    <cfRule type="expression" dxfId="3332" priority="355" stopIfTrue="1">
      <formula>AND(C8&lt;&gt;0, NOT(ISTEXT(B8)))</formula>
    </cfRule>
    <cfRule type="cellIs" dxfId="3331" priority="356" stopIfTrue="1" operator="lessThan">
      <formula>0</formula>
    </cfRule>
  </conditionalFormatting>
  <conditionalFormatting sqref="C9">
    <cfRule type="expression" dxfId="3330" priority="353" stopIfTrue="1">
      <formula>AND(C9&lt;&gt;0, NOT(ISTEXT(B9)))</formula>
    </cfRule>
    <cfRule type="cellIs" dxfId="3329" priority="354" stopIfTrue="1" operator="lessThan">
      <formula>0</formula>
    </cfRule>
  </conditionalFormatting>
  <conditionalFormatting sqref="C10">
    <cfRule type="expression" dxfId="3328" priority="351" stopIfTrue="1">
      <formula>AND(C10&lt;&gt;0, NOT(ISTEXT(B10)))</formula>
    </cfRule>
    <cfRule type="cellIs" dxfId="3327" priority="352" stopIfTrue="1" operator="lessThan">
      <formula>0</formula>
    </cfRule>
  </conditionalFormatting>
  <conditionalFormatting sqref="C11">
    <cfRule type="expression" dxfId="3326" priority="349" stopIfTrue="1">
      <formula>AND(C11&lt;&gt;0, NOT(ISTEXT(B11)))</formula>
    </cfRule>
    <cfRule type="cellIs" dxfId="3325" priority="350" stopIfTrue="1" operator="lessThan">
      <formula>0</formula>
    </cfRule>
  </conditionalFormatting>
  <conditionalFormatting sqref="C12">
    <cfRule type="expression" dxfId="3324" priority="347" stopIfTrue="1">
      <formula>AND(C12&lt;&gt;0, NOT(ISTEXT(B12)))</formula>
    </cfRule>
    <cfRule type="cellIs" dxfId="3323" priority="348" stopIfTrue="1" operator="lessThan">
      <formula>0</formula>
    </cfRule>
  </conditionalFormatting>
  <conditionalFormatting sqref="C13">
    <cfRule type="expression" dxfId="3322" priority="345" stopIfTrue="1">
      <formula>AND(C13&lt;&gt;0, NOT(ISTEXT(B13)))</formula>
    </cfRule>
    <cfRule type="cellIs" dxfId="3321" priority="346" stopIfTrue="1" operator="lessThan">
      <formula>0</formula>
    </cfRule>
  </conditionalFormatting>
  <conditionalFormatting sqref="C14">
    <cfRule type="expression" dxfId="3320" priority="343" stopIfTrue="1">
      <formula>AND(C14&lt;&gt;0, NOT(ISTEXT(B14)))</formula>
    </cfRule>
    <cfRule type="cellIs" dxfId="3319" priority="344" stopIfTrue="1" operator="lessThan">
      <formula>0</formula>
    </cfRule>
  </conditionalFormatting>
  <conditionalFormatting sqref="C15">
    <cfRule type="expression" dxfId="3318" priority="341" stopIfTrue="1">
      <formula>AND(C15&lt;&gt;0, NOT(ISTEXT(B15)))</formula>
    </cfRule>
    <cfRule type="cellIs" dxfId="3317" priority="342" stopIfTrue="1" operator="lessThan">
      <formula>0</formula>
    </cfRule>
  </conditionalFormatting>
  <conditionalFormatting sqref="C16">
    <cfRule type="expression" dxfId="3316" priority="339" stopIfTrue="1">
      <formula>AND(C16&lt;&gt;0, NOT(ISTEXT(B16)))</formula>
    </cfRule>
    <cfRule type="cellIs" dxfId="3315" priority="340" stopIfTrue="1" operator="lessThan">
      <formula>0</formula>
    </cfRule>
  </conditionalFormatting>
  <conditionalFormatting sqref="C17">
    <cfRule type="expression" dxfId="3314" priority="337" stopIfTrue="1">
      <formula>AND(C17&lt;&gt;0, NOT(ISTEXT(B17)))</formula>
    </cfRule>
    <cfRule type="cellIs" dxfId="3313" priority="338" stopIfTrue="1" operator="lessThan">
      <formula>0</formula>
    </cfRule>
  </conditionalFormatting>
  <conditionalFormatting sqref="C27">
    <cfRule type="expression" dxfId="3312" priority="335" stopIfTrue="1">
      <formula>AND(C27&lt;&gt;0, NOT(ISTEXT(B27)))</formula>
    </cfRule>
    <cfRule type="cellIs" dxfId="3311" priority="336" stopIfTrue="1" operator="lessThan">
      <formula>0</formula>
    </cfRule>
  </conditionalFormatting>
  <conditionalFormatting sqref="C39">
    <cfRule type="expression" dxfId="3310" priority="333" stopIfTrue="1">
      <formula>AND(C39&lt;&gt;0, NOT(ISTEXT(B39)))</formula>
    </cfRule>
    <cfRule type="cellIs" dxfId="3309" priority="334" stopIfTrue="1" operator="lessThan">
      <formula>0</formula>
    </cfRule>
  </conditionalFormatting>
  <conditionalFormatting sqref="C28">
    <cfRule type="expression" dxfId="3308" priority="331" stopIfTrue="1">
      <formula>AND(C28&lt;&gt;0, NOT(ISTEXT(B28)))</formula>
    </cfRule>
    <cfRule type="cellIs" dxfId="3307" priority="332" stopIfTrue="1" operator="lessThan">
      <formula>0</formula>
    </cfRule>
  </conditionalFormatting>
  <conditionalFormatting sqref="C29">
    <cfRule type="expression" dxfId="3306" priority="329" stopIfTrue="1">
      <formula>AND(C29&lt;&gt;0, NOT(ISTEXT(B29)))</formula>
    </cfRule>
    <cfRule type="cellIs" dxfId="3305" priority="330" stopIfTrue="1" operator="lessThan">
      <formula>0</formula>
    </cfRule>
  </conditionalFormatting>
  <conditionalFormatting sqref="C30">
    <cfRule type="expression" dxfId="3304" priority="327" stopIfTrue="1">
      <formula>AND(C30&lt;&gt;0, NOT(ISTEXT(B30)))</formula>
    </cfRule>
    <cfRule type="cellIs" dxfId="3303" priority="328" stopIfTrue="1" operator="lessThan">
      <formula>0</formula>
    </cfRule>
  </conditionalFormatting>
  <conditionalFormatting sqref="C31">
    <cfRule type="expression" dxfId="3302" priority="325" stopIfTrue="1">
      <formula>AND(C31&lt;&gt;0, NOT(ISTEXT(B31)))</formula>
    </cfRule>
    <cfRule type="cellIs" dxfId="3301" priority="326" stopIfTrue="1" operator="lessThan">
      <formula>0</formula>
    </cfRule>
  </conditionalFormatting>
  <conditionalFormatting sqref="C32">
    <cfRule type="expression" dxfId="3300" priority="323" stopIfTrue="1">
      <formula>AND(C32&lt;&gt;0, NOT(ISTEXT(B32)))</formula>
    </cfRule>
    <cfRule type="cellIs" dxfId="3299" priority="324" stopIfTrue="1" operator="lessThan">
      <formula>0</formula>
    </cfRule>
  </conditionalFormatting>
  <conditionalFormatting sqref="C33">
    <cfRule type="expression" dxfId="3298" priority="321" stopIfTrue="1">
      <formula>AND(C33&lt;&gt;0, NOT(ISTEXT(B33)))</formula>
    </cfRule>
    <cfRule type="cellIs" dxfId="3297" priority="322" stopIfTrue="1" operator="lessThan">
      <formula>0</formula>
    </cfRule>
  </conditionalFormatting>
  <conditionalFormatting sqref="C34">
    <cfRule type="expression" dxfId="3296" priority="319" stopIfTrue="1">
      <formula>AND(C34&lt;&gt;0, NOT(ISTEXT(B34)))</formula>
    </cfRule>
    <cfRule type="cellIs" dxfId="3295" priority="320" stopIfTrue="1" operator="lessThan">
      <formula>0</formula>
    </cfRule>
  </conditionalFormatting>
  <conditionalFormatting sqref="C35">
    <cfRule type="expression" dxfId="3294" priority="317" stopIfTrue="1">
      <formula>AND(C35&lt;&gt;0, NOT(ISTEXT(B35)))</formula>
    </cfRule>
    <cfRule type="cellIs" dxfId="3293" priority="318" stopIfTrue="1" operator="lessThan">
      <formula>0</formula>
    </cfRule>
  </conditionalFormatting>
  <conditionalFormatting sqref="C36">
    <cfRule type="expression" dxfId="3292" priority="315" stopIfTrue="1">
      <formula>AND(C36&lt;&gt;0, NOT(ISTEXT(B36)))</formula>
    </cfRule>
    <cfRule type="cellIs" dxfId="3291" priority="316" stopIfTrue="1" operator="lessThan">
      <formula>0</formula>
    </cfRule>
  </conditionalFormatting>
  <conditionalFormatting sqref="C37">
    <cfRule type="expression" dxfId="3290" priority="313" stopIfTrue="1">
      <formula>AND(C37&lt;&gt;0, NOT(ISTEXT(B37)))</formula>
    </cfRule>
    <cfRule type="cellIs" dxfId="3289" priority="314" stopIfTrue="1" operator="lessThan">
      <formula>0</formula>
    </cfRule>
  </conditionalFormatting>
  <conditionalFormatting sqref="C38">
    <cfRule type="expression" dxfId="3288" priority="311" stopIfTrue="1">
      <formula>AND(C38&lt;&gt;0, NOT(ISTEXT(B38)))</formula>
    </cfRule>
    <cfRule type="cellIs" dxfId="3287" priority="312" stopIfTrue="1" operator="lessThan">
      <formula>0</formula>
    </cfRule>
  </conditionalFormatting>
  <conditionalFormatting sqref="C45">
    <cfRule type="expression" dxfId="3286" priority="309" stopIfTrue="1">
      <formula>AND(C45&lt;&gt;0, NOT(ISTEXT(B45)))</formula>
    </cfRule>
    <cfRule type="cellIs" dxfId="3285" priority="310" stopIfTrue="1" operator="lessThan">
      <formula>0</formula>
    </cfRule>
  </conditionalFormatting>
  <conditionalFormatting sqref="C56">
    <cfRule type="expression" dxfId="3284" priority="307" stopIfTrue="1">
      <formula>AND(C56&lt;&gt;0, NOT(ISTEXT(B56)))</formula>
    </cfRule>
    <cfRule type="cellIs" dxfId="3283" priority="308" stopIfTrue="1" operator="lessThan">
      <formula>0</formula>
    </cfRule>
  </conditionalFormatting>
  <conditionalFormatting sqref="C46">
    <cfRule type="expression" dxfId="3282" priority="305" stopIfTrue="1">
      <formula>AND(C46&lt;&gt;0, NOT(ISTEXT(B46)))</formula>
    </cfRule>
    <cfRule type="cellIs" dxfId="3281" priority="306" stopIfTrue="1" operator="lessThan">
      <formula>0</formula>
    </cfRule>
  </conditionalFormatting>
  <conditionalFormatting sqref="C47">
    <cfRule type="expression" dxfId="3280" priority="303" stopIfTrue="1">
      <formula>AND(C47&lt;&gt;0, NOT(ISTEXT(B47)))</formula>
    </cfRule>
    <cfRule type="cellIs" dxfId="3279" priority="304" stopIfTrue="1" operator="lessThan">
      <formula>0</formula>
    </cfRule>
  </conditionalFormatting>
  <conditionalFormatting sqref="C48">
    <cfRule type="expression" dxfId="3278" priority="301" stopIfTrue="1">
      <formula>AND(C48&lt;&gt;0, NOT(ISTEXT(B48)))</formula>
    </cfRule>
    <cfRule type="cellIs" dxfId="3277" priority="302" stopIfTrue="1" operator="lessThan">
      <formula>0</formula>
    </cfRule>
  </conditionalFormatting>
  <conditionalFormatting sqref="C49">
    <cfRule type="expression" dxfId="3276" priority="299" stopIfTrue="1">
      <formula>AND(C49&lt;&gt;0, NOT(ISTEXT(B49)))</formula>
    </cfRule>
    <cfRule type="cellIs" dxfId="3275" priority="300" stopIfTrue="1" operator="lessThan">
      <formula>0</formula>
    </cfRule>
  </conditionalFormatting>
  <conditionalFormatting sqref="C50">
    <cfRule type="expression" dxfId="3274" priority="297" stopIfTrue="1">
      <formula>AND(C50&lt;&gt;0, NOT(ISTEXT(B50)))</formula>
    </cfRule>
    <cfRule type="cellIs" dxfId="3273" priority="298" stopIfTrue="1" operator="lessThan">
      <formula>0</formula>
    </cfRule>
  </conditionalFormatting>
  <conditionalFormatting sqref="C51">
    <cfRule type="expression" dxfId="3272" priority="295" stopIfTrue="1">
      <formula>AND(C51&lt;&gt;0, NOT(ISTEXT(B51)))</formula>
    </cfRule>
    <cfRule type="cellIs" dxfId="3271" priority="296" stopIfTrue="1" operator="lessThan">
      <formula>0</formula>
    </cfRule>
  </conditionalFormatting>
  <conditionalFormatting sqref="C52">
    <cfRule type="expression" dxfId="3270" priority="293" stopIfTrue="1">
      <formula>AND(C52&lt;&gt;0, NOT(ISTEXT(B52)))</formula>
    </cfRule>
    <cfRule type="cellIs" dxfId="3269" priority="294" stopIfTrue="1" operator="lessThan">
      <formula>0</formula>
    </cfRule>
  </conditionalFormatting>
  <conditionalFormatting sqref="C53">
    <cfRule type="expression" dxfId="3268" priority="291" stopIfTrue="1">
      <formula>AND(C53&lt;&gt;0, NOT(ISTEXT(B53)))</formula>
    </cfRule>
    <cfRule type="cellIs" dxfId="3267" priority="292" stopIfTrue="1" operator="lessThan">
      <formula>0</formula>
    </cfRule>
  </conditionalFormatting>
  <conditionalFormatting sqref="C54">
    <cfRule type="expression" dxfId="3266" priority="289" stopIfTrue="1">
      <formula>AND(C54&lt;&gt;0, NOT(ISTEXT(B54)))</formula>
    </cfRule>
    <cfRule type="cellIs" dxfId="3265" priority="290" stopIfTrue="1" operator="lessThan">
      <formula>0</formula>
    </cfRule>
  </conditionalFormatting>
  <conditionalFormatting sqref="C55">
    <cfRule type="expression" dxfId="3264" priority="287" stopIfTrue="1">
      <formula>AND(C55&lt;&gt;0, NOT(ISTEXT(B55)))</formula>
    </cfRule>
    <cfRule type="cellIs" dxfId="3263" priority="288" stopIfTrue="1" operator="lessThan">
      <formula>0</formula>
    </cfRule>
  </conditionalFormatting>
  <conditionalFormatting sqref="Z6">
    <cfRule type="expression" dxfId="3262" priority="285" stopIfTrue="1">
      <formula>AND(Z6&lt;&gt;0, NOT(ISTEXT(Y6)))</formula>
    </cfRule>
    <cfRule type="cellIs" dxfId="3261" priority="286" stopIfTrue="1" operator="lessThan">
      <formula>0</formula>
    </cfRule>
  </conditionalFormatting>
  <conditionalFormatting sqref="Z16">
    <cfRule type="expression" dxfId="3260" priority="283" stopIfTrue="1">
      <formula>AND(Z16&lt;&gt;0, NOT(ISTEXT(Y16)))</formula>
    </cfRule>
    <cfRule type="cellIs" dxfId="3259" priority="284" stopIfTrue="1" operator="lessThan">
      <formula>0</formula>
    </cfRule>
  </conditionalFormatting>
  <conditionalFormatting sqref="Z7">
    <cfRule type="expression" dxfId="3258" priority="281" stopIfTrue="1">
      <formula>AND(Z7&lt;&gt;0, NOT(ISTEXT(Y7)))</formula>
    </cfRule>
    <cfRule type="cellIs" dxfId="3257" priority="282" stopIfTrue="1" operator="lessThan">
      <formula>0</formula>
    </cfRule>
  </conditionalFormatting>
  <conditionalFormatting sqref="Z8">
    <cfRule type="expression" dxfId="3256" priority="279" stopIfTrue="1">
      <formula>AND(Z8&lt;&gt;0, NOT(ISTEXT(Y8)))</formula>
    </cfRule>
    <cfRule type="cellIs" dxfId="3255" priority="280" stopIfTrue="1" operator="lessThan">
      <formula>0</formula>
    </cfRule>
  </conditionalFormatting>
  <conditionalFormatting sqref="Z9">
    <cfRule type="expression" dxfId="3254" priority="277" stopIfTrue="1">
      <formula>AND(Z9&lt;&gt;0, NOT(ISTEXT(Y9)))</formula>
    </cfRule>
    <cfRule type="cellIs" dxfId="3253" priority="278" stopIfTrue="1" operator="lessThan">
      <formula>0</formula>
    </cfRule>
  </conditionalFormatting>
  <conditionalFormatting sqref="Z10">
    <cfRule type="expression" dxfId="3252" priority="275" stopIfTrue="1">
      <formula>AND(Z10&lt;&gt;0, NOT(ISTEXT(Y10)))</formula>
    </cfRule>
    <cfRule type="cellIs" dxfId="3251" priority="276" stopIfTrue="1" operator="lessThan">
      <formula>0</formula>
    </cfRule>
  </conditionalFormatting>
  <conditionalFormatting sqref="Z11">
    <cfRule type="expression" dxfId="3250" priority="273" stopIfTrue="1">
      <formula>AND(Z11&lt;&gt;0, NOT(ISTEXT(Y11)))</formula>
    </cfRule>
    <cfRule type="cellIs" dxfId="3249" priority="274" stopIfTrue="1" operator="lessThan">
      <formula>0</formula>
    </cfRule>
  </conditionalFormatting>
  <conditionalFormatting sqref="Z12">
    <cfRule type="expression" dxfId="3248" priority="271" stopIfTrue="1">
      <formula>AND(Z12&lt;&gt;0, NOT(ISTEXT(Y12)))</formula>
    </cfRule>
    <cfRule type="cellIs" dxfId="3247" priority="272" stopIfTrue="1" operator="lessThan">
      <formula>0</formula>
    </cfRule>
  </conditionalFormatting>
  <conditionalFormatting sqref="Z13">
    <cfRule type="expression" dxfId="3246" priority="269" stopIfTrue="1">
      <formula>AND(Z13&lt;&gt;0, NOT(ISTEXT(Y13)))</formula>
    </cfRule>
    <cfRule type="cellIs" dxfId="3245" priority="270" stopIfTrue="1" operator="lessThan">
      <formula>0</formula>
    </cfRule>
  </conditionalFormatting>
  <conditionalFormatting sqref="Z14">
    <cfRule type="expression" dxfId="3244" priority="267" stopIfTrue="1">
      <formula>AND(Z14&lt;&gt;0, NOT(ISTEXT(Y14)))</formula>
    </cfRule>
    <cfRule type="cellIs" dxfId="3243" priority="268" stopIfTrue="1" operator="lessThan">
      <formula>0</formula>
    </cfRule>
  </conditionalFormatting>
  <conditionalFormatting sqref="Z15">
    <cfRule type="expression" dxfId="3242" priority="265" stopIfTrue="1">
      <formula>AND(Z15&lt;&gt;0, NOT(ISTEXT(Y15)))</formula>
    </cfRule>
    <cfRule type="cellIs" dxfId="3241" priority="266" stopIfTrue="1" operator="lessThan">
      <formula>0</formula>
    </cfRule>
  </conditionalFormatting>
  <conditionalFormatting sqref="Z23">
    <cfRule type="expression" dxfId="3240" priority="263" stopIfTrue="1">
      <formula>AND(Z23&lt;&gt;0, NOT(ISTEXT(Y23)))</formula>
    </cfRule>
    <cfRule type="cellIs" dxfId="3239" priority="264" stopIfTrue="1" operator="lessThan">
      <formula>0</formula>
    </cfRule>
  </conditionalFormatting>
  <conditionalFormatting sqref="Z44">
    <cfRule type="expression" dxfId="3238" priority="261" stopIfTrue="1">
      <formula>AND(Z44&lt;&gt;0, NOT(ISTEXT(Y44)))</formula>
    </cfRule>
    <cfRule type="cellIs" dxfId="3237" priority="262" stopIfTrue="1" operator="lessThan">
      <formula>0</formula>
    </cfRule>
  </conditionalFormatting>
  <conditionalFormatting sqref="Z24">
    <cfRule type="expression" dxfId="3236" priority="259" stopIfTrue="1">
      <formula>AND(Z24&lt;&gt;0, NOT(ISTEXT(Y24)))</formula>
    </cfRule>
    <cfRule type="cellIs" dxfId="3235" priority="260" stopIfTrue="1" operator="lessThan">
      <formula>0</formula>
    </cfRule>
  </conditionalFormatting>
  <conditionalFormatting sqref="Z25">
    <cfRule type="expression" dxfId="3234" priority="257" stopIfTrue="1">
      <formula>AND(Z25&lt;&gt;0, NOT(ISTEXT(Y25)))</formula>
    </cfRule>
    <cfRule type="cellIs" dxfId="3233" priority="258" stopIfTrue="1" operator="lessThan">
      <formula>0</formula>
    </cfRule>
  </conditionalFormatting>
  <conditionalFormatting sqref="Z26">
    <cfRule type="expression" dxfId="3232" priority="255" stopIfTrue="1">
      <formula>AND(Z26&lt;&gt;0, NOT(ISTEXT(Y26)))</formula>
    </cfRule>
    <cfRule type="cellIs" dxfId="3231" priority="256" stopIfTrue="1" operator="lessThan">
      <formula>0</formula>
    </cfRule>
  </conditionalFormatting>
  <conditionalFormatting sqref="Z27">
    <cfRule type="expression" dxfId="3230" priority="253" stopIfTrue="1">
      <formula>AND(Z27&lt;&gt;0, NOT(ISTEXT(Y27)))</formula>
    </cfRule>
    <cfRule type="cellIs" dxfId="3229" priority="254" stopIfTrue="1" operator="lessThan">
      <formula>0</formula>
    </cfRule>
  </conditionalFormatting>
  <conditionalFormatting sqref="Z28">
    <cfRule type="expression" dxfId="3228" priority="251" stopIfTrue="1">
      <formula>AND(Z28&lt;&gt;0, NOT(ISTEXT(Y28)))</formula>
    </cfRule>
    <cfRule type="cellIs" dxfId="3227" priority="252" stopIfTrue="1" operator="lessThan">
      <formula>0</formula>
    </cfRule>
  </conditionalFormatting>
  <conditionalFormatting sqref="Z29">
    <cfRule type="expression" dxfId="3226" priority="249" stopIfTrue="1">
      <formula>AND(Z29&lt;&gt;0, NOT(ISTEXT(Y29)))</formula>
    </cfRule>
    <cfRule type="cellIs" dxfId="3225" priority="250" stopIfTrue="1" operator="lessThan">
      <formula>0</formula>
    </cfRule>
  </conditionalFormatting>
  <conditionalFormatting sqref="Z30">
    <cfRule type="expression" dxfId="3224" priority="247" stopIfTrue="1">
      <formula>AND(Z30&lt;&gt;0, NOT(ISTEXT(Y30)))</formula>
    </cfRule>
    <cfRule type="cellIs" dxfId="3223" priority="248" stopIfTrue="1" operator="lessThan">
      <formula>0</formula>
    </cfRule>
  </conditionalFormatting>
  <conditionalFormatting sqref="Z31">
    <cfRule type="expression" dxfId="3222" priority="245" stopIfTrue="1">
      <formula>AND(Z31&lt;&gt;0, NOT(ISTEXT(Y31)))</formula>
    </cfRule>
    <cfRule type="cellIs" dxfId="3221" priority="246" stopIfTrue="1" operator="lessThan">
      <formula>0</formula>
    </cfRule>
  </conditionalFormatting>
  <conditionalFormatting sqref="Z32">
    <cfRule type="expression" dxfId="3220" priority="243" stopIfTrue="1">
      <formula>AND(Z32&lt;&gt;0, NOT(ISTEXT(Y32)))</formula>
    </cfRule>
    <cfRule type="cellIs" dxfId="3219" priority="244" stopIfTrue="1" operator="lessThan">
      <formula>0</formula>
    </cfRule>
  </conditionalFormatting>
  <conditionalFormatting sqref="Z33">
    <cfRule type="expression" dxfId="3218" priority="241" stopIfTrue="1">
      <formula>AND(Z33&lt;&gt;0, NOT(ISTEXT(Y33)))</formula>
    </cfRule>
    <cfRule type="cellIs" dxfId="3217" priority="242" stopIfTrue="1" operator="lessThan">
      <formula>0</formula>
    </cfRule>
  </conditionalFormatting>
  <conditionalFormatting sqref="Z34">
    <cfRule type="expression" dxfId="3216" priority="239" stopIfTrue="1">
      <formula>AND(Z34&lt;&gt;0, NOT(ISTEXT(Y34)))</formula>
    </cfRule>
    <cfRule type="cellIs" dxfId="3215" priority="240" stopIfTrue="1" operator="lessThan">
      <formula>0</formula>
    </cfRule>
  </conditionalFormatting>
  <conditionalFormatting sqref="Z35">
    <cfRule type="expression" dxfId="3214" priority="237" stopIfTrue="1">
      <formula>AND(Z35&lt;&gt;0, NOT(ISTEXT(Y35)))</formula>
    </cfRule>
    <cfRule type="cellIs" dxfId="3213" priority="238" stopIfTrue="1" operator="lessThan">
      <formula>0</formula>
    </cfRule>
  </conditionalFormatting>
  <conditionalFormatting sqref="Z36">
    <cfRule type="expression" dxfId="3212" priority="235" stopIfTrue="1">
      <formula>AND(Z36&lt;&gt;0, NOT(ISTEXT(Y36)))</formula>
    </cfRule>
    <cfRule type="cellIs" dxfId="3211" priority="236" stopIfTrue="1" operator="lessThan">
      <formula>0</formula>
    </cfRule>
  </conditionalFormatting>
  <conditionalFormatting sqref="Z37">
    <cfRule type="expression" dxfId="3210" priority="233" stopIfTrue="1">
      <formula>AND(Z37&lt;&gt;0, NOT(ISTEXT(Y37)))</formula>
    </cfRule>
    <cfRule type="cellIs" dxfId="3209" priority="234" stopIfTrue="1" operator="lessThan">
      <formula>0</formula>
    </cfRule>
  </conditionalFormatting>
  <conditionalFormatting sqref="Z38">
    <cfRule type="expression" dxfId="3208" priority="231" stopIfTrue="1">
      <formula>AND(Z38&lt;&gt;0, NOT(ISTEXT(Y38)))</formula>
    </cfRule>
    <cfRule type="cellIs" dxfId="3207" priority="232" stopIfTrue="1" operator="lessThan">
      <formula>0</formula>
    </cfRule>
  </conditionalFormatting>
  <conditionalFormatting sqref="Z39">
    <cfRule type="expression" dxfId="3206" priority="229" stopIfTrue="1">
      <formula>AND(Z39&lt;&gt;0, NOT(ISTEXT(Y39)))</formula>
    </cfRule>
    <cfRule type="cellIs" dxfId="3205" priority="230" stopIfTrue="1" operator="lessThan">
      <formula>0</formula>
    </cfRule>
  </conditionalFormatting>
  <conditionalFormatting sqref="Z40">
    <cfRule type="expression" dxfId="3204" priority="227" stopIfTrue="1">
      <formula>AND(Z40&lt;&gt;0, NOT(ISTEXT(Y40)))</formula>
    </cfRule>
    <cfRule type="cellIs" dxfId="3203" priority="228" stopIfTrue="1" operator="lessThan">
      <formula>0</formula>
    </cfRule>
  </conditionalFormatting>
  <conditionalFormatting sqref="Z41">
    <cfRule type="expression" dxfId="3202" priority="225" stopIfTrue="1">
      <formula>AND(Z41&lt;&gt;0, NOT(ISTEXT(Y41)))</formula>
    </cfRule>
    <cfRule type="cellIs" dxfId="3201" priority="226" stopIfTrue="1" operator="lessThan">
      <formula>0</formula>
    </cfRule>
  </conditionalFormatting>
  <conditionalFormatting sqref="Z42">
    <cfRule type="expression" dxfId="3200" priority="223" stopIfTrue="1">
      <formula>AND(Z42&lt;&gt;0, NOT(ISTEXT(Y42)))</formula>
    </cfRule>
    <cfRule type="cellIs" dxfId="3199" priority="224" stopIfTrue="1" operator="lessThan">
      <formula>0</formula>
    </cfRule>
  </conditionalFormatting>
  <conditionalFormatting sqref="Z43">
    <cfRule type="expression" dxfId="3198" priority="221" stopIfTrue="1">
      <formula>AND(Z43&lt;&gt;0, NOT(ISTEXT(Y43)))</formula>
    </cfRule>
    <cfRule type="cellIs" dxfId="3197" priority="222" stopIfTrue="1" operator="lessThan">
      <formula>0</formula>
    </cfRule>
  </conditionalFormatting>
  <conditionalFormatting sqref="N53:O54">
    <cfRule type="containsText" dxfId="3196" priority="219" stopIfTrue="1" operator="containsText" text="הפרש">
      <formula>NOT(ISERROR(SEARCH("הפרש",N53)))</formula>
    </cfRule>
  </conditionalFormatting>
  <conditionalFormatting sqref="Z23:Z44 Q64:Q110 Q7:Q45 J7:J53 D27:D39 C45:C56 J64:J110 D65:D86 C7:D17 Z6:AA16">
    <cfRule type="expression" dxfId="3195" priority="217" stopIfTrue="1">
      <formula>ISTEXT(C6)</formula>
    </cfRule>
  </conditionalFormatting>
  <conditionalFormatting sqref="C7">
    <cfRule type="expression" dxfId="3194" priority="215" stopIfTrue="1">
      <formula>AND(C7&lt;&gt;0, NOT(ISTEXT(B7)))</formula>
    </cfRule>
    <cfRule type="cellIs" dxfId="3193" priority="216" stopIfTrue="1" operator="lessThan">
      <formula>0</formula>
    </cfRule>
  </conditionalFormatting>
  <conditionalFormatting sqref="C8">
    <cfRule type="expression" dxfId="3192" priority="213" stopIfTrue="1">
      <formula>AND(C8&lt;&gt;0, NOT(ISTEXT(B8)))</formula>
    </cfRule>
    <cfRule type="cellIs" dxfId="3191" priority="214" stopIfTrue="1" operator="lessThan">
      <formula>0</formula>
    </cfRule>
  </conditionalFormatting>
  <conditionalFormatting sqref="C9">
    <cfRule type="expression" dxfId="3190" priority="211" stopIfTrue="1">
      <formula>AND(C9&lt;&gt;0, NOT(ISTEXT(B9)))</formula>
    </cfRule>
    <cfRule type="cellIs" dxfId="3189" priority="212" stopIfTrue="1" operator="lessThan">
      <formula>0</formula>
    </cfRule>
  </conditionalFormatting>
  <conditionalFormatting sqref="C10">
    <cfRule type="expression" dxfId="3188" priority="209" stopIfTrue="1">
      <formula>AND(C10&lt;&gt;0, NOT(ISTEXT(B10)))</formula>
    </cfRule>
    <cfRule type="cellIs" dxfId="3187" priority="210" stopIfTrue="1" operator="lessThan">
      <formula>0</formula>
    </cfRule>
  </conditionalFormatting>
  <conditionalFormatting sqref="C11">
    <cfRule type="expression" dxfId="3186" priority="207" stopIfTrue="1">
      <formula>AND(C11&lt;&gt;0, NOT(ISTEXT(B11)))</formula>
    </cfRule>
    <cfRule type="cellIs" dxfId="3185" priority="208" stopIfTrue="1" operator="lessThan">
      <formula>0</formula>
    </cfRule>
  </conditionalFormatting>
  <conditionalFormatting sqref="C12">
    <cfRule type="expression" dxfId="3184" priority="205" stopIfTrue="1">
      <formula>AND(C12&lt;&gt;0, NOT(ISTEXT(B12)))</formula>
    </cfRule>
    <cfRule type="cellIs" dxfId="3183" priority="206" stopIfTrue="1" operator="lessThan">
      <formula>0</formula>
    </cfRule>
  </conditionalFormatting>
  <conditionalFormatting sqref="C13">
    <cfRule type="expression" dxfId="3182" priority="203" stopIfTrue="1">
      <formula>AND(C13&lt;&gt;0, NOT(ISTEXT(B13)))</formula>
    </cfRule>
    <cfRule type="cellIs" dxfId="3181" priority="204" stopIfTrue="1" operator="lessThan">
      <formula>0</formula>
    </cfRule>
  </conditionalFormatting>
  <conditionalFormatting sqref="C14">
    <cfRule type="expression" dxfId="3180" priority="201" stopIfTrue="1">
      <formula>AND(C14&lt;&gt;0, NOT(ISTEXT(B14)))</formula>
    </cfRule>
    <cfRule type="cellIs" dxfId="3179" priority="202" stopIfTrue="1" operator="lessThan">
      <formula>0</formula>
    </cfRule>
  </conditionalFormatting>
  <conditionalFormatting sqref="C15">
    <cfRule type="expression" dxfId="3178" priority="199" stopIfTrue="1">
      <formula>AND(C15&lt;&gt;0, NOT(ISTEXT(B15)))</formula>
    </cfRule>
    <cfRule type="cellIs" dxfId="3177" priority="200" stopIfTrue="1" operator="lessThan">
      <formula>0</formula>
    </cfRule>
  </conditionalFormatting>
  <conditionalFormatting sqref="C16">
    <cfRule type="expression" dxfId="3176" priority="197" stopIfTrue="1">
      <formula>AND(C16&lt;&gt;0, NOT(ISTEXT(B16)))</formula>
    </cfRule>
    <cfRule type="cellIs" dxfId="3175" priority="198" stopIfTrue="1" operator="lessThan">
      <formula>0</formula>
    </cfRule>
  </conditionalFormatting>
  <conditionalFormatting sqref="C17">
    <cfRule type="expression" dxfId="3174" priority="195" stopIfTrue="1">
      <formula>AND(C17&lt;&gt;0, NOT(ISTEXT(B17)))</formula>
    </cfRule>
    <cfRule type="cellIs" dxfId="3173" priority="196" stopIfTrue="1" operator="lessThan">
      <formula>0</formula>
    </cfRule>
  </conditionalFormatting>
  <conditionalFormatting sqref="C7">
    <cfRule type="expression" dxfId="3172" priority="192" stopIfTrue="1">
      <formula>AND(C7&lt;&gt;0, NOT(ISTEXT(B7)))</formula>
    </cfRule>
    <cfRule type="cellIs" dxfId="3171" priority="193" stopIfTrue="1" operator="lessThan">
      <formula>0</formula>
    </cfRule>
  </conditionalFormatting>
  <conditionalFormatting sqref="C8">
    <cfRule type="expression" dxfId="3170" priority="190" stopIfTrue="1">
      <formula>AND(C8&lt;&gt;0, NOT(ISTEXT(B8)))</formula>
    </cfRule>
    <cfRule type="cellIs" dxfId="3169" priority="191" stopIfTrue="1" operator="lessThan">
      <formula>0</formula>
    </cfRule>
  </conditionalFormatting>
  <conditionalFormatting sqref="C9">
    <cfRule type="expression" dxfId="3168" priority="188" stopIfTrue="1">
      <formula>AND(C9&lt;&gt;0, NOT(ISTEXT(B9)))</formula>
    </cfRule>
    <cfRule type="cellIs" dxfId="3167" priority="189" stopIfTrue="1" operator="lessThan">
      <formula>0</formula>
    </cfRule>
  </conditionalFormatting>
  <conditionalFormatting sqref="C10">
    <cfRule type="expression" dxfId="3166" priority="186" stopIfTrue="1">
      <formula>AND(C10&lt;&gt;0, NOT(ISTEXT(B10)))</formula>
    </cfRule>
    <cfRule type="cellIs" dxfId="3165" priority="187" stopIfTrue="1" operator="lessThan">
      <formula>0</formula>
    </cfRule>
  </conditionalFormatting>
  <conditionalFormatting sqref="C11">
    <cfRule type="expression" dxfId="3164" priority="184" stopIfTrue="1">
      <formula>AND(C11&lt;&gt;0, NOT(ISTEXT(B11)))</formula>
    </cfRule>
    <cfRule type="cellIs" dxfId="3163" priority="185" stopIfTrue="1" operator="lessThan">
      <formula>0</formula>
    </cfRule>
  </conditionalFormatting>
  <conditionalFormatting sqref="C12">
    <cfRule type="expression" dxfId="3162" priority="182" stopIfTrue="1">
      <formula>AND(C12&lt;&gt;0, NOT(ISTEXT(B12)))</formula>
    </cfRule>
    <cfRule type="cellIs" dxfId="3161" priority="183" stopIfTrue="1" operator="lessThan">
      <formula>0</formula>
    </cfRule>
  </conditionalFormatting>
  <conditionalFormatting sqref="C13">
    <cfRule type="expression" dxfId="3160" priority="180" stopIfTrue="1">
      <formula>AND(C13&lt;&gt;0, NOT(ISTEXT(B13)))</formula>
    </cfRule>
    <cfRule type="cellIs" dxfId="3159" priority="181" stopIfTrue="1" operator="lessThan">
      <formula>0</formula>
    </cfRule>
  </conditionalFormatting>
  <conditionalFormatting sqref="C14">
    <cfRule type="expression" dxfId="3158" priority="178" stopIfTrue="1">
      <formula>AND(C14&lt;&gt;0, NOT(ISTEXT(B14)))</formula>
    </cfRule>
    <cfRule type="cellIs" dxfId="3157" priority="179" stopIfTrue="1" operator="lessThan">
      <formula>0</formula>
    </cfRule>
  </conditionalFormatting>
  <conditionalFormatting sqref="C15">
    <cfRule type="expression" dxfId="3156" priority="176" stopIfTrue="1">
      <formula>AND(C15&lt;&gt;0, NOT(ISTEXT(B15)))</formula>
    </cfRule>
    <cfRule type="cellIs" dxfId="3155" priority="177" stopIfTrue="1" operator="lessThan">
      <formula>0</formula>
    </cfRule>
  </conditionalFormatting>
  <conditionalFormatting sqref="C16">
    <cfRule type="expression" dxfId="3154" priority="174" stopIfTrue="1">
      <formula>AND(C16&lt;&gt;0, NOT(ISTEXT(B16)))</formula>
    </cfRule>
    <cfRule type="cellIs" dxfId="3153" priority="175" stopIfTrue="1" operator="lessThan">
      <formula>0</formula>
    </cfRule>
  </conditionalFormatting>
  <conditionalFormatting sqref="C17">
    <cfRule type="expression" dxfId="3152" priority="172" stopIfTrue="1">
      <formula>AND(C17&lt;&gt;0, NOT(ISTEXT(B17)))</formula>
    </cfRule>
    <cfRule type="cellIs" dxfId="3151" priority="173" stopIfTrue="1" operator="lessThan">
      <formula>0</formula>
    </cfRule>
  </conditionalFormatting>
  <conditionalFormatting sqref="C45">
    <cfRule type="expression" dxfId="3150" priority="169" stopIfTrue="1">
      <formula>AND(C45&lt;&gt;0, NOT(ISTEXT(B45)))</formula>
    </cfRule>
    <cfRule type="cellIs" dxfId="3149" priority="170" stopIfTrue="1" operator="lessThan">
      <formula>0</formula>
    </cfRule>
  </conditionalFormatting>
  <conditionalFormatting sqref="C56">
    <cfRule type="expression" dxfId="3148" priority="167" stopIfTrue="1">
      <formula>AND(C56&lt;&gt;0, NOT(ISTEXT(B56)))</formula>
    </cfRule>
    <cfRule type="cellIs" dxfId="3147" priority="168" stopIfTrue="1" operator="lessThan">
      <formula>0</formula>
    </cfRule>
  </conditionalFormatting>
  <conditionalFormatting sqref="C46">
    <cfRule type="expression" dxfId="3146" priority="165" stopIfTrue="1">
      <formula>AND(C46&lt;&gt;0, NOT(ISTEXT(B46)))</formula>
    </cfRule>
    <cfRule type="cellIs" dxfId="3145" priority="166" stopIfTrue="1" operator="lessThan">
      <formula>0</formula>
    </cfRule>
  </conditionalFormatting>
  <conditionalFormatting sqref="C47">
    <cfRule type="expression" dxfId="3144" priority="163" stopIfTrue="1">
      <formula>AND(C47&lt;&gt;0, NOT(ISTEXT(B47)))</formula>
    </cfRule>
    <cfRule type="cellIs" dxfId="3143" priority="164" stopIfTrue="1" operator="lessThan">
      <formula>0</formula>
    </cfRule>
  </conditionalFormatting>
  <conditionalFormatting sqref="C48">
    <cfRule type="expression" dxfId="3142" priority="161" stopIfTrue="1">
      <formula>AND(C48&lt;&gt;0, NOT(ISTEXT(B48)))</formula>
    </cfRule>
    <cfRule type="cellIs" dxfId="3141" priority="162" stopIfTrue="1" operator="lessThan">
      <formula>0</formula>
    </cfRule>
  </conditionalFormatting>
  <conditionalFormatting sqref="C49">
    <cfRule type="expression" dxfId="3140" priority="159" stopIfTrue="1">
      <formula>AND(C49&lt;&gt;0, NOT(ISTEXT(B49)))</formula>
    </cfRule>
    <cfRule type="cellIs" dxfId="3139" priority="160" stopIfTrue="1" operator="lessThan">
      <formula>0</formula>
    </cfRule>
  </conditionalFormatting>
  <conditionalFormatting sqref="C50">
    <cfRule type="expression" dxfId="3138" priority="157" stopIfTrue="1">
      <formula>AND(C50&lt;&gt;0, NOT(ISTEXT(B50)))</formula>
    </cfRule>
    <cfRule type="cellIs" dxfId="3137" priority="158" stopIfTrue="1" operator="lessThan">
      <formula>0</formula>
    </cfRule>
  </conditionalFormatting>
  <conditionalFormatting sqref="C51">
    <cfRule type="expression" dxfId="3136" priority="155" stopIfTrue="1">
      <formula>AND(C51&lt;&gt;0, NOT(ISTEXT(B51)))</formula>
    </cfRule>
    <cfRule type="cellIs" dxfId="3135" priority="156" stopIfTrue="1" operator="lessThan">
      <formula>0</formula>
    </cfRule>
  </conditionalFormatting>
  <conditionalFormatting sqref="C52">
    <cfRule type="expression" dxfId="3134" priority="153" stopIfTrue="1">
      <formula>AND(C52&lt;&gt;0, NOT(ISTEXT(B52)))</formula>
    </cfRule>
    <cfRule type="cellIs" dxfId="3133" priority="154" stopIfTrue="1" operator="lessThan">
      <formula>0</formula>
    </cfRule>
  </conditionalFormatting>
  <conditionalFormatting sqref="C53">
    <cfRule type="expression" dxfId="3132" priority="151" stopIfTrue="1">
      <formula>AND(C53&lt;&gt;0, NOT(ISTEXT(B53)))</formula>
    </cfRule>
    <cfRule type="cellIs" dxfId="3131" priority="152" stopIfTrue="1" operator="lessThan">
      <formula>0</formula>
    </cfRule>
  </conditionalFormatting>
  <conditionalFormatting sqref="C54">
    <cfRule type="expression" dxfId="3130" priority="149" stopIfTrue="1">
      <formula>AND(C54&lt;&gt;0, NOT(ISTEXT(B54)))</formula>
    </cfRule>
    <cfRule type="cellIs" dxfId="3129" priority="150" stopIfTrue="1" operator="lessThan">
      <formula>0</formula>
    </cfRule>
  </conditionalFormatting>
  <conditionalFormatting sqref="C55">
    <cfRule type="expression" dxfId="3128" priority="147" stopIfTrue="1">
      <formula>AND(C55&lt;&gt;0, NOT(ISTEXT(B55)))</formula>
    </cfRule>
    <cfRule type="cellIs" dxfId="3127" priority="148" stopIfTrue="1" operator="lessThan">
      <formula>0</formula>
    </cfRule>
  </conditionalFormatting>
  <conditionalFormatting sqref="Z6">
    <cfRule type="expression" dxfId="3126" priority="144" stopIfTrue="1">
      <formula>AND(Z6&lt;&gt;0, NOT(ISTEXT(Y6)))</formula>
    </cfRule>
    <cfRule type="cellIs" dxfId="3125" priority="145" stopIfTrue="1" operator="lessThan">
      <formula>0</formula>
    </cfRule>
  </conditionalFormatting>
  <conditionalFormatting sqref="Z16">
    <cfRule type="expression" dxfId="3124" priority="142" stopIfTrue="1">
      <formula>AND(Z16&lt;&gt;0, NOT(ISTEXT(Y16)))</formula>
    </cfRule>
    <cfRule type="cellIs" dxfId="3123" priority="143" stopIfTrue="1" operator="lessThan">
      <formula>0</formula>
    </cfRule>
  </conditionalFormatting>
  <conditionalFormatting sqref="Z7">
    <cfRule type="expression" dxfId="3122" priority="140" stopIfTrue="1">
      <formula>AND(Z7&lt;&gt;0, NOT(ISTEXT(Y7)))</formula>
    </cfRule>
    <cfRule type="cellIs" dxfId="3121" priority="141" stopIfTrue="1" operator="lessThan">
      <formula>0</formula>
    </cfRule>
  </conditionalFormatting>
  <conditionalFormatting sqref="Z8">
    <cfRule type="expression" dxfId="3120" priority="138" stopIfTrue="1">
      <formula>AND(Z8&lt;&gt;0, NOT(ISTEXT(Y8)))</formula>
    </cfRule>
    <cfRule type="cellIs" dxfId="3119" priority="139" stopIfTrue="1" operator="lessThan">
      <formula>0</formula>
    </cfRule>
  </conditionalFormatting>
  <conditionalFormatting sqref="Z9">
    <cfRule type="expression" dxfId="3118" priority="136" stopIfTrue="1">
      <formula>AND(Z9&lt;&gt;0, NOT(ISTEXT(Y9)))</formula>
    </cfRule>
    <cfRule type="cellIs" dxfId="3117" priority="137" stopIfTrue="1" operator="lessThan">
      <formula>0</formula>
    </cfRule>
  </conditionalFormatting>
  <conditionalFormatting sqref="Z10">
    <cfRule type="expression" dxfId="3116" priority="134" stopIfTrue="1">
      <formula>AND(Z10&lt;&gt;0, NOT(ISTEXT(Y10)))</formula>
    </cfRule>
    <cfRule type="cellIs" dxfId="3115" priority="135" stopIfTrue="1" operator="lessThan">
      <formula>0</formula>
    </cfRule>
  </conditionalFormatting>
  <conditionalFormatting sqref="Z11">
    <cfRule type="expression" dxfId="3114" priority="132" stopIfTrue="1">
      <formula>AND(Z11&lt;&gt;0, NOT(ISTEXT(Y11)))</formula>
    </cfRule>
    <cfRule type="cellIs" dxfId="3113" priority="133" stopIfTrue="1" operator="lessThan">
      <formula>0</formula>
    </cfRule>
  </conditionalFormatting>
  <conditionalFormatting sqref="Z12">
    <cfRule type="expression" dxfId="3112" priority="130" stopIfTrue="1">
      <formula>AND(Z12&lt;&gt;0, NOT(ISTEXT(Y12)))</formula>
    </cfRule>
    <cfRule type="cellIs" dxfId="3111" priority="131" stopIfTrue="1" operator="lessThan">
      <formula>0</formula>
    </cfRule>
  </conditionalFormatting>
  <conditionalFormatting sqref="Z13">
    <cfRule type="expression" dxfId="3110" priority="128" stopIfTrue="1">
      <formula>AND(Z13&lt;&gt;0, NOT(ISTEXT(Y13)))</formula>
    </cfRule>
    <cfRule type="cellIs" dxfId="3109" priority="129" stopIfTrue="1" operator="lessThan">
      <formula>0</formula>
    </cfRule>
  </conditionalFormatting>
  <conditionalFormatting sqref="Z14">
    <cfRule type="expression" dxfId="3108" priority="126" stopIfTrue="1">
      <formula>AND(Z14&lt;&gt;0, NOT(ISTEXT(Y14)))</formula>
    </cfRule>
    <cfRule type="cellIs" dxfId="3107" priority="127" stopIfTrue="1" operator="lessThan">
      <formula>0</formula>
    </cfRule>
  </conditionalFormatting>
  <conditionalFormatting sqref="Z15">
    <cfRule type="expression" dxfId="3106" priority="124" stopIfTrue="1">
      <formula>AND(Z15&lt;&gt;0, NOT(ISTEXT(Y15)))</formula>
    </cfRule>
    <cfRule type="cellIs" dxfId="3105" priority="125" stopIfTrue="1" operator="lessThan">
      <formula>0</formula>
    </cfRule>
  </conditionalFormatting>
  <conditionalFormatting sqref="Z23">
    <cfRule type="expression" dxfId="3104" priority="121" stopIfTrue="1">
      <formula>AND(Z23&lt;&gt;0, NOT(ISTEXT(Y23)))</formula>
    </cfRule>
    <cfRule type="cellIs" dxfId="3103" priority="122" stopIfTrue="1" operator="lessThan">
      <formula>0</formula>
    </cfRule>
  </conditionalFormatting>
  <conditionalFormatting sqref="Z44">
    <cfRule type="expression" dxfId="3102" priority="119" stopIfTrue="1">
      <formula>AND(Z44&lt;&gt;0, NOT(ISTEXT(Y44)))</formula>
    </cfRule>
    <cfRule type="cellIs" dxfId="3101" priority="120" stopIfTrue="1" operator="lessThan">
      <formula>0</formula>
    </cfRule>
  </conditionalFormatting>
  <conditionalFormatting sqref="Z24">
    <cfRule type="expression" dxfId="3100" priority="117" stopIfTrue="1">
      <formula>AND(Z24&lt;&gt;0, NOT(ISTEXT(Y24)))</formula>
    </cfRule>
    <cfRule type="cellIs" dxfId="3099" priority="118" stopIfTrue="1" operator="lessThan">
      <formula>0</formula>
    </cfRule>
  </conditionalFormatting>
  <conditionalFormatting sqref="Z25">
    <cfRule type="expression" dxfId="3098" priority="115" stopIfTrue="1">
      <formula>AND(Z25&lt;&gt;0, NOT(ISTEXT(Y25)))</formula>
    </cfRule>
    <cfRule type="cellIs" dxfId="3097" priority="116" stopIfTrue="1" operator="lessThan">
      <formula>0</formula>
    </cfRule>
  </conditionalFormatting>
  <conditionalFormatting sqref="Z26">
    <cfRule type="expression" dxfId="3096" priority="113" stopIfTrue="1">
      <formula>AND(Z26&lt;&gt;0, NOT(ISTEXT(Y26)))</formula>
    </cfRule>
    <cfRule type="cellIs" dxfId="3095" priority="114" stopIfTrue="1" operator="lessThan">
      <formula>0</formula>
    </cfRule>
  </conditionalFormatting>
  <conditionalFormatting sqref="Z27">
    <cfRule type="expression" dxfId="3094" priority="111" stopIfTrue="1">
      <formula>AND(Z27&lt;&gt;0, NOT(ISTEXT(Y27)))</formula>
    </cfRule>
    <cfRule type="cellIs" dxfId="3093" priority="112" stopIfTrue="1" operator="lessThan">
      <formula>0</formula>
    </cfRule>
  </conditionalFormatting>
  <conditionalFormatting sqref="Z28">
    <cfRule type="expression" dxfId="3092" priority="109" stopIfTrue="1">
      <formula>AND(Z28&lt;&gt;0, NOT(ISTEXT(Y28)))</formula>
    </cfRule>
    <cfRule type="cellIs" dxfId="3091" priority="110" stopIfTrue="1" operator="lessThan">
      <formula>0</formula>
    </cfRule>
  </conditionalFormatting>
  <conditionalFormatting sqref="Z29">
    <cfRule type="expression" dxfId="3090" priority="107" stopIfTrue="1">
      <formula>AND(Z29&lt;&gt;0, NOT(ISTEXT(Y29)))</formula>
    </cfRule>
    <cfRule type="cellIs" dxfId="3089" priority="108" stopIfTrue="1" operator="lessThan">
      <formula>0</formula>
    </cfRule>
  </conditionalFormatting>
  <conditionalFormatting sqref="Z30">
    <cfRule type="expression" dxfId="3088" priority="105" stopIfTrue="1">
      <formula>AND(Z30&lt;&gt;0, NOT(ISTEXT(Y30)))</formula>
    </cfRule>
    <cfRule type="cellIs" dxfId="3087" priority="106" stopIfTrue="1" operator="lessThan">
      <formula>0</formula>
    </cfRule>
  </conditionalFormatting>
  <conditionalFormatting sqref="Z31">
    <cfRule type="expression" dxfId="3086" priority="103" stopIfTrue="1">
      <formula>AND(Z31&lt;&gt;0, NOT(ISTEXT(Y31)))</formula>
    </cfRule>
    <cfRule type="cellIs" dxfId="3085" priority="104" stopIfTrue="1" operator="lessThan">
      <formula>0</formula>
    </cfRule>
  </conditionalFormatting>
  <conditionalFormatting sqref="Z32">
    <cfRule type="expression" dxfId="3084" priority="101" stopIfTrue="1">
      <formula>AND(Z32&lt;&gt;0, NOT(ISTEXT(Y32)))</formula>
    </cfRule>
    <cfRule type="cellIs" dxfId="3083" priority="102" stopIfTrue="1" operator="lessThan">
      <formula>0</formula>
    </cfRule>
  </conditionalFormatting>
  <conditionalFormatting sqref="Z33">
    <cfRule type="expression" dxfId="3082" priority="99" stopIfTrue="1">
      <formula>AND(Z33&lt;&gt;0, NOT(ISTEXT(Y33)))</formula>
    </cfRule>
    <cfRule type="cellIs" dxfId="3081" priority="100" stopIfTrue="1" operator="lessThan">
      <formula>0</formula>
    </cfRule>
  </conditionalFormatting>
  <conditionalFormatting sqref="Z34">
    <cfRule type="expression" dxfId="3080" priority="97" stopIfTrue="1">
      <formula>AND(Z34&lt;&gt;0, NOT(ISTEXT(Y34)))</formula>
    </cfRule>
    <cfRule type="cellIs" dxfId="3079" priority="98" stopIfTrue="1" operator="lessThan">
      <formula>0</formula>
    </cfRule>
  </conditionalFormatting>
  <conditionalFormatting sqref="Z35">
    <cfRule type="expression" dxfId="3078" priority="95" stopIfTrue="1">
      <formula>AND(Z35&lt;&gt;0, NOT(ISTEXT(Y35)))</formula>
    </cfRule>
    <cfRule type="cellIs" dxfId="3077" priority="96" stopIfTrue="1" operator="lessThan">
      <formula>0</formula>
    </cfRule>
  </conditionalFormatting>
  <conditionalFormatting sqref="Z36">
    <cfRule type="expression" dxfId="3076" priority="93" stopIfTrue="1">
      <formula>AND(Z36&lt;&gt;0, NOT(ISTEXT(Y36)))</formula>
    </cfRule>
    <cfRule type="cellIs" dxfId="3075" priority="94" stopIfTrue="1" operator="lessThan">
      <formula>0</formula>
    </cfRule>
  </conditionalFormatting>
  <conditionalFormatting sqref="Z37">
    <cfRule type="expression" dxfId="3074" priority="91" stopIfTrue="1">
      <formula>AND(Z37&lt;&gt;0, NOT(ISTEXT(Y37)))</formula>
    </cfRule>
    <cfRule type="cellIs" dxfId="3073" priority="92" stopIfTrue="1" operator="lessThan">
      <formula>0</formula>
    </cfRule>
  </conditionalFormatting>
  <conditionalFormatting sqref="Z38">
    <cfRule type="expression" dxfId="3072" priority="89" stopIfTrue="1">
      <formula>AND(Z38&lt;&gt;0, NOT(ISTEXT(Y38)))</formula>
    </cfRule>
    <cfRule type="cellIs" dxfId="3071" priority="90" stopIfTrue="1" operator="lessThan">
      <formula>0</formula>
    </cfRule>
  </conditionalFormatting>
  <conditionalFormatting sqref="Z39">
    <cfRule type="expression" dxfId="3070" priority="87" stopIfTrue="1">
      <formula>AND(Z39&lt;&gt;0, NOT(ISTEXT(Y39)))</formula>
    </cfRule>
    <cfRule type="cellIs" dxfId="3069" priority="88" stopIfTrue="1" operator="lessThan">
      <formula>0</formula>
    </cfRule>
  </conditionalFormatting>
  <conditionalFormatting sqref="Z40">
    <cfRule type="expression" dxfId="3068" priority="85" stopIfTrue="1">
      <formula>AND(Z40&lt;&gt;0, NOT(ISTEXT(Y40)))</formula>
    </cfRule>
    <cfRule type="cellIs" dxfId="3067" priority="86" stopIfTrue="1" operator="lessThan">
      <formula>0</formula>
    </cfRule>
  </conditionalFormatting>
  <conditionalFormatting sqref="Z41">
    <cfRule type="expression" dxfId="3066" priority="83" stopIfTrue="1">
      <formula>AND(Z41&lt;&gt;0, NOT(ISTEXT(Y41)))</formula>
    </cfRule>
    <cfRule type="cellIs" dxfId="3065" priority="84" stopIfTrue="1" operator="lessThan">
      <formula>0</formula>
    </cfRule>
  </conditionalFormatting>
  <conditionalFormatting sqref="Z42">
    <cfRule type="expression" dxfId="3064" priority="81" stopIfTrue="1">
      <formula>AND(Z42&lt;&gt;0, NOT(ISTEXT(Y42)))</formula>
    </cfRule>
    <cfRule type="cellIs" dxfId="3063" priority="82" stopIfTrue="1" operator="lessThan">
      <formula>0</formula>
    </cfRule>
  </conditionalFormatting>
  <conditionalFormatting sqref="Z43">
    <cfRule type="expression" dxfId="3062" priority="79" stopIfTrue="1">
      <formula>AND(Z43&lt;&gt;0, NOT(ISTEXT(Y43)))</formula>
    </cfRule>
    <cfRule type="cellIs" dxfId="3061" priority="80" stopIfTrue="1" operator="lessThan">
      <formula>0</formula>
    </cfRule>
  </conditionalFormatting>
  <conditionalFormatting sqref="D7:D17 D27:D39 AA6:AA16">
    <cfRule type="expression" dxfId="3060" priority="71" stopIfTrue="1">
      <formula>AND(D6&lt;&gt;0,NOT(ISTEXT(B6)))</formula>
    </cfRule>
  </conditionalFormatting>
  <conditionalFormatting sqref="C65">
    <cfRule type="expression" dxfId="3059" priority="67" stopIfTrue="1">
      <formula>AND(C65&lt;&gt;0, NOT(ISTEXT(B65)))</formula>
    </cfRule>
    <cfRule type="cellIs" dxfId="3058" priority="68" stopIfTrue="1" operator="lessThan">
      <formula>0</formula>
    </cfRule>
  </conditionalFormatting>
  <conditionalFormatting sqref="C77">
    <cfRule type="expression" dxfId="3057" priority="65" stopIfTrue="1">
      <formula>AND(C77&lt;&gt;0, NOT(ISTEXT(B77)))</formula>
    </cfRule>
    <cfRule type="cellIs" dxfId="3056" priority="66" stopIfTrue="1" operator="lessThan">
      <formula>0</formula>
    </cfRule>
  </conditionalFormatting>
  <conditionalFormatting sqref="C66">
    <cfRule type="expression" dxfId="3055" priority="63" stopIfTrue="1">
      <formula>AND(C66&lt;&gt;0, NOT(ISTEXT(B66)))</formula>
    </cfRule>
    <cfRule type="cellIs" dxfId="3054" priority="64" stopIfTrue="1" operator="lessThan">
      <formula>0</formula>
    </cfRule>
  </conditionalFormatting>
  <conditionalFormatting sqref="C67">
    <cfRule type="expression" dxfId="3053" priority="61" stopIfTrue="1">
      <formula>AND(C67&lt;&gt;0, NOT(ISTEXT(B67)))</formula>
    </cfRule>
    <cfRule type="cellIs" dxfId="3052" priority="62" stopIfTrue="1" operator="lessThan">
      <formula>0</formula>
    </cfRule>
  </conditionalFormatting>
  <conditionalFormatting sqref="C68">
    <cfRule type="expression" dxfId="3051" priority="59" stopIfTrue="1">
      <formula>AND(C68&lt;&gt;0, NOT(ISTEXT(B68)))</formula>
    </cfRule>
    <cfRule type="cellIs" dxfId="3050" priority="60" stopIfTrue="1" operator="lessThan">
      <formula>0</formula>
    </cfRule>
  </conditionalFormatting>
  <conditionalFormatting sqref="C69">
    <cfRule type="expression" dxfId="3049" priority="57" stopIfTrue="1">
      <formula>AND(C69&lt;&gt;0, NOT(ISTEXT(B69)))</formula>
    </cfRule>
    <cfRule type="cellIs" dxfId="3048" priority="58" stopIfTrue="1" operator="lessThan">
      <formula>0</formula>
    </cfRule>
  </conditionalFormatting>
  <conditionalFormatting sqref="C70">
    <cfRule type="expression" dxfId="3047" priority="55" stopIfTrue="1">
      <formula>AND(C70&lt;&gt;0, NOT(ISTEXT(B70)))</formula>
    </cfRule>
    <cfRule type="cellIs" dxfId="3046" priority="56" stopIfTrue="1" operator="lessThan">
      <formula>0</formula>
    </cfRule>
  </conditionalFormatting>
  <conditionalFormatting sqref="C71">
    <cfRule type="expression" dxfId="3045" priority="53" stopIfTrue="1">
      <formula>AND(C71&lt;&gt;0, NOT(ISTEXT(B71)))</formula>
    </cfRule>
    <cfRule type="cellIs" dxfId="3044" priority="54" stopIfTrue="1" operator="lessThan">
      <formula>0</formula>
    </cfRule>
  </conditionalFormatting>
  <conditionalFormatting sqref="C72">
    <cfRule type="expression" dxfId="3043" priority="51" stopIfTrue="1">
      <formula>AND(C72&lt;&gt;0, NOT(ISTEXT(B72)))</formula>
    </cfRule>
    <cfRule type="cellIs" dxfId="3042" priority="52" stopIfTrue="1" operator="lessThan">
      <formula>0</formula>
    </cfRule>
  </conditionalFormatting>
  <conditionalFormatting sqref="C73">
    <cfRule type="expression" dxfId="3041" priority="49" stopIfTrue="1">
      <formula>AND(C73&lt;&gt;0, NOT(ISTEXT(B73)))</formula>
    </cfRule>
    <cfRule type="cellIs" dxfId="3040" priority="50" stopIfTrue="1" operator="lessThan">
      <formula>0</formula>
    </cfRule>
  </conditionalFormatting>
  <conditionalFormatting sqref="C74">
    <cfRule type="expression" dxfId="3039" priority="47" stopIfTrue="1">
      <formula>AND(C74&lt;&gt;0, NOT(ISTEXT(B74)))</formula>
    </cfRule>
    <cfRule type="cellIs" dxfId="3038" priority="48" stopIfTrue="1" operator="lessThan">
      <formula>0</formula>
    </cfRule>
  </conditionalFormatting>
  <conditionalFormatting sqref="C75">
    <cfRule type="expression" dxfId="3037" priority="45" stopIfTrue="1">
      <formula>AND(C75&lt;&gt;0, NOT(ISTEXT(B75)))</formula>
    </cfRule>
    <cfRule type="cellIs" dxfId="3036" priority="46" stopIfTrue="1" operator="lessThan">
      <formula>0</formula>
    </cfRule>
  </conditionalFormatting>
  <conditionalFormatting sqref="C76">
    <cfRule type="expression" dxfId="3035" priority="43" stopIfTrue="1">
      <formula>AND(C76&lt;&gt;0, NOT(ISTEXT(B76)))</formula>
    </cfRule>
    <cfRule type="cellIs" dxfId="3034" priority="44" stopIfTrue="1" operator="lessThan">
      <formula>0</formula>
    </cfRule>
  </conditionalFormatting>
  <conditionalFormatting sqref="D65:D77">
    <cfRule type="expression" dxfId="3033" priority="41" stopIfTrue="1">
      <formula>AND(D65&lt;&gt;0,NOT(ISTEXT(B65)))</formula>
    </cfRule>
  </conditionalFormatting>
  <conditionalFormatting sqref="C86">
    <cfRule type="expression" dxfId="3032" priority="37" stopIfTrue="1">
      <formula>AND(C86&lt;&gt;0, NOT(ISTEXT(B86)))</formula>
    </cfRule>
    <cfRule type="cellIs" dxfId="3031" priority="38" stopIfTrue="1" operator="lessThan">
      <formula>0</formula>
    </cfRule>
  </conditionalFormatting>
  <conditionalFormatting sqref="C78">
    <cfRule type="expression" dxfId="3030" priority="35" stopIfTrue="1">
      <formula>AND(C78&lt;&gt;0, NOT(ISTEXT(B78)))</formula>
    </cfRule>
    <cfRule type="cellIs" dxfId="3029" priority="36" stopIfTrue="1" operator="lessThan">
      <formula>0</formula>
    </cfRule>
  </conditionalFormatting>
  <conditionalFormatting sqref="C79">
    <cfRule type="expression" dxfId="3028" priority="33" stopIfTrue="1">
      <formula>AND(C79&lt;&gt;0, NOT(ISTEXT(B79)))</formula>
    </cfRule>
    <cfRule type="cellIs" dxfId="3027" priority="34" stopIfTrue="1" operator="lessThan">
      <formula>0</formula>
    </cfRule>
  </conditionalFormatting>
  <conditionalFormatting sqref="C80">
    <cfRule type="expression" dxfId="3026" priority="31" stopIfTrue="1">
      <formula>AND(C80&lt;&gt;0, NOT(ISTEXT(B80)))</formula>
    </cfRule>
    <cfRule type="cellIs" dxfId="3025" priority="32" stopIfTrue="1" operator="lessThan">
      <formula>0</formula>
    </cfRule>
  </conditionalFormatting>
  <conditionalFormatting sqref="C81">
    <cfRule type="expression" dxfId="3024" priority="29" stopIfTrue="1">
      <formula>AND(C81&lt;&gt;0, NOT(ISTEXT(B81)))</formula>
    </cfRule>
    <cfRule type="cellIs" dxfId="3023" priority="30" stopIfTrue="1" operator="lessThan">
      <formula>0</formula>
    </cfRule>
  </conditionalFormatting>
  <conditionalFormatting sqref="C82">
    <cfRule type="expression" dxfId="3022" priority="27" stopIfTrue="1">
      <formula>AND(C82&lt;&gt;0, NOT(ISTEXT(B82)))</formula>
    </cfRule>
    <cfRule type="cellIs" dxfId="3021" priority="28" stopIfTrue="1" operator="lessThan">
      <formula>0</formula>
    </cfRule>
  </conditionalFormatting>
  <conditionalFormatting sqref="C83">
    <cfRule type="expression" dxfId="3020" priority="25" stopIfTrue="1">
      <formula>AND(C83&lt;&gt;0, NOT(ISTEXT(B83)))</formula>
    </cfRule>
    <cfRule type="cellIs" dxfId="3019" priority="26" stopIfTrue="1" operator="lessThan">
      <formula>0</formula>
    </cfRule>
  </conditionalFormatting>
  <conditionalFormatting sqref="C84">
    <cfRule type="expression" dxfId="3018" priority="23" stopIfTrue="1">
      <formula>AND(C84&lt;&gt;0, NOT(ISTEXT(B84)))</formula>
    </cfRule>
    <cfRule type="cellIs" dxfId="3017" priority="24" stopIfTrue="1" operator="lessThan">
      <formula>0</formula>
    </cfRule>
  </conditionalFormatting>
  <conditionalFormatting sqref="C85">
    <cfRule type="expression" dxfId="3016" priority="21" stopIfTrue="1">
      <formula>AND(C85&lt;&gt;0, NOT(ISTEXT(B85)))</formula>
    </cfRule>
    <cfRule type="cellIs" dxfId="3015" priority="22" stopIfTrue="1" operator="lessThan">
      <formula>0</formula>
    </cfRule>
  </conditionalFormatting>
  <conditionalFormatting sqref="D78:D86">
    <cfRule type="expression" dxfId="3014" priority="19" stopIfTrue="1">
      <formula>AND(D78&lt;&gt;0,NOT(ISTEXT(B78)))</formula>
    </cfRule>
  </conditionalFormatting>
  <conditionalFormatting sqref="D7:D17 D27:D39 D65:D86">
    <cfRule type="cellIs" dxfId="3013" priority="16" stopIfTrue="1" operator="greaterThan">
      <formula>C7</formula>
    </cfRule>
  </conditionalFormatting>
  <conditionalFormatting sqref="AE23:AE44">
    <cfRule type="expression" dxfId="3012" priority="7" stopIfTrue="1">
      <formula>((Z23*(12-$AR$19))-AE23)/(Z23*(12-$AR$19)+0.00001)&gt;0.9</formula>
    </cfRule>
    <cfRule type="expression" dxfId="3011" priority="8" stopIfTrue="1">
      <formula>((Z23*(12-$AR$19))-AE23)/(Z23*(12-$AR$19)+0.00001)&gt;0.8</formula>
    </cfRule>
    <cfRule type="expression" dxfId="3010" priority="9" stopIfTrue="1">
      <formula>((Z23*(12-$AR$19))-AE23)/(Z23*(12-$AR$19)+0.00001)&gt;0.7</formula>
    </cfRule>
    <cfRule type="expression" dxfId="3009" priority="10" stopIfTrue="1">
      <formula>((Z23*(12-$AR$19))-AE23)/(Z23*(12-$AR$19)+0.00001)&gt;0.6</formula>
    </cfRule>
    <cfRule type="expression" dxfId="3008" priority="11" stopIfTrue="1">
      <formula>((Z23*(12-$AR$19))-AE23)/(Z23*(12-$AR$19)+0.00001)&gt;0.5</formula>
    </cfRule>
    <cfRule type="expression" dxfId="3007" priority="12" stopIfTrue="1">
      <formula>((Z23*(12-$AR$19))-AE23)/(Z23*(12-$AR$19)+0.00001)&gt;0.4</formula>
    </cfRule>
    <cfRule type="expression" dxfId="3006" priority="13" stopIfTrue="1">
      <formula>((Z23*(12-$AR$19))-AE23)/(Z23*(12-$AR$19)+0.00001)&gt;0.3</formula>
    </cfRule>
    <cfRule type="expression" dxfId="3005" priority="377" stopIfTrue="1">
      <formula>((Z23*(12-$AR$19))-AE23)/(Z23*(12-$AR$19)+0.00001)&gt;0.2</formula>
    </cfRule>
  </conditionalFormatting>
  <conditionalFormatting sqref="N55:N56">
    <cfRule type="containsText" dxfId="3004" priority="4" stopIfTrue="1" operator="containsText" text="No">
      <formula>NOT(ISERROR(SEARCH("No",N55)))</formula>
    </cfRule>
  </conditionalFormatting>
  <conditionalFormatting sqref="AE15:AE20">
    <cfRule type="containsText" dxfId="3003" priority="3" stopIfTrue="1" operator="containsText" text="Over">
      <formula>NOT(ISERROR(SEARCH("Over",AE15)))</formula>
    </cfRule>
  </conditionalFormatting>
  <conditionalFormatting sqref="B20:D20">
    <cfRule type="containsText" dxfId="3002" priority="2" stopIfTrue="1" operator="containsText" text="Check">
      <formula>NOT(ISERROR(SEARCH("Check",B20)))</formula>
    </cfRule>
  </conditionalFormatting>
  <conditionalFormatting sqref="B42:D42">
    <cfRule type="containsText" dxfId="3001" priority="1" stopIfTrue="1" operator="containsText" text="Check">
      <formula>NOT(ISERROR(SEARCH("Check",B42)))</formula>
    </cfRule>
  </conditionalFormatting>
  <dataValidations count="14">
    <dataValidation type="custom" showInputMessage="1" showErrorMessage="1" errorTitle="שגיאה" error="חובה למלא את שם ההוצאה לפני מילוי הסכום." sqref="J64:J110 Q7:Q45 J7:J53 Q64:Q110">
      <formula1>ISTEXT(I7)</formula1>
    </dataValidation>
    <dataValidation type="custom" showInputMessage="1" showErrorMessage="1" errorTitle="שגיאה" error="חובה לתת שם לכל סעיף שנרשם בו תקציב" sqref="C7:C17 C27:C39 C45:C56 Z6:Z16 Z23:Z44 C65:C86">
      <formula1>ISTEXT(B6)</formula1>
    </dataValidation>
    <dataValidation type="custom" showInputMessage="1" showErrorMessage="1" errorTitle="שגיאה" error="חובה לתת שם לכל סעיף שנרשם בו ביצוע" sqref="D65:D86 D7:D17 D27:D39 AA6:AA16 AC17">
      <formula1>ISTEXT(B6)</formula1>
    </dataValidation>
    <dataValidation type="whole" allowBlank="1" showInputMessage="1" showErrorMessage="1" errorTitle="ערך לא חוקי" error="התא יכול לקבל 0 או 1. ערכים אחרים אינם חוקיים." prompt="שים לב!_x000a_שינוי תא זה עלול להשפיע על התקציב המתוכנן לשוטפות בחודש הבא." sqref="AI23:AI44">
      <formula1>0</formula1>
      <formula2>1</formula2>
    </dataValidation>
    <dataValidation type="list" errorStyle="information" allowBlank="1" showInputMessage="1" sqref="K64:K110 U64:U110 U7:U45 E7:E17 E27:E39 E65:E86 K7:K53 AB6:AB16">
      <formula1>$AT$5:$AT$9</formula1>
    </dataValidation>
    <dataValidation type="whole" allowBlank="1" showInputMessage="1" showErrorMessage="1" error="מס' יום לא חוקי" sqref="O7:O45 H7:H53 H64:H110 O64:O110">
      <formula1>1</formula1>
      <formula2>31</formula2>
    </dataValidation>
    <dataValidation type="list" allowBlank="1" showInputMessage="1" showErrorMessage="1" error="חובה לבחור בהתפריט הנפתח" sqref="P7:P45 P64:P110">
      <formula1>$Y$23:$Y$44</formula1>
    </dataValidation>
    <dataValidation type="list" allowBlank="1" showInputMessage="1" showErrorMessage="1" error="חובה לבחור כן/לא." sqref="N55:N56">
      <formula1>$AP$55:$AP$56</formula1>
    </dataValidation>
    <dataValidation type="list" allowBlank="1" showInputMessage="1" showErrorMessage="1" error="חובה לבחור מהתפריט הנפתח" sqref="I7:I53 I64:I110">
      <formula1>$B$45:$B$56</formula1>
    </dataValidation>
    <dataValidation allowBlank="1" showInputMessage="1" showErrorMessage="1" prompt="שים לב! שינוי תא זה יבטל את החישוב האוטומטי לסה&quot;כ ביצוע הוצאות קבועות לחודש הנוכחי. " sqref="D18"/>
    <dataValidation allowBlank="1" showInputMessage="1" showErrorMessage="1" prompt="שים לב! שינוי תא זה יבטל את החישוב האוטומטי לסה&quot;כ ביצוע החזרי החובות לחודש הנוכחי. " sqref="D40"/>
    <dataValidation type="custom" errorStyle="warning" allowBlank="1" showInputMessage="1" showErrorMessage="1" errorTitle="סעיף כבר בשימוש" error="שם סעיף זה כבר בשימוש בקטגוריה זו או בקטגוריה אחרת. יתכן גם שנרשמה עליו שם כבר הוצאה בחודש זה." sqref="Y23:Y44 B45:B56 B27:B39 B65:B86 B7:B17">
      <formula1>(COUNTIF($B$7:$B$17,B7)+COUNTIF($B$27:$B$39,B7)+COUNTIF($B$45:$B$56,B7)+COUNTIF($I$7:$I$53,B7)+COUNTIF($Y$23:$Y$44,B7)+COUNTIF($P$7:$P$45,B7))&lt;=1</formula1>
    </dataValidation>
    <dataValidation type="list" allowBlank="1" showInputMessage="1" showErrorMessage="1" error="חובה לבחור מהתפריט הנפתח" sqref="N58">
      <formula1>$AQ$55:$AQ$56</formula1>
    </dataValidation>
    <dataValidation type="custom" errorStyle="information" allowBlank="1" showInputMessage="1" showErrorMessage="1" error="אתם מזינים עיסקת תשלומים. _x000a_חובה למלא את עמודות &quot;מספר התשלום&quot; ו- &quot;מתוך&quot; כדי שהתשלומים הבאים יוכנסו אוטומטית." prompt="שנה תא זה רק בהזנת עיסקת תשלומים._x000a_בחודש הראשון - הזן את סכום העיסקה הכולל._x000a_בחודשי התשלום הבאים - יוכנס אוטומטית 0 (יוצג כ &quot;-&quot;)." sqref="R7:R45 R64:R110">
      <formula1>R7=Q7</formula1>
    </dataValidation>
  </dataValidations>
  <hyperlinks>
    <hyperlink ref="Q3" location="F!Y21:Z46" tooltip="To Summary Table" display="List Periodic Expenses"/>
    <hyperlink ref="I3" location="F!B44:C58" tooltip="To Summary Table" display="List Everyday Expenses"/>
  </hyperlink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  <outlinePr summaryBelow="0" summaryRight="0"/>
  </sheetPr>
  <dimension ref="A1:CN152"/>
  <sheetViews>
    <sheetView showZeros="0" zoomScale="75" zoomScaleNormal="75" workbookViewId="0"/>
  </sheetViews>
  <sheetFormatPr defaultColWidth="9.125" defaultRowHeight="14.25" outlineLevelRow="1" outlineLevelCol="1"/>
  <cols>
    <col min="1" max="1" width="0.625" style="2" customWidth="1"/>
    <col min="2" max="2" width="22.125" style="2" customWidth="1"/>
    <col min="3" max="3" width="8.125" style="2" customWidth="1"/>
    <col min="4" max="4" width="9.75" style="2" customWidth="1" collapsed="1"/>
    <col min="5" max="5" width="12.25" style="2" hidden="1" customWidth="1" outlineLevel="1"/>
    <col min="6" max="6" width="20.75" style="2" hidden="1" customWidth="1" outlineLevel="1"/>
    <col min="7" max="7" width="1.125" style="2" customWidth="1"/>
    <col min="8" max="8" width="5.375" style="2" customWidth="1"/>
    <col min="9" max="9" width="22.125" style="2" customWidth="1"/>
    <col min="10" max="10" width="8.125" style="2" customWidth="1" collapsed="1"/>
    <col min="11" max="11" width="12.25" style="2" hidden="1" customWidth="1" outlineLevel="1"/>
    <col min="12" max="12" width="20.75" style="2" hidden="1" customWidth="1" outlineLevel="1"/>
    <col min="13" max="13" width="10.75" style="2" customWidth="1" collapsed="1"/>
    <col min="14" max="14" width="4.875" style="2" customWidth="1"/>
    <col min="15" max="15" width="5" style="3" customWidth="1"/>
    <col min="16" max="16" width="22.125" style="2" customWidth="1"/>
    <col min="17" max="17" width="10.875" style="2" customWidth="1"/>
    <col min="18" max="18" width="9.875" style="2" bestFit="1" customWidth="1"/>
    <col min="19" max="19" width="4.625" style="26" customWidth="1" collapsed="1"/>
    <col min="20" max="20" width="3.75" style="26" customWidth="1" collapsed="1"/>
    <col min="21" max="21" width="12.25" style="26" hidden="1" customWidth="1" outlineLevel="1"/>
    <col min="22" max="22" width="20.75" style="26" hidden="1" customWidth="1" outlineLevel="1"/>
    <col min="23" max="23" width="10.75" style="2" customWidth="1"/>
    <col min="24" max="24" width="1.125" style="2" customWidth="1"/>
    <col min="25" max="25" width="24.125" style="2" customWidth="1"/>
    <col min="26" max="26" width="9.875" style="2" bestFit="1" customWidth="1"/>
    <col min="27" max="27" width="10.875" style="2" bestFit="1" customWidth="1" collapsed="1"/>
    <col min="28" max="28" width="13.375" style="2" hidden="1" customWidth="1" outlineLevel="1"/>
    <col min="29" max="29" width="15" style="2" hidden="1" customWidth="1" outlineLevel="1"/>
    <col min="30" max="30" width="10.875" style="2" hidden="1" customWidth="1"/>
    <col min="31" max="31" width="13.875" style="2" customWidth="1"/>
    <col min="32" max="32" width="3" style="2" customWidth="1"/>
    <col min="33" max="33" width="9.75" style="2" customWidth="1"/>
    <col min="34" max="34" width="5.625" style="2" customWidth="1"/>
    <col min="35" max="35" width="4.25" style="2" customWidth="1"/>
    <col min="36" max="36" width="9.125" style="2"/>
    <col min="37" max="37" width="11.875" style="2" customWidth="1"/>
    <col min="38" max="38" width="13.875" style="2" customWidth="1"/>
    <col min="39" max="40" width="9.125" style="2"/>
    <col min="41" max="41" width="9.125" style="52" customWidth="1"/>
    <col min="42" max="42" width="13.875" style="52" hidden="1" customWidth="1"/>
    <col min="43" max="43" width="15.875" style="52" hidden="1" customWidth="1"/>
    <col min="44" max="44" width="18.125" style="52" hidden="1" customWidth="1"/>
    <col min="45" max="45" width="16" style="52" hidden="1" customWidth="1"/>
    <col min="46" max="46" width="11.75" style="52" hidden="1" customWidth="1"/>
    <col min="47" max="47" width="9.125" style="52" hidden="1" customWidth="1"/>
    <col min="48" max="48" width="14" style="52" hidden="1" customWidth="1"/>
    <col min="49" max="49" width="16.75" style="52" hidden="1" customWidth="1"/>
    <col min="50" max="50" width="17.375" style="52" hidden="1" customWidth="1"/>
    <col min="51" max="51" width="9.125" style="52" hidden="1" customWidth="1"/>
    <col min="52" max="53" width="9.125" style="2" hidden="1" customWidth="1"/>
    <col min="54" max="60" width="9.125" style="2"/>
    <col min="61" max="61" width="2.875" style="2" customWidth="1"/>
    <col min="62" max="90" width="9.125" style="2"/>
    <col min="91" max="92" width="0" style="52" hidden="1" customWidth="1"/>
    <col min="93" max="16384" width="9.125" style="2"/>
  </cols>
  <sheetData>
    <row r="1" spans="1:92" s="367" customFormat="1" ht="15">
      <c r="B1" s="880" t="s">
        <v>381</v>
      </c>
      <c r="O1" s="512"/>
      <c r="S1" s="371"/>
      <c r="T1" s="371"/>
      <c r="U1" s="371"/>
      <c r="V1" s="371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CM1" s="86"/>
      <c r="CN1" s="86"/>
    </row>
    <row r="2" spans="1:92" ht="20.25">
      <c r="A2" s="367"/>
      <c r="B2" s="809" t="s">
        <v>468</v>
      </c>
      <c r="C2" s="890" t="s">
        <v>475</v>
      </c>
      <c r="E2" s="367"/>
      <c r="F2" s="367"/>
      <c r="G2" s="367"/>
      <c r="H2" s="367"/>
      <c r="I2" s="367"/>
      <c r="J2" s="368"/>
      <c r="K2" s="596"/>
      <c r="L2" s="585"/>
      <c r="M2" s="67" t="str">
        <f>IF('Month A'!M2="Month","",VLOOKUP(F!M2,'Month A'!CM3:CN14,2,FALSE))</f>
        <v/>
      </c>
      <c r="N2" s="1232" t="str">
        <f>IF('Month A'!N2:O2="Year","",IF(M2="Jan",F!N2:O2+1,F!N2:O2))</f>
        <v/>
      </c>
      <c r="O2" s="1232"/>
      <c r="Q2" s="367"/>
      <c r="R2" s="878" t="s">
        <v>491</v>
      </c>
      <c r="S2" s="371"/>
      <c r="U2" s="371"/>
      <c r="V2" s="371"/>
      <c r="W2" s="367"/>
      <c r="X2" s="367"/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86"/>
    </row>
    <row r="3" spans="1:92" ht="19.5" customHeight="1" thickBot="1">
      <c r="A3" s="367"/>
      <c r="B3" s="1162" t="s">
        <v>348</v>
      </c>
      <c r="C3" s="1163"/>
      <c r="D3" s="378"/>
      <c r="E3" s="378"/>
      <c r="F3" s="378"/>
      <c r="G3" s="367"/>
      <c r="I3" s="830" t="s">
        <v>345</v>
      </c>
      <c r="J3" s="380"/>
      <c r="K3" s="367"/>
      <c r="L3" s="581"/>
      <c r="M3" s="367"/>
      <c r="N3" s="367"/>
      <c r="O3" s="377"/>
      <c r="P3" s="381"/>
      <c r="Q3" s="830" t="s">
        <v>346</v>
      </c>
      <c r="R3" s="641"/>
      <c r="S3" s="513"/>
      <c r="T3" s="381"/>
      <c r="U3" s="513"/>
      <c r="V3" s="513"/>
      <c r="W3" s="555"/>
      <c r="X3" s="382"/>
      <c r="Y3" s="1218" t="s">
        <v>296</v>
      </c>
      <c r="Z3" s="1218"/>
      <c r="AA3" s="1218"/>
      <c r="AB3" s="554"/>
      <c r="AC3" s="554"/>
      <c r="AD3" s="383"/>
      <c r="AE3" s="367"/>
      <c r="AF3" s="367"/>
      <c r="AG3" s="367"/>
      <c r="AH3" s="367"/>
      <c r="AI3" s="367"/>
      <c r="AJ3" s="367"/>
      <c r="AK3" s="367"/>
      <c r="AL3" s="367"/>
      <c r="AM3" s="367"/>
      <c r="AN3" s="367"/>
      <c r="AO3" s="86"/>
    </row>
    <row r="4" spans="1:92" s="614" customFormat="1" ht="34.5" customHeight="1" thickBot="1">
      <c r="A4" s="602"/>
      <c r="B4" s="879" t="s">
        <v>352</v>
      </c>
      <c r="C4" s="1230">
        <f>C18</f>
        <v>0</v>
      </c>
      <c r="D4" s="1167"/>
      <c r="E4" s="1158"/>
      <c r="F4" s="1159"/>
      <c r="G4" s="602"/>
      <c r="H4" s="603" t="s">
        <v>356</v>
      </c>
      <c r="I4" s="604" t="s">
        <v>357</v>
      </c>
      <c r="J4" s="605" t="s">
        <v>494</v>
      </c>
      <c r="K4" s="606" t="s">
        <v>380</v>
      </c>
      <c r="L4" s="607" t="s">
        <v>335</v>
      </c>
      <c r="M4" s="608" t="s">
        <v>389</v>
      </c>
      <c r="N4" s="602"/>
      <c r="O4" s="609" t="s">
        <v>356</v>
      </c>
      <c r="P4" s="610" t="s">
        <v>357</v>
      </c>
      <c r="Q4" s="806" t="s">
        <v>494</v>
      </c>
      <c r="R4" s="610" t="s">
        <v>359</v>
      </c>
      <c r="S4" s="1176" t="s">
        <v>360</v>
      </c>
      <c r="T4" s="1155" t="s">
        <v>361</v>
      </c>
      <c r="U4" s="787" t="s">
        <v>380</v>
      </c>
      <c r="V4" s="639" t="s">
        <v>335</v>
      </c>
      <c r="W4" s="640" t="s">
        <v>389</v>
      </c>
      <c r="X4" s="623"/>
      <c r="Y4" s="1208" t="s">
        <v>363</v>
      </c>
      <c r="Z4" s="1231"/>
      <c r="AA4" s="611">
        <f>Z17</f>
        <v>0</v>
      </c>
      <c r="AB4" s="1174"/>
      <c r="AC4" s="1175"/>
      <c r="AD4" s="612"/>
      <c r="AF4" s="602"/>
      <c r="AG4" s="602"/>
      <c r="AH4" s="602"/>
      <c r="AI4" s="602"/>
      <c r="AJ4" s="602"/>
      <c r="AK4" s="602"/>
      <c r="AL4" s="602"/>
      <c r="AM4" s="602"/>
      <c r="AN4" s="602"/>
      <c r="AO4" s="703"/>
      <c r="AP4" s="704"/>
      <c r="AQ4" s="704"/>
      <c r="AR4" s="704"/>
      <c r="AS4" s="704"/>
      <c r="AT4" s="705" t="s">
        <v>30</v>
      </c>
      <c r="AU4" s="704"/>
      <c r="AV4" s="704"/>
      <c r="AW4" s="704"/>
      <c r="AX4" s="704"/>
      <c r="AY4" s="704"/>
      <c r="CM4" s="704"/>
      <c r="CN4" s="704"/>
    </row>
    <row r="5" spans="1:92" ht="15" customHeight="1">
      <c r="A5" s="367"/>
      <c r="B5" s="1219" t="s">
        <v>353</v>
      </c>
      <c r="C5" s="1108" t="s">
        <v>354</v>
      </c>
      <c r="D5" s="1168" t="s">
        <v>494</v>
      </c>
      <c r="E5" s="1109" t="s">
        <v>380</v>
      </c>
      <c r="F5" s="1108" t="s">
        <v>335</v>
      </c>
      <c r="G5" s="367"/>
      <c r="H5" s="1157"/>
      <c r="I5" s="1221" t="s">
        <v>427</v>
      </c>
      <c r="J5" s="1150"/>
      <c r="K5" s="1193"/>
      <c r="L5" s="1160"/>
      <c r="M5" s="1153">
        <f ca="1">C57+IF(F!N58=AQ55,F!M58,0)+F!AP45</f>
        <v>0</v>
      </c>
      <c r="N5" s="14"/>
      <c r="O5" s="1182"/>
      <c r="P5" s="1183" t="s">
        <v>467</v>
      </c>
      <c r="Q5" s="1184"/>
      <c r="R5" s="1191"/>
      <c r="S5" s="1177"/>
      <c r="T5" s="1156"/>
      <c r="U5" s="1192"/>
      <c r="V5" s="1191"/>
      <c r="W5" s="1195">
        <f>F!W46+G!Z45-F!AP45</f>
        <v>0</v>
      </c>
      <c r="X5" s="621"/>
      <c r="Y5" s="5" t="s">
        <v>364</v>
      </c>
      <c r="Z5" s="105" t="s">
        <v>354</v>
      </c>
      <c r="AA5" s="914" t="s">
        <v>494</v>
      </c>
      <c r="AB5" s="803" t="s">
        <v>386</v>
      </c>
      <c r="AC5" s="718" t="s">
        <v>335</v>
      </c>
      <c r="AD5" s="31"/>
      <c r="AE5" s="1223" t="s">
        <v>365</v>
      </c>
      <c r="AF5" s="367"/>
      <c r="AG5" s="367"/>
      <c r="AH5" s="367"/>
      <c r="AI5" s="367"/>
      <c r="AJ5" s="367"/>
      <c r="AK5" s="367"/>
      <c r="AL5" s="367"/>
      <c r="AM5" s="367"/>
      <c r="AN5" s="367"/>
      <c r="AO5" s="86"/>
      <c r="AT5" s="52" t="s">
        <v>476</v>
      </c>
    </row>
    <row r="6" spans="1:92" ht="15" customHeight="1">
      <c r="A6" s="367"/>
      <c r="B6" s="1220"/>
      <c r="C6" s="1234"/>
      <c r="D6" s="1169"/>
      <c r="E6" s="1109"/>
      <c r="F6" s="1108"/>
      <c r="G6" s="367"/>
      <c r="H6" s="1157"/>
      <c r="I6" s="1222"/>
      <c r="J6" s="1152"/>
      <c r="K6" s="1194"/>
      <c r="L6" s="1161"/>
      <c r="M6" s="1154"/>
      <c r="N6" s="367"/>
      <c r="O6" s="1182"/>
      <c r="P6" s="1185"/>
      <c r="Q6" s="1186"/>
      <c r="R6" s="1192"/>
      <c r="S6" s="638"/>
      <c r="T6" s="786"/>
      <c r="U6" s="1197"/>
      <c r="V6" s="1191"/>
      <c r="W6" s="1196"/>
      <c r="X6" s="395"/>
      <c r="Y6" s="144" t="str">
        <f>IF(F!Y6&lt;&gt;"",F!Y6,)</f>
        <v>Husband job 1</v>
      </c>
      <c r="Z6" s="456">
        <f>F!Z6</f>
        <v>0</v>
      </c>
      <c r="AA6" s="69"/>
      <c r="AB6" s="715"/>
      <c r="AC6" s="877"/>
      <c r="AD6" s="32"/>
      <c r="AE6" s="1224"/>
      <c r="AF6" s="367"/>
      <c r="AG6" s="367"/>
      <c r="AH6" s="367"/>
      <c r="AI6" s="367"/>
      <c r="AJ6" s="367"/>
      <c r="AK6" s="367"/>
      <c r="AL6" s="367"/>
      <c r="AM6" s="367"/>
      <c r="AN6" s="367"/>
      <c r="AO6" s="86"/>
      <c r="AT6" s="52" t="s">
        <v>477</v>
      </c>
    </row>
    <row r="7" spans="1:92" ht="15" customHeight="1" thickBot="1">
      <c r="A7" s="367"/>
      <c r="B7" s="901" t="str">
        <f>IF(F!B7&lt;&gt;"",F!B7,)</f>
        <v>Mortgage Payments</v>
      </c>
      <c r="C7" s="451">
        <f>F!C7</f>
        <v>0</v>
      </c>
      <c r="D7" s="78"/>
      <c r="E7" s="521"/>
      <c r="F7" s="858"/>
      <c r="G7" s="367"/>
      <c r="H7" s="542"/>
      <c r="I7" s="853"/>
      <c r="J7" s="6"/>
      <c r="K7" s="541"/>
      <c r="L7" s="860"/>
      <c r="M7" s="20" t="str">
        <f>IF(J7="","",$M$5-SUM($J$7:J7))</f>
        <v/>
      </c>
      <c r="N7" s="367"/>
      <c r="O7" s="106"/>
      <c r="P7" s="871">
        <f>IF(F!Q7&lt;&gt;F!R7,IF(F!Q7&lt;&gt;0,IF(F!S7&lt;&gt;F!T7,F!P7,),),)</f>
        <v>0</v>
      </c>
      <c r="Q7" s="795">
        <f>IF(F!Q7&lt;&gt;F!R7,IF(F!Q7&lt;&gt;0,IF(F!S7&lt;&gt;F!T7,F!Q7,),),)</f>
        <v>0</v>
      </c>
      <c r="R7" s="628">
        <f>IF(F!Q7&lt;&gt;F!R7,IF(F!Q7&lt;&gt;0,IF(F!S7&lt;&gt;F!T7,0,Q7),Q7),Q7)</f>
        <v>0</v>
      </c>
      <c r="S7" s="796">
        <f>IF(F!Q7&lt;&gt;F!R7,IF(F!Q7&lt;&gt;0,IF(F!S7&lt;&gt;F!T7,F!S7+1,),),)</f>
        <v>0</v>
      </c>
      <c r="T7" s="796">
        <f>IF(F!Q7&lt;&gt;F!R7,IF(F!Q7&lt;&gt;0,IF(F!S7&lt;&gt;F!T7,F!T7,),),)</f>
        <v>0</v>
      </c>
      <c r="U7" s="797">
        <f>IF(F!Q7&lt;&gt;F!R7,IF(F!Q7&lt;&gt;0,IF(F!S7&lt;&gt;F!T7,F!U7,),),)</f>
        <v>0</v>
      </c>
      <c r="V7" s="875">
        <f>IF(F!Q7&lt;&gt;F!R7,IF(F!Q7&lt;&gt;0,IF(F!S7&lt;&gt;F!T7,F!V7,),),)</f>
        <v>0</v>
      </c>
      <c r="W7" s="622">
        <f>IF(Q7="","",$W$5-SUM($Q$7:Q7))</f>
        <v>0</v>
      </c>
      <c r="X7" s="395"/>
      <c r="Y7" s="144" t="str">
        <f>IF(F!Y7&lt;&gt;"",F!Y7,)</f>
        <v>Husband job 2</v>
      </c>
      <c r="Z7" s="456">
        <f>F!Z7</f>
        <v>0</v>
      </c>
      <c r="AA7" s="69"/>
      <c r="AB7" s="521"/>
      <c r="AC7" s="858"/>
      <c r="AD7" s="32"/>
      <c r="AE7" s="1225"/>
      <c r="AF7" s="367"/>
      <c r="AG7" s="367"/>
      <c r="AH7" s="367"/>
      <c r="AI7" s="367"/>
      <c r="AJ7" s="367"/>
      <c r="AK7" s="367"/>
      <c r="AL7" s="367"/>
      <c r="AM7" s="367"/>
      <c r="AN7" s="367"/>
      <c r="AO7" s="86"/>
      <c r="AT7" s="52" t="s">
        <v>478</v>
      </c>
    </row>
    <row r="8" spans="1:92" ht="15" customHeight="1" thickBot="1">
      <c r="A8" s="367"/>
      <c r="B8" s="901" t="str">
        <f>IF(F!B8&lt;&gt;"",F!B8,)</f>
        <v>Mortgage Insurance</v>
      </c>
      <c r="C8" s="451">
        <f>F!C8</f>
        <v>0</v>
      </c>
      <c r="D8" s="78"/>
      <c r="E8" s="521"/>
      <c r="F8" s="858"/>
      <c r="G8" s="367"/>
      <c r="H8" s="543"/>
      <c r="I8" s="853"/>
      <c r="J8" s="6"/>
      <c r="K8" s="541"/>
      <c r="L8" s="860"/>
      <c r="M8" s="20" t="str">
        <f>IF(J8="","",$M$5-SUM($J$7:J8))</f>
        <v/>
      </c>
      <c r="N8" s="367"/>
      <c r="O8" s="7"/>
      <c r="P8" s="872">
        <f>IF(F!Q8&lt;&gt;F!R8,IF(F!Q8&lt;&gt;0,IF(F!S8&lt;&gt;F!T8,F!P8,),),)</f>
        <v>0</v>
      </c>
      <c r="Q8" s="795">
        <f>IF(F!Q8&lt;&gt;F!R8,IF(F!Q8&lt;&gt;0,IF(F!S8&lt;&gt;F!T8,F!Q8,),),)</f>
        <v>0</v>
      </c>
      <c r="R8" s="628">
        <f>IF(F!Q8&lt;&gt;F!R8,IF(F!Q8&lt;&gt;0,IF(F!S8&lt;&gt;F!T8,0,Q8),Q8),Q8)</f>
        <v>0</v>
      </c>
      <c r="S8" s="796">
        <f>IF(F!Q8&lt;&gt;F!R8,IF(F!Q8&lt;&gt;0,IF(F!S8&lt;&gt;F!T8,F!S8+1,),),)</f>
        <v>0</v>
      </c>
      <c r="T8" s="796">
        <f>IF(F!Q8&lt;&gt;F!R8,IF(F!Q8&lt;&gt;0,IF(F!S8&lt;&gt;F!T8,F!T8,),),)</f>
        <v>0</v>
      </c>
      <c r="U8" s="797">
        <f>IF(F!Q8&lt;&gt;F!R8,IF(F!Q8&lt;&gt;0,IF(F!S8&lt;&gt;F!T8,F!U8,),),)</f>
        <v>0</v>
      </c>
      <c r="V8" s="875">
        <f>IF(F!Q8&lt;&gt;F!R8,IF(F!Q8&lt;&gt;0,IF(F!S8&lt;&gt;F!T8,F!V8,),),)</f>
        <v>0</v>
      </c>
      <c r="W8" s="622">
        <f>IF(Q8="","",$W$5-SUM($Q$7:Q8))</f>
        <v>0</v>
      </c>
      <c r="X8" s="395"/>
      <c r="Y8" s="144" t="str">
        <f>IF(F!Y8&lt;&gt;"",F!Y8,)</f>
        <v>Wife job 1</v>
      </c>
      <c r="Z8" s="456">
        <f>F!Z8</f>
        <v>0</v>
      </c>
      <c r="AA8" s="69"/>
      <c r="AB8" s="521"/>
      <c r="AC8" s="858"/>
      <c r="AD8" s="32"/>
      <c r="AE8" s="363">
        <f>(AA17+'Month A'!AA17+B!AA17+'C'!AA17+D!AA17+E!AA17+F!AA17)/AR19</f>
        <v>0</v>
      </c>
      <c r="AF8" s="367"/>
      <c r="AG8" s="367"/>
      <c r="AH8" s="367"/>
      <c r="AI8" s="367"/>
      <c r="AJ8" s="367"/>
      <c r="AK8" s="367"/>
      <c r="AL8" s="367"/>
      <c r="AM8" s="367"/>
      <c r="AN8" s="367"/>
      <c r="AO8" s="86"/>
      <c r="AT8" s="52" t="s">
        <v>480</v>
      </c>
    </row>
    <row r="9" spans="1:92" ht="15" customHeight="1" thickBot="1">
      <c r="A9" s="367"/>
      <c r="B9" s="901" t="str">
        <f>IF(F!B9&lt;&gt;"",F!B9,)</f>
        <v>Rent</v>
      </c>
      <c r="C9" s="451">
        <f>F!C9</f>
        <v>0</v>
      </c>
      <c r="D9" s="78"/>
      <c r="E9" s="521"/>
      <c r="F9" s="858"/>
      <c r="G9" s="367"/>
      <c r="H9" s="543"/>
      <c r="I9" s="853"/>
      <c r="J9" s="6"/>
      <c r="K9" s="541"/>
      <c r="L9" s="860"/>
      <c r="M9" s="20" t="str">
        <f>IF(J9="","",$M$5-SUM($J$7:J9))</f>
        <v/>
      </c>
      <c r="N9" s="367"/>
      <c r="O9" s="7"/>
      <c r="P9" s="871">
        <f>IF(F!Q9&lt;&gt;F!R9,IF(F!Q9&lt;&gt;0,IF(F!S9&lt;&gt;F!T9,F!P9,),),)</f>
        <v>0</v>
      </c>
      <c r="Q9" s="795">
        <f>IF(F!Q9&lt;&gt;F!R9,IF(F!Q9&lt;&gt;0,IF(F!S9&lt;&gt;F!T9,F!Q9,),),)</f>
        <v>0</v>
      </c>
      <c r="R9" s="628">
        <f>IF(F!Q9&lt;&gt;F!R9,IF(F!Q9&lt;&gt;0,IF(F!S9&lt;&gt;F!T9,0,Q9),Q9),Q9)</f>
        <v>0</v>
      </c>
      <c r="S9" s="796">
        <f>IF(F!Q9&lt;&gt;F!R9,IF(F!Q9&lt;&gt;0,IF(F!S9&lt;&gt;F!T9,F!S9+1,),),)</f>
        <v>0</v>
      </c>
      <c r="T9" s="796">
        <f>IF(F!Q9&lt;&gt;F!R9,IF(F!Q9&lt;&gt;0,IF(F!S9&lt;&gt;F!T9,F!T9,),),)</f>
        <v>0</v>
      </c>
      <c r="U9" s="797">
        <f>IF(F!Q9&lt;&gt;F!R9,IF(F!Q9&lt;&gt;0,IF(F!S9&lt;&gt;F!T9,F!U9,),),)</f>
        <v>0</v>
      </c>
      <c r="V9" s="875">
        <f>IF(F!Q9&lt;&gt;F!R9,IF(F!Q9&lt;&gt;0,IF(F!S9&lt;&gt;F!T9,F!V9,),),)</f>
        <v>0</v>
      </c>
      <c r="W9" s="622">
        <f>IF(Q9="","",$W$5-SUM($Q$7:Q9))</f>
        <v>0</v>
      </c>
      <c r="X9" s="395"/>
      <c r="Y9" s="144" t="str">
        <f>IF(F!Y9&lt;&gt;"",F!Y9,)</f>
        <v>Wife job 2</v>
      </c>
      <c r="Z9" s="456">
        <f>F!Z9</f>
        <v>0</v>
      </c>
      <c r="AA9" s="69"/>
      <c r="AB9" s="521"/>
      <c r="AC9" s="858"/>
      <c r="AD9" s="32"/>
      <c r="AE9" s="404"/>
      <c r="AF9" s="367"/>
      <c r="AG9" s="367"/>
      <c r="AH9" s="367"/>
      <c r="AI9" s="367"/>
      <c r="AJ9" s="367"/>
      <c r="AK9" s="367"/>
      <c r="AL9" s="367"/>
      <c r="AM9" s="367"/>
      <c r="AN9" s="367"/>
      <c r="AO9" s="86"/>
      <c r="AT9" s="52" t="s">
        <v>479</v>
      </c>
    </row>
    <row r="10" spans="1:92" ht="15" customHeight="1">
      <c r="A10" s="367"/>
      <c r="B10" s="902" t="str">
        <f>IF(F!B10&lt;&gt;"",F!B10,)</f>
        <v>Town Taxes / Maintenance Fees</v>
      </c>
      <c r="C10" s="451">
        <f>F!C10</f>
        <v>0</v>
      </c>
      <c r="D10" s="79"/>
      <c r="E10" s="522"/>
      <c r="F10" s="859"/>
      <c r="G10" s="367"/>
      <c r="H10" s="543"/>
      <c r="I10" s="853"/>
      <c r="J10" s="6"/>
      <c r="K10" s="541"/>
      <c r="L10" s="860"/>
      <c r="M10" s="20" t="str">
        <f>IF(J10="","",$M$5-SUM($J$7:J10))</f>
        <v/>
      </c>
      <c r="N10" s="367"/>
      <c r="O10" s="7"/>
      <c r="P10" s="871">
        <f>IF(F!Q10&lt;&gt;F!R10,IF(F!Q10&lt;&gt;0,IF(F!S10&lt;&gt;F!T10,F!P10,),),)</f>
        <v>0</v>
      </c>
      <c r="Q10" s="798">
        <f>IF(F!Q10&lt;&gt;F!R10,IF(F!Q10&lt;&gt;0,IF(F!S10&lt;&gt;F!T10,F!Q10,),),)</f>
        <v>0</v>
      </c>
      <c r="R10" s="628">
        <f>IF(F!Q10&lt;&gt;F!R10,IF(F!Q10&lt;&gt;0,IF(F!S10&lt;&gt;F!T10,0,Q10),Q10),Q10)</f>
        <v>0</v>
      </c>
      <c r="S10" s="796">
        <f>IF(F!Q10&lt;&gt;F!R10,IF(F!Q10&lt;&gt;0,IF(F!S10&lt;&gt;F!T10,F!S10+1,),),)</f>
        <v>0</v>
      </c>
      <c r="T10" s="796">
        <f>IF(F!Q10&lt;&gt;F!R10,IF(F!Q10&lt;&gt;0,IF(F!S10&lt;&gt;F!T10,F!T10,),),)</f>
        <v>0</v>
      </c>
      <c r="U10" s="797">
        <f>IF(F!Q10&lt;&gt;F!R10,IF(F!Q10&lt;&gt;0,IF(F!S10&lt;&gt;F!T10,F!U10,),),)</f>
        <v>0</v>
      </c>
      <c r="V10" s="875">
        <f>IF(F!Q10&lt;&gt;F!R10,IF(F!Q10&lt;&gt;0,IF(F!S10&lt;&gt;F!T10,F!V10,),),)</f>
        <v>0</v>
      </c>
      <c r="W10" s="624">
        <f>IF(Q10="","",$W$5-SUM($Q$7:Q10))</f>
        <v>0</v>
      </c>
      <c r="X10" s="621"/>
      <c r="Y10" s="144" t="str">
        <f>IF(F!Y10&lt;&gt;"",F!Y10,)</f>
        <v>National Social Security for Children</v>
      </c>
      <c r="Z10" s="456">
        <f>F!Z10</f>
        <v>0</v>
      </c>
      <c r="AA10" s="69"/>
      <c r="AB10" s="522"/>
      <c r="AC10" s="859"/>
      <c r="AD10" s="32"/>
      <c r="AE10" s="1226" t="s">
        <v>366</v>
      </c>
      <c r="AF10" s="367"/>
      <c r="AG10" s="367"/>
      <c r="AH10" s="367"/>
      <c r="AI10" s="367"/>
      <c r="AJ10" s="367"/>
      <c r="AK10" s="367"/>
      <c r="AL10" s="367"/>
      <c r="AM10" s="367"/>
      <c r="AN10" s="367"/>
      <c r="AO10" s="86"/>
    </row>
    <row r="11" spans="1:92" ht="15" customHeight="1" thickBot="1">
      <c r="A11" s="367"/>
      <c r="B11" s="901" t="str">
        <f>IF(F!B11&lt;&gt;"",F!B11,)</f>
        <v xml:space="preserve">Insurance (excl. car) </v>
      </c>
      <c r="C11" s="451">
        <f>F!C11</f>
        <v>0</v>
      </c>
      <c r="D11" s="78"/>
      <c r="E11" s="521"/>
      <c r="F11" s="858"/>
      <c r="G11" s="367"/>
      <c r="H11" s="543"/>
      <c r="I11" s="853"/>
      <c r="J11" s="6"/>
      <c r="K11" s="541"/>
      <c r="L11" s="860"/>
      <c r="M11" s="20" t="str">
        <f>IF(J11="","",$M$5-SUM($J$7:J11))</f>
        <v/>
      </c>
      <c r="N11" s="367"/>
      <c r="O11" s="7"/>
      <c r="P11" s="871">
        <f>IF(F!Q11&lt;&gt;F!R11,IF(F!Q11&lt;&gt;0,IF(F!S11&lt;&gt;F!T11,F!P11,),),)</f>
        <v>0</v>
      </c>
      <c r="Q11" s="795">
        <f>IF(F!Q11&lt;&gt;F!R11,IF(F!Q11&lt;&gt;0,IF(F!S11&lt;&gt;F!T11,F!Q11,),),)</f>
        <v>0</v>
      </c>
      <c r="R11" s="628">
        <f>IF(F!Q11&lt;&gt;F!R11,IF(F!Q11&lt;&gt;0,IF(F!S11&lt;&gt;F!T11,0,Q11),Q11),Q11)</f>
        <v>0</v>
      </c>
      <c r="S11" s="796">
        <f>IF(F!Q11&lt;&gt;F!R11,IF(F!Q11&lt;&gt;0,IF(F!S11&lt;&gt;F!T11,F!S11+1,),),)</f>
        <v>0</v>
      </c>
      <c r="T11" s="796">
        <f>IF(F!Q11&lt;&gt;F!R11,IF(F!Q11&lt;&gt;0,IF(F!S11&lt;&gt;F!T11,F!T11,),),)</f>
        <v>0</v>
      </c>
      <c r="U11" s="797">
        <f>IF(F!Q11&lt;&gt;F!R11,IF(F!Q11&lt;&gt;0,IF(F!S11&lt;&gt;F!T11,F!U11,),),)</f>
        <v>0</v>
      </c>
      <c r="V11" s="875">
        <f>IF(F!Q11&lt;&gt;F!R11,IF(F!Q11&lt;&gt;0,IF(F!S11&lt;&gt;F!T11,F!V11,),),)</f>
        <v>0</v>
      </c>
      <c r="W11" s="622">
        <f>IF(Q11="","",$W$5-SUM($Q$7:Q11))</f>
        <v>0</v>
      </c>
      <c r="X11" s="395"/>
      <c r="Y11" s="144" t="str">
        <f>IF(F!Y11&lt;&gt;"",F!Y11,)</f>
        <v>other Allowances</v>
      </c>
      <c r="Z11" s="456">
        <f>F!Z11</f>
        <v>0</v>
      </c>
      <c r="AA11" s="69"/>
      <c r="AB11" s="521"/>
      <c r="AC11" s="858"/>
      <c r="AD11" s="32"/>
      <c r="AE11" s="1227"/>
      <c r="AF11" s="367"/>
      <c r="AG11" s="367"/>
      <c r="AH11" s="367"/>
      <c r="AI11" s="367"/>
      <c r="AJ11" s="367"/>
      <c r="AK11" s="367"/>
      <c r="AL11" s="367"/>
      <c r="AM11" s="367"/>
      <c r="AN11" s="367"/>
      <c r="AO11" s="86"/>
    </row>
    <row r="12" spans="1:92" ht="15" customHeight="1" thickBot="1">
      <c r="A12" s="367"/>
      <c r="B12" s="901" t="str">
        <f>IF(F!B12&lt;&gt;"",F!B12,)</f>
        <v>Bank Savings Program</v>
      </c>
      <c r="C12" s="451">
        <f>F!C12</f>
        <v>0</v>
      </c>
      <c r="D12" s="78"/>
      <c r="E12" s="521"/>
      <c r="F12" s="858"/>
      <c r="G12" s="367"/>
      <c r="H12" s="543"/>
      <c r="I12" s="853"/>
      <c r="J12" s="6"/>
      <c r="K12" s="541"/>
      <c r="L12" s="860"/>
      <c r="M12" s="20" t="str">
        <f>IF(J12="","",$M$5-SUM($J$7:J12))</f>
        <v/>
      </c>
      <c r="N12" s="367"/>
      <c r="O12" s="7"/>
      <c r="P12" s="871">
        <f>IF(F!Q12&lt;&gt;F!R12,IF(F!Q12&lt;&gt;0,IF(F!S12&lt;&gt;F!T12,F!P12,),),)</f>
        <v>0</v>
      </c>
      <c r="Q12" s="795">
        <f>IF(F!Q12&lt;&gt;F!R12,IF(F!Q12&lt;&gt;0,IF(F!S12&lt;&gt;F!T12,F!Q12,),),)</f>
        <v>0</v>
      </c>
      <c r="R12" s="628">
        <f>IF(F!Q12&lt;&gt;F!R12,IF(F!Q12&lt;&gt;0,IF(F!S12&lt;&gt;F!T12,0,Q12),Q12),Q12)</f>
        <v>0</v>
      </c>
      <c r="S12" s="796">
        <f>IF(F!Q12&lt;&gt;F!R12,IF(F!Q12&lt;&gt;0,IF(F!S12&lt;&gt;F!T12,F!S12+1,),),)</f>
        <v>0</v>
      </c>
      <c r="T12" s="796">
        <f>IF(F!Q12&lt;&gt;F!R12,IF(F!Q12&lt;&gt;0,IF(F!S12&lt;&gt;F!T12,F!T12,),),)</f>
        <v>0</v>
      </c>
      <c r="U12" s="797">
        <f>IF(F!Q12&lt;&gt;F!R12,IF(F!Q12&lt;&gt;0,IF(F!S12&lt;&gt;F!T12,F!U12,),),)</f>
        <v>0</v>
      </c>
      <c r="V12" s="875">
        <f>IF(F!Q12&lt;&gt;F!R12,IF(F!Q12&lt;&gt;0,IF(F!S12&lt;&gt;F!T12,F!V12,),),)</f>
        <v>0</v>
      </c>
      <c r="W12" s="622">
        <f>IF(Q12="","",$W$5-SUM($Q$7:Q12))</f>
        <v>0</v>
      </c>
      <c r="X12" s="395"/>
      <c r="Y12" s="144" t="str">
        <f>IF(F!Y12&lt;&gt;"",F!Y12,)</f>
        <v>Rent Assistance</v>
      </c>
      <c r="Z12" s="456">
        <f>F!Z12</f>
        <v>0</v>
      </c>
      <c r="AA12" s="69"/>
      <c r="AB12" s="521"/>
      <c r="AC12" s="858"/>
      <c r="AD12" s="32"/>
      <c r="AE12" s="1228"/>
      <c r="AF12" s="367"/>
      <c r="AG12" s="367"/>
      <c r="AH12" s="367"/>
      <c r="AI12" s="367"/>
      <c r="AJ12" s="367"/>
      <c r="AK12" s="367"/>
      <c r="AL12" s="367"/>
      <c r="AM12" s="367"/>
      <c r="AN12" s="367"/>
      <c r="AO12" s="86"/>
      <c r="AP12" s="1138" t="s">
        <v>20</v>
      </c>
      <c r="AQ12" s="1139"/>
      <c r="AR12" s="1139"/>
      <c r="AS12" s="1139"/>
      <c r="AT12" s="1139"/>
      <c r="AU12" s="1139"/>
      <c r="AV12" s="1139"/>
      <c r="AW12" s="1139"/>
      <c r="AX12" s="1140"/>
    </row>
    <row r="13" spans="1:92" ht="15" customHeight="1" thickBot="1">
      <c r="A13" s="367"/>
      <c r="B13" s="901" t="str">
        <f>IF(F!B13&lt;&gt;"",F!B13,)</f>
        <v>Subscriptions</v>
      </c>
      <c r="C13" s="451">
        <f>F!C13</f>
        <v>0</v>
      </c>
      <c r="D13" s="78"/>
      <c r="E13" s="521"/>
      <c r="F13" s="858"/>
      <c r="G13" s="367"/>
      <c r="H13" s="543"/>
      <c r="I13" s="853"/>
      <c r="J13" s="6"/>
      <c r="K13" s="541"/>
      <c r="L13" s="860"/>
      <c r="M13" s="20" t="str">
        <f>IF(J13="","",$M$5-SUM($J$7:J13))</f>
        <v/>
      </c>
      <c r="N13" s="367"/>
      <c r="O13" s="7"/>
      <c r="P13" s="871">
        <f>IF(F!Q13&lt;&gt;F!R13,IF(F!Q13&lt;&gt;0,IF(F!S13&lt;&gt;F!T13,F!P13,),),)</f>
        <v>0</v>
      </c>
      <c r="Q13" s="795">
        <f>IF(F!Q13&lt;&gt;F!R13,IF(F!Q13&lt;&gt;0,IF(F!S13&lt;&gt;F!T13,F!Q13,),),)</f>
        <v>0</v>
      </c>
      <c r="R13" s="628">
        <f>IF(F!Q13&lt;&gt;F!R13,IF(F!Q13&lt;&gt;0,IF(F!S13&lt;&gt;F!T13,0,Q13),Q13),Q13)</f>
        <v>0</v>
      </c>
      <c r="S13" s="796">
        <f>IF(F!Q13&lt;&gt;F!R13,IF(F!Q13&lt;&gt;0,IF(F!S13&lt;&gt;F!T13,F!S13+1,),),)</f>
        <v>0</v>
      </c>
      <c r="T13" s="796">
        <f>IF(F!Q13&lt;&gt;F!R13,IF(F!Q13&lt;&gt;0,IF(F!S13&lt;&gt;F!T13,F!T13,),),)</f>
        <v>0</v>
      </c>
      <c r="U13" s="797">
        <f>IF(F!Q13&lt;&gt;F!R13,IF(F!Q13&lt;&gt;0,IF(F!S13&lt;&gt;F!T13,F!U13,),),)</f>
        <v>0</v>
      </c>
      <c r="V13" s="875">
        <f>IF(F!Q13&lt;&gt;F!R13,IF(F!Q13&lt;&gt;0,IF(F!S13&lt;&gt;F!T13,F!V13,),),)</f>
        <v>0</v>
      </c>
      <c r="W13" s="622">
        <f>IF(Q13="","",$W$5-SUM($Q$7:Q13))</f>
        <v>0</v>
      </c>
      <c r="X13" s="395"/>
      <c r="Y13" s="144" t="str">
        <f>IF(F!Y13&lt;&gt;"",F!Y13,)</f>
        <v>Food Packages</v>
      </c>
      <c r="Z13" s="456">
        <f>F!Z13</f>
        <v>0</v>
      </c>
      <c r="AA13" s="69"/>
      <c r="AB13" s="521"/>
      <c r="AC13" s="858"/>
      <c r="AD13" s="32"/>
      <c r="AE13" s="363">
        <f>AA18+'Month A'!AA18+B!AA18+'C'!AA18+D!AA18+E!AA18+F!AA18</f>
        <v>0</v>
      </c>
      <c r="AF13" s="367"/>
      <c r="AG13" s="367"/>
      <c r="AH13" s="367"/>
      <c r="AI13" s="367"/>
      <c r="AJ13" s="367"/>
      <c r="AK13" s="367"/>
      <c r="AL13" s="367"/>
      <c r="AM13" s="367"/>
      <c r="AN13" s="367"/>
      <c r="AO13" s="86"/>
    </row>
    <row r="14" spans="1:92" ht="15" customHeight="1">
      <c r="A14" s="367"/>
      <c r="B14" s="901" t="str">
        <f>IF(F!B14&lt;&gt;"",F!B14,)</f>
        <v>Donations</v>
      </c>
      <c r="C14" s="451">
        <f>F!C14</f>
        <v>0</v>
      </c>
      <c r="D14" s="78"/>
      <c r="E14" s="521"/>
      <c r="F14" s="858"/>
      <c r="G14" s="367"/>
      <c r="H14" s="543"/>
      <c r="I14" s="853"/>
      <c r="J14" s="6"/>
      <c r="K14" s="541"/>
      <c r="L14" s="860"/>
      <c r="M14" s="20" t="str">
        <f>IF(J14="","",$M$5-SUM($J$7:J14))</f>
        <v/>
      </c>
      <c r="N14" s="367"/>
      <c r="O14" s="7"/>
      <c r="P14" s="871">
        <f>IF(F!Q14&lt;&gt;F!R14,IF(F!Q14&lt;&gt;0,IF(F!S14&lt;&gt;F!T14,F!P14,),),)</f>
        <v>0</v>
      </c>
      <c r="Q14" s="795">
        <f>IF(F!Q14&lt;&gt;F!R14,IF(F!Q14&lt;&gt;0,IF(F!S14&lt;&gt;F!T14,F!Q14,),),)</f>
        <v>0</v>
      </c>
      <c r="R14" s="628">
        <f>IF(F!Q14&lt;&gt;F!R14,IF(F!Q14&lt;&gt;0,IF(F!S14&lt;&gt;F!T14,0,Q14),Q14),Q14)</f>
        <v>0</v>
      </c>
      <c r="S14" s="796">
        <f>IF(F!Q14&lt;&gt;F!R14,IF(F!Q14&lt;&gt;0,IF(F!S14&lt;&gt;F!T14,F!S14+1,),),)</f>
        <v>0</v>
      </c>
      <c r="T14" s="796">
        <f>IF(F!Q14&lt;&gt;F!R14,IF(F!Q14&lt;&gt;0,IF(F!S14&lt;&gt;F!T14,F!T14,),),)</f>
        <v>0</v>
      </c>
      <c r="U14" s="797">
        <f>IF(F!Q14&lt;&gt;F!R14,IF(F!Q14&lt;&gt;0,IF(F!S14&lt;&gt;F!T14,F!U14,),),)</f>
        <v>0</v>
      </c>
      <c r="V14" s="875">
        <f>IF(F!Q14&lt;&gt;F!R14,IF(F!Q14&lt;&gt;0,IF(F!S14&lt;&gt;F!T14,F!V14,),),)</f>
        <v>0</v>
      </c>
      <c r="W14" s="622">
        <f>IF(Q14="","",$W$5-SUM($Q$7:Q14))</f>
        <v>0</v>
      </c>
      <c r="X14" s="395"/>
      <c r="Y14" s="144" t="str">
        <f>IF(F!Y14&lt;&gt;"",F!Y14,)</f>
        <v>Income from Property</v>
      </c>
      <c r="Z14" s="456">
        <f>F!Z14</f>
        <v>0</v>
      </c>
      <c r="AA14" s="69"/>
      <c r="AB14" s="521"/>
      <c r="AC14" s="858"/>
      <c r="AD14" s="32"/>
      <c r="AE14" s="403"/>
      <c r="AF14" s="367"/>
      <c r="AG14" s="367"/>
      <c r="AH14" s="367"/>
      <c r="AI14" s="367"/>
      <c r="AJ14" s="367"/>
      <c r="AK14" s="367"/>
      <c r="AL14" s="367"/>
      <c r="AM14" s="367"/>
      <c r="AN14" s="367"/>
      <c r="AO14" s="86"/>
      <c r="AW14" s="52" t="s">
        <v>12</v>
      </c>
    </row>
    <row r="15" spans="1:92" ht="15" customHeight="1">
      <c r="A15" s="367"/>
      <c r="B15" s="901">
        <f>IF(F!B15&lt;&gt;"",F!B15,)</f>
        <v>0</v>
      </c>
      <c r="C15" s="451">
        <f>F!C15</f>
        <v>0</v>
      </c>
      <c r="D15" s="78"/>
      <c r="E15" s="521"/>
      <c r="F15" s="858"/>
      <c r="G15" s="367"/>
      <c r="H15" s="543"/>
      <c r="I15" s="853"/>
      <c r="J15" s="6"/>
      <c r="K15" s="541"/>
      <c r="L15" s="860"/>
      <c r="M15" s="20" t="str">
        <f>IF(J15="","",$M$5-SUM($J$7:J15))</f>
        <v/>
      </c>
      <c r="N15" s="367"/>
      <c r="O15" s="7"/>
      <c r="P15" s="871">
        <f>IF(F!Q15&lt;&gt;F!R15,IF(F!Q15&lt;&gt;0,IF(F!S15&lt;&gt;F!T15,F!P15,),),)</f>
        <v>0</v>
      </c>
      <c r="Q15" s="795">
        <f>IF(F!Q15&lt;&gt;F!R15,IF(F!Q15&lt;&gt;0,IF(F!S15&lt;&gt;F!T15,F!Q15,),),)</f>
        <v>0</v>
      </c>
      <c r="R15" s="628">
        <f>IF(F!Q15&lt;&gt;F!R15,IF(F!Q15&lt;&gt;0,IF(F!S15&lt;&gt;F!T15,0,Q15),Q15),Q15)</f>
        <v>0</v>
      </c>
      <c r="S15" s="796">
        <f>IF(F!Q15&lt;&gt;F!R15,IF(F!Q15&lt;&gt;0,IF(F!S15&lt;&gt;F!T15,F!S15+1,),),)</f>
        <v>0</v>
      </c>
      <c r="T15" s="796">
        <f>IF(F!Q15&lt;&gt;F!R15,IF(F!Q15&lt;&gt;0,IF(F!S15&lt;&gt;F!T15,F!T15,),),)</f>
        <v>0</v>
      </c>
      <c r="U15" s="797">
        <f>IF(F!Q15&lt;&gt;F!R15,IF(F!Q15&lt;&gt;0,IF(F!S15&lt;&gt;F!T15,F!U15,),),)</f>
        <v>0</v>
      </c>
      <c r="V15" s="875">
        <f>IF(F!Q15&lt;&gt;F!R15,IF(F!Q15&lt;&gt;0,IF(F!S15&lt;&gt;F!T15,F!V15,),),)</f>
        <v>0</v>
      </c>
      <c r="W15" s="625">
        <f>IF(Q15="","",$W$5-SUM($Q$7:Q15))</f>
        <v>0</v>
      </c>
      <c r="X15" s="621"/>
      <c r="Y15" s="144" t="str">
        <f>IF(F!Y15&lt;&gt;"",F!Y15,)</f>
        <v>Help from parents</v>
      </c>
      <c r="Z15" s="456">
        <f>F!Z15</f>
        <v>0</v>
      </c>
      <c r="AA15" s="69"/>
      <c r="AB15" s="521"/>
      <c r="AC15" s="858"/>
      <c r="AD15" s="32"/>
      <c r="AE15" s="1137" t="str">
        <f>IF(COUNTIF(AE23:AE44,"&lt;0")&gt;0,"Over yearly budget!
Take an action from the options to your right.","")</f>
        <v/>
      </c>
      <c r="AF15" s="367"/>
      <c r="AG15" s="367"/>
      <c r="AH15" s="367"/>
      <c r="AI15" s="367"/>
      <c r="AJ15" s="367"/>
      <c r="AK15" s="367"/>
      <c r="AL15" s="367"/>
      <c r="AM15" s="367"/>
      <c r="AN15" s="367"/>
      <c r="AO15" s="86"/>
      <c r="AW15" s="52" t="s">
        <v>13</v>
      </c>
    </row>
    <row r="16" spans="1:92" ht="15" customHeight="1">
      <c r="A16" s="367"/>
      <c r="B16" s="849">
        <f>IF(F!B16&lt;&gt;"",F!B16,)</f>
        <v>0</v>
      </c>
      <c r="C16" s="451">
        <f>F!C16</f>
        <v>0</v>
      </c>
      <c r="D16" s="78"/>
      <c r="E16" s="521"/>
      <c r="F16" s="858"/>
      <c r="G16" s="367"/>
      <c r="H16" s="543"/>
      <c r="I16" s="853"/>
      <c r="J16" s="6"/>
      <c r="K16" s="541"/>
      <c r="L16" s="860"/>
      <c r="M16" s="20" t="str">
        <f>IF(J16="","",$M$5-SUM($J$7:J16))</f>
        <v/>
      </c>
      <c r="N16" s="367"/>
      <c r="O16" s="7"/>
      <c r="P16" s="873">
        <f>IF(F!Q16&lt;&gt;F!R16,IF(F!Q16&lt;&gt;0,IF(F!S16&lt;&gt;F!T16,F!P16,),),)</f>
        <v>0</v>
      </c>
      <c r="Q16" s="795">
        <f>IF(F!Q16&lt;&gt;F!R16,IF(F!Q16&lt;&gt;0,IF(F!S16&lt;&gt;F!T16,F!Q16,),),)</f>
        <v>0</v>
      </c>
      <c r="R16" s="628">
        <f>IF(F!Q16&lt;&gt;F!R16,IF(F!Q16&lt;&gt;0,IF(F!S16&lt;&gt;F!T16,0,Q16),Q16),Q16)</f>
        <v>0</v>
      </c>
      <c r="S16" s="796">
        <f>IF(F!Q16&lt;&gt;F!R16,IF(F!Q16&lt;&gt;0,IF(F!S16&lt;&gt;F!T16,F!S16+1,),),)</f>
        <v>0</v>
      </c>
      <c r="T16" s="796">
        <f>IF(F!Q16&lt;&gt;F!R16,IF(F!Q16&lt;&gt;0,IF(F!S16&lt;&gt;F!T16,F!T16,),),)</f>
        <v>0</v>
      </c>
      <c r="U16" s="797">
        <f>IF(F!Q16&lt;&gt;F!R16,IF(F!Q16&lt;&gt;0,IF(F!S16&lt;&gt;F!T16,F!U16,),),)</f>
        <v>0</v>
      </c>
      <c r="V16" s="875">
        <f>IF(F!Q16&lt;&gt;F!R16,IF(F!Q16&lt;&gt;0,IF(F!S16&lt;&gt;F!T16,F!V16,),),)</f>
        <v>0</v>
      </c>
      <c r="W16" s="622">
        <f>IF(Q16="","",$W$5-SUM($Q$7:Q16))</f>
        <v>0</v>
      </c>
      <c r="X16" s="395"/>
      <c r="Y16" s="144" t="str">
        <f>IF(F!Y16&lt;&gt;"",F!Y16,)</f>
        <v>Other Income</v>
      </c>
      <c r="Z16" s="456">
        <f>F!Z16</f>
        <v>0</v>
      </c>
      <c r="AA16" s="69"/>
      <c r="AB16" s="645"/>
      <c r="AC16" s="870"/>
      <c r="AD16" s="32"/>
      <c r="AE16" s="1137"/>
      <c r="AF16" s="367"/>
      <c r="AG16" s="367"/>
      <c r="AH16" s="367"/>
      <c r="AI16" s="367"/>
      <c r="AJ16" s="367"/>
      <c r="AK16" s="367"/>
      <c r="AL16" s="367"/>
      <c r="AM16" s="367"/>
      <c r="AN16" s="367"/>
      <c r="AO16" s="86"/>
      <c r="AW16" s="90">
        <f>13-AR19</f>
        <v>6</v>
      </c>
    </row>
    <row r="17" spans="1:63" ht="15" customHeight="1">
      <c r="A17" s="367"/>
      <c r="B17" s="849">
        <f>IF(F!B17&lt;&gt;"",F!B17,)</f>
        <v>0</v>
      </c>
      <c r="C17" s="451">
        <f>F!C17</f>
        <v>0</v>
      </c>
      <c r="D17" s="78"/>
      <c r="E17" s="521"/>
      <c r="F17" s="858"/>
      <c r="G17" s="367"/>
      <c r="H17" s="543"/>
      <c r="I17" s="853"/>
      <c r="J17" s="6"/>
      <c r="K17" s="541"/>
      <c r="L17" s="860"/>
      <c r="M17" s="20" t="str">
        <f>IF(J17="","",$M$5-SUM($J$7:J17))</f>
        <v/>
      </c>
      <c r="N17" s="367"/>
      <c r="O17" s="7"/>
      <c r="P17" s="871">
        <f>IF(F!Q17&lt;&gt;F!R17,IF(F!Q17&lt;&gt;0,IF(F!S17&lt;&gt;F!T17,F!P17,),),)</f>
        <v>0</v>
      </c>
      <c r="Q17" s="795">
        <f>IF(F!Q17&lt;&gt;F!R17,IF(F!Q17&lt;&gt;0,IF(F!S17&lt;&gt;F!T17,F!Q17,),),)</f>
        <v>0</v>
      </c>
      <c r="R17" s="628">
        <f>IF(F!Q17&lt;&gt;F!R17,IF(F!Q17&lt;&gt;0,IF(F!S17&lt;&gt;F!T17,0,Q17),Q17),Q17)</f>
        <v>0</v>
      </c>
      <c r="S17" s="796">
        <f>IF(F!Q17&lt;&gt;F!R17,IF(F!Q17&lt;&gt;0,IF(F!S17&lt;&gt;F!T17,F!S17+1,),),)</f>
        <v>0</v>
      </c>
      <c r="T17" s="796">
        <f>IF(F!Q17&lt;&gt;F!R17,IF(F!Q17&lt;&gt;0,IF(F!S17&lt;&gt;F!T17,F!T17,),),)</f>
        <v>0</v>
      </c>
      <c r="U17" s="797">
        <f>IF(F!Q17&lt;&gt;F!R17,IF(F!Q17&lt;&gt;0,IF(F!S17&lt;&gt;F!T17,F!U17,),),)</f>
        <v>0</v>
      </c>
      <c r="V17" s="875">
        <f>IF(F!Q17&lt;&gt;F!R17,IF(F!Q17&lt;&gt;0,IF(F!S17&lt;&gt;F!T17,F!V17,),),)</f>
        <v>0</v>
      </c>
      <c r="W17" s="624">
        <f>IF(Q17="","",$W$5-SUM($Q$7:Q17))</f>
        <v>0</v>
      </c>
      <c r="X17" s="621"/>
      <c r="Y17" s="18" t="s">
        <v>179</v>
      </c>
      <c r="Z17" s="17">
        <f>SUM(Z6:Z16)</f>
        <v>0</v>
      </c>
      <c r="AA17" s="19">
        <f>SUM(AA6:AA16)</f>
        <v>0</v>
      </c>
      <c r="AB17" s="642"/>
      <c r="AC17" s="642"/>
      <c r="AD17" s="33"/>
      <c r="AE17" s="1137"/>
      <c r="AF17" s="367"/>
      <c r="AG17" s="367"/>
      <c r="AH17" s="367"/>
      <c r="AI17" s="367"/>
      <c r="AJ17" s="367"/>
      <c r="AK17" s="367"/>
      <c r="AL17" s="367"/>
      <c r="AM17" s="367"/>
      <c r="AN17" s="367"/>
      <c r="AO17" s="86"/>
    </row>
    <row r="18" spans="1:63" ht="15" customHeight="1" thickBot="1">
      <c r="A18" s="367"/>
      <c r="B18" s="16" t="s">
        <v>179</v>
      </c>
      <c r="C18" s="77">
        <f>SUM(C7:C17)</f>
        <v>0</v>
      </c>
      <c r="D18" s="75">
        <f>SUM(D7:D17)</f>
        <v>0</v>
      </c>
      <c r="E18" s="515"/>
      <c r="F18" s="515"/>
      <c r="G18" s="367"/>
      <c r="H18" s="543"/>
      <c r="I18" s="853"/>
      <c r="J18" s="6"/>
      <c r="K18" s="541"/>
      <c r="L18" s="860"/>
      <c r="M18" s="20" t="str">
        <f>IF(J18="","",$M$5-SUM($J$7:J18))</f>
        <v/>
      </c>
      <c r="N18" s="367"/>
      <c r="O18" s="7"/>
      <c r="P18" s="873">
        <f>IF(F!Q18&lt;&gt;F!R18,IF(F!Q18&lt;&gt;0,IF(F!S18&lt;&gt;F!T18,F!P18,),),)</f>
        <v>0</v>
      </c>
      <c r="Q18" s="795">
        <f>IF(F!Q18&lt;&gt;F!R18,IF(F!Q18&lt;&gt;0,IF(F!S18&lt;&gt;F!T18,F!Q18,),),)</f>
        <v>0</v>
      </c>
      <c r="R18" s="628">
        <f>IF(F!Q18&lt;&gt;F!R18,IF(F!Q18&lt;&gt;0,IF(F!S18&lt;&gt;F!T18,0,Q18),Q18),Q18)</f>
        <v>0</v>
      </c>
      <c r="S18" s="796">
        <f>IF(F!Q18&lt;&gt;F!R18,IF(F!Q18&lt;&gt;0,IF(F!S18&lt;&gt;F!T18,F!S18+1,),),)</f>
        <v>0</v>
      </c>
      <c r="T18" s="796">
        <f>IF(F!Q18&lt;&gt;F!R18,IF(F!Q18&lt;&gt;0,IF(F!S18&lt;&gt;F!T18,F!T18,),),)</f>
        <v>0</v>
      </c>
      <c r="U18" s="797">
        <f>IF(F!Q18&lt;&gt;F!R18,IF(F!Q18&lt;&gt;0,IF(F!S18&lt;&gt;F!T18,F!U18,),),)</f>
        <v>0</v>
      </c>
      <c r="V18" s="875">
        <f>IF(F!Q18&lt;&gt;F!R18,IF(F!Q18&lt;&gt;0,IF(F!S18&lt;&gt;F!T18,F!V18,),),)</f>
        <v>0</v>
      </c>
      <c r="W18" s="622">
        <f>IF(Q18="","",$W$5-SUM($Q$7:Q18))</f>
        <v>0</v>
      </c>
      <c r="X18" s="395"/>
      <c r="Y18" s="1204" t="s">
        <v>367</v>
      </c>
      <c r="Z18" s="1205"/>
      <c r="AA18" s="121">
        <f>AA17-AA4</f>
        <v>0</v>
      </c>
      <c r="AB18" s="643"/>
      <c r="AC18" s="643"/>
      <c r="AD18" s="34"/>
      <c r="AE18" s="1137"/>
      <c r="AF18" s="367"/>
      <c r="AG18" s="376"/>
      <c r="AH18" s="885" t="s">
        <v>401</v>
      </c>
      <c r="AI18" s="367"/>
      <c r="AJ18" s="367"/>
      <c r="AK18" s="367"/>
      <c r="AL18" s="367"/>
      <c r="AM18" s="367"/>
      <c r="AN18" s="367"/>
      <c r="AO18" s="86"/>
      <c r="AR18" s="52" t="s">
        <v>5</v>
      </c>
    </row>
    <row r="19" spans="1:63" ht="15" customHeight="1" thickBot="1">
      <c r="A19" s="367"/>
      <c r="B19" s="95" t="s">
        <v>367</v>
      </c>
      <c r="C19" s="98"/>
      <c r="D19" s="97">
        <f>C18-D18</f>
        <v>0</v>
      </c>
      <c r="E19" s="516"/>
      <c r="F19" s="516"/>
      <c r="G19" s="367"/>
      <c r="H19" s="543"/>
      <c r="I19" s="853"/>
      <c r="J19" s="6"/>
      <c r="K19" s="541"/>
      <c r="L19" s="860"/>
      <c r="M19" s="20" t="str">
        <f>IF(J19="","",$M$5-SUM($J$7:J19))</f>
        <v/>
      </c>
      <c r="N19" s="367"/>
      <c r="O19" s="7"/>
      <c r="P19" s="871">
        <f>IF(F!Q19&lt;&gt;F!R19,IF(F!Q19&lt;&gt;0,IF(F!S19&lt;&gt;F!T19,F!P19,),),)</f>
        <v>0</v>
      </c>
      <c r="Q19" s="795">
        <f>IF(F!Q19&lt;&gt;F!R19,IF(F!Q19&lt;&gt;0,IF(F!S19&lt;&gt;F!T19,F!Q19,),),)</f>
        <v>0</v>
      </c>
      <c r="R19" s="628">
        <f>IF(F!Q19&lt;&gt;F!R19,IF(F!Q19&lt;&gt;0,IF(F!S19&lt;&gt;F!T19,0,Q19),Q19),Q19)</f>
        <v>0</v>
      </c>
      <c r="S19" s="796">
        <f>IF(F!Q19&lt;&gt;F!R19,IF(F!Q19&lt;&gt;0,IF(F!S19&lt;&gt;F!T19,F!S19+1,),),)</f>
        <v>0</v>
      </c>
      <c r="T19" s="796">
        <f>IF(F!Q19&lt;&gt;F!R19,IF(F!Q19&lt;&gt;0,IF(F!S19&lt;&gt;F!T19,F!T19,),),)</f>
        <v>0</v>
      </c>
      <c r="U19" s="797">
        <f>IF(F!Q19&lt;&gt;F!R19,IF(F!Q19&lt;&gt;0,IF(F!S19&lt;&gt;F!T19,F!U19,),),)</f>
        <v>0</v>
      </c>
      <c r="V19" s="875">
        <f>IF(F!Q19&lt;&gt;F!R19,IF(F!Q19&lt;&gt;0,IF(F!S19&lt;&gt;F!T19,F!V19,),),)</f>
        <v>0</v>
      </c>
      <c r="W19" s="622">
        <f>IF(Q19="","",$W$5-SUM($Q$7:Q19))</f>
        <v>0</v>
      </c>
      <c r="X19" s="395"/>
      <c r="Y19" s="378"/>
      <c r="Z19" s="378"/>
      <c r="AA19" s="378"/>
      <c r="AB19" s="378"/>
      <c r="AC19" s="378"/>
      <c r="AD19" s="9"/>
      <c r="AE19" s="1137"/>
      <c r="AF19" s="367"/>
      <c r="AG19" s="373"/>
      <c r="AH19" s="886" t="s">
        <v>402</v>
      </c>
      <c r="AI19" s="367"/>
      <c r="AJ19" s="367"/>
      <c r="AK19" s="367"/>
      <c r="AL19" s="367"/>
      <c r="AM19" s="367"/>
      <c r="AN19" s="367"/>
      <c r="AO19" s="86"/>
      <c r="AR19" s="88">
        <v>7</v>
      </c>
      <c r="AV19" s="476" t="s">
        <v>14</v>
      </c>
    </row>
    <row r="20" spans="1:63" ht="15" customHeight="1" thickBot="1">
      <c r="A20" s="367"/>
      <c r="B20" s="1095" t="str">
        <f>IF(D19&gt;0,"Unexpected positive difference - Check why!","")</f>
        <v/>
      </c>
      <c r="C20" s="1095"/>
      <c r="D20" s="1095"/>
      <c r="E20" s="514"/>
      <c r="F20" s="514"/>
      <c r="G20" s="367"/>
      <c r="H20" s="543"/>
      <c r="I20" s="853"/>
      <c r="J20" s="6"/>
      <c r="K20" s="541"/>
      <c r="L20" s="860"/>
      <c r="M20" s="20" t="str">
        <f>IF(J20="","",$M$5-SUM($J$7:J20))</f>
        <v/>
      </c>
      <c r="N20" s="367"/>
      <c r="O20" s="7"/>
      <c r="P20" s="871">
        <f>IF(F!Q20&lt;&gt;F!R20,IF(F!Q20&lt;&gt;0,IF(F!S20&lt;&gt;F!T20,F!P20,),),)</f>
        <v>0</v>
      </c>
      <c r="Q20" s="795">
        <f>IF(F!Q20&lt;&gt;F!R20,IF(F!Q20&lt;&gt;0,IF(F!S20&lt;&gt;F!T20,F!Q20,),),)</f>
        <v>0</v>
      </c>
      <c r="R20" s="628">
        <f>IF(F!Q20&lt;&gt;F!R20,IF(F!Q20&lt;&gt;0,IF(F!S20&lt;&gt;F!T20,0,Q20),Q20),Q20)</f>
        <v>0</v>
      </c>
      <c r="S20" s="796">
        <f>IF(F!Q20&lt;&gt;F!R20,IF(F!Q20&lt;&gt;0,IF(F!S20&lt;&gt;F!T20,F!S20+1,),),)</f>
        <v>0</v>
      </c>
      <c r="T20" s="796">
        <f>IF(F!Q20&lt;&gt;F!R20,IF(F!Q20&lt;&gt;0,IF(F!S20&lt;&gt;F!T20,F!T20,),),)</f>
        <v>0</v>
      </c>
      <c r="U20" s="797">
        <f>IF(F!Q20&lt;&gt;F!R20,IF(F!Q20&lt;&gt;0,IF(F!S20&lt;&gt;F!T20,F!U20,),),)</f>
        <v>0</v>
      </c>
      <c r="V20" s="875">
        <f>IF(F!Q20&lt;&gt;F!R20,IF(F!Q20&lt;&gt;0,IF(F!S20&lt;&gt;F!T20,F!V20,),),)</f>
        <v>0</v>
      </c>
      <c r="W20" s="622">
        <f>IF(Q20="","",$W$5-SUM($Q$7:Q20))</f>
        <v>0</v>
      </c>
      <c r="X20" s="395"/>
      <c r="Y20" s="1206" t="s">
        <v>350</v>
      </c>
      <c r="Z20" s="1207"/>
      <c r="AA20" s="1207"/>
      <c r="AB20" s="552"/>
      <c r="AC20" s="552"/>
      <c r="AD20" s="27"/>
      <c r="AE20" s="1137"/>
      <c r="AF20" s="367"/>
      <c r="AG20" s="374"/>
      <c r="AH20" s="887" t="s">
        <v>466</v>
      </c>
      <c r="AI20" s="367"/>
      <c r="AJ20" s="367"/>
      <c r="AK20" s="367"/>
      <c r="AL20" s="367"/>
      <c r="AM20" s="367"/>
      <c r="AN20" s="367"/>
      <c r="AO20" s="86"/>
      <c r="AQ20" s="1240" t="s">
        <v>29</v>
      </c>
      <c r="AR20" s="1139"/>
      <c r="AS20" s="1139"/>
      <c r="AT20" s="1140"/>
      <c r="AV20" s="476" t="s">
        <v>15</v>
      </c>
    </row>
    <row r="21" spans="1:63" ht="15" customHeight="1">
      <c r="A21" s="367"/>
      <c r="B21" s="399"/>
      <c r="C21" s="400"/>
      <c r="D21" s="400"/>
      <c r="E21" s="400"/>
      <c r="F21" s="400"/>
      <c r="G21" s="367"/>
      <c r="H21" s="543"/>
      <c r="I21" s="853"/>
      <c r="J21" s="6"/>
      <c r="K21" s="541"/>
      <c r="L21" s="860"/>
      <c r="M21" s="20" t="str">
        <f>IF(J21="","",$M$5-SUM($J$7:J21))</f>
        <v/>
      </c>
      <c r="N21" s="367"/>
      <c r="O21" s="7"/>
      <c r="P21" s="873">
        <f>IF(F!Q21&lt;&gt;F!R21,IF(F!Q21&lt;&gt;0,IF(F!S21&lt;&gt;F!T21,F!P21,),),)</f>
        <v>0</v>
      </c>
      <c r="Q21" s="795">
        <f>IF(F!Q21&lt;&gt;F!R21,IF(F!Q21&lt;&gt;0,IF(F!S21&lt;&gt;F!T21,F!Q21,),),)</f>
        <v>0</v>
      </c>
      <c r="R21" s="628">
        <f>IF(F!Q21&lt;&gt;F!R21,IF(F!Q21&lt;&gt;0,IF(F!S21&lt;&gt;F!T21,0,Q21),Q21),Q21)</f>
        <v>0</v>
      </c>
      <c r="S21" s="796">
        <f>IF(F!Q21&lt;&gt;F!R21,IF(F!Q21&lt;&gt;0,IF(F!S21&lt;&gt;F!T21,F!S21+1,),),)</f>
        <v>0</v>
      </c>
      <c r="T21" s="796">
        <f>IF(F!Q21&lt;&gt;F!R21,IF(F!Q21&lt;&gt;0,IF(F!S21&lt;&gt;F!T21,F!T21,),),)</f>
        <v>0</v>
      </c>
      <c r="U21" s="797">
        <f>IF(F!Q21&lt;&gt;F!R21,IF(F!Q21&lt;&gt;0,IF(F!S21&lt;&gt;F!T21,F!U21,),),)</f>
        <v>0</v>
      </c>
      <c r="V21" s="875">
        <f>IF(F!Q21&lt;&gt;F!R21,IF(F!Q21&lt;&gt;0,IF(F!S21&lt;&gt;F!T21,F!V21,),),)</f>
        <v>0</v>
      </c>
      <c r="W21" s="622">
        <f>IF(Q21="","",$W$5-SUM($Q$7:Q21))</f>
        <v>0</v>
      </c>
      <c r="X21" s="395"/>
      <c r="Y21" s="1187" t="s">
        <v>353</v>
      </c>
      <c r="Z21" s="1189" t="s">
        <v>354</v>
      </c>
      <c r="AA21" s="1210" t="s">
        <v>494</v>
      </c>
      <c r="AB21" s="719"/>
      <c r="AC21" s="720"/>
      <c r="AD21" s="1148" t="s">
        <v>2</v>
      </c>
      <c r="AE21" s="1141" t="s">
        <v>406</v>
      </c>
      <c r="AG21" s="1242" t="s">
        <v>405</v>
      </c>
      <c r="AH21" s="887" t="s">
        <v>403</v>
      </c>
      <c r="AI21" s="367"/>
      <c r="AJ21" s="367"/>
      <c r="AK21" s="367"/>
      <c r="AL21" s="367"/>
      <c r="AM21" s="367"/>
      <c r="AN21" s="367"/>
      <c r="AO21" s="86"/>
      <c r="AP21" s="89" t="s">
        <v>3</v>
      </c>
      <c r="AQ21" s="475" t="s">
        <v>7</v>
      </c>
      <c r="AR21" s="1229" t="s">
        <v>11</v>
      </c>
      <c r="AS21" s="476"/>
      <c r="AT21" s="476"/>
      <c r="AU21" s="476"/>
      <c r="AV21" s="476" t="s">
        <v>16</v>
      </c>
      <c r="AW21" s="476"/>
      <c r="AX21" s="90" t="s">
        <v>0</v>
      </c>
    </row>
    <row r="22" spans="1:63" ht="15.75" customHeight="1" thickBot="1">
      <c r="A22" s="367"/>
      <c r="B22" s="401" t="s">
        <v>349</v>
      </c>
      <c r="C22" s="402"/>
      <c r="D22" s="378"/>
      <c r="E22" s="378"/>
      <c r="F22" s="378"/>
      <c r="G22" s="367"/>
      <c r="H22" s="543"/>
      <c r="I22" s="853"/>
      <c r="J22" s="6"/>
      <c r="K22" s="541"/>
      <c r="L22" s="860"/>
      <c r="M22" s="20" t="str">
        <f>IF(J22="","",$M$5-SUM($J$7:J22))</f>
        <v/>
      </c>
      <c r="N22" s="367"/>
      <c r="O22" s="7"/>
      <c r="P22" s="871">
        <f>IF(F!Q22&lt;&gt;F!R22,IF(F!Q22&lt;&gt;0,IF(F!S22&lt;&gt;F!T22,F!P22,),),)</f>
        <v>0</v>
      </c>
      <c r="Q22" s="795">
        <f>IF(F!Q22&lt;&gt;F!R22,IF(F!Q22&lt;&gt;0,IF(F!S22&lt;&gt;F!T22,F!Q22,),),)</f>
        <v>0</v>
      </c>
      <c r="R22" s="628">
        <f>IF(F!Q22&lt;&gt;F!R22,IF(F!Q22&lt;&gt;0,IF(F!S22&lt;&gt;F!T22,0,Q22),Q22),Q22)</f>
        <v>0</v>
      </c>
      <c r="S22" s="796">
        <f>IF(F!Q22&lt;&gt;F!R22,IF(F!Q22&lt;&gt;0,IF(F!S22&lt;&gt;F!T22,F!S22+1,),),)</f>
        <v>0</v>
      </c>
      <c r="T22" s="796">
        <f>IF(F!Q22&lt;&gt;F!R22,IF(F!Q22&lt;&gt;0,IF(F!S22&lt;&gt;F!T22,F!T22,),),)</f>
        <v>0</v>
      </c>
      <c r="U22" s="797">
        <f>IF(F!Q22&lt;&gt;F!R22,IF(F!Q22&lt;&gt;0,IF(F!S22&lt;&gt;F!T22,F!U22,),),)</f>
        <v>0</v>
      </c>
      <c r="V22" s="875">
        <f>IF(F!Q22&lt;&gt;F!R22,IF(F!Q22&lt;&gt;0,IF(F!S22&lt;&gt;F!T22,F!V22,),),)</f>
        <v>0</v>
      </c>
      <c r="W22" s="622">
        <f>IF(Q22="","",$W$5-SUM($Q$7:Q22))</f>
        <v>0</v>
      </c>
      <c r="X22" s="395"/>
      <c r="Y22" s="1188"/>
      <c r="Z22" s="1241"/>
      <c r="AA22" s="1211"/>
      <c r="AB22" s="719"/>
      <c r="AC22" s="721"/>
      <c r="AD22" s="1148"/>
      <c r="AE22" s="1141"/>
      <c r="AF22" s="367"/>
      <c r="AG22" s="1243"/>
      <c r="AH22" s="367"/>
      <c r="AI22" s="367"/>
      <c r="AJ22" s="367"/>
      <c r="AK22" s="367"/>
      <c r="AL22" s="367"/>
      <c r="AM22" s="367"/>
      <c r="AN22" s="367"/>
      <c r="AO22" s="86"/>
      <c r="AP22" s="90" t="s">
        <v>9</v>
      </c>
      <c r="AQ22" s="475" t="s">
        <v>10</v>
      </c>
      <c r="AR22" s="1229"/>
      <c r="AS22" s="475" t="s">
        <v>8</v>
      </c>
      <c r="AT22" s="475" t="s">
        <v>6</v>
      </c>
      <c r="AU22" s="476"/>
      <c r="AV22" s="475" t="s">
        <v>17</v>
      </c>
      <c r="AW22" s="475" t="s">
        <v>18</v>
      </c>
      <c r="AX22" s="706" t="s">
        <v>19</v>
      </c>
      <c r="AZ22" s="725" t="s">
        <v>31</v>
      </c>
      <c r="BA22" s="724"/>
      <c r="BB22" s="724"/>
      <c r="BC22" s="724"/>
      <c r="BD22" s="724"/>
      <c r="BE22" s="724"/>
      <c r="BF22" s="724"/>
      <c r="BG22" s="724"/>
      <c r="BH22" s="724"/>
      <c r="BJ22" s="724"/>
      <c r="BK22" s="724"/>
    </row>
    <row r="23" spans="1:63" ht="15.75">
      <c r="A23" s="367"/>
      <c r="B23" s="1102" t="s">
        <v>428</v>
      </c>
      <c r="C23" s="1104">
        <f ca="1">C40</f>
        <v>0</v>
      </c>
      <c r="D23" s="1105"/>
      <c r="E23" s="1091"/>
      <c r="F23" s="1092"/>
      <c r="G23" s="367"/>
      <c r="H23" s="543"/>
      <c r="I23" s="853"/>
      <c r="J23" s="6"/>
      <c r="K23" s="541"/>
      <c r="L23" s="860"/>
      <c r="M23" s="20" t="str">
        <f>IF(J23="","",$M$5-SUM($J$7:J23))</f>
        <v/>
      </c>
      <c r="N23" s="367"/>
      <c r="O23" s="7"/>
      <c r="P23" s="873">
        <f>IF(F!Q23&lt;&gt;F!R23,IF(F!Q23&lt;&gt;0,IF(F!S23&lt;&gt;F!T23,F!P23,),),)</f>
        <v>0</v>
      </c>
      <c r="Q23" s="795">
        <f>IF(F!Q23&lt;&gt;F!R23,IF(F!Q23&lt;&gt;0,IF(F!S23&lt;&gt;F!T23,F!Q23,),),)</f>
        <v>0</v>
      </c>
      <c r="R23" s="628">
        <f>IF(F!Q23&lt;&gt;F!R23,IF(F!Q23&lt;&gt;0,IF(F!S23&lt;&gt;F!T23,0,Q23),Q23),Q23)</f>
        <v>0</v>
      </c>
      <c r="S23" s="796">
        <f>IF(F!Q23&lt;&gt;F!R23,IF(F!Q23&lt;&gt;0,IF(F!S23&lt;&gt;F!T23,F!S23+1,),),)</f>
        <v>0</v>
      </c>
      <c r="T23" s="796">
        <f>IF(F!Q23&lt;&gt;F!R23,IF(F!Q23&lt;&gt;0,IF(F!S23&lt;&gt;F!T23,F!T23,),),)</f>
        <v>0</v>
      </c>
      <c r="U23" s="797">
        <f>IF(F!Q23&lt;&gt;F!R23,IF(F!Q23&lt;&gt;0,IF(F!S23&lt;&gt;F!T23,F!U23,),),)</f>
        <v>0</v>
      </c>
      <c r="V23" s="875">
        <f>IF(F!Q23&lt;&gt;F!R23,IF(F!Q23&lt;&gt;0,IF(F!S23&lt;&gt;F!T23,F!V23,),),)</f>
        <v>0</v>
      </c>
      <c r="W23" s="622">
        <f>IF(Q23="","",$W$5-SUM($Q$7:Q23))</f>
        <v>0</v>
      </c>
      <c r="X23" s="395"/>
      <c r="Y23" s="905" t="str">
        <f>IF(F!Y23&lt;&gt;"",F!Y23,)</f>
        <v>Municipal Taxes</v>
      </c>
      <c r="Z23" s="457">
        <f>F!Z23</f>
        <v>0</v>
      </c>
      <c r="AA23" s="21">
        <f t="shared" ref="AA23:AA44" si="0">SUMIF($P$7:$P$110,Y23,$Q$7:$Q$110)</f>
        <v>0</v>
      </c>
      <c r="AB23" s="722"/>
      <c r="AC23" s="722"/>
      <c r="AD23" s="35">
        <f t="shared" ref="AD23:AD44" si="1">SUMIF($P$7:$P$110,Y23,$R$7:$R$110)</f>
        <v>0</v>
      </c>
      <c r="AE23" s="23">
        <f>IF(AI23=0,AX23,0)</f>
        <v>0</v>
      </c>
      <c r="AF23" s="367"/>
      <c r="AG23" s="728">
        <f t="shared" ref="AG23:AG44" si="2">IF(AZ23&gt;1,"overrun",IF(AZ23&lt;0,"OK",AZ23))</f>
        <v>0</v>
      </c>
      <c r="AH23" s="367"/>
      <c r="AI23" s="375">
        <v>0</v>
      </c>
      <c r="AJ23" s="367"/>
      <c r="AK23" s="367"/>
      <c r="AL23" s="367"/>
      <c r="AM23" s="367"/>
      <c r="AN23" s="367"/>
      <c r="AO23" s="86"/>
      <c r="AP23" s="51">
        <f t="shared" ref="AP23:AP44" si="3">IF(AI23=1,AX23,0)</f>
        <v>0</v>
      </c>
      <c r="AQ23" s="476">
        <f>F!AQ23+F!AP23</f>
        <v>0</v>
      </c>
      <c r="AR23" s="476">
        <f t="shared" ref="AR23:AR44" si="4">Z23*12-AS23-AQ23</f>
        <v>0</v>
      </c>
      <c r="AS23" s="477">
        <f>AD23+F!AS23</f>
        <v>0</v>
      </c>
      <c r="AT23" s="477">
        <f>AA23+F!AT23</f>
        <v>0</v>
      </c>
      <c r="AU23" s="476"/>
      <c r="AV23" s="477">
        <f>F!AV23-F!AD23+G!Z23-F!AP23</f>
        <v>0</v>
      </c>
      <c r="AW23" s="476">
        <f>IF(AE23&lt;0,AE23,0)</f>
        <v>0</v>
      </c>
      <c r="AX23" s="52">
        <f>IF(Z23=F!Z23,F!AE23-AD23,F!AE23+(Z23-F!Z23)*$AW$16-AD23)</f>
        <v>0</v>
      </c>
      <c r="AZ23" s="726">
        <f>(($Z23*(12-$AR$19))-$AE23)/($Z23*(12-$AR$19)+0.00001)</f>
        <v>0</v>
      </c>
    </row>
    <row r="24" spans="1:63" ht="15.75">
      <c r="A24" s="367"/>
      <c r="B24" s="1103"/>
      <c r="C24" s="1106"/>
      <c r="D24" s="1107"/>
      <c r="E24" s="1091"/>
      <c r="F24" s="1092"/>
      <c r="G24" s="367"/>
      <c r="H24" s="543"/>
      <c r="I24" s="853"/>
      <c r="J24" s="6"/>
      <c r="K24" s="541"/>
      <c r="L24" s="860"/>
      <c r="M24" s="20" t="str">
        <f>IF(J24="","",$M$5-SUM($J$7:J24))</f>
        <v/>
      </c>
      <c r="N24" s="367"/>
      <c r="O24" s="7"/>
      <c r="P24" s="873">
        <f>IF(F!Q24&lt;&gt;F!R24,IF(F!Q24&lt;&gt;0,IF(F!S24&lt;&gt;F!T24,F!P24,),),)</f>
        <v>0</v>
      </c>
      <c r="Q24" s="795">
        <f>IF(F!Q24&lt;&gt;F!R24,IF(F!Q24&lt;&gt;0,IF(F!S24&lt;&gt;F!T24,F!Q24,),),)</f>
        <v>0</v>
      </c>
      <c r="R24" s="628">
        <f>IF(F!Q24&lt;&gt;F!R24,IF(F!Q24&lt;&gt;0,IF(F!S24&lt;&gt;F!T24,0,Q24),Q24),Q24)</f>
        <v>0</v>
      </c>
      <c r="S24" s="796">
        <f>IF(F!Q24&lt;&gt;F!R24,IF(F!Q24&lt;&gt;0,IF(F!S24&lt;&gt;F!T24,F!S24+1,),),)</f>
        <v>0</v>
      </c>
      <c r="T24" s="796">
        <f>IF(F!Q24&lt;&gt;F!R24,IF(F!Q24&lt;&gt;0,IF(F!S24&lt;&gt;F!T24,F!T24,),),)</f>
        <v>0</v>
      </c>
      <c r="U24" s="797">
        <f>IF(F!Q24&lt;&gt;F!R24,IF(F!Q24&lt;&gt;0,IF(F!S24&lt;&gt;F!T24,F!U24,),),)</f>
        <v>0</v>
      </c>
      <c r="V24" s="875">
        <f>IF(F!Q24&lt;&gt;F!R24,IF(F!Q24&lt;&gt;0,IF(F!S24&lt;&gt;F!T24,F!V24,),),)</f>
        <v>0</v>
      </c>
      <c r="W24" s="622">
        <f>IF(Q24="","",$W$5-SUM($Q$7:Q24))</f>
        <v>0</v>
      </c>
      <c r="X24" s="395"/>
      <c r="Y24" s="905" t="str">
        <f>IF(F!Y24&lt;&gt;"",F!Y24,)</f>
        <v>Water and Sewage</v>
      </c>
      <c r="Z24" s="457">
        <f>F!Z24</f>
        <v>0</v>
      </c>
      <c r="AA24" s="20">
        <f t="shared" si="0"/>
        <v>0</v>
      </c>
      <c r="AB24" s="723"/>
      <c r="AC24" s="723"/>
      <c r="AD24" s="36">
        <f t="shared" si="1"/>
        <v>0</v>
      </c>
      <c r="AE24" s="23">
        <f t="shared" ref="AE24:AE44" si="5">IF(AI24=0,AX24,0)</f>
        <v>0</v>
      </c>
      <c r="AF24" s="367"/>
      <c r="AG24" s="728">
        <f t="shared" si="2"/>
        <v>0</v>
      </c>
      <c r="AH24" s="367"/>
      <c r="AI24" s="375">
        <v>0</v>
      </c>
      <c r="AJ24" s="367"/>
      <c r="AK24" s="367"/>
      <c r="AL24" s="367"/>
      <c r="AM24" s="367"/>
      <c r="AN24" s="367"/>
      <c r="AO24" s="86"/>
      <c r="AP24" s="51">
        <f t="shared" si="3"/>
        <v>0</v>
      </c>
      <c r="AQ24" s="476">
        <f>F!AQ24+F!AP24</f>
        <v>0</v>
      </c>
      <c r="AR24" s="476">
        <f t="shared" si="4"/>
        <v>0</v>
      </c>
      <c r="AS24" s="477">
        <f>AD24+F!AS24</f>
        <v>0</v>
      </c>
      <c r="AT24" s="477">
        <f>AA24+F!AT24</f>
        <v>0</v>
      </c>
      <c r="AU24" s="476"/>
      <c r="AV24" s="477">
        <f>F!AV24-F!AD24+G!Z24-F!AP24</f>
        <v>0</v>
      </c>
      <c r="AW24" s="476">
        <f t="shared" ref="AW24:AW44" si="6">IF(AE24&lt;0,AE24,0)</f>
        <v>0</v>
      </c>
      <c r="AX24" s="52">
        <f>IF(Z24=F!Z24,F!AE24-AD24,F!AE24+(Z24-F!Z24)*$AW$16-AD24)</f>
        <v>0</v>
      </c>
      <c r="AZ24" s="726">
        <f t="shared" ref="AZ24:AZ44" si="7">(($Z24*(12-$AR$19))-$AE24)/($Z24*(12-$AR$19)+0.00001)</f>
        <v>0</v>
      </c>
    </row>
    <row r="25" spans="1:63" ht="16.5" thickBot="1">
      <c r="A25" s="367"/>
      <c r="B25" s="1178" t="s">
        <v>388</v>
      </c>
      <c r="C25" s="1118" t="s">
        <v>354</v>
      </c>
      <c r="D25" s="1180" t="s">
        <v>494</v>
      </c>
      <c r="E25" s="1109" t="s">
        <v>380</v>
      </c>
      <c r="F25" s="1108" t="s">
        <v>335</v>
      </c>
      <c r="G25" s="367"/>
      <c r="H25" s="543"/>
      <c r="I25" s="853"/>
      <c r="J25" s="6"/>
      <c r="K25" s="541"/>
      <c r="L25" s="860"/>
      <c r="M25" s="20" t="str">
        <f>IF(J25="","",$M$5-SUM($J$7:J25))</f>
        <v/>
      </c>
      <c r="N25" s="367"/>
      <c r="O25" s="7"/>
      <c r="P25" s="873">
        <f>IF(F!Q25&lt;&gt;F!R25,IF(F!Q25&lt;&gt;0,IF(F!S25&lt;&gt;F!T25,F!P25,),),)</f>
        <v>0</v>
      </c>
      <c r="Q25" s="795">
        <f>IF(F!Q25&lt;&gt;F!R25,IF(F!Q25&lt;&gt;0,IF(F!S25&lt;&gt;F!T25,F!Q25,),),)</f>
        <v>0</v>
      </c>
      <c r="R25" s="628">
        <f>IF(F!Q25&lt;&gt;F!R25,IF(F!Q25&lt;&gt;0,IF(F!S25&lt;&gt;F!T25,0,Q25),Q25),Q25)</f>
        <v>0</v>
      </c>
      <c r="S25" s="796">
        <f>IF(F!Q25&lt;&gt;F!R25,IF(F!Q25&lt;&gt;0,IF(F!S25&lt;&gt;F!T25,F!S25+1,),),)</f>
        <v>0</v>
      </c>
      <c r="T25" s="796">
        <f>IF(F!Q25&lt;&gt;F!R25,IF(F!Q25&lt;&gt;0,IF(F!S25&lt;&gt;F!T25,F!T25,),),)</f>
        <v>0</v>
      </c>
      <c r="U25" s="797">
        <f>IF(F!Q25&lt;&gt;F!R25,IF(F!Q25&lt;&gt;0,IF(F!S25&lt;&gt;F!T25,F!U25,),),)</f>
        <v>0</v>
      </c>
      <c r="V25" s="875">
        <f>IF(F!Q25&lt;&gt;F!R25,IF(F!Q25&lt;&gt;0,IF(F!S25&lt;&gt;F!T25,F!V25,),),)</f>
        <v>0</v>
      </c>
      <c r="W25" s="622">
        <f>IF(Q25="","",$W$5-SUM($Q$7:Q25))</f>
        <v>0</v>
      </c>
      <c r="X25" s="395"/>
      <c r="Y25" s="905" t="str">
        <f>IF(F!Y25&lt;&gt;"",F!Y25,)</f>
        <v>Electricity</v>
      </c>
      <c r="Z25" s="457">
        <f>F!Z25</f>
        <v>0</v>
      </c>
      <c r="AA25" s="20">
        <f t="shared" si="0"/>
        <v>0</v>
      </c>
      <c r="AB25" s="723"/>
      <c r="AC25" s="723"/>
      <c r="AD25" s="36">
        <f t="shared" si="1"/>
        <v>0</v>
      </c>
      <c r="AE25" s="23">
        <f t="shared" si="5"/>
        <v>0</v>
      </c>
      <c r="AF25" s="367"/>
      <c r="AG25" s="728">
        <f t="shared" si="2"/>
        <v>0</v>
      </c>
      <c r="AH25" s="367"/>
      <c r="AI25" s="375">
        <v>0</v>
      </c>
      <c r="AJ25" s="367"/>
      <c r="AK25" s="367"/>
      <c r="AL25" s="367"/>
      <c r="AM25" s="367"/>
      <c r="AN25" s="367"/>
      <c r="AO25" s="86"/>
      <c r="AP25" s="51">
        <f t="shared" si="3"/>
        <v>0</v>
      </c>
      <c r="AQ25" s="476">
        <f>F!AQ25+F!AP25</f>
        <v>0</v>
      </c>
      <c r="AR25" s="476">
        <f t="shared" si="4"/>
        <v>0</v>
      </c>
      <c r="AS25" s="477">
        <f>AD25+F!AS25</f>
        <v>0</v>
      </c>
      <c r="AT25" s="477">
        <f>AA25+F!AT25</f>
        <v>0</v>
      </c>
      <c r="AU25" s="476"/>
      <c r="AV25" s="477">
        <f>F!AV25-F!AD25+G!Z25-F!AP25</f>
        <v>0</v>
      </c>
      <c r="AW25" s="476">
        <f t="shared" si="6"/>
        <v>0</v>
      </c>
      <c r="AX25" s="52">
        <f>IF(Z25=F!Z25,F!AE25-AD25,F!AE25+(Z25-F!Z25)*$AW$16-AD25)</f>
        <v>0</v>
      </c>
      <c r="AZ25" s="726">
        <f t="shared" si="7"/>
        <v>0</v>
      </c>
    </row>
    <row r="26" spans="1:63" ht="15.75">
      <c r="A26" s="367"/>
      <c r="B26" s="1179"/>
      <c r="C26" s="1119"/>
      <c r="D26" s="1181"/>
      <c r="E26" s="1109"/>
      <c r="F26" s="1108"/>
      <c r="G26" s="367"/>
      <c r="H26" s="543"/>
      <c r="I26" s="853"/>
      <c r="J26" s="6"/>
      <c r="K26" s="541"/>
      <c r="L26" s="860"/>
      <c r="M26" s="20" t="str">
        <f>IF(J26="","",$M$5-SUM($J$7:J26))</f>
        <v/>
      </c>
      <c r="N26" s="367"/>
      <c r="O26" s="7"/>
      <c r="P26" s="873">
        <f>IF(F!Q26&lt;&gt;F!R26,IF(F!Q26&lt;&gt;0,IF(F!S26&lt;&gt;F!T26,F!P26,),),)</f>
        <v>0</v>
      </c>
      <c r="Q26" s="795">
        <f>IF(F!Q26&lt;&gt;F!R26,IF(F!Q26&lt;&gt;0,IF(F!S26&lt;&gt;F!T26,F!Q26,),),)</f>
        <v>0</v>
      </c>
      <c r="R26" s="628">
        <f>IF(F!Q26&lt;&gt;F!R26,IF(F!Q26&lt;&gt;0,IF(F!S26&lt;&gt;F!T26,0,Q26),Q26),Q26)</f>
        <v>0</v>
      </c>
      <c r="S26" s="796">
        <f>IF(F!Q26&lt;&gt;F!R26,IF(F!Q26&lt;&gt;0,IF(F!S26&lt;&gt;F!T26,F!S26+1,),),)</f>
        <v>0</v>
      </c>
      <c r="T26" s="796">
        <f>IF(F!Q26&lt;&gt;F!R26,IF(F!Q26&lt;&gt;0,IF(F!S26&lt;&gt;F!T26,F!T26,),),)</f>
        <v>0</v>
      </c>
      <c r="U26" s="797">
        <f>IF(F!Q26&lt;&gt;F!R26,IF(F!Q26&lt;&gt;0,IF(F!S26&lt;&gt;F!T26,F!U26,),),)</f>
        <v>0</v>
      </c>
      <c r="V26" s="875">
        <f>IF(F!Q26&lt;&gt;F!R26,IF(F!Q26&lt;&gt;0,IF(F!S26&lt;&gt;F!T26,F!V26,),),)</f>
        <v>0</v>
      </c>
      <c r="W26" s="622">
        <f>IF(Q26="","",$W$5-SUM($Q$7:Q26))</f>
        <v>0</v>
      </c>
      <c r="X26" s="395"/>
      <c r="Y26" s="905" t="str">
        <f>IF(F!Y26&lt;&gt;"",F!Y26,)</f>
        <v>Gas</v>
      </c>
      <c r="Z26" s="457">
        <f>F!Z26</f>
        <v>0</v>
      </c>
      <c r="AA26" s="20">
        <f t="shared" si="0"/>
        <v>0</v>
      </c>
      <c r="AB26" s="723"/>
      <c r="AC26" s="723"/>
      <c r="AD26" s="36">
        <f t="shared" si="1"/>
        <v>0</v>
      </c>
      <c r="AE26" s="23">
        <f t="shared" si="5"/>
        <v>0</v>
      </c>
      <c r="AF26" s="367"/>
      <c r="AG26" s="728">
        <f t="shared" si="2"/>
        <v>0</v>
      </c>
      <c r="AH26" s="367"/>
      <c r="AI26" s="375">
        <v>0</v>
      </c>
      <c r="AJ26" s="367"/>
      <c r="AK26" s="525" t="s">
        <v>404</v>
      </c>
      <c r="AL26" s="526"/>
      <c r="AM26" s="367"/>
      <c r="AN26" s="367"/>
      <c r="AO26" s="86"/>
      <c r="AP26" s="51">
        <f t="shared" si="3"/>
        <v>0</v>
      </c>
      <c r="AQ26" s="476">
        <f>F!AQ26+F!AP26</f>
        <v>0</v>
      </c>
      <c r="AR26" s="476">
        <f t="shared" si="4"/>
        <v>0</v>
      </c>
      <c r="AS26" s="477">
        <f>AD26+F!AS26</f>
        <v>0</v>
      </c>
      <c r="AT26" s="477">
        <f>AA26+F!AT26</f>
        <v>0</v>
      </c>
      <c r="AU26" s="476"/>
      <c r="AV26" s="477">
        <f>F!AV26-F!AD26+G!Z26-F!AP26</f>
        <v>0</v>
      </c>
      <c r="AW26" s="476">
        <f t="shared" si="6"/>
        <v>0</v>
      </c>
      <c r="AX26" s="52">
        <f>IF(Z26=F!Z26,F!AE26-AD26,F!AE26+(Z26-F!Z26)*$AW$16-AD26)</f>
        <v>0</v>
      </c>
      <c r="AZ26" s="726">
        <f t="shared" si="7"/>
        <v>0</v>
      </c>
    </row>
    <row r="27" spans="1:63" ht="15.75">
      <c r="A27" s="367"/>
      <c r="B27" s="850">
        <f>IF(F!B27&lt;&gt;"",F!B27,)</f>
        <v>0</v>
      </c>
      <c r="C27" s="454">
        <f>F!C27</f>
        <v>0</v>
      </c>
      <c r="D27" s="74"/>
      <c r="E27" s="521"/>
      <c r="F27" s="858"/>
      <c r="G27" s="367"/>
      <c r="H27" s="543"/>
      <c r="I27" s="853"/>
      <c r="J27" s="6"/>
      <c r="K27" s="541"/>
      <c r="L27" s="860"/>
      <c r="M27" s="20" t="str">
        <f>IF(J27="","",$M$5-SUM($J$7:J27))</f>
        <v/>
      </c>
      <c r="N27" s="367"/>
      <c r="O27" s="7"/>
      <c r="P27" s="873">
        <f>IF(F!Q27&lt;&gt;F!R27,IF(F!Q27&lt;&gt;0,IF(F!S27&lt;&gt;F!T27,F!P27,),),)</f>
        <v>0</v>
      </c>
      <c r="Q27" s="795">
        <f>IF(F!Q27&lt;&gt;F!R27,IF(F!Q27&lt;&gt;0,IF(F!S27&lt;&gt;F!T27,F!Q27,),),)</f>
        <v>0</v>
      </c>
      <c r="R27" s="628">
        <f>IF(F!Q27&lt;&gt;F!R27,IF(F!Q27&lt;&gt;0,IF(F!S27&lt;&gt;F!T27,0,Q27),Q27),Q27)</f>
        <v>0</v>
      </c>
      <c r="S27" s="796">
        <f>IF(F!Q27&lt;&gt;F!R27,IF(F!Q27&lt;&gt;0,IF(F!S27&lt;&gt;F!T27,F!S27+1,),),)</f>
        <v>0</v>
      </c>
      <c r="T27" s="796">
        <f>IF(F!Q27&lt;&gt;F!R27,IF(F!Q27&lt;&gt;0,IF(F!S27&lt;&gt;F!T27,F!T27,),),)</f>
        <v>0</v>
      </c>
      <c r="U27" s="797">
        <f>IF(F!Q27&lt;&gt;F!R27,IF(F!Q27&lt;&gt;0,IF(F!S27&lt;&gt;F!T27,F!U27,),),)</f>
        <v>0</v>
      </c>
      <c r="V27" s="875">
        <f>IF(F!Q27&lt;&gt;F!R27,IF(F!Q27&lt;&gt;0,IF(F!S27&lt;&gt;F!T27,F!V27,),),)</f>
        <v>0</v>
      </c>
      <c r="W27" s="622">
        <f>IF(Q27="","",$W$5-SUM($Q$7:Q27))</f>
        <v>0</v>
      </c>
      <c r="X27" s="395"/>
      <c r="Y27" s="905" t="str">
        <f>IF(F!Y27&lt;&gt;"",F!Y27,)</f>
        <v>Heating</v>
      </c>
      <c r="Z27" s="457">
        <f>F!Z27</f>
        <v>0</v>
      </c>
      <c r="AA27" s="20">
        <f t="shared" si="0"/>
        <v>0</v>
      </c>
      <c r="AB27" s="723"/>
      <c r="AC27" s="723"/>
      <c r="AD27" s="36">
        <f t="shared" si="1"/>
        <v>0</v>
      </c>
      <c r="AE27" s="23">
        <f t="shared" si="5"/>
        <v>0</v>
      </c>
      <c r="AF27" s="367"/>
      <c r="AG27" s="728">
        <f t="shared" si="2"/>
        <v>0</v>
      </c>
      <c r="AH27" s="367"/>
      <c r="AI27" s="375">
        <v>0</v>
      </c>
      <c r="AJ27" s="367"/>
      <c r="AK27" s="527"/>
      <c r="AL27" s="394"/>
      <c r="AM27" s="367"/>
      <c r="AN27" s="367"/>
      <c r="AO27" s="86"/>
      <c r="AP27" s="51">
        <f t="shared" si="3"/>
        <v>0</v>
      </c>
      <c r="AQ27" s="476">
        <f>F!AQ27+F!AP27</f>
        <v>0</v>
      </c>
      <c r="AR27" s="476">
        <f t="shared" si="4"/>
        <v>0</v>
      </c>
      <c r="AS27" s="477">
        <f>AD27+F!AS27</f>
        <v>0</v>
      </c>
      <c r="AT27" s="477">
        <f>AA27+F!AT27</f>
        <v>0</v>
      </c>
      <c r="AU27" s="476"/>
      <c r="AV27" s="477">
        <f>F!AV27-F!AD27+G!Z27-F!AP27</f>
        <v>0</v>
      </c>
      <c r="AW27" s="476">
        <f t="shared" si="6"/>
        <v>0</v>
      </c>
      <c r="AX27" s="52">
        <f>IF(Z27=F!Z27,F!AE27-AD27,F!AE27+(Z27-F!Z27)*$AW$16-AD27)</f>
        <v>0</v>
      </c>
      <c r="AZ27" s="726">
        <f t="shared" si="7"/>
        <v>0</v>
      </c>
    </row>
    <row r="28" spans="1:63" ht="15" customHeight="1">
      <c r="A28" s="367"/>
      <c r="B28" s="850">
        <f ca="1">IF(F!B28&lt;&gt;"",F!B28,)</f>
        <v>0</v>
      </c>
      <c r="C28" s="454">
        <f ca="1">F!C28</f>
        <v>0</v>
      </c>
      <c r="D28" s="74"/>
      <c r="E28" s="521"/>
      <c r="F28" s="858"/>
      <c r="G28" s="367"/>
      <c r="H28" s="543"/>
      <c r="I28" s="853"/>
      <c r="J28" s="6"/>
      <c r="K28" s="541"/>
      <c r="L28" s="860"/>
      <c r="M28" s="20" t="str">
        <f>IF(J28="","",$M$5-SUM($J$7:J28))</f>
        <v/>
      </c>
      <c r="N28" s="367"/>
      <c r="O28" s="7"/>
      <c r="P28" s="873">
        <f>IF(F!Q28&lt;&gt;F!R28,IF(F!Q28&lt;&gt;0,IF(F!S28&lt;&gt;F!T28,F!P28,),),)</f>
        <v>0</v>
      </c>
      <c r="Q28" s="795">
        <f>IF(F!Q28&lt;&gt;F!R28,IF(F!Q28&lt;&gt;0,IF(F!S28&lt;&gt;F!T28,F!Q28,),),)</f>
        <v>0</v>
      </c>
      <c r="R28" s="628">
        <f>IF(F!Q28&lt;&gt;F!R28,IF(F!Q28&lt;&gt;0,IF(F!S28&lt;&gt;F!T28,0,Q28),Q28),Q28)</f>
        <v>0</v>
      </c>
      <c r="S28" s="796">
        <f>IF(F!Q28&lt;&gt;F!R28,IF(F!Q28&lt;&gt;0,IF(F!S28&lt;&gt;F!T28,F!S28+1,),),)</f>
        <v>0</v>
      </c>
      <c r="T28" s="796">
        <f>IF(F!Q28&lt;&gt;F!R28,IF(F!Q28&lt;&gt;0,IF(F!S28&lt;&gt;F!T28,F!T28,),),)</f>
        <v>0</v>
      </c>
      <c r="U28" s="797">
        <f>IF(F!Q28&lt;&gt;F!R28,IF(F!Q28&lt;&gt;0,IF(F!S28&lt;&gt;F!T28,F!U28,),),)</f>
        <v>0</v>
      </c>
      <c r="V28" s="875">
        <f>IF(F!Q28&lt;&gt;F!R28,IF(F!Q28&lt;&gt;0,IF(F!S28&lt;&gt;F!T28,F!V28,),),)</f>
        <v>0</v>
      </c>
      <c r="W28" s="622">
        <f>IF(Q28="","",$W$5-SUM($Q$7:Q28))</f>
        <v>0</v>
      </c>
      <c r="X28" s="395"/>
      <c r="Y28" s="906" t="str">
        <f>IF(F!Y28&lt;&gt;"",F!Y28,)</f>
        <v>Education/Schoolbooks</v>
      </c>
      <c r="Z28" s="457">
        <f>F!Z28</f>
        <v>0</v>
      </c>
      <c r="AA28" s="20">
        <f t="shared" si="0"/>
        <v>0</v>
      </c>
      <c r="AB28" s="723"/>
      <c r="AC28" s="723"/>
      <c r="AD28" s="36">
        <f t="shared" si="1"/>
        <v>0</v>
      </c>
      <c r="AE28" s="23">
        <f>IF(AI28=0,AX28,0)</f>
        <v>0</v>
      </c>
      <c r="AF28" s="367"/>
      <c r="AG28" s="728">
        <f t="shared" si="2"/>
        <v>0</v>
      </c>
      <c r="AH28" s="367"/>
      <c r="AI28" s="375">
        <v>0</v>
      </c>
      <c r="AJ28" s="367"/>
      <c r="AK28" s="528" t="s">
        <v>405</v>
      </c>
      <c r="AL28" s="529" t="s">
        <v>407</v>
      </c>
      <c r="AM28" s="367"/>
      <c r="AN28" s="367"/>
      <c r="AO28" s="86"/>
      <c r="AP28" s="51">
        <f t="shared" si="3"/>
        <v>0</v>
      </c>
      <c r="AQ28" s="476">
        <f>F!AQ28+F!AP28</f>
        <v>0</v>
      </c>
      <c r="AR28" s="476">
        <f t="shared" si="4"/>
        <v>0</v>
      </c>
      <c r="AS28" s="477">
        <f>AD28+F!AS28</f>
        <v>0</v>
      </c>
      <c r="AT28" s="477">
        <f>AA28+F!AT28</f>
        <v>0</v>
      </c>
      <c r="AU28" s="476"/>
      <c r="AV28" s="477">
        <f>F!AV28-F!AD28+G!Z28-F!AP28</f>
        <v>0</v>
      </c>
      <c r="AW28" s="476">
        <f t="shared" si="6"/>
        <v>0</v>
      </c>
      <c r="AX28" s="52">
        <f>IF(Z28=F!Z28,F!AE28-AD28,F!AE28+(Z28-F!Z28)*$AW$16-AD28)</f>
        <v>0</v>
      </c>
      <c r="AZ28" s="726">
        <f t="shared" si="7"/>
        <v>0</v>
      </c>
    </row>
    <row r="29" spans="1:63" ht="15" customHeight="1">
      <c r="A29" s="367"/>
      <c r="B29" s="850">
        <f ca="1">IF(F!B29&lt;&gt;"",F!B29,)</f>
        <v>0</v>
      </c>
      <c r="C29" s="454">
        <f ca="1">F!C29</f>
        <v>0</v>
      </c>
      <c r="D29" s="74"/>
      <c r="E29" s="521"/>
      <c r="F29" s="858"/>
      <c r="G29" s="367"/>
      <c r="H29" s="543"/>
      <c r="I29" s="854"/>
      <c r="J29" s="6"/>
      <c r="K29" s="541"/>
      <c r="L29" s="860"/>
      <c r="M29" s="20" t="str">
        <f>IF(J29="","",$M$5-SUM($J$7:J29))</f>
        <v/>
      </c>
      <c r="N29" s="367"/>
      <c r="O29" s="7"/>
      <c r="P29" s="873">
        <f>IF(F!Q29&lt;&gt;F!R29,IF(F!Q29&lt;&gt;0,IF(F!S29&lt;&gt;F!T29,F!P29,),),)</f>
        <v>0</v>
      </c>
      <c r="Q29" s="795">
        <f>IF(F!Q29&lt;&gt;F!R29,IF(F!Q29&lt;&gt;0,IF(F!S29&lt;&gt;F!T29,F!Q29,),),)</f>
        <v>0</v>
      </c>
      <c r="R29" s="628">
        <f>IF(F!Q29&lt;&gt;F!R29,IF(F!Q29&lt;&gt;0,IF(F!S29&lt;&gt;F!T29,0,Q29),Q29),Q29)</f>
        <v>0</v>
      </c>
      <c r="S29" s="796">
        <f>IF(F!Q29&lt;&gt;F!R29,IF(F!Q29&lt;&gt;0,IF(F!S29&lt;&gt;F!T29,F!S29+1,),),)</f>
        <v>0</v>
      </c>
      <c r="T29" s="796">
        <f>IF(F!Q29&lt;&gt;F!R29,IF(F!Q29&lt;&gt;0,IF(F!S29&lt;&gt;F!T29,F!T29,),),)</f>
        <v>0</v>
      </c>
      <c r="U29" s="797">
        <f>IF(F!Q29&lt;&gt;F!R29,IF(F!Q29&lt;&gt;0,IF(F!S29&lt;&gt;F!T29,F!U29,),),)</f>
        <v>0</v>
      </c>
      <c r="V29" s="875">
        <f>IF(F!Q29&lt;&gt;F!R29,IF(F!Q29&lt;&gt;0,IF(F!S29&lt;&gt;F!T29,F!V29,),),)</f>
        <v>0</v>
      </c>
      <c r="W29" s="622">
        <f>IF(Q29="","",$W$5-SUM($Q$7:Q29))</f>
        <v>0</v>
      </c>
      <c r="X29" s="395"/>
      <c r="Y29" s="906" t="str">
        <f>IF(F!Y29&lt;&gt;"",F!Y29,)</f>
        <v>Extracurricular Activities/Camps/Pool</v>
      </c>
      <c r="Z29" s="457">
        <f>F!Z29</f>
        <v>0</v>
      </c>
      <c r="AA29" s="20">
        <f t="shared" si="0"/>
        <v>0</v>
      </c>
      <c r="AB29" s="723"/>
      <c r="AC29" s="723"/>
      <c r="AD29" s="36">
        <f t="shared" si="1"/>
        <v>0</v>
      </c>
      <c r="AE29" s="23">
        <f t="shared" si="5"/>
        <v>0</v>
      </c>
      <c r="AF29" s="367"/>
      <c r="AG29" s="728">
        <f t="shared" si="2"/>
        <v>0</v>
      </c>
      <c r="AH29" s="367"/>
      <c r="AI29" s="375">
        <v>0</v>
      </c>
      <c r="AJ29" s="367"/>
      <c r="AK29" s="530" t="s">
        <v>32</v>
      </c>
      <c r="AL29" s="531" t="s">
        <v>33</v>
      </c>
      <c r="AM29" s="367"/>
      <c r="AN29" s="367"/>
      <c r="AO29" s="86"/>
      <c r="AP29" s="51">
        <f t="shared" si="3"/>
        <v>0</v>
      </c>
      <c r="AQ29" s="476">
        <f>F!AQ29+F!AP29</f>
        <v>0</v>
      </c>
      <c r="AR29" s="476">
        <f t="shared" si="4"/>
        <v>0</v>
      </c>
      <c r="AS29" s="477">
        <f>AD29+F!AS29</f>
        <v>0</v>
      </c>
      <c r="AT29" s="477">
        <f>AA29+F!AT29</f>
        <v>0</v>
      </c>
      <c r="AU29" s="476"/>
      <c r="AV29" s="477">
        <f>F!AV29-F!AD29+G!Z29-F!AP29</f>
        <v>0</v>
      </c>
      <c r="AW29" s="476">
        <f t="shared" si="6"/>
        <v>0</v>
      </c>
      <c r="AX29" s="52">
        <f>IF(Z29=F!Z29,F!AE29-AD29,F!AE29+(Z29-F!Z29)*$AW$16-AD29)</f>
        <v>0</v>
      </c>
      <c r="AZ29" s="726">
        <f t="shared" si="7"/>
        <v>0</v>
      </c>
    </row>
    <row r="30" spans="1:63" ht="15" customHeight="1">
      <c r="A30" s="367"/>
      <c r="B30" s="850">
        <f ca="1">IF(F!B30&lt;&gt;"",F!B30,)</f>
        <v>0</v>
      </c>
      <c r="C30" s="454">
        <f ca="1">F!C30</f>
        <v>0</v>
      </c>
      <c r="D30" s="74"/>
      <c r="E30" s="521"/>
      <c r="F30" s="858"/>
      <c r="G30" s="367"/>
      <c r="H30" s="543"/>
      <c r="I30" s="853"/>
      <c r="J30" s="6"/>
      <c r="K30" s="541"/>
      <c r="L30" s="860"/>
      <c r="M30" s="20" t="str">
        <f>IF(J30="","",$M$5-SUM($J$7:J30))</f>
        <v/>
      </c>
      <c r="N30" s="367"/>
      <c r="O30" s="7"/>
      <c r="P30" s="873">
        <f>IF(F!Q30&lt;&gt;F!R30,IF(F!Q30&lt;&gt;0,IF(F!S30&lt;&gt;F!T30,F!P30,),),)</f>
        <v>0</v>
      </c>
      <c r="Q30" s="795">
        <f>IF(F!Q30&lt;&gt;F!R30,IF(F!Q30&lt;&gt;0,IF(F!S30&lt;&gt;F!T30,F!Q30,),),)</f>
        <v>0</v>
      </c>
      <c r="R30" s="628">
        <f>IF(F!Q30&lt;&gt;F!R30,IF(F!Q30&lt;&gt;0,IF(F!S30&lt;&gt;F!T30,0,Q30),Q30),Q30)</f>
        <v>0</v>
      </c>
      <c r="S30" s="796">
        <f>IF(F!Q30&lt;&gt;F!R30,IF(F!Q30&lt;&gt;0,IF(F!S30&lt;&gt;F!T30,F!S30+1,),),)</f>
        <v>0</v>
      </c>
      <c r="T30" s="796">
        <f>IF(F!Q30&lt;&gt;F!R30,IF(F!Q30&lt;&gt;0,IF(F!S30&lt;&gt;F!T30,F!T30,),),)</f>
        <v>0</v>
      </c>
      <c r="U30" s="797">
        <f>IF(F!Q30&lt;&gt;F!R30,IF(F!Q30&lt;&gt;0,IF(F!S30&lt;&gt;F!T30,F!U30,),),)</f>
        <v>0</v>
      </c>
      <c r="V30" s="875">
        <f>IF(F!Q30&lt;&gt;F!R30,IF(F!Q30&lt;&gt;0,IF(F!S30&lt;&gt;F!T30,F!V30,),),)</f>
        <v>0</v>
      </c>
      <c r="W30" s="622">
        <f>IF(Q30="","",$W$5-SUM($Q$7:Q30))</f>
        <v>0</v>
      </c>
      <c r="X30" s="395"/>
      <c r="Y30" s="906" t="str">
        <f>IF(F!Y30&lt;&gt;"",F!Y30,)</f>
        <v xml:space="preserve">  Car Insurance and Licensing</v>
      </c>
      <c r="Z30" s="457">
        <f>F!Z30</f>
        <v>0</v>
      </c>
      <c r="AA30" s="20">
        <f t="shared" si="0"/>
        <v>0</v>
      </c>
      <c r="AB30" s="723"/>
      <c r="AC30" s="723"/>
      <c r="AD30" s="36">
        <f t="shared" si="1"/>
        <v>0</v>
      </c>
      <c r="AE30" s="23">
        <f t="shared" si="5"/>
        <v>0</v>
      </c>
      <c r="AF30" s="367"/>
      <c r="AG30" s="728">
        <f t="shared" si="2"/>
        <v>0</v>
      </c>
      <c r="AH30" s="367"/>
      <c r="AI30" s="375">
        <v>0</v>
      </c>
      <c r="AJ30" s="367"/>
      <c r="AK30" s="530" t="s">
        <v>34</v>
      </c>
      <c r="AL30" s="532" t="s">
        <v>33</v>
      </c>
      <c r="AM30" s="367"/>
      <c r="AN30" s="367"/>
      <c r="AO30" s="86"/>
      <c r="AP30" s="51">
        <f t="shared" si="3"/>
        <v>0</v>
      </c>
      <c r="AQ30" s="476">
        <f>F!AQ30+F!AP30</f>
        <v>0</v>
      </c>
      <c r="AR30" s="476">
        <f t="shared" si="4"/>
        <v>0</v>
      </c>
      <c r="AS30" s="477">
        <f>AD30+F!AS30</f>
        <v>0</v>
      </c>
      <c r="AT30" s="477">
        <f>AA30+F!AT30</f>
        <v>0</v>
      </c>
      <c r="AU30" s="476"/>
      <c r="AV30" s="477">
        <f>F!AV30-F!AD30+G!Z30-F!AP30</f>
        <v>0</v>
      </c>
      <c r="AW30" s="476">
        <f t="shared" si="6"/>
        <v>0</v>
      </c>
      <c r="AX30" s="52">
        <f>IF(Z30=F!Z30,F!AE30-AD30,F!AE30+(Z30-F!Z30)*$AW$16-AD30)</f>
        <v>0</v>
      </c>
      <c r="AZ30" s="726">
        <f t="shared" si="7"/>
        <v>0</v>
      </c>
    </row>
    <row r="31" spans="1:63" ht="15" customHeight="1">
      <c r="A31" s="367"/>
      <c r="B31" s="850">
        <f ca="1">IF(F!B31&lt;&gt;"",F!B31,)</f>
        <v>0</v>
      </c>
      <c r="C31" s="454">
        <f ca="1">F!C31</f>
        <v>0</v>
      </c>
      <c r="D31" s="74"/>
      <c r="E31" s="521"/>
      <c r="F31" s="858"/>
      <c r="G31" s="367"/>
      <c r="H31" s="543"/>
      <c r="I31" s="853"/>
      <c r="J31" s="6"/>
      <c r="K31" s="541"/>
      <c r="L31" s="860"/>
      <c r="M31" s="20" t="str">
        <f>IF(J31="","",$M$5-SUM($J$7:J31))</f>
        <v/>
      </c>
      <c r="N31" s="367"/>
      <c r="O31" s="7"/>
      <c r="P31" s="871">
        <f>IF(F!Q31&lt;&gt;F!R31,IF(F!Q31&lt;&gt;0,IF(F!S31&lt;&gt;F!T31,F!P31,),),)</f>
        <v>0</v>
      </c>
      <c r="Q31" s="795">
        <f>IF(F!Q31&lt;&gt;F!R31,IF(F!Q31&lt;&gt;0,IF(F!S31&lt;&gt;F!T31,F!Q31,),),)</f>
        <v>0</v>
      </c>
      <c r="R31" s="628">
        <f>IF(F!Q31&lt;&gt;F!R31,IF(F!Q31&lt;&gt;0,IF(F!S31&lt;&gt;F!T31,0,Q31),Q31),Q31)</f>
        <v>0</v>
      </c>
      <c r="S31" s="796">
        <f>IF(F!Q31&lt;&gt;F!R31,IF(F!Q31&lt;&gt;0,IF(F!S31&lt;&gt;F!T31,F!S31+1,),),)</f>
        <v>0</v>
      </c>
      <c r="T31" s="796">
        <f>IF(F!Q31&lt;&gt;F!R31,IF(F!Q31&lt;&gt;0,IF(F!S31&lt;&gt;F!T31,F!T31,),),)</f>
        <v>0</v>
      </c>
      <c r="U31" s="797">
        <f>IF(F!Q31&lt;&gt;F!R31,IF(F!Q31&lt;&gt;0,IF(F!S31&lt;&gt;F!T31,F!U31,),),)</f>
        <v>0</v>
      </c>
      <c r="V31" s="875">
        <f>IF(F!Q31&lt;&gt;F!R31,IF(F!Q31&lt;&gt;0,IF(F!S31&lt;&gt;F!T31,F!V31,),),)</f>
        <v>0</v>
      </c>
      <c r="W31" s="622">
        <f>IF(Q31="","",$W$5-SUM($Q$7:Q31))</f>
        <v>0</v>
      </c>
      <c r="X31" s="395"/>
      <c r="Y31" s="906" t="str">
        <f>IF(F!Y31&lt;&gt;"",F!Y31,)</f>
        <v>Car Maintenance</v>
      </c>
      <c r="Z31" s="457">
        <f>F!Z31</f>
        <v>0</v>
      </c>
      <c r="AA31" s="20">
        <f t="shared" si="0"/>
        <v>0</v>
      </c>
      <c r="AB31" s="723"/>
      <c r="AC31" s="723"/>
      <c r="AD31" s="36">
        <f t="shared" si="1"/>
        <v>0</v>
      </c>
      <c r="AE31" s="23">
        <f t="shared" si="5"/>
        <v>0</v>
      </c>
      <c r="AF31" s="367"/>
      <c r="AG31" s="728">
        <f t="shared" si="2"/>
        <v>0</v>
      </c>
      <c r="AH31" s="367"/>
      <c r="AI31" s="375">
        <v>0</v>
      </c>
      <c r="AJ31" s="367"/>
      <c r="AK31" s="530" t="s">
        <v>35</v>
      </c>
      <c r="AL31" s="533" t="s">
        <v>33</v>
      </c>
      <c r="AM31" s="367"/>
      <c r="AN31" s="367"/>
      <c r="AO31" s="86"/>
      <c r="AP31" s="51">
        <f t="shared" si="3"/>
        <v>0</v>
      </c>
      <c r="AQ31" s="476">
        <f>F!AQ31+F!AP31</f>
        <v>0</v>
      </c>
      <c r="AR31" s="476">
        <f t="shared" si="4"/>
        <v>0</v>
      </c>
      <c r="AS31" s="477">
        <f>AD31+F!AS31</f>
        <v>0</v>
      </c>
      <c r="AT31" s="477">
        <f>AA31+F!AT31</f>
        <v>0</v>
      </c>
      <c r="AU31" s="476"/>
      <c r="AV31" s="477">
        <f>F!AV31-F!AD31+G!Z31-F!AP31</f>
        <v>0</v>
      </c>
      <c r="AW31" s="476">
        <f t="shared" si="6"/>
        <v>0</v>
      </c>
      <c r="AX31" s="52">
        <f>IF(Z31=F!Z31,F!AE31-AD31,F!AE31+(Z31-F!Z31)*$AW$16-AD31)</f>
        <v>0</v>
      </c>
      <c r="AZ31" s="726">
        <f t="shared" si="7"/>
        <v>0</v>
      </c>
    </row>
    <row r="32" spans="1:63" ht="15" customHeight="1">
      <c r="A32" s="367"/>
      <c r="B32" s="850">
        <f ca="1">IF(F!B32&lt;&gt;"",F!B32,)</f>
        <v>0</v>
      </c>
      <c r="C32" s="454">
        <f ca="1">F!C32</f>
        <v>0</v>
      </c>
      <c r="D32" s="74"/>
      <c r="E32" s="521"/>
      <c r="F32" s="858"/>
      <c r="G32" s="367"/>
      <c r="H32" s="543"/>
      <c r="I32" s="853"/>
      <c r="J32" s="6"/>
      <c r="K32" s="541"/>
      <c r="L32" s="860"/>
      <c r="M32" s="20" t="str">
        <f>IF(J32="","",$M$5-SUM($J$7:J32))</f>
        <v/>
      </c>
      <c r="N32" s="367"/>
      <c r="O32" s="7"/>
      <c r="P32" s="873">
        <f>IF(F!Q32&lt;&gt;F!R32,IF(F!Q32&lt;&gt;0,IF(F!S32&lt;&gt;F!T32,F!P32,),),)</f>
        <v>0</v>
      </c>
      <c r="Q32" s="795">
        <f>IF(F!Q32&lt;&gt;F!R32,IF(F!Q32&lt;&gt;0,IF(F!S32&lt;&gt;F!T32,F!Q32,),),)</f>
        <v>0</v>
      </c>
      <c r="R32" s="628">
        <f>IF(F!Q32&lt;&gt;F!R32,IF(F!Q32&lt;&gt;0,IF(F!S32&lt;&gt;F!T32,0,Q32),Q32),Q32)</f>
        <v>0</v>
      </c>
      <c r="S32" s="796">
        <f>IF(F!Q32&lt;&gt;F!R32,IF(F!Q32&lt;&gt;0,IF(F!S32&lt;&gt;F!T32,F!S32+1,),),)</f>
        <v>0</v>
      </c>
      <c r="T32" s="796">
        <f>IF(F!Q32&lt;&gt;F!R32,IF(F!Q32&lt;&gt;0,IF(F!S32&lt;&gt;F!T32,F!T32,),),)</f>
        <v>0</v>
      </c>
      <c r="U32" s="797">
        <f>IF(F!Q32&lt;&gt;F!R32,IF(F!Q32&lt;&gt;0,IF(F!S32&lt;&gt;F!T32,F!U32,),),)</f>
        <v>0</v>
      </c>
      <c r="V32" s="875">
        <f>IF(F!Q32&lt;&gt;F!R32,IF(F!Q32&lt;&gt;0,IF(F!S32&lt;&gt;F!T32,F!V32,),),)</f>
        <v>0</v>
      </c>
      <c r="W32" s="622">
        <f>IF(Q32="","",$W$5-SUM($Q$7:Q32))</f>
        <v>0</v>
      </c>
      <c r="X32" s="389"/>
      <c r="Y32" s="906" t="str">
        <f>IF(F!Y32&lt;&gt;"",F!Y32,)</f>
        <v>Clothing and Shoes</v>
      </c>
      <c r="Z32" s="457">
        <f>F!Z32</f>
        <v>0</v>
      </c>
      <c r="AA32" s="20">
        <f t="shared" si="0"/>
        <v>0</v>
      </c>
      <c r="AB32" s="723"/>
      <c r="AC32" s="723"/>
      <c r="AD32" s="36">
        <f t="shared" si="1"/>
        <v>0</v>
      </c>
      <c r="AE32" s="23">
        <f t="shared" si="5"/>
        <v>0</v>
      </c>
      <c r="AF32" s="367"/>
      <c r="AG32" s="728">
        <f t="shared" si="2"/>
        <v>0</v>
      </c>
      <c r="AH32" s="367"/>
      <c r="AI32" s="375">
        <v>0</v>
      </c>
      <c r="AJ32" s="367"/>
      <c r="AK32" s="530" t="s">
        <v>36</v>
      </c>
      <c r="AL32" s="534" t="s">
        <v>33</v>
      </c>
      <c r="AM32" s="367"/>
      <c r="AN32" s="367"/>
      <c r="AO32" s="86"/>
      <c r="AP32" s="51">
        <f t="shared" si="3"/>
        <v>0</v>
      </c>
      <c r="AQ32" s="476">
        <f>F!AQ32+F!AP32</f>
        <v>0</v>
      </c>
      <c r="AR32" s="476">
        <f t="shared" si="4"/>
        <v>0</v>
      </c>
      <c r="AS32" s="477">
        <f>AD32+F!AS32</f>
        <v>0</v>
      </c>
      <c r="AT32" s="477">
        <f>AA32+F!AT32</f>
        <v>0</v>
      </c>
      <c r="AU32" s="476"/>
      <c r="AV32" s="477">
        <f>F!AV32-F!AD32+G!Z32-F!AP32</f>
        <v>0</v>
      </c>
      <c r="AW32" s="476">
        <f t="shared" si="6"/>
        <v>0</v>
      </c>
      <c r="AX32" s="52">
        <f>IF(Z32=F!Z32,F!AE32-AD32,F!AE32+(Z32-F!Z32)*$AW$16-AD32)</f>
        <v>0</v>
      </c>
      <c r="AZ32" s="726">
        <f t="shared" si="7"/>
        <v>0</v>
      </c>
    </row>
    <row r="33" spans="1:52" ht="15" customHeight="1">
      <c r="A33" s="367"/>
      <c r="B33" s="850">
        <f ca="1">IF(F!B33&lt;&gt;"",F!B33,)</f>
        <v>0</v>
      </c>
      <c r="C33" s="454">
        <f ca="1">F!C33</f>
        <v>0</v>
      </c>
      <c r="D33" s="74"/>
      <c r="E33" s="521"/>
      <c r="F33" s="858"/>
      <c r="G33" s="367"/>
      <c r="H33" s="543"/>
      <c r="I33" s="853"/>
      <c r="J33" s="6"/>
      <c r="K33" s="541"/>
      <c r="L33" s="860"/>
      <c r="M33" s="20" t="str">
        <f>IF(J33="","",$M$5-SUM($J$7:J33))</f>
        <v/>
      </c>
      <c r="N33" s="367"/>
      <c r="O33" s="7"/>
      <c r="P33" s="871">
        <f>IF(F!Q33&lt;&gt;F!R33,IF(F!Q33&lt;&gt;0,IF(F!S33&lt;&gt;F!T33,F!P33,),),)</f>
        <v>0</v>
      </c>
      <c r="Q33" s="795">
        <f>IF(F!Q33&lt;&gt;F!R33,IF(F!Q33&lt;&gt;0,IF(F!S33&lt;&gt;F!T33,F!Q33,),),)</f>
        <v>0</v>
      </c>
      <c r="R33" s="628">
        <f>IF(F!Q33&lt;&gt;F!R33,IF(F!Q33&lt;&gt;0,IF(F!S33&lt;&gt;F!T33,0,Q33),Q33),Q33)</f>
        <v>0</v>
      </c>
      <c r="S33" s="796">
        <f>IF(F!Q33&lt;&gt;F!R33,IF(F!Q33&lt;&gt;0,IF(F!S33&lt;&gt;F!T33,F!S33+1,),),)</f>
        <v>0</v>
      </c>
      <c r="T33" s="796">
        <f>IF(F!Q33&lt;&gt;F!R33,IF(F!Q33&lt;&gt;0,IF(F!S33&lt;&gt;F!T33,F!T33,),),)</f>
        <v>0</v>
      </c>
      <c r="U33" s="797">
        <f>IF(F!Q33&lt;&gt;F!R33,IF(F!Q33&lt;&gt;0,IF(F!S33&lt;&gt;F!T33,F!U33,),),)</f>
        <v>0</v>
      </c>
      <c r="V33" s="875">
        <f>IF(F!Q33&lt;&gt;F!R33,IF(F!Q33&lt;&gt;0,IF(F!S33&lt;&gt;F!T33,F!V33,),),)</f>
        <v>0</v>
      </c>
      <c r="W33" s="622">
        <f>IF(Q33="","",$W$5-SUM($Q$7:Q33))</f>
        <v>0</v>
      </c>
      <c r="X33" s="10"/>
      <c r="Y33" s="906" t="str">
        <f>IF(F!Y33&lt;&gt;"",F!Y33,)</f>
        <v>Medicine/Treatment</v>
      </c>
      <c r="Z33" s="457">
        <f>F!Z33</f>
        <v>0</v>
      </c>
      <c r="AA33" s="20">
        <f t="shared" si="0"/>
        <v>0</v>
      </c>
      <c r="AB33" s="723"/>
      <c r="AC33" s="723"/>
      <c r="AD33" s="36">
        <f t="shared" si="1"/>
        <v>0</v>
      </c>
      <c r="AE33" s="23">
        <f t="shared" si="5"/>
        <v>0</v>
      </c>
      <c r="AF33" s="367"/>
      <c r="AG33" s="728">
        <f t="shared" si="2"/>
        <v>0</v>
      </c>
      <c r="AH33" s="367"/>
      <c r="AI33" s="375">
        <v>0</v>
      </c>
      <c r="AJ33" s="367"/>
      <c r="AK33" s="530" t="s">
        <v>37</v>
      </c>
      <c r="AL33" s="535" t="s">
        <v>33</v>
      </c>
      <c r="AM33" s="367"/>
      <c r="AN33" s="367"/>
      <c r="AO33" s="86"/>
      <c r="AP33" s="51">
        <f t="shared" si="3"/>
        <v>0</v>
      </c>
      <c r="AQ33" s="476">
        <f>F!AQ33+F!AP33</f>
        <v>0</v>
      </c>
      <c r="AR33" s="476">
        <f t="shared" si="4"/>
        <v>0</v>
      </c>
      <c r="AS33" s="477">
        <f>AD33+F!AS33</f>
        <v>0</v>
      </c>
      <c r="AT33" s="477">
        <f>AA33+F!AT33</f>
        <v>0</v>
      </c>
      <c r="AU33" s="476"/>
      <c r="AV33" s="477">
        <f>F!AV33-F!AD33+G!Z33-F!AP33</f>
        <v>0</v>
      </c>
      <c r="AW33" s="476">
        <f t="shared" si="6"/>
        <v>0</v>
      </c>
      <c r="AX33" s="52">
        <f>IF(Z33=F!Z33,F!AE33-AD33,F!AE33+(Z33-F!Z33)*$AW$16-AD33)</f>
        <v>0</v>
      </c>
      <c r="AZ33" s="726">
        <f t="shared" si="7"/>
        <v>0</v>
      </c>
    </row>
    <row r="34" spans="1:52" ht="15" customHeight="1">
      <c r="A34" s="367"/>
      <c r="B34" s="850">
        <f ca="1">IF(F!B34&lt;&gt;"",F!B34,)</f>
        <v>0</v>
      </c>
      <c r="C34" s="454">
        <f ca="1">F!C34</f>
        <v>0</v>
      </c>
      <c r="D34" s="74"/>
      <c r="E34" s="521"/>
      <c r="F34" s="858"/>
      <c r="G34" s="367"/>
      <c r="H34" s="543"/>
      <c r="I34" s="853"/>
      <c r="J34" s="6"/>
      <c r="K34" s="541"/>
      <c r="L34" s="860"/>
      <c r="M34" s="20" t="str">
        <f>IF(J34="","",$M$5-SUM($J$7:J34))</f>
        <v/>
      </c>
      <c r="N34" s="367"/>
      <c r="O34" s="7"/>
      <c r="P34" s="873">
        <f>IF(F!Q34&lt;&gt;F!R34,IF(F!Q34&lt;&gt;0,IF(F!S34&lt;&gt;F!T34,F!P34,),),)</f>
        <v>0</v>
      </c>
      <c r="Q34" s="795">
        <f>IF(F!Q34&lt;&gt;F!R34,IF(F!Q34&lt;&gt;0,IF(F!S34&lt;&gt;F!T34,F!Q34,),),)</f>
        <v>0</v>
      </c>
      <c r="R34" s="628">
        <f>IF(F!Q34&lt;&gt;F!R34,IF(F!Q34&lt;&gt;0,IF(F!S34&lt;&gt;F!T34,0,Q34),Q34),Q34)</f>
        <v>0</v>
      </c>
      <c r="S34" s="796">
        <f>IF(F!Q34&lt;&gt;F!R34,IF(F!Q34&lt;&gt;0,IF(F!S34&lt;&gt;F!T34,F!S34+1,),),)</f>
        <v>0</v>
      </c>
      <c r="T34" s="796">
        <f>IF(F!Q34&lt;&gt;F!R34,IF(F!Q34&lt;&gt;0,IF(F!S34&lt;&gt;F!T34,F!T34,),),)</f>
        <v>0</v>
      </c>
      <c r="U34" s="797">
        <f>IF(F!Q34&lt;&gt;F!R34,IF(F!Q34&lt;&gt;0,IF(F!S34&lt;&gt;F!T34,F!U34,),),)</f>
        <v>0</v>
      </c>
      <c r="V34" s="875">
        <f>IF(F!Q34&lt;&gt;F!R34,IF(F!Q34&lt;&gt;0,IF(F!S34&lt;&gt;F!T34,F!V34,),),)</f>
        <v>0</v>
      </c>
      <c r="W34" s="622">
        <f>IF(Q34="","",$W$5-SUM($Q$7:Q34))</f>
        <v>0</v>
      </c>
      <c r="X34" s="10"/>
      <c r="Y34" s="905" t="str">
        <f>IF(F!Y34&lt;&gt;"",F!Y34,)</f>
        <v>Bank Interest and Fees</v>
      </c>
      <c r="Z34" s="457">
        <f>F!Z34</f>
        <v>0</v>
      </c>
      <c r="AA34" s="20">
        <f t="shared" si="0"/>
        <v>0</v>
      </c>
      <c r="AB34" s="723"/>
      <c r="AC34" s="723"/>
      <c r="AD34" s="36">
        <f t="shared" si="1"/>
        <v>0</v>
      </c>
      <c r="AE34" s="23">
        <f t="shared" si="5"/>
        <v>0</v>
      </c>
      <c r="AF34" s="367"/>
      <c r="AG34" s="728">
        <f t="shared" si="2"/>
        <v>0</v>
      </c>
      <c r="AH34" s="367"/>
      <c r="AI34" s="375">
        <v>0</v>
      </c>
      <c r="AJ34" s="367"/>
      <c r="AK34" s="530" t="s">
        <v>38</v>
      </c>
      <c r="AL34" s="536" t="s">
        <v>33</v>
      </c>
      <c r="AM34" s="367"/>
      <c r="AN34" s="367"/>
      <c r="AO34" s="86"/>
      <c r="AP34" s="51">
        <f t="shared" si="3"/>
        <v>0</v>
      </c>
      <c r="AQ34" s="476">
        <f>F!AQ34+F!AP34</f>
        <v>0</v>
      </c>
      <c r="AR34" s="476">
        <f t="shared" si="4"/>
        <v>0</v>
      </c>
      <c r="AS34" s="477">
        <f>AD34+F!AS34</f>
        <v>0</v>
      </c>
      <c r="AT34" s="477">
        <f>AA34+F!AT34</f>
        <v>0</v>
      </c>
      <c r="AU34" s="476"/>
      <c r="AV34" s="477">
        <f>F!AV34-F!AD34+G!Z34-F!AP34</f>
        <v>0</v>
      </c>
      <c r="AW34" s="476">
        <f t="shared" si="6"/>
        <v>0</v>
      </c>
      <c r="AX34" s="52">
        <f>IF(Z34=F!Z34,F!AE34-AD34,F!AE34+(Z34-F!Z34)*$AW$16-AD34)</f>
        <v>0</v>
      </c>
      <c r="AZ34" s="726">
        <f t="shared" si="7"/>
        <v>0</v>
      </c>
    </row>
    <row r="35" spans="1:52" ht="15" customHeight="1">
      <c r="A35" s="367"/>
      <c r="B35" s="850">
        <f ca="1">IF(F!B35&lt;&gt;"",F!B35,)</f>
        <v>0</v>
      </c>
      <c r="C35" s="454">
        <f ca="1">F!C35</f>
        <v>0</v>
      </c>
      <c r="D35" s="74"/>
      <c r="E35" s="521"/>
      <c r="F35" s="858"/>
      <c r="G35" s="367"/>
      <c r="H35" s="543"/>
      <c r="I35" s="853"/>
      <c r="J35" s="6"/>
      <c r="K35" s="541"/>
      <c r="L35" s="860"/>
      <c r="M35" s="20" t="str">
        <f>IF(J35="","",$M$5-SUM($J$7:J35))</f>
        <v/>
      </c>
      <c r="N35" s="367"/>
      <c r="O35" s="7"/>
      <c r="P35" s="871">
        <f>IF(F!Q35&lt;&gt;F!R35,IF(F!Q35&lt;&gt;0,IF(F!S35&lt;&gt;F!T35,F!P35,),),)</f>
        <v>0</v>
      </c>
      <c r="Q35" s="799">
        <f>IF(F!Q35&lt;&gt;F!R35,IF(F!Q35&lt;&gt;0,IF(F!S35&lt;&gt;F!T35,F!Q35,),),)</f>
        <v>0</v>
      </c>
      <c r="R35" s="628">
        <f>IF(F!Q35&lt;&gt;F!R35,IF(F!Q35&lt;&gt;0,IF(F!S35&lt;&gt;F!T35,0,Q35),Q35),Q35)</f>
        <v>0</v>
      </c>
      <c r="S35" s="796">
        <f>IF(F!Q35&lt;&gt;F!R35,IF(F!Q35&lt;&gt;0,IF(F!S35&lt;&gt;F!T35,F!S35+1,),),)</f>
        <v>0</v>
      </c>
      <c r="T35" s="796">
        <f>IF(F!Q35&lt;&gt;F!R35,IF(F!Q35&lt;&gt;0,IF(F!S35&lt;&gt;F!T35,F!T35,),),)</f>
        <v>0</v>
      </c>
      <c r="U35" s="797">
        <f>IF(F!Q35&lt;&gt;F!R35,IF(F!Q35&lt;&gt;0,IF(F!S35&lt;&gt;F!T35,F!U35,),),)</f>
        <v>0</v>
      </c>
      <c r="V35" s="875">
        <f>IF(F!Q35&lt;&gt;F!R35,IF(F!Q35&lt;&gt;0,IF(F!S35&lt;&gt;F!T35,F!V35,),),)</f>
        <v>0</v>
      </c>
      <c r="W35" s="626">
        <f>IF(Q35="","",$W$5-SUM($Q$7:Q35))</f>
        <v>0</v>
      </c>
      <c r="X35" s="395"/>
      <c r="Y35" s="905" t="str">
        <f>IF(F!Y35&lt;&gt;"",F!Y35,)</f>
        <v>Dental treatments</v>
      </c>
      <c r="Z35" s="457">
        <f>F!Z35</f>
        <v>0</v>
      </c>
      <c r="AA35" s="20">
        <f t="shared" si="0"/>
        <v>0</v>
      </c>
      <c r="AB35" s="723"/>
      <c r="AC35" s="723"/>
      <c r="AD35" s="36">
        <f t="shared" si="1"/>
        <v>0</v>
      </c>
      <c r="AE35" s="23">
        <f t="shared" si="5"/>
        <v>0</v>
      </c>
      <c r="AF35" s="367"/>
      <c r="AG35" s="728">
        <f t="shared" si="2"/>
        <v>0</v>
      </c>
      <c r="AH35" s="367"/>
      <c r="AI35" s="375">
        <v>0</v>
      </c>
      <c r="AJ35" s="367"/>
      <c r="AK35" s="530" t="s">
        <v>39</v>
      </c>
      <c r="AL35" s="537" t="s">
        <v>33</v>
      </c>
      <c r="AM35" s="367"/>
      <c r="AN35" s="367"/>
      <c r="AO35" s="86"/>
      <c r="AP35" s="51">
        <f t="shared" si="3"/>
        <v>0</v>
      </c>
      <c r="AQ35" s="476">
        <f>F!AQ35+F!AP35</f>
        <v>0</v>
      </c>
      <c r="AR35" s="476">
        <f t="shared" si="4"/>
        <v>0</v>
      </c>
      <c r="AS35" s="477">
        <f>AD35+F!AS35</f>
        <v>0</v>
      </c>
      <c r="AT35" s="477">
        <f>AA35+F!AT35</f>
        <v>0</v>
      </c>
      <c r="AU35" s="476"/>
      <c r="AV35" s="477">
        <f>F!AV35-F!AD35+G!Z35-F!AP35</f>
        <v>0</v>
      </c>
      <c r="AW35" s="476">
        <f t="shared" si="6"/>
        <v>0</v>
      </c>
      <c r="AX35" s="52">
        <f>IF(Z35=F!Z35,F!AE35-AD35,F!AE35+(Z35-F!Z35)*$AW$16-AD35)</f>
        <v>0</v>
      </c>
      <c r="AZ35" s="726">
        <f t="shared" si="7"/>
        <v>0</v>
      </c>
    </row>
    <row r="36" spans="1:52" ht="15" customHeight="1">
      <c r="A36" s="367"/>
      <c r="B36" s="850">
        <f ca="1">IF(F!B36&lt;&gt;"",F!B36,)</f>
        <v>0</v>
      </c>
      <c r="C36" s="454">
        <f ca="1">F!C36</f>
        <v>0</v>
      </c>
      <c r="D36" s="74"/>
      <c r="E36" s="521"/>
      <c r="F36" s="858"/>
      <c r="G36" s="367"/>
      <c r="H36" s="543"/>
      <c r="I36" s="853"/>
      <c r="J36" s="6"/>
      <c r="K36" s="541"/>
      <c r="L36" s="860"/>
      <c r="M36" s="20" t="str">
        <f>IF(J36="","",$M$5-SUM($J$7:J36))</f>
        <v/>
      </c>
      <c r="N36" s="367"/>
      <c r="O36" s="7"/>
      <c r="P36" s="873">
        <f>IF(F!Q36&lt;&gt;F!R36,IF(F!Q36&lt;&gt;0,IF(F!S36&lt;&gt;F!T36,F!P36,),),)</f>
        <v>0</v>
      </c>
      <c r="Q36" s="795">
        <f>IF(F!Q36&lt;&gt;F!R36,IF(F!Q36&lt;&gt;0,IF(F!S36&lt;&gt;F!T36,F!Q36,),),)</f>
        <v>0</v>
      </c>
      <c r="R36" s="628">
        <f>IF(F!Q36&lt;&gt;F!R36,IF(F!Q36&lt;&gt;0,IF(F!S36&lt;&gt;F!T36,0,Q36),Q36),Q36)</f>
        <v>0</v>
      </c>
      <c r="S36" s="796">
        <f>IF(F!Q36&lt;&gt;F!R36,IF(F!Q36&lt;&gt;0,IF(F!S36&lt;&gt;F!T36,F!S36+1,),),)</f>
        <v>0</v>
      </c>
      <c r="T36" s="796">
        <f>IF(F!Q36&lt;&gt;F!R36,IF(F!Q36&lt;&gt;0,IF(F!S36&lt;&gt;F!T36,F!T36,),),)</f>
        <v>0</v>
      </c>
      <c r="U36" s="797">
        <f>IF(F!Q36&lt;&gt;F!R36,IF(F!Q36&lt;&gt;0,IF(F!S36&lt;&gt;F!T36,F!U36,),),)</f>
        <v>0</v>
      </c>
      <c r="V36" s="875">
        <f>IF(F!Q36&lt;&gt;F!R36,IF(F!Q36&lt;&gt;0,IF(F!S36&lt;&gt;F!T36,F!V36,),),)</f>
        <v>0</v>
      </c>
      <c r="W36" s="622">
        <f>IF(Q36="","",$W$5-SUM($Q$7:Q36))</f>
        <v>0</v>
      </c>
      <c r="X36" s="395"/>
      <c r="Y36" s="905" t="str">
        <f>IF(F!Y36&lt;&gt;"",F!Y36,)</f>
        <v>Eyeglasses/Contact Lens</v>
      </c>
      <c r="Z36" s="457">
        <f>F!Z36</f>
        <v>0</v>
      </c>
      <c r="AA36" s="20">
        <f t="shared" si="0"/>
        <v>0</v>
      </c>
      <c r="AB36" s="723"/>
      <c r="AC36" s="723"/>
      <c r="AD36" s="36">
        <f t="shared" si="1"/>
        <v>0</v>
      </c>
      <c r="AE36" s="23">
        <f t="shared" si="5"/>
        <v>0</v>
      </c>
      <c r="AF36" s="367"/>
      <c r="AG36" s="728">
        <f t="shared" si="2"/>
        <v>0</v>
      </c>
      <c r="AH36" s="367"/>
      <c r="AI36" s="375">
        <v>0</v>
      </c>
      <c r="AJ36" s="367"/>
      <c r="AK36" s="530" t="s">
        <v>40</v>
      </c>
      <c r="AL36" s="538" t="s">
        <v>33</v>
      </c>
      <c r="AM36" s="367"/>
      <c r="AN36" s="367"/>
      <c r="AO36" s="86"/>
      <c r="AP36" s="51">
        <f t="shared" si="3"/>
        <v>0</v>
      </c>
      <c r="AQ36" s="476">
        <f>F!AQ36+F!AP36</f>
        <v>0</v>
      </c>
      <c r="AR36" s="476">
        <f t="shared" si="4"/>
        <v>0</v>
      </c>
      <c r="AS36" s="477">
        <f>AD36+F!AS36</f>
        <v>0</v>
      </c>
      <c r="AT36" s="477">
        <f>AA36+F!AT36</f>
        <v>0</v>
      </c>
      <c r="AU36" s="476"/>
      <c r="AV36" s="477">
        <f>F!AV36-F!AD36+G!Z36-F!AP36</f>
        <v>0</v>
      </c>
      <c r="AW36" s="476">
        <f t="shared" si="6"/>
        <v>0</v>
      </c>
      <c r="AX36" s="52">
        <f>IF(Z36=F!Z36,F!AE36-AD36,F!AE36+(Z36-F!Z36)*$AW$16-AD36)</f>
        <v>0</v>
      </c>
      <c r="AZ36" s="726">
        <f t="shared" si="7"/>
        <v>0</v>
      </c>
    </row>
    <row r="37" spans="1:52" ht="15" customHeight="1" thickBot="1">
      <c r="A37" s="367"/>
      <c r="B37" s="850">
        <f ca="1">IF(F!B37&lt;&gt;"",F!B37,)</f>
        <v>0</v>
      </c>
      <c r="C37" s="454">
        <f ca="1">F!C37</f>
        <v>0</v>
      </c>
      <c r="D37" s="74"/>
      <c r="E37" s="521"/>
      <c r="F37" s="858"/>
      <c r="G37" s="367"/>
      <c r="H37" s="543"/>
      <c r="I37" s="853"/>
      <c r="J37" s="6"/>
      <c r="K37" s="541"/>
      <c r="L37" s="860"/>
      <c r="M37" s="20" t="str">
        <f>IF(J37="","",$M$5-SUM($J$7:J37))</f>
        <v/>
      </c>
      <c r="N37" s="367"/>
      <c r="O37" s="7"/>
      <c r="P37" s="871">
        <f>IF(F!Q37&lt;&gt;F!R37,IF(F!Q37&lt;&gt;0,IF(F!S37&lt;&gt;F!T37,F!P37,),),)</f>
        <v>0</v>
      </c>
      <c r="Q37" s="795">
        <f>IF(F!Q37&lt;&gt;F!R37,IF(F!Q37&lt;&gt;0,IF(F!S37&lt;&gt;F!T37,F!Q37,),),)</f>
        <v>0</v>
      </c>
      <c r="R37" s="628">
        <f>IF(F!Q37&lt;&gt;F!R37,IF(F!Q37&lt;&gt;0,IF(F!S37&lt;&gt;F!T37,0,Q37),Q37),Q37)</f>
        <v>0</v>
      </c>
      <c r="S37" s="796">
        <f>IF(F!Q37&lt;&gt;F!R37,IF(F!Q37&lt;&gt;0,IF(F!S37&lt;&gt;F!T37,F!S37+1,),),)</f>
        <v>0</v>
      </c>
      <c r="T37" s="796">
        <f>IF(F!Q37&lt;&gt;F!R37,IF(F!Q37&lt;&gt;0,IF(F!S37&lt;&gt;F!T37,F!T37,),),)</f>
        <v>0</v>
      </c>
      <c r="U37" s="797">
        <f>IF(F!Q37&lt;&gt;F!R37,IF(F!Q37&lt;&gt;0,IF(F!S37&lt;&gt;F!T37,F!U37,),),)</f>
        <v>0</v>
      </c>
      <c r="V37" s="875">
        <f>IF(F!Q37&lt;&gt;F!R37,IF(F!Q37&lt;&gt;0,IF(F!S37&lt;&gt;F!T37,F!V37,),),)</f>
        <v>0</v>
      </c>
      <c r="W37" s="622">
        <f>IF(Q37="","",$W$5-SUM($Q$7:Q37))</f>
        <v>0</v>
      </c>
      <c r="X37" s="395"/>
      <c r="Y37" s="905" t="str">
        <f>IF(F!Y37&lt;&gt;"",F!Y37,)</f>
        <v>Vacations</v>
      </c>
      <c r="Z37" s="457">
        <f>F!Z37</f>
        <v>0</v>
      </c>
      <c r="AA37" s="20">
        <f t="shared" si="0"/>
        <v>0</v>
      </c>
      <c r="AB37" s="723"/>
      <c r="AC37" s="723"/>
      <c r="AD37" s="36">
        <f t="shared" si="1"/>
        <v>0</v>
      </c>
      <c r="AE37" s="23">
        <f t="shared" si="5"/>
        <v>0</v>
      </c>
      <c r="AF37" s="367"/>
      <c r="AG37" s="728">
        <f t="shared" si="2"/>
        <v>0</v>
      </c>
      <c r="AH37" s="367"/>
      <c r="AI37" s="375">
        <v>0</v>
      </c>
      <c r="AJ37" s="367"/>
      <c r="AK37" s="539" t="s">
        <v>41</v>
      </c>
      <c r="AL37" s="540" t="s">
        <v>33</v>
      </c>
      <c r="AM37" s="367"/>
      <c r="AN37" s="367"/>
      <c r="AO37" s="86"/>
      <c r="AP37" s="51">
        <f t="shared" si="3"/>
        <v>0</v>
      </c>
      <c r="AQ37" s="476">
        <f>F!AQ37+F!AP37</f>
        <v>0</v>
      </c>
      <c r="AR37" s="476">
        <f t="shared" si="4"/>
        <v>0</v>
      </c>
      <c r="AS37" s="477">
        <f>AD37+F!AS37</f>
        <v>0</v>
      </c>
      <c r="AT37" s="477">
        <f>AA37+F!AT37</f>
        <v>0</v>
      </c>
      <c r="AU37" s="476"/>
      <c r="AV37" s="477">
        <f>F!AV37-F!AD37+G!Z37-F!AP37</f>
        <v>0</v>
      </c>
      <c r="AW37" s="476">
        <f t="shared" si="6"/>
        <v>0</v>
      </c>
      <c r="AX37" s="52">
        <f>IF(Z37=F!Z37,F!AE37-AD37,F!AE37+(Z37-F!Z37)*$AW$16-AD37)</f>
        <v>0</v>
      </c>
      <c r="AZ37" s="726">
        <f t="shared" si="7"/>
        <v>0</v>
      </c>
    </row>
    <row r="38" spans="1:52" ht="15" customHeight="1">
      <c r="A38" s="367"/>
      <c r="B38" s="850">
        <f ca="1">IF(F!B38&lt;&gt;"",F!B38,)</f>
        <v>0</v>
      </c>
      <c r="C38" s="454">
        <f ca="1">F!C38</f>
        <v>0</v>
      </c>
      <c r="D38" s="74"/>
      <c r="E38" s="521"/>
      <c r="F38" s="858"/>
      <c r="G38" s="367"/>
      <c r="H38" s="543"/>
      <c r="I38" s="853"/>
      <c r="J38" s="6"/>
      <c r="K38" s="541"/>
      <c r="L38" s="860"/>
      <c r="M38" s="20" t="str">
        <f>IF(J38="","",$M$5-SUM($J$7:J38))</f>
        <v/>
      </c>
      <c r="N38" s="367"/>
      <c r="O38" s="7"/>
      <c r="P38" s="873">
        <f>IF(F!Q38&lt;&gt;F!R38,IF(F!Q38&lt;&gt;0,IF(F!S38&lt;&gt;F!T38,F!P38,),),)</f>
        <v>0</v>
      </c>
      <c r="Q38" s="795">
        <f>IF(F!Q38&lt;&gt;F!R38,IF(F!Q38&lt;&gt;0,IF(F!S38&lt;&gt;F!T38,F!Q38,),),)</f>
        <v>0</v>
      </c>
      <c r="R38" s="628">
        <f>IF(F!Q38&lt;&gt;F!R38,IF(F!Q38&lt;&gt;0,IF(F!S38&lt;&gt;F!T38,0,Q38),Q38),Q38)</f>
        <v>0</v>
      </c>
      <c r="S38" s="796">
        <f>IF(F!Q38&lt;&gt;F!R38,IF(F!Q38&lt;&gt;0,IF(F!S38&lt;&gt;F!T38,F!S38+1,),),)</f>
        <v>0</v>
      </c>
      <c r="T38" s="796">
        <f>IF(F!Q38&lt;&gt;F!R38,IF(F!Q38&lt;&gt;0,IF(F!S38&lt;&gt;F!T38,F!T38,),),)</f>
        <v>0</v>
      </c>
      <c r="U38" s="797">
        <f>IF(F!Q38&lt;&gt;F!R38,IF(F!Q38&lt;&gt;0,IF(F!S38&lt;&gt;F!T38,F!U38,),),)</f>
        <v>0</v>
      </c>
      <c r="V38" s="875">
        <f>IF(F!Q38&lt;&gt;F!R38,IF(F!Q38&lt;&gt;0,IF(F!S38&lt;&gt;F!T38,F!V38,),),)</f>
        <v>0</v>
      </c>
      <c r="W38" s="625">
        <f>IF(Q38="","",$W$5-SUM($Q$7:Q38))</f>
        <v>0</v>
      </c>
      <c r="X38" s="621"/>
      <c r="Y38" s="906" t="str">
        <f>IF(F!Y38&lt;&gt;"",F!Y38,)</f>
        <v>Religious expenses</v>
      </c>
      <c r="Z38" s="457">
        <f>F!Z38</f>
        <v>0</v>
      </c>
      <c r="AA38" s="20">
        <f t="shared" si="0"/>
        <v>0</v>
      </c>
      <c r="AB38" s="723"/>
      <c r="AC38" s="723"/>
      <c r="AD38" s="36">
        <f t="shared" si="1"/>
        <v>0</v>
      </c>
      <c r="AE38" s="23">
        <f t="shared" si="5"/>
        <v>0</v>
      </c>
      <c r="AF38" s="367"/>
      <c r="AG38" s="728">
        <f t="shared" si="2"/>
        <v>0</v>
      </c>
      <c r="AH38" s="367"/>
      <c r="AI38" s="375">
        <v>0</v>
      </c>
      <c r="AJ38" s="367"/>
      <c r="AK38" s="367"/>
      <c r="AL38" s="367"/>
      <c r="AM38" s="367"/>
      <c r="AN38" s="367"/>
      <c r="AO38" s="86"/>
      <c r="AP38" s="51">
        <f t="shared" si="3"/>
        <v>0</v>
      </c>
      <c r="AQ38" s="476">
        <f>F!AQ38+F!AP38</f>
        <v>0</v>
      </c>
      <c r="AR38" s="476">
        <f t="shared" si="4"/>
        <v>0</v>
      </c>
      <c r="AS38" s="477">
        <f>AD38+F!AS38</f>
        <v>0</v>
      </c>
      <c r="AT38" s="477">
        <f>AA38+F!AT38</f>
        <v>0</v>
      </c>
      <c r="AU38" s="476"/>
      <c r="AV38" s="477">
        <f>F!AV38-F!AD38+G!Z38-F!AP38</f>
        <v>0</v>
      </c>
      <c r="AW38" s="476">
        <f t="shared" si="6"/>
        <v>0</v>
      </c>
      <c r="AX38" s="52">
        <f>IF(Z38=F!Z38,F!AE38-AD38,F!AE38+(Z38-F!Z38)*$AW$16-AD38)</f>
        <v>0</v>
      </c>
      <c r="AZ38" s="726">
        <f t="shared" si="7"/>
        <v>0</v>
      </c>
    </row>
    <row r="39" spans="1:52" ht="15" customHeight="1">
      <c r="A39" s="367"/>
      <c r="B39" s="850">
        <f ca="1">IF(F!B39&lt;&gt;"",F!B39,)</f>
        <v>0</v>
      </c>
      <c r="C39" s="454">
        <f ca="1">F!C39</f>
        <v>0</v>
      </c>
      <c r="D39" s="74"/>
      <c r="E39" s="521"/>
      <c r="F39" s="858"/>
      <c r="G39" s="367"/>
      <c r="H39" s="543"/>
      <c r="I39" s="853"/>
      <c r="J39" s="6"/>
      <c r="K39" s="541"/>
      <c r="L39" s="860"/>
      <c r="M39" s="20" t="str">
        <f>IF(J39="","",$M$5-SUM($J$7:J39))</f>
        <v/>
      </c>
      <c r="N39" s="367"/>
      <c r="O39" s="7"/>
      <c r="P39" s="872">
        <f>IF(F!Q39&lt;&gt;F!R39,IF(F!Q39&lt;&gt;0,IF(F!S39&lt;&gt;F!T39,F!P39,),),)</f>
        <v>0</v>
      </c>
      <c r="Q39" s="795">
        <f>IF(F!Q39&lt;&gt;F!R39,IF(F!Q39&lt;&gt;0,IF(F!S39&lt;&gt;F!T39,F!Q39,),),)</f>
        <v>0</v>
      </c>
      <c r="R39" s="628">
        <f>IF(F!Q39&lt;&gt;F!R39,IF(F!Q39&lt;&gt;0,IF(F!S39&lt;&gt;F!T39,0,Q39),Q39),Q39)</f>
        <v>0</v>
      </c>
      <c r="S39" s="796">
        <f>IF(F!Q39&lt;&gt;F!R39,IF(F!Q39&lt;&gt;0,IF(F!S39&lt;&gt;F!T39,F!S39+1,),),)</f>
        <v>0</v>
      </c>
      <c r="T39" s="796">
        <f>IF(F!Q39&lt;&gt;F!R39,IF(F!Q39&lt;&gt;0,IF(F!S39&lt;&gt;F!T39,F!T39,),),)</f>
        <v>0</v>
      </c>
      <c r="U39" s="797">
        <f>IF(F!Q39&lt;&gt;F!R39,IF(F!Q39&lt;&gt;0,IF(F!S39&lt;&gt;F!T39,F!U39,),),)</f>
        <v>0</v>
      </c>
      <c r="V39" s="875">
        <f>IF(F!Q39&lt;&gt;F!R39,IF(F!Q39&lt;&gt;0,IF(F!S39&lt;&gt;F!T39,F!V39,),),)</f>
        <v>0</v>
      </c>
      <c r="W39" s="622">
        <f>IF(Q39="","",$W$5-SUM($Q$7:Q39))</f>
        <v>0</v>
      </c>
      <c r="X39" s="395"/>
      <c r="Y39" s="906" t="str">
        <f>IF(F!Y39&lt;&gt;"",F!Y39,)</f>
        <v>Gifts</v>
      </c>
      <c r="Z39" s="457">
        <f>F!Z39</f>
        <v>0</v>
      </c>
      <c r="AA39" s="20">
        <f t="shared" si="0"/>
        <v>0</v>
      </c>
      <c r="AB39" s="723"/>
      <c r="AC39" s="723"/>
      <c r="AD39" s="36">
        <f t="shared" si="1"/>
        <v>0</v>
      </c>
      <c r="AE39" s="23">
        <f t="shared" si="5"/>
        <v>0</v>
      </c>
      <c r="AF39" s="367"/>
      <c r="AG39" s="728">
        <f t="shared" si="2"/>
        <v>0</v>
      </c>
      <c r="AH39" s="367"/>
      <c r="AI39" s="375">
        <v>0</v>
      </c>
      <c r="AJ39" s="367"/>
      <c r="AK39" s="367"/>
      <c r="AL39" s="367"/>
      <c r="AM39" s="367"/>
      <c r="AN39" s="367"/>
      <c r="AO39" s="86"/>
      <c r="AP39" s="51">
        <f t="shared" si="3"/>
        <v>0</v>
      </c>
      <c r="AQ39" s="476">
        <f>F!AQ39+F!AP39</f>
        <v>0</v>
      </c>
      <c r="AR39" s="476">
        <f t="shared" si="4"/>
        <v>0</v>
      </c>
      <c r="AS39" s="477">
        <f>AD39+F!AS39</f>
        <v>0</v>
      </c>
      <c r="AT39" s="477">
        <f>AA39+F!AT39</f>
        <v>0</v>
      </c>
      <c r="AU39" s="476"/>
      <c r="AV39" s="477">
        <f>F!AV39-F!AD39+G!Z39-F!AP39</f>
        <v>0</v>
      </c>
      <c r="AW39" s="476">
        <f t="shared" si="6"/>
        <v>0</v>
      </c>
      <c r="AX39" s="52">
        <f>IF(Z39=F!Z39,F!AE39-AD39,F!AE39+(Z39-F!Z39)*$AW$16-AD39)</f>
        <v>0</v>
      </c>
      <c r="AZ39" s="726">
        <f t="shared" si="7"/>
        <v>0</v>
      </c>
    </row>
    <row r="40" spans="1:52" ht="15" customHeight="1">
      <c r="A40" s="367"/>
      <c r="B40" s="16" t="s">
        <v>179</v>
      </c>
      <c r="C40" s="77">
        <f ca="1">SUM(C27:C39)+SUM(C65:C86)</f>
        <v>0</v>
      </c>
      <c r="D40" s="75">
        <f>SUM(D27:D39)+SUM(D65:D86)</f>
        <v>0</v>
      </c>
      <c r="E40" s="515"/>
      <c r="F40" s="515"/>
      <c r="G40" s="367"/>
      <c r="H40" s="543"/>
      <c r="I40" s="853"/>
      <c r="J40" s="6"/>
      <c r="K40" s="541"/>
      <c r="L40" s="860"/>
      <c r="M40" s="20" t="str">
        <f>IF(J40="","",$M$5-SUM($J$7:J40))</f>
        <v/>
      </c>
      <c r="N40" s="367"/>
      <c r="O40" s="7"/>
      <c r="P40" s="871">
        <f>IF(F!Q40&lt;&gt;F!R40,IF(F!Q40&lt;&gt;0,IF(F!S40&lt;&gt;F!T40,F!P40,),),)</f>
        <v>0</v>
      </c>
      <c r="Q40" s="795">
        <f>IF(F!Q40&lt;&gt;F!R40,IF(F!Q40&lt;&gt;0,IF(F!S40&lt;&gt;F!T40,F!Q40,),),)</f>
        <v>0</v>
      </c>
      <c r="R40" s="628">
        <f>IF(F!Q40&lt;&gt;F!R40,IF(F!Q40&lt;&gt;0,IF(F!S40&lt;&gt;F!T40,0,Q40),Q40),Q40)</f>
        <v>0</v>
      </c>
      <c r="S40" s="796">
        <f>IF(F!Q40&lt;&gt;F!R40,IF(F!Q40&lt;&gt;0,IF(F!S40&lt;&gt;F!T40,F!S40+1,),),)</f>
        <v>0</v>
      </c>
      <c r="T40" s="796">
        <f>IF(F!Q40&lt;&gt;F!R40,IF(F!Q40&lt;&gt;0,IF(F!S40&lt;&gt;F!T40,F!T40,),),)</f>
        <v>0</v>
      </c>
      <c r="U40" s="797">
        <f>IF(F!Q40&lt;&gt;F!R40,IF(F!Q40&lt;&gt;0,IF(F!S40&lt;&gt;F!T40,F!U40,),),)</f>
        <v>0</v>
      </c>
      <c r="V40" s="875">
        <f>IF(F!Q40&lt;&gt;F!R40,IF(F!Q40&lt;&gt;0,IF(F!S40&lt;&gt;F!T40,F!V40,),),)</f>
        <v>0</v>
      </c>
      <c r="W40" s="622">
        <f>IF(Q40="","",$W$5-SUM($Q$7:Q40))</f>
        <v>0</v>
      </c>
      <c r="X40" s="395"/>
      <c r="Y40" s="906" t="str">
        <f>IF(F!Y40&lt;&gt;"",F!Y40,)</f>
        <v>Small Purchases</v>
      </c>
      <c r="Z40" s="457">
        <f>F!Z40</f>
        <v>0</v>
      </c>
      <c r="AA40" s="20">
        <f t="shared" si="0"/>
        <v>0</v>
      </c>
      <c r="AB40" s="723"/>
      <c r="AC40" s="723"/>
      <c r="AD40" s="36">
        <f t="shared" si="1"/>
        <v>0</v>
      </c>
      <c r="AE40" s="23">
        <f t="shared" si="5"/>
        <v>0</v>
      </c>
      <c r="AF40" s="367"/>
      <c r="AG40" s="728">
        <f t="shared" si="2"/>
        <v>0</v>
      </c>
      <c r="AH40" s="367"/>
      <c r="AI40" s="375">
        <v>0</v>
      </c>
      <c r="AJ40" s="367"/>
      <c r="AK40" s="367"/>
      <c r="AL40" s="367"/>
      <c r="AM40" s="367"/>
      <c r="AN40" s="367"/>
      <c r="AO40" s="86"/>
      <c r="AP40" s="51">
        <f t="shared" si="3"/>
        <v>0</v>
      </c>
      <c r="AQ40" s="476">
        <f>F!AQ40+F!AP40</f>
        <v>0</v>
      </c>
      <c r="AR40" s="476">
        <f t="shared" si="4"/>
        <v>0</v>
      </c>
      <c r="AS40" s="477">
        <f>AD40+F!AS40</f>
        <v>0</v>
      </c>
      <c r="AT40" s="477">
        <f>AA40+F!AT40</f>
        <v>0</v>
      </c>
      <c r="AU40" s="476"/>
      <c r="AV40" s="477">
        <f>F!AV40-F!AD40+G!Z40-F!AP40</f>
        <v>0</v>
      </c>
      <c r="AW40" s="476">
        <f t="shared" si="6"/>
        <v>0</v>
      </c>
      <c r="AX40" s="52">
        <f>IF(Z40=F!Z40,F!AE40-AD40,F!AE40+(Z40-F!Z40)*$AW$16-AD40)</f>
        <v>0</v>
      </c>
      <c r="AZ40" s="726">
        <f t="shared" si="7"/>
        <v>0</v>
      </c>
    </row>
    <row r="41" spans="1:52" ht="15" customHeight="1" thickBot="1">
      <c r="A41" s="367"/>
      <c r="B41" s="11" t="s">
        <v>367</v>
      </c>
      <c r="C41" s="1093">
        <f ca="1">C40-D40</f>
        <v>0</v>
      </c>
      <c r="D41" s="1094"/>
      <c r="E41" s="517"/>
      <c r="F41" s="517"/>
      <c r="G41" s="367"/>
      <c r="H41" s="543"/>
      <c r="I41" s="853"/>
      <c r="J41" s="6"/>
      <c r="K41" s="541"/>
      <c r="L41" s="860"/>
      <c r="M41" s="20" t="str">
        <f>IF(J41="","",$M$5-SUM($J$7:J41))</f>
        <v/>
      </c>
      <c r="N41" s="367"/>
      <c r="O41" s="7"/>
      <c r="P41" s="871">
        <f>IF(F!Q41&lt;&gt;F!R41,IF(F!Q41&lt;&gt;0,IF(F!S41&lt;&gt;F!T41,F!P41,),),)</f>
        <v>0</v>
      </c>
      <c r="Q41" s="795">
        <f>IF(F!Q41&lt;&gt;F!R41,IF(F!Q41&lt;&gt;0,IF(F!S41&lt;&gt;F!T41,F!Q41,),),)</f>
        <v>0</v>
      </c>
      <c r="R41" s="628">
        <f>IF(F!Q41&lt;&gt;F!R41,IF(F!Q41&lt;&gt;0,IF(F!S41&lt;&gt;F!T41,0,Q41),Q41),Q41)</f>
        <v>0</v>
      </c>
      <c r="S41" s="796">
        <f>IF(F!Q41&lt;&gt;F!R41,IF(F!Q41&lt;&gt;0,IF(F!S41&lt;&gt;F!T41,F!S41+1,),),)</f>
        <v>0</v>
      </c>
      <c r="T41" s="796">
        <f>IF(F!Q41&lt;&gt;F!R41,IF(F!Q41&lt;&gt;0,IF(F!S41&lt;&gt;F!T41,F!T41,),),)</f>
        <v>0</v>
      </c>
      <c r="U41" s="797">
        <f>IF(F!Q41&lt;&gt;F!R41,IF(F!Q41&lt;&gt;0,IF(F!S41&lt;&gt;F!T41,F!U41,),),)</f>
        <v>0</v>
      </c>
      <c r="V41" s="875">
        <f>IF(F!Q41&lt;&gt;F!R41,IF(F!Q41&lt;&gt;0,IF(F!S41&lt;&gt;F!T41,F!V41,),),)</f>
        <v>0</v>
      </c>
      <c r="W41" s="622">
        <f>IF(Q41="","",$W$5-SUM($Q$7:Q41))</f>
        <v>0</v>
      </c>
      <c r="X41" s="395"/>
      <c r="Y41" s="905" t="str">
        <f>IF(F!Y41&lt;&gt;"",F!Y41,)</f>
        <v>Haircuts / Cosmetics Treatments</v>
      </c>
      <c r="Z41" s="457">
        <f>F!Z41</f>
        <v>0</v>
      </c>
      <c r="AA41" s="20">
        <f t="shared" si="0"/>
        <v>0</v>
      </c>
      <c r="AB41" s="723"/>
      <c r="AC41" s="723"/>
      <c r="AD41" s="36">
        <f t="shared" si="1"/>
        <v>0</v>
      </c>
      <c r="AE41" s="23">
        <f t="shared" si="5"/>
        <v>0</v>
      </c>
      <c r="AF41" s="367"/>
      <c r="AG41" s="728">
        <f t="shared" si="2"/>
        <v>0</v>
      </c>
      <c r="AH41" s="367"/>
      <c r="AI41" s="375">
        <v>0</v>
      </c>
      <c r="AJ41" s="367"/>
      <c r="AK41" s="367"/>
      <c r="AL41" s="367"/>
      <c r="AM41" s="367"/>
      <c r="AN41" s="367"/>
      <c r="AO41" s="86"/>
      <c r="AP41" s="51">
        <f t="shared" si="3"/>
        <v>0</v>
      </c>
      <c r="AQ41" s="476">
        <f>F!AQ41+F!AP41</f>
        <v>0</v>
      </c>
      <c r="AR41" s="476">
        <f t="shared" si="4"/>
        <v>0</v>
      </c>
      <c r="AS41" s="477">
        <f>AD41+F!AS41</f>
        <v>0</v>
      </c>
      <c r="AT41" s="477">
        <f>AA41+F!AT41</f>
        <v>0</v>
      </c>
      <c r="AU41" s="476"/>
      <c r="AV41" s="477">
        <f>F!AV41-F!AD41+G!Z41-F!AP41</f>
        <v>0</v>
      </c>
      <c r="AW41" s="476">
        <f t="shared" si="6"/>
        <v>0</v>
      </c>
      <c r="AX41" s="52">
        <f>IF(Z41=F!Z41,F!AE41-AD41,F!AE41+(Z41-F!Z41)*$AW$16-AD41)</f>
        <v>0</v>
      </c>
      <c r="AZ41" s="726">
        <f t="shared" si="7"/>
        <v>0</v>
      </c>
    </row>
    <row r="42" spans="1:52" ht="15" customHeight="1">
      <c r="A42" s="367"/>
      <c r="B42" s="1095" t="str">
        <f ca="1">IF(C41&gt;0,"Unexpected positive difference - Check why!","")</f>
        <v/>
      </c>
      <c r="C42" s="1095"/>
      <c r="D42" s="1095"/>
      <c r="E42" s="514"/>
      <c r="F42" s="514"/>
      <c r="G42" s="367"/>
      <c r="H42" s="543"/>
      <c r="I42" s="853"/>
      <c r="J42" s="6"/>
      <c r="K42" s="541"/>
      <c r="L42" s="860"/>
      <c r="M42" s="20" t="str">
        <f>IF(J42="","",$M$5-SUM($J$7:J42))</f>
        <v/>
      </c>
      <c r="N42" s="367"/>
      <c r="O42" s="7"/>
      <c r="P42" s="873">
        <f>IF(F!Q42&lt;&gt;F!R42,IF(F!Q42&lt;&gt;0,IF(F!S42&lt;&gt;F!T42,F!P42,),),)</f>
        <v>0</v>
      </c>
      <c r="Q42" s="795">
        <f>IF(F!Q42&lt;&gt;F!R42,IF(F!Q42&lt;&gt;0,IF(F!S42&lt;&gt;F!T42,F!Q42,),),)</f>
        <v>0</v>
      </c>
      <c r="R42" s="628">
        <f>IF(F!Q42&lt;&gt;F!R42,IF(F!Q42&lt;&gt;0,IF(F!S42&lt;&gt;F!T42,0,Q42),Q42),Q42)</f>
        <v>0</v>
      </c>
      <c r="S42" s="796">
        <f>IF(F!Q42&lt;&gt;F!R42,IF(F!Q42&lt;&gt;0,IF(F!S42&lt;&gt;F!T42,F!S42+1,),),)</f>
        <v>0</v>
      </c>
      <c r="T42" s="796">
        <f>IF(F!Q42&lt;&gt;F!R42,IF(F!Q42&lt;&gt;0,IF(F!S42&lt;&gt;F!T42,F!T42,),),)</f>
        <v>0</v>
      </c>
      <c r="U42" s="797">
        <f>IF(F!Q42&lt;&gt;F!R42,IF(F!Q42&lt;&gt;0,IF(F!S42&lt;&gt;F!T42,F!U42,),),)</f>
        <v>0</v>
      </c>
      <c r="V42" s="875">
        <f>IF(F!Q42&lt;&gt;F!R42,IF(F!Q42&lt;&gt;0,IF(F!S42&lt;&gt;F!T42,F!V42,),),)</f>
        <v>0</v>
      </c>
      <c r="W42" s="622">
        <f>IF(Q42="","",$W$5-SUM($Q$7:Q42))</f>
        <v>0</v>
      </c>
      <c r="X42" s="395"/>
      <c r="Y42" s="905" t="str">
        <f>IF(F!Y42&lt;&gt;"",F!Y42,)</f>
        <v>National Insurance</v>
      </c>
      <c r="Z42" s="457">
        <f>F!Z42</f>
        <v>0</v>
      </c>
      <c r="AA42" s="20">
        <f t="shared" si="0"/>
        <v>0</v>
      </c>
      <c r="AB42" s="723"/>
      <c r="AC42" s="723"/>
      <c r="AD42" s="36">
        <f t="shared" si="1"/>
        <v>0</v>
      </c>
      <c r="AE42" s="23">
        <f t="shared" si="5"/>
        <v>0</v>
      </c>
      <c r="AF42" s="367"/>
      <c r="AG42" s="728">
        <f t="shared" si="2"/>
        <v>0</v>
      </c>
      <c r="AH42" s="367"/>
      <c r="AI42" s="375">
        <v>0</v>
      </c>
      <c r="AJ42" s="367"/>
      <c r="AK42" s="367"/>
      <c r="AL42" s="367"/>
      <c r="AM42" s="367"/>
      <c r="AN42" s="367"/>
      <c r="AO42" s="86"/>
      <c r="AP42" s="51">
        <f t="shared" si="3"/>
        <v>0</v>
      </c>
      <c r="AQ42" s="476">
        <f>F!AQ42+F!AP42</f>
        <v>0</v>
      </c>
      <c r="AR42" s="476">
        <f t="shared" si="4"/>
        <v>0</v>
      </c>
      <c r="AS42" s="477">
        <f>AD42+F!AS42</f>
        <v>0</v>
      </c>
      <c r="AT42" s="477">
        <f>AA42+F!AT42</f>
        <v>0</v>
      </c>
      <c r="AU42" s="476"/>
      <c r="AV42" s="477">
        <f>F!AV42-F!AD42+G!Z42-F!AP42</f>
        <v>0</v>
      </c>
      <c r="AW42" s="476">
        <f t="shared" si="6"/>
        <v>0</v>
      </c>
      <c r="AX42" s="52">
        <f>IF(Z42=F!Z42,F!AE42-AD42,F!AE42+(Z42-F!Z42)*$AW$16-AD42)</f>
        <v>0</v>
      </c>
      <c r="AZ42" s="726">
        <f t="shared" si="7"/>
        <v>0</v>
      </c>
    </row>
    <row r="43" spans="1:52" ht="15" customHeight="1" thickBot="1">
      <c r="A43" s="367"/>
      <c r="B43" s="1117" t="s">
        <v>351</v>
      </c>
      <c r="C43" s="1117"/>
      <c r="D43" s="367"/>
      <c r="E43" s="367"/>
      <c r="F43" s="367"/>
      <c r="G43" s="367"/>
      <c r="H43" s="543"/>
      <c r="I43" s="854"/>
      <c r="J43" s="6"/>
      <c r="K43" s="541"/>
      <c r="L43" s="860"/>
      <c r="M43" s="20" t="str">
        <f>IF(J43="","",$M$5-SUM($J$7:J43))</f>
        <v/>
      </c>
      <c r="N43" s="367"/>
      <c r="O43" s="7"/>
      <c r="P43" s="871">
        <f>IF(F!Q43&lt;&gt;F!R43,IF(F!Q43&lt;&gt;0,IF(F!S43&lt;&gt;F!T43,F!P43,),),)</f>
        <v>0</v>
      </c>
      <c r="Q43" s="795">
        <f>IF(F!Q43&lt;&gt;F!R43,IF(F!Q43&lt;&gt;0,IF(F!S43&lt;&gt;F!T43,F!Q43,),),)</f>
        <v>0</v>
      </c>
      <c r="R43" s="628">
        <f>IF(F!Q43&lt;&gt;F!R43,IF(F!Q43&lt;&gt;0,IF(F!S43&lt;&gt;F!T43,0,Q43),Q43),Q43)</f>
        <v>0</v>
      </c>
      <c r="S43" s="796">
        <f>IF(F!Q43&lt;&gt;F!R43,IF(F!Q43&lt;&gt;0,IF(F!S43&lt;&gt;F!T43,F!S43+1,),),)</f>
        <v>0</v>
      </c>
      <c r="T43" s="796">
        <f>IF(F!Q43&lt;&gt;F!R43,IF(F!Q43&lt;&gt;0,IF(F!S43&lt;&gt;F!T43,F!T43,),),)</f>
        <v>0</v>
      </c>
      <c r="U43" s="797">
        <f>IF(F!Q43&lt;&gt;F!R43,IF(F!Q43&lt;&gt;0,IF(F!S43&lt;&gt;F!T43,F!U43,),),)</f>
        <v>0</v>
      </c>
      <c r="V43" s="875">
        <f>IF(F!Q43&lt;&gt;F!R43,IF(F!Q43&lt;&gt;0,IF(F!S43&lt;&gt;F!T43,F!V43,),),)</f>
        <v>0</v>
      </c>
      <c r="W43" s="622">
        <f>IF(Q43="","",$W$5-SUM($Q$7:Q43))</f>
        <v>0</v>
      </c>
      <c r="X43" s="395"/>
      <c r="Y43" s="905">
        <f>IF(F!Y43&lt;&gt;"",F!Y43,)</f>
        <v>0</v>
      </c>
      <c r="Z43" s="457">
        <f>F!Z43</f>
        <v>0</v>
      </c>
      <c r="AA43" s="20">
        <f t="shared" si="0"/>
        <v>0</v>
      </c>
      <c r="AB43" s="723"/>
      <c r="AC43" s="723"/>
      <c r="AD43" s="36">
        <f t="shared" si="1"/>
        <v>0</v>
      </c>
      <c r="AE43" s="23">
        <f t="shared" si="5"/>
        <v>0</v>
      </c>
      <c r="AF43" s="367"/>
      <c r="AG43" s="728">
        <f t="shared" si="2"/>
        <v>0</v>
      </c>
      <c r="AH43" s="367"/>
      <c r="AI43" s="375">
        <v>0</v>
      </c>
      <c r="AJ43" s="367"/>
      <c r="AK43" s="367"/>
      <c r="AL43" s="367"/>
      <c r="AM43" s="367"/>
      <c r="AN43" s="367"/>
      <c r="AO43" s="86"/>
      <c r="AP43" s="51">
        <f t="shared" si="3"/>
        <v>0</v>
      </c>
      <c r="AQ43" s="476">
        <f>F!AQ43+F!AP43</f>
        <v>0</v>
      </c>
      <c r="AR43" s="476">
        <f t="shared" si="4"/>
        <v>0</v>
      </c>
      <c r="AS43" s="477">
        <f>AD43+F!AS43</f>
        <v>0</v>
      </c>
      <c r="AT43" s="477">
        <f>AA43+F!AT43</f>
        <v>0</v>
      </c>
      <c r="AU43" s="476"/>
      <c r="AV43" s="477">
        <f>F!AV43-F!AD43+G!Z43-F!AP43</f>
        <v>0</v>
      </c>
      <c r="AW43" s="476">
        <f t="shared" si="6"/>
        <v>0</v>
      </c>
      <c r="AX43" s="52">
        <f>IF(Z43=F!Z43,F!AE43-AD43,F!AE43+(Z43-F!Z43)*$AW$16-AD43)</f>
        <v>0</v>
      </c>
      <c r="AZ43" s="726">
        <f t="shared" si="7"/>
        <v>0</v>
      </c>
    </row>
    <row r="44" spans="1:52" ht="15" customHeight="1">
      <c r="A44" s="367"/>
      <c r="B44" s="811" t="s">
        <v>353</v>
      </c>
      <c r="C44" s="100" t="s">
        <v>354</v>
      </c>
      <c r="D44" s="915" t="s">
        <v>494</v>
      </c>
      <c r="E44" s="518"/>
      <c r="F44" s="518"/>
      <c r="G44" s="367"/>
      <c r="H44" s="543"/>
      <c r="I44" s="853"/>
      <c r="J44" s="6"/>
      <c r="K44" s="541"/>
      <c r="L44" s="860"/>
      <c r="M44" s="20" t="str">
        <f>IF(J44="","",$M$5-SUM($J$7:J44))</f>
        <v/>
      </c>
      <c r="N44" s="367"/>
      <c r="O44" s="7"/>
      <c r="P44" s="871">
        <f>IF(F!Q44&lt;&gt;F!R44,IF(F!Q44&lt;&gt;0,IF(F!S44&lt;&gt;F!T44,F!P44,),),)</f>
        <v>0</v>
      </c>
      <c r="Q44" s="795">
        <f>IF(F!Q44&lt;&gt;F!R44,IF(F!Q44&lt;&gt;0,IF(F!S44&lt;&gt;F!T44,F!Q44,),),)</f>
        <v>0</v>
      </c>
      <c r="R44" s="628">
        <f>IF(F!Q44&lt;&gt;F!R44,IF(F!Q44&lt;&gt;0,IF(F!S44&lt;&gt;F!T44,0,Q44),Q44),Q44)</f>
        <v>0</v>
      </c>
      <c r="S44" s="796">
        <f>IF(F!Q44&lt;&gt;F!R44,IF(F!Q44&lt;&gt;0,IF(F!S44&lt;&gt;F!T44,F!S44+1,),),)</f>
        <v>0</v>
      </c>
      <c r="T44" s="796">
        <f>IF(F!Q44&lt;&gt;F!R44,IF(F!Q44&lt;&gt;0,IF(F!S44&lt;&gt;F!T44,F!T44,),),)</f>
        <v>0</v>
      </c>
      <c r="U44" s="797">
        <f>IF(F!Q44&lt;&gt;F!R44,IF(F!Q44&lt;&gt;0,IF(F!S44&lt;&gt;F!T44,F!U44,),),)</f>
        <v>0</v>
      </c>
      <c r="V44" s="875">
        <f>IF(F!Q44&lt;&gt;F!R44,IF(F!Q44&lt;&gt;0,IF(F!S44&lt;&gt;F!T44,F!V44,),),)</f>
        <v>0</v>
      </c>
      <c r="W44" s="622">
        <f>IF(Q44="","",$W$5-SUM($Q$7:Q44))</f>
        <v>0</v>
      </c>
      <c r="X44" s="396"/>
      <c r="Y44" s="905">
        <f>IF(F!Y44&lt;&gt;"",F!Y44,)</f>
        <v>0</v>
      </c>
      <c r="Z44" s="457">
        <f>F!Z44</f>
        <v>0</v>
      </c>
      <c r="AA44" s="20">
        <f t="shared" si="0"/>
        <v>0</v>
      </c>
      <c r="AB44" s="723"/>
      <c r="AC44" s="723"/>
      <c r="AD44" s="36">
        <f t="shared" si="1"/>
        <v>0</v>
      </c>
      <c r="AE44" s="23">
        <f t="shared" si="5"/>
        <v>0</v>
      </c>
      <c r="AF44" s="367"/>
      <c r="AG44" s="728">
        <f t="shared" si="2"/>
        <v>0</v>
      </c>
      <c r="AH44" s="367"/>
      <c r="AI44" s="375">
        <v>0</v>
      </c>
      <c r="AJ44" s="367"/>
      <c r="AK44" s="367"/>
      <c r="AL44" s="367"/>
      <c r="AM44" s="367"/>
      <c r="AN44" s="367"/>
      <c r="AO44" s="86"/>
      <c r="AP44" s="51">
        <f t="shared" si="3"/>
        <v>0</v>
      </c>
      <c r="AQ44" s="476">
        <f>F!AQ44+F!AP44</f>
        <v>0</v>
      </c>
      <c r="AR44" s="476">
        <f t="shared" si="4"/>
        <v>0</v>
      </c>
      <c r="AS44" s="477">
        <f>AD44+F!AS44</f>
        <v>0</v>
      </c>
      <c r="AT44" s="477">
        <f>AA44+F!AT44</f>
        <v>0</v>
      </c>
      <c r="AU44" s="476"/>
      <c r="AV44" s="477">
        <f>F!AV44-F!AD44+G!Z44-F!AP44</f>
        <v>0</v>
      </c>
      <c r="AW44" s="476">
        <f t="shared" si="6"/>
        <v>0</v>
      </c>
      <c r="AX44" s="52">
        <f>IF(Z44=F!Z44,F!AE44-AD44,F!AE44+(Z44-F!Z44)*$AW$16-AD44)</f>
        <v>0</v>
      </c>
      <c r="AZ44" s="727">
        <f t="shared" si="7"/>
        <v>0</v>
      </c>
    </row>
    <row r="45" spans="1:52" ht="15.75">
      <c r="A45" s="367"/>
      <c r="B45" s="850" t="str">
        <f>IF(F!B45&lt;&gt;"",F!B45,)</f>
        <v>Food</v>
      </c>
      <c r="C45" s="455">
        <f>F!C45</f>
        <v>0</v>
      </c>
      <c r="D45" s="80">
        <f t="shared" ref="D45:D56" si="8">SUMIF($I$7:$I$110,B45,$J$7:$J$110)</f>
        <v>0</v>
      </c>
      <c r="E45" s="519"/>
      <c r="F45" s="519"/>
      <c r="G45" s="367"/>
      <c r="H45" s="543"/>
      <c r="I45" s="853"/>
      <c r="J45" s="6"/>
      <c r="K45" s="541"/>
      <c r="L45" s="860"/>
      <c r="M45" s="20" t="str">
        <f>IF(J45="","",$M$5-SUM($J$7:J45))</f>
        <v/>
      </c>
      <c r="N45" s="367"/>
      <c r="O45" s="107"/>
      <c r="P45" s="873">
        <f>IF(F!Q45&lt;&gt;F!R45,IF(F!Q45&lt;&gt;0,IF(F!S45&lt;&gt;F!T45,F!P45,),),)</f>
        <v>0</v>
      </c>
      <c r="Q45" s="795">
        <f>IF(F!Q45&lt;&gt;F!R45,IF(F!Q45&lt;&gt;0,IF(F!S45&lt;&gt;F!T45,F!Q45,),),)</f>
        <v>0</v>
      </c>
      <c r="R45" s="628">
        <f>IF(F!Q45&lt;&gt;F!R45,IF(F!Q45&lt;&gt;0,IF(F!S45&lt;&gt;F!T45,0,Q45),Q45),Q45)</f>
        <v>0</v>
      </c>
      <c r="S45" s="796">
        <f>IF(F!Q45&lt;&gt;F!R45,IF(F!Q45&lt;&gt;0,IF(F!S45&lt;&gt;F!T45,F!S45+1,),),)</f>
        <v>0</v>
      </c>
      <c r="T45" s="796">
        <f>IF(F!Q45&lt;&gt;F!R45,IF(F!Q45&lt;&gt;0,IF(F!S45&lt;&gt;F!T45,F!T45,),),)</f>
        <v>0</v>
      </c>
      <c r="U45" s="797">
        <f>IF(F!Q45&lt;&gt;F!R45,IF(F!Q45&lt;&gt;0,IF(F!S45&lt;&gt;F!T45,F!U45,),),)</f>
        <v>0</v>
      </c>
      <c r="V45" s="875">
        <f>IF(F!Q45&lt;&gt;F!R45,IF(F!Q45&lt;&gt;0,IF(F!S45&lt;&gt;F!T45,F!V45,),),)</f>
        <v>0</v>
      </c>
      <c r="W45" s="622">
        <f>IF(Q45="","",$W$5-SUM($Q$7:Q45))</f>
        <v>0</v>
      </c>
      <c r="X45" s="397"/>
      <c r="Y45" s="18" t="s">
        <v>179</v>
      </c>
      <c r="Z45" s="17">
        <f>SUM(Z23:Z44)</f>
        <v>0</v>
      </c>
      <c r="AA45" s="20">
        <f>SUM(AA23:AA44)</f>
        <v>0</v>
      </c>
      <c r="AB45" s="723"/>
      <c r="AC45" s="723"/>
      <c r="AD45" s="36"/>
      <c r="AE45" s="24">
        <f>SUM(AE23:AE44)</f>
        <v>0</v>
      </c>
      <c r="AF45" s="367"/>
      <c r="AG45" s="367"/>
      <c r="AH45" s="367"/>
      <c r="AI45" s="367"/>
      <c r="AJ45" s="367"/>
      <c r="AK45" s="367"/>
      <c r="AL45" s="367"/>
      <c r="AM45" s="367"/>
      <c r="AN45" s="367"/>
      <c r="AO45" s="86"/>
      <c r="AP45" s="52">
        <f>SUM(AP23:AP44)</f>
        <v>0</v>
      </c>
      <c r="AQ45" s="476">
        <f>SUM(AQ23:AQ44)</f>
        <v>0</v>
      </c>
      <c r="AR45" s="476">
        <f>SUM(AR23:AR44)</f>
        <v>0</v>
      </c>
      <c r="AS45" s="476">
        <f>SUM(AS23:AS44)</f>
        <v>0</v>
      </c>
      <c r="AT45" s="476">
        <f>SUM(AT23:AT44)</f>
        <v>0</v>
      </c>
      <c r="AU45" s="476"/>
      <c r="AV45" s="476">
        <f>SUM(AV23:AV44)</f>
        <v>0</v>
      </c>
      <c r="AW45" s="476">
        <f>SUM(AW23:AW44)</f>
        <v>0</v>
      </c>
      <c r="AX45" s="52">
        <f>SUM(AX23:AX44)</f>
        <v>0</v>
      </c>
    </row>
    <row r="46" spans="1:52" ht="15.75" customHeight="1" thickBot="1">
      <c r="A46" s="367"/>
      <c r="B46" s="850" t="str">
        <f>IF(F!B46&lt;&gt;"",F!B46,)</f>
        <v>Public Transportation</v>
      </c>
      <c r="C46" s="455">
        <f>F!C46</f>
        <v>0</v>
      </c>
      <c r="D46" s="80">
        <f t="shared" si="8"/>
        <v>0</v>
      </c>
      <c r="E46" s="519"/>
      <c r="F46" s="519"/>
      <c r="G46" s="367"/>
      <c r="H46" s="543"/>
      <c r="I46" s="853"/>
      <c r="J46" s="6"/>
      <c r="K46" s="541"/>
      <c r="L46" s="860"/>
      <c r="M46" s="20" t="str">
        <f>IF(J46="","",$M$5-SUM($J$7:J46))</f>
        <v/>
      </c>
      <c r="N46" s="367"/>
      <c r="O46" s="652"/>
      <c r="P46" s="865" t="s">
        <v>429</v>
      </c>
      <c r="Q46" s="620"/>
      <c r="R46" s="619"/>
      <c r="S46" s="629"/>
      <c r="T46" s="629"/>
      <c r="U46" s="646"/>
      <c r="V46" s="618"/>
      <c r="W46" s="627">
        <f>W5-AA45</f>
        <v>0</v>
      </c>
      <c r="X46" s="386"/>
      <c r="Y46" s="125" t="s">
        <v>367</v>
      </c>
      <c r="Z46" s="1202">
        <f>Z45-AA45</f>
        <v>0</v>
      </c>
      <c r="AA46" s="1203"/>
      <c r="AB46" s="644"/>
      <c r="AC46" s="644"/>
      <c r="AD46" s="37"/>
      <c r="AF46" s="367"/>
      <c r="AG46" s="367"/>
      <c r="AH46" s="367"/>
      <c r="AI46" s="367"/>
      <c r="AJ46" s="367"/>
      <c r="AK46" s="367"/>
      <c r="AL46" s="367"/>
      <c r="AM46" s="367"/>
      <c r="AN46" s="367"/>
      <c r="AO46" s="86"/>
    </row>
    <row r="47" spans="1:52" ht="15.75" customHeight="1">
      <c r="A47" s="367"/>
      <c r="B47" s="850" t="str">
        <f>IF(F!B47&lt;&gt;"",F!B47,)</f>
        <v>Gas and Parking</v>
      </c>
      <c r="C47" s="455">
        <f>F!C47</f>
        <v>0</v>
      </c>
      <c r="D47" s="80">
        <f t="shared" si="8"/>
        <v>0</v>
      </c>
      <c r="E47" s="519"/>
      <c r="F47" s="519"/>
      <c r="G47" s="367"/>
      <c r="H47" s="543"/>
      <c r="I47" s="853"/>
      <c r="J47" s="6"/>
      <c r="K47" s="541"/>
      <c r="L47" s="860"/>
      <c r="M47" s="20" t="str">
        <f>IF(J47="","",$M$5-SUM($J$7:J47))</f>
        <v/>
      </c>
      <c r="N47" s="367"/>
      <c r="O47" s="385"/>
      <c r="P47" s="393"/>
      <c r="Q47" s="378"/>
      <c r="R47" s="392"/>
      <c r="S47" s="387"/>
      <c r="T47" s="387"/>
      <c r="U47" s="387"/>
      <c r="V47" s="617"/>
      <c r="W47" s="392"/>
      <c r="X47" s="386"/>
      <c r="Y47" s="388"/>
      <c r="Z47" s="389"/>
      <c r="AA47" s="389"/>
      <c r="AB47" s="389"/>
      <c r="AC47" s="389"/>
      <c r="AD47" s="389"/>
      <c r="AE47" s="367"/>
      <c r="AF47" s="367"/>
      <c r="AG47" s="367"/>
      <c r="AH47" s="367"/>
      <c r="AI47" s="367"/>
      <c r="AJ47" s="367"/>
      <c r="AK47" s="367"/>
      <c r="AL47" s="367"/>
      <c r="AM47" s="367"/>
      <c r="AN47" s="367"/>
      <c r="AO47" s="86"/>
    </row>
    <row r="48" spans="1:52" ht="19.5" thickBot="1">
      <c r="A48" s="367"/>
      <c r="B48" s="850" t="str">
        <f>IF(F!B48&lt;&gt;"",F!B48,)</f>
        <v>Telephone-Landline/Long Distance</v>
      </c>
      <c r="C48" s="455">
        <f>F!C48</f>
        <v>0</v>
      </c>
      <c r="D48" s="80">
        <f t="shared" si="8"/>
        <v>0</v>
      </c>
      <c r="E48" s="519"/>
      <c r="F48" s="519"/>
      <c r="G48" s="367"/>
      <c r="H48" s="543"/>
      <c r="I48" s="853"/>
      <c r="J48" s="6"/>
      <c r="K48" s="541"/>
      <c r="L48" s="860"/>
      <c r="M48" s="20" t="str">
        <f>IF(J48="","",$M$5-SUM($J$7:J48))</f>
        <v/>
      </c>
      <c r="N48" s="367"/>
      <c r="P48" s="819" t="s">
        <v>395</v>
      </c>
      <c r="Q48" s="94" t="str">
        <f>M2</f>
        <v/>
      </c>
      <c r="R48" s="94" t="str">
        <f>N2</f>
        <v/>
      </c>
      <c r="S48" s="1215"/>
      <c r="T48" s="1215"/>
      <c r="U48" s="390"/>
      <c r="V48" s="390"/>
      <c r="W48" s="390"/>
      <c r="X48" s="386"/>
      <c r="Y48" s="386"/>
      <c r="Z48" s="386"/>
      <c r="AA48" s="386"/>
      <c r="AB48" s="391"/>
      <c r="AC48" s="391"/>
      <c r="AD48" s="391"/>
      <c r="AE48" s="367"/>
      <c r="AF48" s="367"/>
      <c r="AG48" s="367"/>
      <c r="AH48" s="367"/>
      <c r="AI48" s="367"/>
      <c r="AJ48" s="367"/>
      <c r="AK48" s="367"/>
      <c r="AL48" s="367"/>
      <c r="AM48" s="367"/>
      <c r="AN48" s="367"/>
      <c r="AO48" s="86"/>
    </row>
    <row r="49" spans="1:92" ht="16.5" thickBot="1">
      <c r="A49" s="367"/>
      <c r="B49" s="850" t="str">
        <f>IF(F!B49&lt;&gt;"",F!B49,)</f>
        <v>Cell Phones</v>
      </c>
      <c r="C49" s="455">
        <f>F!C49</f>
        <v>0</v>
      </c>
      <c r="D49" s="80">
        <f t="shared" si="8"/>
        <v>0</v>
      </c>
      <c r="E49" s="519"/>
      <c r="F49" s="519"/>
      <c r="G49" s="367"/>
      <c r="H49" s="543"/>
      <c r="I49" s="853"/>
      <c r="J49" s="6"/>
      <c r="K49" s="541"/>
      <c r="L49" s="860"/>
      <c r="M49" s="20" t="str">
        <f>IF(J49="","",$M$5-SUM($J$7:J49))</f>
        <v/>
      </c>
      <c r="N49" s="367"/>
      <c r="O49" s="377"/>
      <c r="P49" s="653" t="s">
        <v>288</v>
      </c>
      <c r="Q49" s="654" t="s">
        <v>354</v>
      </c>
      <c r="R49" s="654" t="s">
        <v>398</v>
      </c>
      <c r="S49" s="1216" t="s">
        <v>298</v>
      </c>
      <c r="T49" s="1217"/>
      <c r="U49" s="648"/>
      <c r="V49" s="371"/>
      <c r="W49" s="371"/>
      <c r="X49" s="367"/>
      <c r="Y49" s="386"/>
      <c r="Z49" s="386"/>
      <c r="AA49" s="386"/>
      <c r="AB49" s="391"/>
      <c r="AC49" s="391"/>
      <c r="AD49" s="391"/>
      <c r="AE49" s="367"/>
      <c r="AF49" s="367"/>
      <c r="AG49" s="367"/>
      <c r="AH49" s="367"/>
      <c r="AI49" s="367"/>
      <c r="AJ49" s="367"/>
      <c r="AK49" s="367"/>
      <c r="AL49" s="367"/>
      <c r="AM49" s="367"/>
      <c r="AN49" s="367"/>
      <c r="AO49" s="86"/>
    </row>
    <row r="50" spans="1:92" ht="15.75">
      <c r="A50" s="367"/>
      <c r="B50" s="850" t="str">
        <f>IF(F!B50&lt;&gt;"",F!B50,)</f>
        <v>Home</v>
      </c>
      <c r="C50" s="455">
        <f>F!C50</f>
        <v>0</v>
      </c>
      <c r="D50" s="80">
        <f t="shared" si="8"/>
        <v>0</v>
      </c>
      <c r="E50" s="519"/>
      <c r="F50" s="519"/>
      <c r="G50" s="367"/>
      <c r="H50" s="543"/>
      <c r="I50" s="853"/>
      <c r="J50" s="6"/>
      <c r="K50" s="541"/>
      <c r="L50" s="860"/>
      <c r="M50" s="20" t="str">
        <f>IF(J50="","",$M$5-SUM($J$7:J50))</f>
        <v/>
      </c>
      <c r="N50" s="367"/>
      <c r="O50" s="377"/>
      <c r="P50" s="655" t="s">
        <v>151</v>
      </c>
      <c r="Q50" s="22">
        <f>C18</f>
        <v>0</v>
      </c>
      <c r="R50" s="22">
        <f>D18</f>
        <v>0</v>
      </c>
      <c r="S50" s="1096">
        <f>Q50-R50</f>
        <v>0</v>
      </c>
      <c r="T50" s="1097"/>
      <c r="U50" s="647"/>
      <c r="V50" s="371"/>
      <c r="W50" s="371"/>
      <c r="X50" s="367"/>
      <c r="Y50" s="386"/>
      <c r="Z50" s="386"/>
      <c r="AA50" s="386"/>
      <c r="AB50" s="386"/>
      <c r="AC50" s="386"/>
      <c r="AD50" s="386"/>
      <c r="AE50" s="367"/>
      <c r="AF50" s="367"/>
      <c r="AG50" s="367"/>
      <c r="AH50" s="367"/>
      <c r="AI50" s="367"/>
      <c r="AJ50" s="367"/>
      <c r="AK50" s="367"/>
      <c r="AL50" s="367"/>
      <c r="AM50" s="367"/>
      <c r="AN50" s="367"/>
      <c r="AO50" s="86"/>
    </row>
    <row r="51" spans="1:92" ht="15.75">
      <c r="A51" s="367"/>
      <c r="B51" s="850" t="str">
        <f>IF(F!B51&lt;&gt;"",F!B51,)</f>
        <v>Cleaning help / Babysitter</v>
      </c>
      <c r="C51" s="455">
        <f>F!C51</f>
        <v>0</v>
      </c>
      <c r="D51" s="80">
        <f t="shared" si="8"/>
        <v>0</v>
      </c>
      <c r="E51" s="519"/>
      <c r="F51" s="519"/>
      <c r="G51" s="367"/>
      <c r="H51" s="543"/>
      <c r="I51" s="853"/>
      <c r="J51" s="6"/>
      <c r="K51" s="541"/>
      <c r="L51" s="860"/>
      <c r="M51" s="20" t="str">
        <f>IF(J51="","",$M$5-SUM($J$7:J51))</f>
        <v/>
      </c>
      <c r="N51" s="367"/>
      <c r="O51" s="377"/>
      <c r="P51" s="656" t="s">
        <v>396</v>
      </c>
      <c r="Q51" s="22">
        <f>Z45</f>
        <v>0</v>
      </c>
      <c r="R51" s="22">
        <f>AA45</f>
        <v>0</v>
      </c>
      <c r="S51" s="1147">
        <f>Q51-R51</f>
        <v>0</v>
      </c>
      <c r="T51" s="1147"/>
      <c r="U51" s="647"/>
      <c r="V51" s="371"/>
      <c r="W51" s="371"/>
      <c r="X51" s="367"/>
      <c r="Y51" s="367"/>
      <c r="Z51" s="367"/>
      <c r="AA51" s="367"/>
      <c r="AB51" s="367"/>
      <c r="AC51" s="367"/>
      <c r="AD51" s="367"/>
      <c r="AE51" s="367"/>
      <c r="AF51" s="367"/>
      <c r="AG51" s="367"/>
      <c r="AH51" s="367"/>
      <c r="AI51" s="367"/>
      <c r="AJ51" s="367"/>
      <c r="AK51" s="367"/>
      <c r="AL51" s="367"/>
      <c r="AM51" s="367"/>
      <c r="AN51" s="367"/>
      <c r="AO51" s="86"/>
    </row>
    <row r="52" spans="1:92" ht="15.75">
      <c r="A52" s="367"/>
      <c r="B52" s="850" t="str">
        <f>IF(F!B52&lt;&gt;"",F!B52,)</f>
        <v>Cigarettes</v>
      </c>
      <c r="C52" s="455">
        <f>F!C52</f>
        <v>0</v>
      </c>
      <c r="D52" s="80">
        <f t="shared" si="8"/>
        <v>0</v>
      </c>
      <c r="E52" s="519"/>
      <c r="F52" s="519"/>
      <c r="G52" s="367"/>
      <c r="H52" s="543"/>
      <c r="I52" s="853"/>
      <c r="J52" s="6"/>
      <c r="K52" s="541"/>
      <c r="L52" s="860"/>
      <c r="M52" s="20" t="str">
        <f>IF(J52="","",$M$5-SUM($J$7:J52))</f>
        <v/>
      </c>
      <c r="N52" s="367"/>
      <c r="O52" s="377"/>
      <c r="P52" s="657" t="s">
        <v>397</v>
      </c>
      <c r="Q52" s="22">
        <f>C57</f>
        <v>0</v>
      </c>
      <c r="R52" s="22">
        <f>D57</f>
        <v>0</v>
      </c>
      <c r="S52" s="1098">
        <f>Q52-R52</f>
        <v>0</v>
      </c>
      <c r="T52" s="1099"/>
      <c r="U52" s="649"/>
      <c r="V52" s="371"/>
      <c r="W52" s="370"/>
      <c r="X52" s="367"/>
      <c r="Y52" s="367"/>
      <c r="Z52" s="367"/>
      <c r="AA52" s="367"/>
      <c r="AB52" s="367"/>
      <c r="AC52" s="367"/>
      <c r="AD52" s="367"/>
      <c r="AE52" s="367"/>
      <c r="AF52" s="367"/>
      <c r="AG52" s="367"/>
      <c r="AH52" s="367"/>
      <c r="AI52" s="367"/>
      <c r="AJ52" s="367"/>
      <c r="AK52" s="367"/>
      <c r="AL52" s="367"/>
      <c r="AM52" s="367"/>
      <c r="AN52" s="367"/>
      <c r="AO52" s="86"/>
    </row>
    <row r="53" spans="1:92" ht="15.75">
      <c r="A53" s="367"/>
      <c r="B53" s="850" t="str">
        <f>IF(F!B53&lt;&gt;"",F!B53,)</f>
        <v>Other</v>
      </c>
      <c r="C53" s="455">
        <f>F!C53</f>
        <v>0</v>
      </c>
      <c r="D53" s="80">
        <f t="shared" si="8"/>
        <v>0</v>
      </c>
      <c r="E53" s="519"/>
      <c r="F53" s="519"/>
      <c r="G53" s="367"/>
      <c r="H53" s="543"/>
      <c r="I53" s="853"/>
      <c r="J53" s="6"/>
      <c r="K53" s="541"/>
      <c r="L53" s="860"/>
      <c r="M53" s="20" t="str">
        <f>IF(J53="","",$M$5-SUM($J$7:J53))</f>
        <v/>
      </c>
      <c r="N53" s="1110" t="str">
        <f ca="1">IF(D19&lt;=0,IF(C41&lt;=0,"","Pass positive diff?"),"Pass positive diff?")</f>
        <v/>
      </c>
      <c r="O53" s="1233"/>
      <c r="P53" s="658" t="s">
        <v>308</v>
      </c>
      <c r="Q53" s="150">
        <f>SUM(Q50:Q52)</f>
        <v>0</v>
      </c>
      <c r="R53" s="150">
        <f>SUM(R50:R52)</f>
        <v>0</v>
      </c>
      <c r="S53" s="1100">
        <f>Q53-R53</f>
        <v>0</v>
      </c>
      <c r="T53" s="1101"/>
      <c r="U53" s="788"/>
      <c r="V53" s="371"/>
      <c r="W53" s="371"/>
      <c r="X53" s="367"/>
      <c r="Y53" s="367"/>
      <c r="Z53" s="367"/>
      <c r="AA53" s="367"/>
      <c r="AB53" s="367"/>
      <c r="AC53" s="367"/>
      <c r="AD53" s="367"/>
      <c r="AE53" s="367"/>
      <c r="AF53" s="367"/>
      <c r="AG53" s="367"/>
      <c r="AH53" s="367"/>
      <c r="AI53" s="367"/>
      <c r="AJ53" s="367"/>
      <c r="AK53" s="367"/>
      <c r="AL53" s="367"/>
      <c r="AM53" s="367"/>
      <c r="AN53" s="367"/>
      <c r="AO53" s="86"/>
    </row>
    <row r="54" spans="1:92" ht="15.75">
      <c r="A54" s="367"/>
      <c r="B54" s="850">
        <f>IF(F!B54&lt;&gt;"",F!B54,)</f>
        <v>0</v>
      </c>
      <c r="C54" s="455">
        <f>F!C54</f>
        <v>0</v>
      </c>
      <c r="D54" s="80">
        <f t="shared" si="8"/>
        <v>0</v>
      </c>
      <c r="E54" s="519"/>
      <c r="F54" s="519"/>
      <c r="G54" s="367"/>
      <c r="H54" s="1199" t="s">
        <v>392</v>
      </c>
      <c r="I54" s="855" t="s">
        <v>430</v>
      </c>
      <c r="J54" s="816"/>
      <c r="K54" s="589"/>
      <c r="L54" s="590"/>
      <c r="M54" s="102">
        <f ca="1">M5-D57</f>
        <v>0</v>
      </c>
      <c r="N54" s="1110"/>
      <c r="O54" s="1233"/>
      <c r="P54" s="659" t="s">
        <v>296</v>
      </c>
      <c r="Q54" s="22">
        <f>AA4</f>
        <v>0</v>
      </c>
      <c r="R54" s="22">
        <f>AA17</f>
        <v>0</v>
      </c>
      <c r="S54" s="1096">
        <f>R54-Q54</f>
        <v>0</v>
      </c>
      <c r="T54" s="1097"/>
      <c r="U54" s="647"/>
      <c r="V54" s="371"/>
      <c r="W54" s="371"/>
      <c r="X54" s="367"/>
      <c r="Y54" s="367"/>
      <c r="Z54" s="367"/>
      <c r="AA54" s="367"/>
      <c r="AB54" s="367"/>
      <c r="AC54" s="367"/>
      <c r="AD54" s="367"/>
      <c r="AE54" s="367"/>
      <c r="AF54" s="367"/>
      <c r="AG54" s="367"/>
      <c r="AH54" s="367"/>
      <c r="AI54" s="367"/>
      <c r="AJ54" s="367"/>
      <c r="AK54" s="367"/>
      <c r="AL54" s="367"/>
      <c r="AM54" s="367"/>
      <c r="AN54" s="367"/>
      <c r="AO54" s="86"/>
    </row>
    <row r="55" spans="1:92" ht="16.5" thickBot="1">
      <c r="A55" s="367"/>
      <c r="B55" s="850">
        <f>IF(F!B55&lt;&gt;"",F!B55,)</f>
        <v>0</v>
      </c>
      <c r="C55" s="455">
        <f>F!C55</f>
        <v>0</v>
      </c>
      <c r="D55" s="80">
        <f t="shared" si="8"/>
        <v>0</v>
      </c>
      <c r="E55" s="519"/>
      <c r="F55" s="519"/>
      <c r="G55" s="367"/>
      <c r="H55" s="1200"/>
      <c r="I55" s="856" t="s">
        <v>393</v>
      </c>
      <c r="J55" s="821"/>
      <c r="K55" s="592"/>
      <c r="L55" s="591"/>
      <c r="M55" s="99">
        <f>IF(D19&lt;=0,D19,IF(N55="Yes",D19,0))</f>
        <v>0</v>
      </c>
      <c r="N55" s="438" t="str">
        <f>IF(D19&gt;0,"No","")</f>
        <v/>
      </c>
      <c r="O55" s="377"/>
      <c r="P55" s="660" t="s">
        <v>349</v>
      </c>
      <c r="Q55" s="22">
        <f ca="1">C40</f>
        <v>0</v>
      </c>
      <c r="R55" s="22">
        <f>D40</f>
        <v>0</v>
      </c>
      <c r="S55" s="1144">
        <f ca="1">Q55-R55</f>
        <v>0</v>
      </c>
      <c r="T55" s="1146"/>
      <c r="U55" s="649"/>
      <c r="V55" s="370"/>
      <c r="W55" s="371"/>
      <c r="X55" s="367"/>
      <c r="Y55" s="367"/>
      <c r="Z55" s="367"/>
      <c r="AA55" s="367"/>
      <c r="AB55" s="367"/>
      <c r="AC55" s="367"/>
      <c r="AD55" s="367"/>
      <c r="AE55" s="367"/>
      <c r="AF55" s="367"/>
      <c r="AG55" s="367"/>
      <c r="AH55" s="367"/>
      <c r="AI55" s="367"/>
      <c r="AJ55" s="367"/>
      <c r="AK55" s="367"/>
      <c r="AL55" s="367"/>
      <c r="AM55" s="367"/>
      <c r="AN55" s="367"/>
      <c r="AO55" s="86"/>
      <c r="AP55" s="52" t="s">
        <v>408</v>
      </c>
      <c r="AQ55" s="52" t="s">
        <v>410</v>
      </c>
    </row>
    <row r="56" spans="1:92" ht="16.5" thickBot="1">
      <c r="A56" s="367"/>
      <c r="B56" s="850">
        <f>IF(F!B56&lt;&gt;"",F!B56,)</f>
        <v>0</v>
      </c>
      <c r="C56" s="455">
        <f>F!C56</f>
        <v>0</v>
      </c>
      <c r="D56" s="80">
        <f t="shared" si="8"/>
        <v>0</v>
      </c>
      <c r="E56" s="519"/>
      <c r="F56" s="519"/>
      <c r="G56" s="367"/>
      <c r="H56" s="1201"/>
      <c r="I56" s="1115" t="s">
        <v>394</v>
      </c>
      <c r="J56" s="1116"/>
      <c r="K56" s="587"/>
      <c r="L56" s="594"/>
      <c r="M56" s="1">
        <f ca="1">IF(C41&lt;=0,C41,IF(N56="Yes",C41,0))</f>
        <v>0</v>
      </c>
      <c r="N56" s="438" t="str">
        <f ca="1">IF(C41&gt;0,"No","")</f>
        <v/>
      </c>
      <c r="O56" s="377"/>
      <c r="P56" s="661" t="s">
        <v>179</v>
      </c>
      <c r="Q56" s="662">
        <f ca="1">Q54-Q53-Q55</f>
        <v>0</v>
      </c>
      <c r="R56" s="662">
        <f>R54-R53-R55</f>
        <v>0</v>
      </c>
      <c r="S56" s="1144">
        <f ca="1">SUM(S53:S55)</f>
        <v>0</v>
      </c>
      <c r="T56" s="1145"/>
      <c r="U56" s="647"/>
      <c r="V56" s="371"/>
      <c r="W56" s="371"/>
      <c r="X56" s="367"/>
      <c r="Y56" s="367"/>
      <c r="Z56" s="367"/>
      <c r="AA56" s="367"/>
      <c r="AB56" s="367"/>
      <c r="AC56" s="367"/>
      <c r="AD56" s="367"/>
      <c r="AE56" s="367"/>
      <c r="AF56" s="367"/>
      <c r="AG56" s="367"/>
      <c r="AH56" s="367"/>
      <c r="AI56" s="367"/>
      <c r="AJ56" s="367"/>
      <c r="AK56" s="367"/>
      <c r="AL56" s="367"/>
      <c r="AM56" s="367"/>
      <c r="AN56" s="367"/>
      <c r="AO56" s="86"/>
      <c r="AP56" s="52" t="s">
        <v>409</v>
      </c>
      <c r="AQ56" s="52" t="s">
        <v>411</v>
      </c>
    </row>
    <row r="57" spans="1:92" ht="16.5" thickBot="1">
      <c r="A57" s="367"/>
      <c r="B57" s="16" t="s">
        <v>179</v>
      </c>
      <c r="C57" s="77">
        <f>SUM(C45:C56)</f>
        <v>0</v>
      </c>
      <c r="D57" s="76">
        <f>SUM(D45:D56)</f>
        <v>0</v>
      </c>
      <c r="E57" s="520"/>
      <c r="F57" s="520"/>
      <c r="G57" s="367"/>
      <c r="H57" s="12"/>
      <c r="I57" s="13"/>
      <c r="J57" s="14"/>
      <c r="K57" s="593"/>
      <c r="L57" s="14"/>
      <c r="M57" s="14"/>
      <c r="N57" s="367"/>
      <c r="O57" s="377"/>
      <c r="P57" s="438"/>
      <c r="Q57" s="790"/>
      <c r="R57" s="790"/>
      <c r="S57" s="789"/>
      <c r="T57" s="370"/>
      <c r="U57" s="370"/>
      <c r="V57" s="371"/>
      <c r="W57" s="371"/>
      <c r="X57" s="367"/>
      <c r="Y57" s="367"/>
      <c r="Z57" s="367"/>
      <c r="AA57" s="367"/>
      <c r="AB57" s="367"/>
      <c r="AC57" s="367"/>
      <c r="AD57" s="367"/>
      <c r="AE57" s="367"/>
      <c r="AF57" s="367"/>
      <c r="AG57" s="367"/>
      <c r="AH57" s="367"/>
      <c r="AI57" s="367"/>
      <c r="AJ57" s="367"/>
      <c r="AK57" s="367"/>
      <c r="AL57" s="367"/>
      <c r="AM57" s="367"/>
      <c r="AN57" s="367"/>
      <c r="AO57" s="86"/>
    </row>
    <row r="58" spans="1:92" ht="16.5" customHeight="1" thickBot="1">
      <c r="A58" s="367"/>
      <c r="B58" s="101" t="s">
        <v>367</v>
      </c>
      <c r="C58" s="1113">
        <f>C57-D57</f>
        <v>0</v>
      </c>
      <c r="D58" s="1114"/>
      <c r="E58" s="517"/>
      <c r="F58" s="517"/>
      <c r="G58" s="367"/>
      <c r="H58" s="818" t="s">
        <v>431</v>
      </c>
      <c r="I58" s="817"/>
      <c r="J58" s="817"/>
      <c r="K58" s="588"/>
      <c r="L58" s="588"/>
      <c r="M58" s="103">
        <f ca="1">SUM(M54:M56)</f>
        <v>0</v>
      </c>
      <c r="N58" s="729" t="str">
        <f>AQ55</f>
        <v>Pass</v>
      </c>
      <c r="O58" s="377"/>
      <c r="P58" s="663" t="s">
        <v>400</v>
      </c>
      <c r="Q58" s="664" t="str">
        <f>IF(Z56="","","Expected")</f>
        <v/>
      </c>
      <c r="R58" s="664" t="s">
        <v>398</v>
      </c>
      <c r="S58" s="1236" t="str">
        <f>IF(Z56="","","Diff")</f>
        <v/>
      </c>
      <c r="T58" s="1237"/>
      <c r="U58" s="651"/>
      <c r="V58" s="370"/>
      <c r="W58" s="371"/>
      <c r="X58" s="367"/>
      <c r="Y58" s="367"/>
      <c r="Z58" s="367"/>
      <c r="AA58" s="367"/>
      <c r="AB58" s="367"/>
      <c r="AC58" s="367"/>
      <c r="AD58" s="367"/>
      <c r="AE58" s="367"/>
      <c r="AF58" s="367"/>
      <c r="AG58" s="367"/>
      <c r="AH58" s="367"/>
      <c r="AI58" s="367"/>
      <c r="AJ58" s="367"/>
      <c r="AK58" s="367"/>
      <c r="AL58" s="367"/>
      <c r="AM58" s="367"/>
      <c r="AN58" s="367"/>
      <c r="AO58" s="86"/>
    </row>
    <row r="59" spans="1:92" ht="16.5" thickTop="1" thickBot="1">
      <c r="A59" s="367"/>
      <c r="B59" s="880" t="s">
        <v>382</v>
      </c>
      <c r="C59" s="367"/>
      <c r="D59" s="367"/>
      <c r="E59" s="367"/>
      <c r="F59" s="367"/>
      <c r="G59" s="367"/>
      <c r="H59" s="367"/>
      <c r="I59" s="367"/>
      <c r="J59" s="367"/>
      <c r="K59" s="367"/>
      <c r="L59" s="367"/>
      <c r="M59" s="367"/>
      <c r="N59" s="367"/>
      <c r="O59" s="377"/>
      <c r="P59" s="665" t="s">
        <v>399</v>
      </c>
      <c r="Q59" s="666">
        <f>F!R59+G!R56</f>
        <v>0</v>
      </c>
      <c r="R59" s="667"/>
      <c r="S59" s="1235">
        <f>Q59-R59</f>
        <v>0</v>
      </c>
      <c r="T59" s="1146"/>
      <c r="U59" s="649"/>
      <c r="V59" s="371"/>
      <c r="W59" s="371"/>
      <c r="X59" s="367"/>
      <c r="Y59" s="367"/>
      <c r="Z59" s="367"/>
      <c r="AA59" s="367"/>
      <c r="AB59" s="367"/>
      <c r="AC59" s="367"/>
      <c r="AD59" s="367"/>
      <c r="AE59" s="367"/>
      <c r="AF59" s="367"/>
      <c r="AG59" s="367"/>
      <c r="AH59" s="367"/>
      <c r="AI59" s="367"/>
      <c r="AJ59" s="367"/>
      <c r="AK59" s="367"/>
      <c r="AL59" s="367"/>
      <c r="AM59" s="367"/>
      <c r="AN59" s="367"/>
      <c r="AO59" s="86"/>
    </row>
    <row r="60" spans="1:92" ht="15">
      <c r="A60" s="367"/>
      <c r="B60" s="807" t="s">
        <v>383</v>
      </c>
      <c r="C60" s="367"/>
      <c r="D60" s="882" t="s">
        <v>384</v>
      </c>
      <c r="E60" s="367"/>
      <c r="F60" s="367"/>
      <c r="G60" s="367"/>
      <c r="I60" s="367"/>
      <c r="J60" s="367"/>
      <c r="K60" s="367"/>
      <c r="L60" s="367"/>
      <c r="M60" s="367"/>
      <c r="N60" s="367"/>
      <c r="O60" s="377"/>
      <c r="P60" s="367"/>
      <c r="Q60" s="367"/>
      <c r="R60" s="367"/>
      <c r="S60" s="371"/>
      <c r="T60" s="371"/>
      <c r="U60" s="371"/>
      <c r="V60" s="371"/>
      <c r="W60" s="367"/>
      <c r="X60" s="367"/>
      <c r="Y60" s="367"/>
      <c r="Z60" s="367"/>
      <c r="AA60" s="367"/>
      <c r="AB60" s="367"/>
      <c r="AC60" s="367"/>
      <c r="AD60" s="367"/>
      <c r="AE60" s="367"/>
      <c r="AF60" s="367"/>
      <c r="AG60" s="367"/>
      <c r="AH60" s="367"/>
      <c r="AI60" s="367"/>
      <c r="AJ60" s="367"/>
      <c r="AK60" s="367"/>
      <c r="AL60" s="367"/>
      <c r="AM60" s="367"/>
      <c r="AN60" s="367"/>
      <c r="AO60" s="86"/>
    </row>
    <row r="61" spans="1:92" ht="15.75" collapsed="1" thickBot="1">
      <c r="A61" s="367"/>
      <c r="B61" s="884" t="s">
        <v>385</v>
      </c>
      <c r="C61" s="367"/>
      <c r="D61" s="367"/>
      <c r="E61" s="367"/>
      <c r="F61" s="367"/>
      <c r="G61" s="367"/>
      <c r="I61" s="367"/>
      <c r="K61" s="510"/>
      <c r="L61" s="510"/>
      <c r="M61" s="510"/>
      <c r="N61" s="367"/>
      <c r="O61" s="511"/>
      <c r="Q61" s="367"/>
      <c r="R61" s="367"/>
      <c r="S61" s="371"/>
      <c r="T61" s="371"/>
      <c r="U61" s="371"/>
      <c r="V61" s="371"/>
      <c r="W61" s="367"/>
      <c r="X61" s="367"/>
      <c r="Y61" s="367"/>
      <c r="Z61" s="367"/>
      <c r="AA61" s="367"/>
      <c r="AB61" s="367"/>
      <c r="AC61" s="367"/>
      <c r="AD61" s="367"/>
      <c r="AE61" s="367"/>
      <c r="AF61" s="367"/>
      <c r="AG61" s="367"/>
      <c r="AH61" s="367"/>
      <c r="AI61" s="367"/>
      <c r="AJ61" s="367"/>
      <c r="AK61" s="367"/>
      <c r="AL61" s="367"/>
      <c r="AM61" s="367"/>
      <c r="AN61" s="367"/>
      <c r="AO61" s="86"/>
    </row>
    <row r="62" spans="1:92" ht="15.75" hidden="1" customHeight="1" outlineLevel="1" thickBot="1">
      <c r="A62" s="367"/>
      <c r="B62" s="367"/>
      <c r="C62" s="367"/>
      <c r="D62" s="367"/>
      <c r="E62" s="367"/>
      <c r="F62" s="367"/>
      <c r="G62" s="367"/>
      <c r="H62" s="505"/>
      <c r="I62" s="367"/>
      <c r="J62" s="367"/>
      <c r="K62" s="581"/>
      <c r="L62" s="367"/>
      <c r="M62" s="367"/>
      <c r="N62" s="367"/>
      <c r="O62" s="511"/>
      <c r="P62" s="505"/>
      <c r="Q62" s="367"/>
      <c r="R62" s="367"/>
      <c r="S62" s="371"/>
      <c r="T62" s="371"/>
      <c r="U62" s="371"/>
      <c r="V62" s="631"/>
      <c r="W62" s="367"/>
      <c r="X62" s="367"/>
      <c r="Y62" s="367"/>
      <c r="Z62" s="367"/>
      <c r="AA62" s="367"/>
      <c r="AB62" s="367"/>
      <c r="AC62" s="367"/>
      <c r="AD62" s="367"/>
      <c r="AE62" s="367"/>
      <c r="AF62" s="367"/>
      <c r="AG62" s="367"/>
      <c r="AH62" s="367"/>
      <c r="AI62" s="367"/>
      <c r="AJ62" s="367"/>
      <c r="AK62" s="367"/>
      <c r="AL62" s="367"/>
      <c r="AM62" s="367"/>
      <c r="AN62" s="367"/>
      <c r="AO62" s="86"/>
    </row>
    <row r="63" spans="1:92" s="367" customFormat="1" ht="33.75" hidden="1" customHeight="1" outlineLevel="1">
      <c r="B63" s="1120" t="s">
        <v>388</v>
      </c>
      <c r="C63" s="1122" t="s">
        <v>354</v>
      </c>
      <c r="D63" s="1124" t="s">
        <v>358</v>
      </c>
      <c r="E63" s="1126" t="s">
        <v>380</v>
      </c>
      <c r="F63" s="1127" t="s">
        <v>335</v>
      </c>
      <c r="H63" s="503" t="s">
        <v>356</v>
      </c>
      <c r="I63" s="682" t="s">
        <v>357</v>
      </c>
      <c r="J63" s="812" t="s">
        <v>358</v>
      </c>
      <c r="K63" s="598" t="s">
        <v>380</v>
      </c>
      <c r="L63" s="600" t="s">
        <v>335</v>
      </c>
      <c r="M63" s="504" t="s">
        <v>389</v>
      </c>
      <c r="O63" s="506" t="s">
        <v>356</v>
      </c>
      <c r="P63" s="507" t="s">
        <v>357</v>
      </c>
      <c r="Q63" s="813" t="s">
        <v>358</v>
      </c>
      <c r="R63" s="507" t="s">
        <v>359</v>
      </c>
      <c r="S63" s="814" t="s">
        <v>390</v>
      </c>
      <c r="T63" s="815" t="s">
        <v>391</v>
      </c>
      <c r="U63" s="637" t="s">
        <v>380</v>
      </c>
      <c r="V63" s="616" t="s">
        <v>335</v>
      </c>
      <c r="W63" s="632" t="s">
        <v>389</v>
      </c>
      <c r="AO63" s="86"/>
      <c r="AP63" s="86"/>
      <c r="AQ63" s="86"/>
      <c r="AR63" s="86"/>
      <c r="AS63" s="86"/>
      <c r="AT63" s="86"/>
      <c r="AU63" s="86"/>
      <c r="AV63" s="86"/>
      <c r="AW63" s="86"/>
      <c r="AX63" s="86"/>
      <c r="AY63" s="86"/>
      <c r="CM63" s="86"/>
      <c r="CN63" s="86"/>
    </row>
    <row r="64" spans="1:92" s="367" customFormat="1" ht="15" hidden="1" customHeight="1" outlineLevel="1">
      <c r="B64" s="1121"/>
      <c r="C64" s="1123"/>
      <c r="D64" s="1125"/>
      <c r="E64" s="1126"/>
      <c r="F64" s="1127"/>
      <c r="H64" s="543"/>
      <c r="I64" s="853"/>
      <c r="J64" s="6"/>
      <c r="K64" s="541"/>
      <c r="L64" s="860"/>
      <c r="M64" s="20" t="str">
        <f>IF(J64="","",$M$5-SUM($J$7:J64))</f>
        <v/>
      </c>
      <c r="O64" s="106"/>
      <c r="P64" s="871">
        <f>IF(F!Q64&lt;&gt;F!R64,IF(F!Q64&lt;&gt;0,IF(F!S64&lt;&gt;F!T64,F!P64,),),)</f>
        <v>0</v>
      </c>
      <c r="Q64" s="795">
        <f>IF(F!Q64&lt;&gt;F!R64,IF(F!Q64&lt;&gt;0,IF(F!S64&lt;&gt;F!T64,F!Q64,),),)</f>
        <v>0</v>
      </c>
      <c r="R64" s="628">
        <f>IF(F!Q64&lt;&gt;F!R64,IF(F!Q64&lt;&gt;0,IF(F!S64&lt;&gt;F!T64,0,Q64),Q64),Q64)</f>
        <v>0</v>
      </c>
      <c r="S64" s="796">
        <f>IF(F!Q64&lt;&gt;F!R64,IF(F!Q64&lt;&gt;0,IF(F!S64&lt;&gt;F!T64,F!S64+1,),),)</f>
        <v>0</v>
      </c>
      <c r="T64" s="796">
        <f>IF(F!Q64&lt;&gt;F!R64,IF(F!Q64&lt;&gt;0,IF(F!S64&lt;&gt;F!T64,F!T64,),),)</f>
        <v>0</v>
      </c>
      <c r="U64" s="797">
        <f>IF(F!Q64&lt;&gt;F!R64,IF(F!Q64&lt;&gt;0,IF(F!S64&lt;&gt;F!T64,F!U64,),),)</f>
        <v>0</v>
      </c>
      <c r="V64" s="875">
        <f>IF(F!Q64&lt;&gt;F!R64,IF(F!Q64&lt;&gt;0,IF(F!S64&lt;&gt;F!T64,F!V64,),),)</f>
        <v>0</v>
      </c>
      <c r="W64" s="633">
        <f>IF(Q64="","",$W$5-SUM($Q$7:$Q$45)-SUM($Q$64:Q64))</f>
        <v>0</v>
      </c>
      <c r="AO64" s="86"/>
      <c r="AP64" s="86"/>
      <c r="AQ64" s="86"/>
      <c r="AR64" s="86"/>
      <c r="AS64" s="86"/>
      <c r="AT64" s="86"/>
      <c r="AU64" s="86"/>
      <c r="AV64" s="86"/>
      <c r="AW64" s="86"/>
      <c r="AX64" s="86"/>
      <c r="AY64" s="86"/>
      <c r="CM64" s="86"/>
      <c r="CN64" s="86"/>
    </row>
    <row r="65" spans="2:92" s="367" customFormat="1" ht="15" hidden="1" customHeight="1" outlineLevel="1">
      <c r="B65" s="852">
        <f ca="1">IF(F!B65&lt;&gt;"",F!B65,)</f>
        <v>0</v>
      </c>
      <c r="C65" s="454">
        <f ca="1">F!C65</f>
        <v>0</v>
      </c>
      <c r="D65" s="74"/>
      <c r="E65" s="521"/>
      <c r="F65" s="858"/>
      <c r="H65" s="543"/>
      <c r="I65" s="853"/>
      <c r="J65" s="6"/>
      <c r="K65" s="541"/>
      <c r="L65" s="860"/>
      <c r="M65" s="20" t="str">
        <f>IF(J65="","",$M$5-SUM($J$7:J65))</f>
        <v/>
      </c>
      <c r="O65" s="7"/>
      <c r="P65" s="872">
        <f>IF(F!Q65&lt;&gt;F!R65,IF(F!Q65&lt;&gt;0,IF(F!S65&lt;&gt;F!T65,F!P65,),),)</f>
        <v>0</v>
      </c>
      <c r="Q65" s="795">
        <f>IF(F!Q65&lt;&gt;F!R65,IF(F!Q65&lt;&gt;0,IF(F!S65&lt;&gt;F!T65,F!Q65,),),)</f>
        <v>0</v>
      </c>
      <c r="R65" s="628">
        <f>IF(F!Q65&lt;&gt;F!R65,IF(F!Q65&lt;&gt;0,IF(F!S65&lt;&gt;F!T65,0,Q65),Q65),Q65)</f>
        <v>0</v>
      </c>
      <c r="S65" s="796">
        <f>IF(F!Q65&lt;&gt;F!R65,IF(F!Q65&lt;&gt;0,IF(F!S65&lt;&gt;F!T65,F!S65+1,),),)</f>
        <v>0</v>
      </c>
      <c r="T65" s="796">
        <f>IF(F!Q65&lt;&gt;F!R65,IF(F!Q65&lt;&gt;0,IF(F!S65&lt;&gt;F!T65,F!T65,),),)</f>
        <v>0</v>
      </c>
      <c r="U65" s="797">
        <f>IF(F!Q65&lt;&gt;F!R65,IF(F!Q65&lt;&gt;0,IF(F!S65&lt;&gt;F!T65,F!U65,),),)</f>
        <v>0</v>
      </c>
      <c r="V65" s="875">
        <f>IF(F!Q65&lt;&gt;F!R65,IF(F!Q65&lt;&gt;0,IF(F!S65&lt;&gt;F!T65,F!V65,),),)</f>
        <v>0</v>
      </c>
      <c r="W65" s="633">
        <f>IF(Q65="","",$W$5-SUM($Q$7:$Q$45)-SUM($Q$64:Q65))</f>
        <v>0</v>
      </c>
      <c r="AO65" s="86"/>
      <c r="AP65" s="86"/>
      <c r="AQ65" s="86"/>
      <c r="AR65" s="86"/>
      <c r="AS65" s="86"/>
      <c r="AT65" s="86"/>
      <c r="AU65" s="86"/>
      <c r="AV65" s="86"/>
      <c r="AW65" s="86"/>
      <c r="AX65" s="86"/>
      <c r="AY65" s="86"/>
      <c r="CM65" s="86"/>
      <c r="CN65" s="86"/>
    </row>
    <row r="66" spans="2:92" s="367" customFormat="1" ht="15.75" hidden="1" customHeight="1" outlineLevel="1">
      <c r="B66" s="852">
        <f ca="1">IF(F!B66&lt;&gt;"",F!B66,)</f>
        <v>0</v>
      </c>
      <c r="C66" s="454">
        <f ca="1">F!C66</f>
        <v>0</v>
      </c>
      <c r="D66" s="74"/>
      <c r="E66" s="521"/>
      <c r="F66" s="858"/>
      <c r="H66" s="543"/>
      <c r="I66" s="853"/>
      <c r="J66" s="6"/>
      <c r="K66" s="541"/>
      <c r="L66" s="860"/>
      <c r="M66" s="20" t="str">
        <f>IF(J66="","",$M$5-SUM($J$7:J66))</f>
        <v/>
      </c>
      <c r="O66" s="7"/>
      <c r="P66" s="871">
        <f>IF(F!Q66&lt;&gt;F!R66,IF(F!Q66&lt;&gt;0,IF(F!S66&lt;&gt;F!T66,F!P66,),),)</f>
        <v>0</v>
      </c>
      <c r="Q66" s="795">
        <f>IF(F!Q66&lt;&gt;F!R66,IF(F!Q66&lt;&gt;0,IF(F!S66&lt;&gt;F!T66,F!Q66,),),)</f>
        <v>0</v>
      </c>
      <c r="R66" s="628">
        <f>IF(F!Q66&lt;&gt;F!R66,IF(F!Q66&lt;&gt;0,IF(F!S66&lt;&gt;F!T66,0,Q66),Q66),Q66)</f>
        <v>0</v>
      </c>
      <c r="S66" s="796">
        <f>IF(F!Q66&lt;&gt;F!R66,IF(F!Q66&lt;&gt;0,IF(F!S66&lt;&gt;F!T66,F!S66+1,),),)</f>
        <v>0</v>
      </c>
      <c r="T66" s="796">
        <f>IF(F!Q66&lt;&gt;F!R66,IF(F!Q66&lt;&gt;0,IF(F!S66&lt;&gt;F!T66,F!T66,),),)</f>
        <v>0</v>
      </c>
      <c r="U66" s="797">
        <f>IF(F!Q66&lt;&gt;F!R66,IF(F!Q66&lt;&gt;0,IF(F!S66&lt;&gt;F!T66,F!U66,),),)</f>
        <v>0</v>
      </c>
      <c r="V66" s="875">
        <f>IF(F!Q66&lt;&gt;F!R66,IF(F!Q66&lt;&gt;0,IF(F!S66&lt;&gt;F!T66,F!V66,),),)</f>
        <v>0</v>
      </c>
      <c r="W66" s="633">
        <f>IF(Q66="","",$W$5-SUM($Q$7:$Q$45)-SUM($Q$64:Q66))</f>
        <v>0</v>
      </c>
      <c r="AO66" s="86"/>
      <c r="AP66" s="86"/>
      <c r="AQ66" s="86"/>
      <c r="AR66" s="86"/>
      <c r="AS66" s="86"/>
      <c r="AT66" s="86"/>
      <c r="AU66" s="86"/>
      <c r="AV66" s="86"/>
      <c r="AW66" s="86"/>
      <c r="AX66" s="86"/>
      <c r="AY66" s="86"/>
      <c r="CM66" s="86"/>
      <c r="CN66" s="86"/>
    </row>
    <row r="67" spans="2:92" s="367" customFormat="1" ht="15.75" hidden="1" customHeight="1" outlineLevel="1">
      <c r="B67" s="852">
        <f ca="1">IF(F!B67&lt;&gt;"",F!B67,)</f>
        <v>0</v>
      </c>
      <c r="C67" s="454">
        <f ca="1">F!C67</f>
        <v>0</v>
      </c>
      <c r="D67" s="74"/>
      <c r="E67" s="521"/>
      <c r="F67" s="858"/>
      <c r="H67" s="543"/>
      <c r="I67" s="853"/>
      <c r="J67" s="6"/>
      <c r="K67" s="541"/>
      <c r="L67" s="860"/>
      <c r="M67" s="20" t="str">
        <f>IF(J67="","",$M$5-SUM($J$7:J67))</f>
        <v/>
      </c>
      <c r="O67" s="7"/>
      <c r="P67" s="871">
        <f>IF(F!Q67&lt;&gt;F!R67,IF(F!Q67&lt;&gt;0,IF(F!S67&lt;&gt;F!T67,F!P67,),),)</f>
        <v>0</v>
      </c>
      <c r="Q67" s="798">
        <f>IF(F!Q67&lt;&gt;F!R67,IF(F!Q67&lt;&gt;0,IF(F!S67&lt;&gt;F!T67,F!Q67,),),)</f>
        <v>0</v>
      </c>
      <c r="R67" s="628">
        <f>IF(F!Q67&lt;&gt;F!R67,IF(F!Q67&lt;&gt;0,IF(F!S67&lt;&gt;F!T67,0,Q67),Q67),Q67)</f>
        <v>0</v>
      </c>
      <c r="S67" s="796">
        <f>IF(F!Q67&lt;&gt;F!R67,IF(F!Q67&lt;&gt;0,IF(F!S67&lt;&gt;F!T67,F!S67+1,),),)</f>
        <v>0</v>
      </c>
      <c r="T67" s="796">
        <f>IF(F!Q67&lt;&gt;F!R67,IF(F!Q67&lt;&gt;0,IF(F!S67&lt;&gt;F!T67,F!T67,),),)</f>
        <v>0</v>
      </c>
      <c r="U67" s="797">
        <f>IF(F!Q67&lt;&gt;F!R67,IF(F!Q67&lt;&gt;0,IF(F!S67&lt;&gt;F!T67,F!U67,),),)</f>
        <v>0</v>
      </c>
      <c r="V67" s="875">
        <f>IF(F!Q67&lt;&gt;F!R67,IF(F!Q67&lt;&gt;0,IF(F!S67&lt;&gt;F!T67,F!V67,),),)</f>
        <v>0</v>
      </c>
      <c r="W67" s="633">
        <f>IF(Q67="","",$W$5-SUM($Q$7:$Q$45)-SUM($Q$64:Q67))</f>
        <v>0</v>
      </c>
      <c r="AO67" s="86"/>
      <c r="AP67" s="86"/>
      <c r="AQ67" s="86"/>
      <c r="AR67" s="86"/>
      <c r="AS67" s="86"/>
      <c r="AT67" s="86"/>
      <c r="AU67" s="86"/>
      <c r="AV67" s="86"/>
      <c r="AW67" s="86"/>
      <c r="AX67" s="86"/>
      <c r="AY67" s="86"/>
      <c r="CM67" s="86"/>
      <c r="CN67" s="86"/>
    </row>
    <row r="68" spans="2:92" s="367" customFormat="1" ht="15.75" hidden="1" customHeight="1" outlineLevel="1">
      <c r="B68" s="852">
        <f ca="1">IF(F!B68&lt;&gt;"",F!B68,)</f>
        <v>0</v>
      </c>
      <c r="C68" s="454">
        <f ca="1">F!C68</f>
        <v>0</v>
      </c>
      <c r="D68" s="74"/>
      <c r="E68" s="521"/>
      <c r="F68" s="858"/>
      <c r="H68" s="543"/>
      <c r="I68" s="853"/>
      <c r="J68" s="6"/>
      <c r="K68" s="541"/>
      <c r="L68" s="860"/>
      <c r="M68" s="20" t="str">
        <f>IF(J68="","",$M$5-SUM($J$7:J68))</f>
        <v/>
      </c>
      <c r="O68" s="7"/>
      <c r="P68" s="871">
        <f>IF(F!Q68&lt;&gt;F!R68,IF(F!Q68&lt;&gt;0,IF(F!S68&lt;&gt;F!T68,F!P68,),),)</f>
        <v>0</v>
      </c>
      <c r="Q68" s="795">
        <f>IF(F!Q68&lt;&gt;F!R68,IF(F!Q68&lt;&gt;0,IF(F!S68&lt;&gt;F!T68,F!Q68,),),)</f>
        <v>0</v>
      </c>
      <c r="R68" s="628">
        <f>IF(F!Q68&lt;&gt;F!R68,IF(F!Q68&lt;&gt;0,IF(F!S68&lt;&gt;F!T68,0,Q68),Q68),Q68)</f>
        <v>0</v>
      </c>
      <c r="S68" s="796">
        <f>IF(F!Q68&lt;&gt;F!R68,IF(F!Q68&lt;&gt;0,IF(F!S68&lt;&gt;F!T68,F!S68+1,),),)</f>
        <v>0</v>
      </c>
      <c r="T68" s="796">
        <f>IF(F!Q68&lt;&gt;F!R68,IF(F!Q68&lt;&gt;0,IF(F!S68&lt;&gt;F!T68,F!T68,),),)</f>
        <v>0</v>
      </c>
      <c r="U68" s="797">
        <f>IF(F!Q68&lt;&gt;F!R68,IF(F!Q68&lt;&gt;0,IF(F!S68&lt;&gt;F!T68,F!U68,),),)</f>
        <v>0</v>
      </c>
      <c r="V68" s="875">
        <f>IF(F!Q68&lt;&gt;F!R68,IF(F!Q68&lt;&gt;0,IF(F!S68&lt;&gt;F!T68,F!V68,),),)</f>
        <v>0</v>
      </c>
      <c r="W68" s="633">
        <f>IF(Q68="","",$W$5-SUM($Q$7:$Q$45)-SUM($Q$64:Q68))</f>
        <v>0</v>
      </c>
      <c r="AO68" s="86"/>
      <c r="AP68" s="86"/>
      <c r="AQ68" s="86"/>
      <c r="AR68" s="86"/>
      <c r="AS68" s="86"/>
      <c r="AT68" s="86"/>
      <c r="AU68" s="86"/>
      <c r="AV68" s="86"/>
      <c r="AW68" s="86"/>
      <c r="AX68" s="86"/>
      <c r="AY68" s="86"/>
      <c r="CM68" s="86"/>
      <c r="CN68" s="86"/>
    </row>
    <row r="69" spans="2:92" s="367" customFormat="1" ht="15.75" hidden="1" customHeight="1" outlineLevel="1">
      <c r="B69" s="852">
        <f ca="1">IF(F!B69&lt;&gt;"",F!B69,)</f>
        <v>0</v>
      </c>
      <c r="C69" s="454">
        <f ca="1">F!C69</f>
        <v>0</v>
      </c>
      <c r="D69" s="74"/>
      <c r="E69" s="521"/>
      <c r="F69" s="858"/>
      <c r="H69" s="543"/>
      <c r="I69" s="853"/>
      <c r="J69" s="6"/>
      <c r="K69" s="541"/>
      <c r="L69" s="860"/>
      <c r="M69" s="20" t="str">
        <f>IF(J69="","",$M$5-SUM($J$7:J69))</f>
        <v/>
      </c>
      <c r="O69" s="7"/>
      <c r="P69" s="871">
        <f>IF(F!Q69&lt;&gt;F!R69,IF(F!Q69&lt;&gt;0,IF(F!S69&lt;&gt;F!T69,F!P69,),),)</f>
        <v>0</v>
      </c>
      <c r="Q69" s="795">
        <f>IF(F!Q69&lt;&gt;F!R69,IF(F!Q69&lt;&gt;0,IF(F!S69&lt;&gt;F!T69,F!Q69,),),)</f>
        <v>0</v>
      </c>
      <c r="R69" s="628">
        <f>IF(F!Q69&lt;&gt;F!R69,IF(F!Q69&lt;&gt;0,IF(F!S69&lt;&gt;F!T69,0,Q69),Q69),Q69)</f>
        <v>0</v>
      </c>
      <c r="S69" s="796">
        <f>IF(F!Q69&lt;&gt;F!R69,IF(F!Q69&lt;&gt;0,IF(F!S69&lt;&gt;F!T69,F!S69+1,),),)</f>
        <v>0</v>
      </c>
      <c r="T69" s="796">
        <f>IF(F!Q69&lt;&gt;F!R69,IF(F!Q69&lt;&gt;0,IF(F!S69&lt;&gt;F!T69,F!T69,),),)</f>
        <v>0</v>
      </c>
      <c r="U69" s="797">
        <f>IF(F!Q69&lt;&gt;F!R69,IF(F!Q69&lt;&gt;0,IF(F!S69&lt;&gt;F!T69,F!U69,),),)</f>
        <v>0</v>
      </c>
      <c r="V69" s="875">
        <f>IF(F!Q69&lt;&gt;F!R69,IF(F!Q69&lt;&gt;0,IF(F!S69&lt;&gt;F!T69,F!V69,),),)</f>
        <v>0</v>
      </c>
      <c r="W69" s="633">
        <f>IF(Q69="","",$W$5-SUM($Q$7:$Q$45)-SUM($Q$64:Q69))</f>
        <v>0</v>
      </c>
      <c r="AO69" s="86"/>
      <c r="AP69" s="86"/>
      <c r="AQ69" s="86"/>
      <c r="AR69" s="86"/>
      <c r="AS69" s="86"/>
      <c r="AT69" s="86"/>
      <c r="AU69" s="86"/>
      <c r="AV69" s="86"/>
      <c r="AW69" s="86"/>
      <c r="AX69" s="86"/>
      <c r="AY69" s="86"/>
      <c r="CM69" s="86"/>
      <c r="CN69" s="86"/>
    </row>
    <row r="70" spans="2:92" s="367" customFormat="1" ht="15.75" hidden="1" customHeight="1" outlineLevel="1">
      <c r="B70" s="852">
        <f ca="1">IF(F!B70&lt;&gt;"",F!B70,)</f>
        <v>0</v>
      </c>
      <c r="C70" s="454">
        <f ca="1">F!C70</f>
        <v>0</v>
      </c>
      <c r="D70" s="74"/>
      <c r="E70" s="521"/>
      <c r="F70" s="858"/>
      <c r="H70" s="543"/>
      <c r="I70" s="853"/>
      <c r="J70" s="6"/>
      <c r="K70" s="541"/>
      <c r="L70" s="860"/>
      <c r="M70" s="20" t="str">
        <f>IF(J70="","",$M$5-SUM($J$7:J70))</f>
        <v/>
      </c>
      <c r="O70" s="7"/>
      <c r="P70" s="871">
        <f>IF(F!Q70&lt;&gt;F!R70,IF(F!Q70&lt;&gt;0,IF(F!S70&lt;&gt;F!T70,F!P70,),),)</f>
        <v>0</v>
      </c>
      <c r="Q70" s="795">
        <f>IF(F!Q70&lt;&gt;F!R70,IF(F!Q70&lt;&gt;0,IF(F!S70&lt;&gt;F!T70,F!Q70,),),)</f>
        <v>0</v>
      </c>
      <c r="R70" s="628">
        <f>IF(F!Q70&lt;&gt;F!R70,IF(F!Q70&lt;&gt;0,IF(F!S70&lt;&gt;F!T70,0,Q70),Q70),Q70)</f>
        <v>0</v>
      </c>
      <c r="S70" s="796">
        <f>IF(F!Q70&lt;&gt;F!R70,IF(F!Q70&lt;&gt;0,IF(F!S70&lt;&gt;F!T70,F!S70+1,),),)</f>
        <v>0</v>
      </c>
      <c r="T70" s="796">
        <f>IF(F!Q70&lt;&gt;F!R70,IF(F!Q70&lt;&gt;0,IF(F!S70&lt;&gt;F!T70,F!T70,),),)</f>
        <v>0</v>
      </c>
      <c r="U70" s="797">
        <f>IF(F!Q70&lt;&gt;F!R70,IF(F!Q70&lt;&gt;0,IF(F!S70&lt;&gt;F!T70,F!U70,),),)</f>
        <v>0</v>
      </c>
      <c r="V70" s="875">
        <f>IF(F!Q70&lt;&gt;F!R70,IF(F!Q70&lt;&gt;0,IF(F!S70&lt;&gt;F!T70,F!V70,),),)</f>
        <v>0</v>
      </c>
      <c r="W70" s="633">
        <f>IF(Q70="","",$W$5-SUM($Q$7:$Q$45)-SUM($Q$64:Q70))</f>
        <v>0</v>
      </c>
      <c r="AO70" s="86"/>
      <c r="AP70" s="86"/>
      <c r="AQ70" s="86"/>
      <c r="AR70" s="86"/>
      <c r="AS70" s="86"/>
      <c r="AT70" s="86"/>
      <c r="AU70" s="86"/>
      <c r="AV70" s="86"/>
      <c r="AW70" s="86"/>
      <c r="AX70" s="86"/>
      <c r="AY70" s="86"/>
      <c r="CM70" s="86"/>
      <c r="CN70" s="86"/>
    </row>
    <row r="71" spans="2:92" s="367" customFormat="1" ht="15.75" hidden="1" customHeight="1" outlineLevel="1">
      <c r="B71" s="852">
        <f ca="1">IF(F!B71&lt;&gt;"",F!B71,)</f>
        <v>0</v>
      </c>
      <c r="C71" s="454">
        <f ca="1">F!C71</f>
        <v>0</v>
      </c>
      <c r="D71" s="74"/>
      <c r="E71" s="521"/>
      <c r="F71" s="858"/>
      <c r="H71" s="543"/>
      <c r="I71" s="853"/>
      <c r="J71" s="6"/>
      <c r="K71" s="541"/>
      <c r="L71" s="860"/>
      <c r="M71" s="20" t="str">
        <f>IF(J71="","",$M$5-SUM($J$7:J71))</f>
        <v/>
      </c>
      <c r="O71" s="7"/>
      <c r="P71" s="871">
        <f>IF(F!Q71&lt;&gt;F!R71,IF(F!Q71&lt;&gt;0,IF(F!S71&lt;&gt;F!T71,F!P71,),),)</f>
        <v>0</v>
      </c>
      <c r="Q71" s="795">
        <f>IF(F!Q71&lt;&gt;F!R71,IF(F!Q71&lt;&gt;0,IF(F!S71&lt;&gt;F!T71,F!Q71,),),)</f>
        <v>0</v>
      </c>
      <c r="R71" s="628">
        <f>IF(F!Q71&lt;&gt;F!R71,IF(F!Q71&lt;&gt;0,IF(F!S71&lt;&gt;F!T71,0,Q71),Q71),Q71)</f>
        <v>0</v>
      </c>
      <c r="S71" s="796">
        <f>IF(F!Q71&lt;&gt;F!R71,IF(F!Q71&lt;&gt;0,IF(F!S71&lt;&gt;F!T71,F!S71+1,),),)</f>
        <v>0</v>
      </c>
      <c r="T71" s="796">
        <f>IF(F!Q71&lt;&gt;F!R71,IF(F!Q71&lt;&gt;0,IF(F!S71&lt;&gt;F!T71,F!T71,),),)</f>
        <v>0</v>
      </c>
      <c r="U71" s="797">
        <f>IF(F!Q71&lt;&gt;F!R71,IF(F!Q71&lt;&gt;0,IF(F!S71&lt;&gt;F!T71,F!U71,),),)</f>
        <v>0</v>
      </c>
      <c r="V71" s="875">
        <f>IF(F!Q71&lt;&gt;F!R71,IF(F!Q71&lt;&gt;0,IF(F!S71&lt;&gt;F!T71,F!V71,),),)</f>
        <v>0</v>
      </c>
      <c r="W71" s="633">
        <f>IF(Q71="","",$W$5-SUM($Q$7:$Q$45)-SUM($Q$64:Q71))</f>
        <v>0</v>
      </c>
      <c r="AO71" s="86"/>
      <c r="AP71" s="86"/>
      <c r="AQ71" s="86"/>
      <c r="AR71" s="86"/>
      <c r="AS71" s="86"/>
      <c r="AT71" s="86"/>
      <c r="AU71" s="86"/>
      <c r="AV71" s="86"/>
      <c r="AW71" s="86"/>
      <c r="AX71" s="86"/>
      <c r="AY71" s="86"/>
      <c r="CM71" s="86"/>
      <c r="CN71" s="86"/>
    </row>
    <row r="72" spans="2:92" s="367" customFormat="1" ht="15.75" hidden="1" customHeight="1" outlineLevel="1">
      <c r="B72" s="852">
        <f ca="1">IF(F!B72&lt;&gt;"",F!B72,)</f>
        <v>0</v>
      </c>
      <c r="C72" s="454">
        <f ca="1">F!C72</f>
        <v>0</v>
      </c>
      <c r="D72" s="74"/>
      <c r="E72" s="521"/>
      <c r="F72" s="858"/>
      <c r="H72" s="543"/>
      <c r="I72" s="853"/>
      <c r="J72" s="6"/>
      <c r="K72" s="541"/>
      <c r="L72" s="860"/>
      <c r="M72" s="20" t="str">
        <f>IF(J72="","",$M$5-SUM($J$7:J72))</f>
        <v/>
      </c>
      <c r="O72" s="7"/>
      <c r="P72" s="871">
        <f>IF(F!Q72&lt;&gt;F!R72,IF(F!Q72&lt;&gt;0,IF(F!S72&lt;&gt;F!T72,F!P72,),),)</f>
        <v>0</v>
      </c>
      <c r="Q72" s="795">
        <f>IF(F!Q72&lt;&gt;F!R72,IF(F!Q72&lt;&gt;0,IF(F!S72&lt;&gt;F!T72,F!Q72,),),)</f>
        <v>0</v>
      </c>
      <c r="R72" s="628">
        <f>IF(F!Q72&lt;&gt;F!R72,IF(F!Q72&lt;&gt;0,IF(F!S72&lt;&gt;F!T72,0,Q72),Q72),Q72)</f>
        <v>0</v>
      </c>
      <c r="S72" s="796">
        <f>IF(F!Q72&lt;&gt;F!R72,IF(F!Q72&lt;&gt;0,IF(F!S72&lt;&gt;F!T72,F!S72+1,),),)</f>
        <v>0</v>
      </c>
      <c r="T72" s="796">
        <f>IF(F!Q72&lt;&gt;F!R72,IF(F!Q72&lt;&gt;0,IF(F!S72&lt;&gt;F!T72,F!T72,),),)</f>
        <v>0</v>
      </c>
      <c r="U72" s="797">
        <f>IF(F!Q72&lt;&gt;F!R72,IF(F!Q72&lt;&gt;0,IF(F!S72&lt;&gt;F!T72,F!U72,),),)</f>
        <v>0</v>
      </c>
      <c r="V72" s="875">
        <f>IF(F!Q72&lt;&gt;F!R72,IF(F!Q72&lt;&gt;0,IF(F!S72&lt;&gt;F!T72,F!V72,),),)</f>
        <v>0</v>
      </c>
      <c r="W72" s="633">
        <f>IF(Q72="","",$W$5-SUM($Q$7:$Q$45)-SUM($Q$64:Q72))</f>
        <v>0</v>
      </c>
      <c r="AO72" s="86"/>
      <c r="AP72" s="86"/>
      <c r="AQ72" s="86"/>
      <c r="AR72" s="86"/>
      <c r="AS72" s="86"/>
      <c r="AT72" s="86"/>
      <c r="AU72" s="86"/>
      <c r="AV72" s="86"/>
      <c r="AW72" s="86"/>
      <c r="AX72" s="86"/>
      <c r="AY72" s="86"/>
      <c r="CM72" s="86"/>
      <c r="CN72" s="86"/>
    </row>
    <row r="73" spans="2:92" s="367" customFormat="1" ht="15.75" hidden="1" customHeight="1" outlineLevel="1">
      <c r="B73" s="852">
        <f ca="1">IF(F!B73&lt;&gt;"",F!B73,)</f>
        <v>0</v>
      </c>
      <c r="C73" s="454">
        <f ca="1">F!C73</f>
        <v>0</v>
      </c>
      <c r="D73" s="74"/>
      <c r="E73" s="521"/>
      <c r="F73" s="858"/>
      <c r="H73" s="543"/>
      <c r="I73" s="853"/>
      <c r="J73" s="6"/>
      <c r="K73" s="541"/>
      <c r="L73" s="860"/>
      <c r="M73" s="20" t="str">
        <f>IF(J73="","",$M$5-SUM($J$7:J73))</f>
        <v/>
      </c>
      <c r="O73" s="7"/>
      <c r="P73" s="873">
        <f>IF(F!Q73&lt;&gt;F!R73,IF(F!Q73&lt;&gt;0,IF(F!S73&lt;&gt;F!T73,F!P73,),),)</f>
        <v>0</v>
      </c>
      <c r="Q73" s="795">
        <f>IF(F!Q73&lt;&gt;F!R73,IF(F!Q73&lt;&gt;0,IF(F!S73&lt;&gt;F!T73,F!Q73,),),)</f>
        <v>0</v>
      </c>
      <c r="R73" s="628">
        <f>IF(F!Q73&lt;&gt;F!R73,IF(F!Q73&lt;&gt;0,IF(F!S73&lt;&gt;F!T73,0,Q73),Q73),Q73)</f>
        <v>0</v>
      </c>
      <c r="S73" s="796">
        <f>IF(F!Q73&lt;&gt;F!R73,IF(F!Q73&lt;&gt;0,IF(F!S73&lt;&gt;F!T73,F!S73+1,),),)</f>
        <v>0</v>
      </c>
      <c r="T73" s="796">
        <f>IF(F!Q73&lt;&gt;F!R73,IF(F!Q73&lt;&gt;0,IF(F!S73&lt;&gt;F!T73,F!T73,),),)</f>
        <v>0</v>
      </c>
      <c r="U73" s="797">
        <f>IF(F!Q73&lt;&gt;F!R73,IF(F!Q73&lt;&gt;0,IF(F!S73&lt;&gt;F!T73,F!U73,),),)</f>
        <v>0</v>
      </c>
      <c r="V73" s="875">
        <f>IF(F!Q73&lt;&gt;F!R73,IF(F!Q73&lt;&gt;0,IF(F!S73&lt;&gt;F!T73,F!V73,),),)</f>
        <v>0</v>
      </c>
      <c r="W73" s="633">
        <f>IF(Q73="","",$W$5-SUM($Q$7:$Q$45)-SUM($Q$64:Q73))</f>
        <v>0</v>
      </c>
      <c r="AO73" s="86"/>
      <c r="AP73" s="86"/>
      <c r="AQ73" s="86"/>
      <c r="AR73" s="86"/>
      <c r="AS73" s="86"/>
      <c r="AT73" s="86"/>
      <c r="AU73" s="86"/>
      <c r="AV73" s="86"/>
      <c r="AW73" s="86"/>
      <c r="AX73" s="86"/>
      <c r="AY73" s="86"/>
      <c r="CM73" s="86"/>
      <c r="CN73" s="86"/>
    </row>
    <row r="74" spans="2:92" s="367" customFormat="1" ht="15.75" hidden="1" customHeight="1" outlineLevel="1">
      <c r="B74" s="852">
        <f ca="1">IF(F!B74&lt;&gt;"",F!B74,)</f>
        <v>0</v>
      </c>
      <c r="C74" s="454">
        <f ca="1">F!C74</f>
        <v>0</v>
      </c>
      <c r="D74" s="74"/>
      <c r="E74" s="521"/>
      <c r="F74" s="858"/>
      <c r="H74" s="543"/>
      <c r="I74" s="853"/>
      <c r="J74" s="6"/>
      <c r="K74" s="541"/>
      <c r="L74" s="860"/>
      <c r="M74" s="20" t="str">
        <f>IF(J74="","",$M$5-SUM($J$7:J74))</f>
        <v/>
      </c>
      <c r="O74" s="7"/>
      <c r="P74" s="871">
        <f>IF(F!Q74&lt;&gt;F!R74,IF(F!Q74&lt;&gt;0,IF(F!S74&lt;&gt;F!T74,F!P74,),),)</f>
        <v>0</v>
      </c>
      <c r="Q74" s="795">
        <f>IF(F!Q74&lt;&gt;F!R74,IF(F!Q74&lt;&gt;0,IF(F!S74&lt;&gt;F!T74,F!Q74,),),)</f>
        <v>0</v>
      </c>
      <c r="R74" s="628">
        <f>IF(F!Q74&lt;&gt;F!R74,IF(F!Q74&lt;&gt;0,IF(F!S74&lt;&gt;F!T74,0,Q74),Q74),Q74)</f>
        <v>0</v>
      </c>
      <c r="S74" s="796">
        <f>IF(F!Q74&lt;&gt;F!R74,IF(F!Q74&lt;&gt;0,IF(F!S74&lt;&gt;F!T74,F!S74+1,),),)</f>
        <v>0</v>
      </c>
      <c r="T74" s="796">
        <f>IF(F!Q74&lt;&gt;F!R74,IF(F!Q74&lt;&gt;0,IF(F!S74&lt;&gt;F!T74,F!T74,),),)</f>
        <v>0</v>
      </c>
      <c r="U74" s="797">
        <f>IF(F!Q74&lt;&gt;F!R74,IF(F!Q74&lt;&gt;0,IF(F!S74&lt;&gt;F!T74,F!U74,),),)</f>
        <v>0</v>
      </c>
      <c r="V74" s="875">
        <f>IF(F!Q74&lt;&gt;F!R74,IF(F!Q74&lt;&gt;0,IF(F!S74&lt;&gt;F!T74,F!V74,),),)</f>
        <v>0</v>
      </c>
      <c r="W74" s="633">
        <f>IF(Q74="","",$W$5-SUM($Q$7:$Q$45)-SUM($Q$64:Q74))</f>
        <v>0</v>
      </c>
      <c r="AO74" s="86"/>
      <c r="AP74" s="86"/>
      <c r="AQ74" s="86"/>
      <c r="AR74" s="86"/>
      <c r="AS74" s="86"/>
      <c r="AT74" s="86"/>
      <c r="AU74" s="86"/>
      <c r="AV74" s="86"/>
      <c r="AW74" s="86"/>
      <c r="AX74" s="86"/>
      <c r="AY74" s="86"/>
      <c r="CM74" s="86"/>
      <c r="CN74" s="86"/>
    </row>
    <row r="75" spans="2:92" s="367" customFormat="1" ht="15.75" hidden="1" customHeight="1" outlineLevel="1">
      <c r="B75" s="852">
        <f ca="1">IF(F!B75&lt;&gt;"",F!B75,)</f>
        <v>0</v>
      </c>
      <c r="C75" s="454">
        <f ca="1">F!C75</f>
        <v>0</v>
      </c>
      <c r="D75" s="74"/>
      <c r="E75" s="521"/>
      <c r="F75" s="858"/>
      <c r="H75" s="543"/>
      <c r="I75" s="853"/>
      <c r="J75" s="6"/>
      <c r="K75" s="541"/>
      <c r="L75" s="860"/>
      <c r="M75" s="20" t="str">
        <f>IF(J75="","",$M$5-SUM($J$7:J75))</f>
        <v/>
      </c>
      <c r="O75" s="7"/>
      <c r="P75" s="873">
        <f>IF(F!Q75&lt;&gt;F!R75,IF(F!Q75&lt;&gt;0,IF(F!S75&lt;&gt;F!T75,F!P75,),),)</f>
        <v>0</v>
      </c>
      <c r="Q75" s="795">
        <f>IF(F!Q75&lt;&gt;F!R75,IF(F!Q75&lt;&gt;0,IF(F!S75&lt;&gt;F!T75,F!Q75,),),)</f>
        <v>0</v>
      </c>
      <c r="R75" s="628">
        <f>IF(F!Q75&lt;&gt;F!R75,IF(F!Q75&lt;&gt;0,IF(F!S75&lt;&gt;F!T75,0,Q75),Q75),Q75)</f>
        <v>0</v>
      </c>
      <c r="S75" s="796">
        <f>IF(F!Q75&lt;&gt;F!R75,IF(F!Q75&lt;&gt;0,IF(F!S75&lt;&gt;F!T75,F!S75+1,),),)</f>
        <v>0</v>
      </c>
      <c r="T75" s="796">
        <f>IF(F!Q75&lt;&gt;F!R75,IF(F!Q75&lt;&gt;0,IF(F!S75&lt;&gt;F!T75,F!T75,),),)</f>
        <v>0</v>
      </c>
      <c r="U75" s="797">
        <f>IF(F!Q75&lt;&gt;F!R75,IF(F!Q75&lt;&gt;0,IF(F!S75&lt;&gt;F!T75,F!U75,),),)</f>
        <v>0</v>
      </c>
      <c r="V75" s="875">
        <f>IF(F!Q75&lt;&gt;F!R75,IF(F!Q75&lt;&gt;0,IF(F!S75&lt;&gt;F!T75,F!V75,),),)</f>
        <v>0</v>
      </c>
      <c r="W75" s="633">
        <f>IF(Q75="","",$W$5-SUM($Q$7:$Q$45)-SUM($Q$64:Q75))</f>
        <v>0</v>
      </c>
      <c r="AO75" s="86"/>
      <c r="AP75" s="86"/>
      <c r="AQ75" s="86"/>
      <c r="AR75" s="86"/>
      <c r="AS75" s="86"/>
      <c r="AT75" s="86"/>
      <c r="AU75" s="86"/>
      <c r="AV75" s="86"/>
      <c r="AW75" s="86"/>
      <c r="AX75" s="86"/>
      <c r="AY75" s="86"/>
      <c r="CM75" s="86"/>
      <c r="CN75" s="86"/>
    </row>
    <row r="76" spans="2:92" s="367" customFormat="1" ht="15.75" hidden="1" customHeight="1" outlineLevel="1">
      <c r="B76" s="852">
        <f ca="1">IF(F!B76&lt;&gt;"",F!B76,)</f>
        <v>0</v>
      </c>
      <c r="C76" s="454">
        <f ca="1">F!C76</f>
        <v>0</v>
      </c>
      <c r="D76" s="74"/>
      <c r="E76" s="521"/>
      <c r="F76" s="858"/>
      <c r="H76" s="543"/>
      <c r="I76" s="853"/>
      <c r="J76" s="6"/>
      <c r="K76" s="541"/>
      <c r="L76" s="860"/>
      <c r="M76" s="20" t="str">
        <f>IF(J76="","",$M$5-SUM($J$7:J76))</f>
        <v/>
      </c>
      <c r="O76" s="7"/>
      <c r="P76" s="871">
        <f>IF(F!Q76&lt;&gt;F!R76,IF(F!Q76&lt;&gt;0,IF(F!S76&lt;&gt;F!T76,F!P76,),),)</f>
        <v>0</v>
      </c>
      <c r="Q76" s="795">
        <f>IF(F!Q76&lt;&gt;F!R76,IF(F!Q76&lt;&gt;0,IF(F!S76&lt;&gt;F!T76,F!Q76,),),)</f>
        <v>0</v>
      </c>
      <c r="R76" s="628">
        <f>IF(F!Q76&lt;&gt;F!R76,IF(F!Q76&lt;&gt;0,IF(F!S76&lt;&gt;F!T76,0,Q76),Q76),Q76)</f>
        <v>0</v>
      </c>
      <c r="S76" s="796">
        <f>IF(F!Q76&lt;&gt;F!R76,IF(F!Q76&lt;&gt;0,IF(F!S76&lt;&gt;F!T76,F!S76+1,),),)</f>
        <v>0</v>
      </c>
      <c r="T76" s="796">
        <f>IF(F!Q76&lt;&gt;F!R76,IF(F!Q76&lt;&gt;0,IF(F!S76&lt;&gt;F!T76,F!T76,),),)</f>
        <v>0</v>
      </c>
      <c r="U76" s="797">
        <f>IF(F!Q76&lt;&gt;F!R76,IF(F!Q76&lt;&gt;0,IF(F!S76&lt;&gt;F!T76,F!U76,),),)</f>
        <v>0</v>
      </c>
      <c r="V76" s="875">
        <f>IF(F!Q76&lt;&gt;F!R76,IF(F!Q76&lt;&gt;0,IF(F!S76&lt;&gt;F!T76,F!V76,),),)</f>
        <v>0</v>
      </c>
      <c r="W76" s="633">
        <f>IF(Q76="","",$W$5-SUM($Q$7:$Q$45)-SUM($Q$64:Q76))</f>
        <v>0</v>
      </c>
      <c r="AO76" s="86"/>
      <c r="AP76" s="86"/>
      <c r="AQ76" s="86"/>
      <c r="AR76" s="86"/>
      <c r="AS76" s="86"/>
      <c r="AT76" s="86"/>
      <c r="AU76" s="86"/>
      <c r="AV76" s="86"/>
      <c r="AW76" s="86"/>
      <c r="AX76" s="86"/>
      <c r="AY76" s="86"/>
      <c r="CM76" s="86"/>
      <c r="CN76" s="86"/>
    </row>
    <row r="77" spans="2:92" s="367" customFormat="1" ht="15.75" hidden="1" customHeight="1" outlineLevel="1">
      <c r="B77" s="852">
        <f ca="1">IF(F!B77&lt;&gt;"",F!B77,)</f>
        <v>0</v>
      </c>
      <c r="C77" s="454">
        <f ca="1">F!C77</f>
        <v>0</v>
      </c>
      <c r="D77" s="74"/>
      <c r="E77" s="521"/>
      <c r="F77" s="858"/>
      <c r="H77" s="543"/>
      <c r="I77" s="853"/>
      <c r="J77" s="6"/>
      <c r="K77" s="541"/>
      <c r="L77" s="860"/>
      <c r="M77" s="20" t="str">
        <f>IF(J77="","",$M$5-SUM($J$7:J77))</f>
        <v/>
      </c>
      <c r="O77" s="7"/>
      <c r="P77" s="871">
        <f>IF(F!Q77&lt;&gt;F!R77,IF(F!Q77&lt;&gt;0,IF(F!S77&lt;&gt;F!T77,F!P77,),),)</f>
        <v>0</v>
      </c>
      <c r="Q77" s="795">
        <f>IF(F!Q77&lt;&gt;F!R77,IF(F!Q77&lt;&gt;0,IF(F!S77&lt;&gt;F!T77,F!Q77,),),)</f>
        <v>0</v>
      </c>
      <c r="R77" s="628">
        <f>IF(F!Q77&lt;&gt;F!R77,IF(F!Q77&lt;&gt;0,IF(F!S77&lt;&gt;F!T77,0,Q77),Q77),Q77)</f>
        <v>0</v>
      </c>
      <c r="S77" s="796">
        <f>IF(F!Q77&lt;&gt;F!R77,IF(F!Q77&lt;&gt;0,IF(F!S77&lt;&gt;F!T77,F!S77+1,),),)</f>
        <v>0</v>
      </c>
      <c r="T77" s="796">
        <f>IF(F!Q77&lt;&gt;F!R77,IF(F!Q77&lt;&gt;0,IF(F!S77&lt;&gt;F!T77,F!T77,),),)</f>
        <v>0</v>
      </c>
      <c r="U77" s="797">
        <f>IF(F!Q77&lt;&gt;F!R77,IF(F!Q77&lt;&gt;0,IF(F!S77&lt;&gt;F!T77,F!U77,),),)</f>
        <v>0</v>
      </c>
      <c r="V77" s="875">
        <f>IF(F!Q77&lt;&gt;F!R77,IF(F!Q77&lt;&gt;0,IF(F!S77&lt;&gt;F!T77,F!V77,),),)</f>
        <v>0</v>
      </c>
      <c r="W77" s="633">
        <f>IF(Q77="","",$W$5-SUM($Q$7:$Q$45)-SUM($Q$64:Q77))</f>
        <v>0</v>
      </c>
      <c r="AO77" s="86"/>
      <c r="AP77" s="86"/>
      <c r="AQ77" s="86"/>
      <c r="AR77" s="86"/>
      <c r="AS77" s="86"/>
      <c r="AT77" s="86"/>
      <c r="AU77" s="86"/>
      <c r="AV77" s="86"/>
      <c r="AW77" s="86"/>
      <c r="AX77" s="86"/>
      <c r="AY77" s="86"/>
      <c r="CM77" s="86"/>
      <c r="CN77" s="86"/>
    </row>
    <row r="78" spans="2:92" s="367" customFormat="1" ht="15.75" hidden="1" customHeight="1" outlineLevel="1">
      <c r="B78" s="852">
        <f ca="1">IF(F!B78&lt;&gt;"",F!B78,)</f>
        <v>0</v>
      </c>
      <c r="C78" s="454">
        <f ca="1">F!C78</f>
        <v>0</v>
      </c>
      <c r="D78" s="74"/>
      <c r="E78" s="521"/>
      <c r="F78" s="858"/>
      <c r="H78" s="543"/>
      <c r="I78" s="853"/>
      <c r="J78" s="6"/>
      <c r="K78" s="541"/>
      <c r="L78" s="860"/>
      <c r="M78" s="20" t="str">
        <f>IF(J78="","",$M$5-SUM($J$7:J78))</f>
        <v/>
      </c>
      <c r="O78" s="7"/>
      <c r="P78" s="873">
        <f>IF(F!Q78&lt;&gt;F!R78,IF(F!Q78&lt;&gt;0,IF(F!S78&lt;&gt;F!T78,F!P78,),),)</f>
        <v>0</v>
      </c>
      <c r="Q78" s="795">
        <f>IF(F!Q78&lt;&gt;F!R78,IF(F!Q78&lt;&gt;0,IF(F!S78&lt;&gt;F!T78,F!Q78,),),)</f>
        <v>0</v>
      </c>
      <c r="R78" s="628">
        <f>IF(F!Q78&lt;&gt;F!R78,IF(F!Q78&lt;&gt;0,IF(F!S78&lt;&gt;F!T78,0,Q78),Q78),Q78)</f>
        <v>0</v>
      </c>
      <c r="S78" s="796">
        <f>IF(F!Q78&lt;&gt;F!R78,IF(F!Q78&lt;&gt;0,IF(F!S78&lt;&gt;F!T78,F!S78+1,),),)</f>
        <v>0</v>
      </c>
      <c r="T78" s="796">
        <f>IF(F!Q78&lt;&gt;F!R78,IF(F!Q78&lt;&gt;0,IF(F!S78&lt;&gt;F!T78,F!T78,),),)</f>
        <v>0</v>
      </c>
      <c r="U78" s="797">
        <f>IF(F!Q78&lt;&gt;F!R78,IF(F!Q78&lt;&gt;0,IF(F!S78&lt;&gt;F!T78,F!U78,),),)</f>
        <v>0</v>
      </c>
      <c r="V78" s="875">
        <f>IF(F!Q78&lt;&gt;F!R78,IF(F!Q78&lt;&gt;0,IF(F!S78&lt;&gt;F!T78,F!V78,),),)</f>
        <v>0</v>
      </c>
      <c r="W78" s="633">
        <f>IF(Q78="","",$W$5-SUM($Q$7:$Q$45)-SUM($Q$64:Q78))</f>
        <v>0</v>
      </c>
      <c r="AO78" s="86"/>
      <c r="AP78" s="86"/>
      <c r="AQ78" s="86"/>
      <c r="AR78" s="86"/>
      <c r="AS78" s="86"/>
      <c r="AT78" s="86"/>
      <c r="AU78" s="86"/>
      <c r="AV78" s="86"/>
      <c r="AW78" s="86"/>
      <c r="AX78" s="86"/>
      <c r="AY78" s="86"/>
      <c r="CM78" s="86"/>
      <c r="CN78" s="86"/>
    </row>
    <row r="79" spans="2:92" s="367" customFormat="1" ht="15.75" hidden="1" customHeight="1" outlineLevel="1">
      <c r="B79" s="852">
        <f ca="1">IF(F!B79&lt;&gt;"",F!B79,)</f>
        <v>0</v>
      </c>
      <c r="C79" s="454">
        <f ca="1">F!C79</f>
        <v>0</v>
      </c>
      <c r="D79" s="74"/>
      <c r="E79" s="521"/>
      <c r="F79" s="858"/>
      <c r="H79" s="543"/>
      <c r="I79" s="853"/>
      <c r="J79" s="6"/>
      <c r="K79" s="541"/>
      <c r="L79" s="860"/>
      <c r="M79" s="20" t="str">
        <f>IF(J79="","",$M$5-SUM($J$7:J79))</f>
        <v/>
      </c>
      <c r="O79" s="7"/>
      <c r="P79" s="871">
        <f>IF(F!Q79&lt;&gt;F!R79,IF(F!Q79&lt;&gt;0,IF(F!S79&lt;&gt;F!T79,F!P79,),),)</f>
        <v>0</v>
      </c>
      <c r="Q79" s="795">
        <f>IF(F!Q79&lt;&gt;F!R79,IF(F!Q79&lt;&gt;0,IF(F!S79&lt;&gt;F!T79,F!Q79,),),)</f>
        <v>0</v>
      </c>
      <c r="R79" s="628">
        <f>IF(F!Q79&lt;&gt;F!R79,IF(F!Q79&lt;&gt;0,IF(F!S79&lt;&gt;F!T79,0,Q79),Q79),Q79)</f>
        <v>0</v>
      </c>
      <c r="S79" s="796">
        <f>IF(F!Q79&lt;&gt;F!R79,IF(F!Q79&lt;&gt;0,IF(F!S79&lt;&gt;F!T79,F!S79+1,),),)</f>
        <v>0</v>
      </c>
      <c r="T79" s="796">
        <f>IF(F!Q79&lt;&gt;F!R79,IF(F!Q79&lt;&gt;0,IF(F!S79&lt;&gt;F!T79,F!T79,),),)</f>
        <v>0</v>
      </c>
      <c r="U79" s="797">
        <f>IF(F!Q79&lt;&gt;F!R79,IF(F!Q79&lt;&gt;0,IF(F!S79&lt;&gt;F!T79,F!U79,),),)</f>
        <v>0</v>
      </c>
      <c r="V79" s="875">
        <f>IF(F!Q79&lt;&gt;F!R79,IF(F!Q79&lt;&gt;0,IF(F!S79&lt;&gt;F!T79,F!V79,),),)</f>
        <v>0</v>
      </c>
      <c r="W79" s="633">
        <f>IF(Q79="","",$W$5-SUM($Q$7:$Q$45)-SUM($Q$64:Q79))</f>
        <v>0</v>
      </c>
      <c r="AO79" s="86"/>
      <c r="AP79" s="86"/>
      <c r="AQ79" s="86"/>
      <c r="AR79" s="86"/>
      <c r="AS79" s="86"/>
      <c r="AT79" s="86"/>
      <c r="AU79" s="86"/>
      <c r="AV79" s="86"/>
      <c r="AW79" s="86"/>
      <c r="AX79" s="86"/>
      <c r="AY79" s="86"/>
      <c r="CM79" s="86"/>
      <c r="CN79" s="86"/>
    </row>
    <row r="80" spans="2:92" s="367" customFormat="1" ht="15.75" hidden="1" customHeight="1" outlineLevel="1">
      <c r="B80" s="852">
        <f ca="1">IF(F!B80&lt;&gt;"",F!B80,)</f>
        <v>0</v>
      </c>
      <c r="C80" s="454">
        <f ca="1">F!C80</f>
        <v>0</v>
      </c>
      <c r="D80" s="74"/>
      <c r="E80" s="521"/>
      <c r="F80" s="858"/>
      <c r="H80" s="543"/>
      <c r="I80" s="853"/>
      <c r="J80" s="6"/>
      <c r="K80" s="541"/>
      <c r="L80" s="860"/>
      <c r="M80" s="20" t="str">
        <f>IF(J80="","",$M$5-SUM($J$7:J80))</f>
        <v/>
      </c>
      <c r="O80" s="7"/>
      <c r="P80" s="873">
        <f>IF(F!Q80&lt;&gt;F!R80,IF(F!Q80&lt;&gt;0,IF(F!S80&lt;&gt;F!T80,F!P80,),),)</f>
        <v>0</v>
      </c>
      <c r="Q80" s="795">
        <f>IF(F!Q80&lt;&gt;F!R80,IF(F!Q80&lt;&gt;0,IF(F!S80&lt;&gt;F!T80,F!Q80,),),)</f>
        <v>0</v>
      </c>
      <c r="R80" s="628">
        <f>IF(F!Q80&lt;&gt;F!R80,IF(F!Q80&lt;&gt;0,IF(F!S80&lt;&gt;F!T80,0,Q80),Q80),Q80)</f>
        <v>0</v>
      </c>
      <c r="S80" s="796">
        <f>IF(F!Q80&lt;&gt;F!R80,IF(F!Q80&lt;&gt;0,IF(F!S80&lt;&gt;F!T80,F!S80+1,),),)</f>
        <v>0</v>
      </c>
      <c r="T80" s="796">
        <f>IF(F!Q80&lt;&gt;F!R80,IF(F!Q80&lt;&gt;0,IF(F!S80&lt;&gt;F!T80,F!T80,),),)</f>
        <v>0</v>
      </c>
      <c r="U80" s="797">
        <f>IF(F!Q80&lt;&gt;F!R80,IF(F!Q80&lt;&gt;0,IF(F!S80&lt;&gt;F!T80,F!U80,),),)</f>
        <v>0</v>
      </c>
      <c r="V80" s="875">
        <f>IF(F!Q80&lt;&gt;F!R80,IF(F!Q80&lt;&gt;0,IF(F!S80&lt;&gt;F!T80,F!V80,),),)</f>
        <v>0</v>
      </c>
      <c r="W80" s="633">
        <f>IF(Q80="","",$W$5-SUM($Q$7:$Q$45)-SUM($Q$64:Q80))</f>
        <v>0</v>
      </c>
      <c r="AO80" s="86"/>
      <c r="AP80" s="86"/>
      <c r="AQ80" s="86"/>
      <c r="AR80" s="86"/>
      <c r="AS80" s="86"/>
      <c r="AT80" s="86"/>
      <c r="AU80" s="86"/>
      <c r="AV80" s="86"/>
      <c r="AW80" s="86"/>
      <c r="AX80" s="86"/>
      <c r="AY80" s="86"/>
      <c r="CM80" s="86"/>
      <c r="CN80" s="86"/>
    </row>
    <row r="81" spans="2:92" s="367" customFormat="1" ht="15.75" hidden="1" customHeight="1" outlineLevel="1">
      <c r="B81" s="852">
        <f ca="1">IF(F!B81&lt;&gt;"",F!B81,)</f>
        <v>0</v>
      </c>
      <c r="C81" s="454">
        <f ca="1">F!C81</f>
        <v>0</v>
      </c>
      <c r="D81" s="74"/>
      <c r="E81" s="521"/>
      <c r="F81" s="858"/>
      <c r="H81" s="543"/>
      <c r="I81" s="853"/>
      <c r="J81" s="6"/>
      <c r="K81" s="541"/>
      <c r="L81" s="860"/>
      <c r="M81" s="20" t="str">
        <f>IF(J81="","",$M$5-SUM($J$7:J81))</f>
        <v/>
      </c>
      <c r="O81" s="7"/>
      <c r="P81" s="873">
        <f>IF(F!Q81&lt;&gt;F!R81,IF(F!Q81&lt;&gt;0,IF(F!S81&lt;&gt;F!T81,F!P81,),),)</f>
        <v>0</v>
      </c>
      <c r="Q81" s="795">
        <f>IF(F!Q81&lt;&gt;F!R81,IF(F!Q81&lt;&gt;0,IF(F!S81&lt;&gt;F!T81,F!Q81,),),)</f>
        <v>0</v>
      </c>
      <c r="R81" s="628">
        <f>IF(F!Q81&lt;&gt;F!R81,IF(F!Q81&lt;&gt;0,IF(F!S81&lt;&gt;F!T81,0,Q81),Q81),Q81)</f>
        <v>0</v>
      </c>
      <c r="S81" s="796">
        <f>IF(F!Q81&lt;&gt;F!R81,IF(F!Q81&lt;&gt;0,IF(F!S81&lt;&gt;F!T81,F!S81+1,),),)</f>
        <v>0</v>
      </c>
      <c r="T81" s="796">
        <f>IF(F!Q81&lt;&gt;F!R81,IF(F!Q81&lt;&gt;0,IF(F!S81&lt;&gt;F!T81,F!T81,),),)</f>
        <v>0</v>
      </c>
      <c r="U81" s="797">
        <f>IF(F!Q81&lt;&gt;F!R81,IF(F!Q81&lt;&gt;0,IF(F!S81&lt;&gt;F!T81,F!U81,),),)</f>
        <v>0</v>
      </c>
      <c r="V81" s="875">
        <f>IF(F!Q81&lt;&gt;F!R81,IF(F!Q81&lt;&gt;0,IF(F!S81&lt;&gt;F!T81,F!V81,),),)</f>
        <v>0</v>
      </c>
      <c r="W81" s="633">
        <f>IF(Q81="","",$W$5-SUM($Q$7:$Q$45)-SUM($Q$64:Q81))</f>
        <v>0</v>
      </c>
      <c r="AO81" s="86"/>
      <c r="AP81" s="86"/>
      <c r="AQ81" s="86"/>
      <c r="AR81" s="86"/>
      <c r="AS81" s="86"/>
      <c r="AT81" s="86"/>
      <c r="AU81" s="86"/>
      <c r="AV81" s="86"/>
      <c r="AW81" s="86"/>
      <c r="AX81" s="86"/>
      <c r="AY81" s="86"/>
      <c r="CM81" s="86"/>
      <c r="CN81" s="86"/>
    </row>
    <row r="82" spans="2:92" s="367" customFormat="1" ht="15.75" hidden="1" customHeight="1" outlineLevel="1">
      <c r="B82" s="852">
        <f ca="1">IF(F!B82&lt;&gt;"",F!B82,)</f>
        <v>0</v>
      </c>
      <c r="C82" s="454">
        <f ca="1">F!C82</f>
        <v>0</v>
      </c>
      <c r="D82" s="74"/>
      <c r="E82" s="521"/>
      <c r="F82" s="858"/>
      <c r="H82" s="543"/>
      <c r="I82" s="853"/>
      <c r="J82" s="6"/>
      <c r="K82" s="541"/>
      <c r="L82" s="860"/>
      <c r="M82" s="20" t="str">
        <f>IF(J82="","",$M$5-SUM($J$7:J82))</f>
        <v/>
      </c>
      <c r="O82" s="7"/>
      <c r="P82" s="873">
        <f>IF(F!Q82&lt;&gt;F!R82,IF(F!Q82&lt;&gt;0,IF(F!S82&lt;&gt;F!T82,F!P82,),),)</f>
        <v>0</v>
      </c>
      <c r="Q82" s="795">
        <f>IF(F!Q82&lt;&gt;F!R82,IF(F!Q82&lt;&gt;0,IF(F!S82&lt;&gt;F!T82,F!Q82,),),)</f>
        <v>0</v>
      </c>
      <c r="R82" s="628">
        <f>IF(F!Q82&lt;&gt;F!R82,IF(F!Q82&lt;&gt;0,IF(F!S82&lt;&gt;F!T82,0,Q82),Q82),Q82)</f>
        <v>0</v>
      </c>
      <c r="S82" s="796">
        <f>IF(F!Q82&lt;&gt;F!R82,IF(F!Q82&lt;&gt;0,IF(F!S82&lt;&gt;F!T82,F!S82+1,),),)</f>
        <v>0</v>
      </c>
      <c r="T82" s="796">
        <f>IF(F!Q82&lt;&gt;F!R82,IF(F!Q82&lt;&gt;0,IF(F!S82&lt;&gt;F!T82,F!T82,),),)</f>
        <v>0</v>
      </c>
      <c r="U82" s="797">
        <f>IF(F!Q82&lt;&gt;F!R82,IF(F!Q82&lt;&gt;0,IF(F!S82&lt;&gt;F!T82,F!U82,),),)</f>
        <v>0</v>
      </c>
      <c r="V82" s="875">
        <f>IF(F!Q82&lt;&gt;F!R82,IF(F!Q82&lt;&gt;0,IF(F!S82&lt;&gt;F!T82,F!V82,),),)</f>
        <v>0</v>
      </c>
      <c r="W82" s="633">
        <f>IF(Q82="","",$W$5-SUM($Q$7:$Q$45)-SUM($Q$64:Q82))</f>
        <v>0</v>
      </c>
      <c r="AO82" s="86"/>
      <c r="AP82" s="86"/>
      <c r="AQ82" s="86"/>
      <c r="AR82" s="86"/>
      <c r="AS82" s="86"/>
      <c r="AT82" s="86"/>
      <c r="AU82" s="86"/>
      <c r="AV82" s="86"/>
      <c r="AW82" s="86"/>
      <c r="AX82" s="86"/>
      <c r="AY82" s="86"/>
      <c r="CM82" s="86"/>
      <c r="CN82" s="86"/>
    </row>
    <row r="83" spans="2:92" s="367" customFormat="1" ht="15.75" hidden="1" customHeight="1" outlineLevel="1">
      <c r="B83" s="852">
        <f ca="1">IF(F!B83&lt;&gt;"",F!B83,)</f>
        <v>0</v>
      </c>
      <c r="C83" s="454">
        <f ca="1">F!C83</f>
        <v>0</v>
      </c>
      <c r="D83" s="74"/>
      <c r="E83" s="521"/>
      <c r="F83" s="858"/>
      <c r="H83" s="543"/>
      <c r="I83" s="853"/>
      <c r="J83" s="6"/>
      <c r="K83" s="541"/>
      <c r="L83" s="860"/>
      <c r="M83" s="20" t="str">
        <f>IF(J83="","",$M$5-SUM($J$7:J83))</f>
        <v/>
      </c>
      <c r="O83" s="7"/>
      <c r="P83" s="873">
        <f>IF(F!Q83&lt;&gt;F!R83,IF(F!Q83&lt;&gt;0,IF(F!S83&lt;&gt;F!T83,F!P83,),),)</f>
        <v>0</v>
      </c>
      <c r="Q83" s="795">
        <f>IF(F!Q83&lt;&gt;F!R83,IF(F!Q83&lt;&gt;0,IF(F!S83&lt;&gt;F!T83,F!Q83,),),)</f>
        <v>0</v>
      </c>
      <c r="R83" s="628">
        <f>IF(F!Q83&lt;&gt;F!R83,IF(F!Q83&lt;&gt;0,IF(F!S83&lt;&gt;F!T83,0,Q83),Q83),Q83)</f>
        <v>0</v>
      </c>
      <c r="S83" s="796">
        <f>IF(F!Q83&lt;&gt;F!R83,IF(F!Q83&lt;&gt;0,IF(F!S83&lt;&gt;F!T83,F!S83+1,),),)</f>
        <v>0</v>
      </c>
      <c r="T83" s="796">
        <f>IF(F!Q83&lt;&gt;F!R83,IF(F!Q83&lt;&gt;0,IF(F!S83&lt;&gt;F!T83,F!T83,),),)</f>
        <v>0</v>
      </c>
      <c r="U83" s="797">
        <f>IF(F!Q83&lt;&gt;F!R83,IF(F!Q83&lt;&gt;0,IF(F!S83&lt;&gt;F!T83,F!U83,),),)</f>
        <v>0</v>
      </c>
      <c r="V83" s="875">
        <f>IF(F!Q83&lt;&gt;F!R83,IF(F!Q83&lt;&gt;0,IF(F!S83&lt;&gt;F!T83,F!V83,),),)</f>
        <v>0</v>
      </c>
      <c r="W83" s="633">
        <f>IF(Q83="","",$W$5-SUM($Q$7:$Q$45)-SUM($Q$64:Q83))</f>
        <v>0</v>
      </c>
      <c r="AO83" s="86"/>
      <c r="AP83" s="86"/>
      <c r="AQ83" s="86"/>
      <c r="AR83" s="86"/>
      <c r="AS83" s="86"/>
      <c r="AT83" s="86"/>
      <c r="AU83" s="86"/>
      <c r="AV83" s="86"/>
      <c r="AW83" s="86"/>
      <c r="AX83" s="86"/>
      <c r="AY83" s="86"/>
      <c r="CM83" s="86"/>
      <c r="CN83" s="86"/>
    </row>
    <row r="84" spans="2:92" s="367" customFormat="1" ht="15.75" hidden="1" customHeight="1" outlineLevel="1">
      <c r="B84" s="852">
        <f ca="1">IF(F!B84&lt;&gt;"",F!B84,)</f>
        <v>0</v>
      </c>
      <c r="C84" s="454">
        <f ca="1">F!C84</f>
        <v>0</v>
      </c>
      <c r="D84" s="74"/>
      <c r="E84" s="521"/>
      <c r="F84" s="858"/>
      <c r="H84" s="543"/>
      <c r="I84" s="853"/>
      <c r="J84" s="6"/>
      <c r="K84" s="541"/>
      <c r="L84" s="860"/>
      <c r="M84" s="20" t="str">
        <f>IF(J84="","",$M$5-SUM($J$7:J84))</f>
        <v/>
      </c>
      <c r="O84" s="7"/>
      <c r="P84" s="873">
        <f>IF(F!Q84&lt;&gt;F!R84,IF(F!Q84&lt;&gt;0,IF(F!S84&lt;&gt;F!T84,F!P84,),),)</f>
        <v>0</v>
      </c>
      <c r="Q84" s="795">
        <f>IF(F!Q84&lt;&gt;F!R84,IF(F!Q84&lt;&gt;0,IF(F!S84&lt;&gt;F!T84,F!Q84,),),)</f>
        <v>0</v>
      </c>
      <c r="R84" s="628">
        <f>IF(F!Q84&lt;&gt;F!R84,IF(F!Q84&lt;&gt;0,IF(F!S84&lt;&gt;F!T84,0,Q84),Q84),Q84)</f>
        <v>0</v>
      </c>
      <c r="S84" s="796">
        <f>IF(F!Q84&lt;&gt;F!R84,IF(F!Q84&lt;&gt;0,IF(F!S84&lt;&gt;F!T84,F!S84+1,),),)</f>
        <v>0</v>
      </c>
      <c r="T84" s="796">
        <f>IF(F!Q84&lt;&gt;F!R84,IF(F!Q84&lt;&gt;0,IF(F!S84&lt;&gt;F!T84,F!T84,),),)</f>
        <v>0</v>
      </c>
      <c r="U84" s="797">
        <f>IF(F!Q84&lt;&gt;F!R84,IF(F!Q84&lt;&gt;0,IF(F!S84&lt;&gt;F!T84,F!U84,),),)</f>
        <v>0</v>
      </c>
      <c r="V84" s="875">
        <f>IF(F!Q84&lt;&gt;F!R84,IF(F!Q84&lt;&gt;0,IF(F!S84&lt;&gt;F!T84,F!V84,),),)</f>
        <v>0</v>
      </c>
      <c r="W84" s="633">
        <f>IF(Q84="","",$W$5-SUM($Q$7:$Q$45)-SUM($Q$64:Q84))</f>
        <v>0</v>
      </c>
      <c r="AO84" s="86"/>
      <c r="AP84" s="86"/>
      <c r="AQ84" s="86"/>
      <c r="AR84" s="86"/>
      <c r="AS84" s="86"/>
      <c r="AT84" s="86"/>
      <c r="AU84" s="86"/>
      <c r="AV84" s="86"/>
      <c r="AW84" s="86"/>
      <c r="AX84" s="86"/>
      <c r="AY84" s="86"/>
      <c r="CM84" s="86"/>
      <c r="CN84" s="86"/>
    </row>
    <row r="85" spans="2:92" s="367" customFormat="1" ht="15.75" hidden="1" customHeight="1" outlineLevel="1">
      <c r="B85" s="852">
        <f ca="1">IF(F!B85&lt;&gt;"",F!B85,)</f>
        <v>0</v>
      </c>
      <c r="C85" s="454">
        <f ca="1">F!C85</f>
        <v>0</v>
      </c>
      <c r="D85" s="74"/>
      <c r="E85" s="521"/>
      <c r="F85" s="858"/>
      <c r="H85" s="543"/>
      <c r="I85" s="853"/>
      <c r="J85" s="6"/>
      <c r="K85" s="541"/>
      <c r="L85" s="860"/>
      <c r="M85" s="20" t="str">
        <f>IF(J85="","",$M$5-SUM($J$7:J85))</f>
        <v/>
      </c>
      <c r="O85" s="7"/>
      <c r="P85" s="873">
        <f>IF(F!Q85&lt;&gt;F!R85,IF(F!Q85&lt;&gt;0,IF(F!S85&lt;&gt;F!T85,F!P85,),),)</f>
        <v>0</v>
      </c>
      <c r="Q85" s="795">
        <f>IF(F!Q85&lt;&gt;F!R85,IF(F!Q85&lt;&gt;0,IF(F!S85&lt;&gt;F!T85,F!Q85,),),)</f>
        <v>0</v>
      </c>
      <c r="R85" s="628">
        <f>IF(F!Q85&lt;&gt;F!R85,IF(F!Q85&lt;&gt;0,IF(F!S85&lt;&gt;F!T85,0,Q85),Q85),Q85)</f>
        <v>0</v>
      </c>
      <c r="S85" s="796">
        <f>IF(F!Q85&lt;&gt;F!R85,IF(F!Q85&lt;&gt;0,IF(F!S85&lt;&gt;F!T85,F!S85+1,),),)</f>
        <v>0</v>
      </c>
      <c r="T85" s="796">
        <f>IF(F!Q85&lt;&gt;F!R85,IF(F!Q85&lt;&gt;0,IF(F!S85&lt;&gt;F!T85,F!T85,),),)</f>
        <v>0</v>
      </c>
      <c r="U85" s="797">
        <f>IF(F!Q85&lt;&gt;F!R85,IF(F!Q85&lt;&gt;0,IF(F!S85&lt;&gt;F!T85,F!U85,),),)</f>
        <v>0</v>
      </c>
      <c r="V85" s="875">
        <f>IF(F!Q85&lt;&gt;F!R85,IF(F!Q85&lt;&gt;0,IF(F!S85&lt;&gt;F!T85,F!V85,),),)</f>
        <v>0</v>
      </c>
      <c r="W85" s="633">
        <f>IF(Q85="","",$W$5-SUM($Q$7:$Q$45)-SUM($Q$64:Q85))</f>
        <v>0</v>
      </c>
      <c r="AO85" s="86"/>
      <c r="AP85" s="86"/>
      <c r="AQ85" s="86"/>
      <c r="AR85" s="86"/>
      <c r="AS85" s="86"/>
      <c r="AT85" s="86"/>
      <c r="AU85" s="86"/>
      <c r="AV85" s="86"/>
      <c r="AW85" s="86"/>
      <c r="AX85" s="86"/>
      <c r="AY85" s="86"/>
      <c r="CM85" s="86"/>
      <c r="CN85" s="86"/>
    </row>
    <row r="86" spans="2:92" s="367" customFormat="1" ht="15.75" hidden="1" customHeight="1" outlineLevel="1">
      <c r="B86" s="852">
        <f ca="1">IF(F!B86&lt;&gt;"",F!B86,)</f>
        <v>0</v>
      </c>
      <c r="C86" s="454">
        <f ca="1">F!C86</f>
        <v>0</v>
      </c>
      <c r="D86" s="74"/>
      <c r="E86" s="521"/>
      <c r="F86" s="858"/>
      <c r="H86" s="543"/>
      <c r="I86" s="854"/>
      <c r="J86" s="6"/>
      <c r="K86" s="541"/>
      <c r="L86" s="860"/>
      <c r="M86" s="20" t="str">
        <f>IF(J86="","",$M$5-SUM($J$7:J86))</f>
        <v/>
      </c>
      <c r="O86" s="7"/>
      <c r="P86" s="873">
        <f>IF(F!Q86&lt;&gt;F!R86,IF(F!Q86&lt;&gt;0,IF(F!S86&lt;&gt;F!T86,F!P86,),),)</f>
        <v>0</v>
      </c>
      <c r="Q86" s="795">
        <f>IF(F!Q86&lt;&gt;F!R86,IF(F!Q86&lt;&gt;0,IF(F!S86&lt;&gt;F!T86,F!Q86,),),)</f>
        <v>0</v>
      </c>
      <c r="R86" s="628">
        <f>IF(F!Q86&lt;&gt;F!R86,IF(F!Q86&lt;&gt;0,IF(F!S86&lt;&gt;F!T86,0,Q86),Q86),Q86)</f>
        <v>0</v>
      </c>
      <c r="S86" s="796">
        <f>IF(F!Q86&lt;&gt;F!R86,IF(F!Q86&lt;&gt;0,IF(F!S86&lt;&gt;F!T86,F!S86+1,),),)</f>
        <v>0</v>
      </c>
      <c r="T86" s="796">
        <f>IF(F!Q86&lt;&gt;F!R86,IF(F!Q86&lt;&gt;0,IF(F!S86&lt;&gt;F!T86,F!T86,),),)</f>
        <v>0</v>
      </c>
      <c r="U86" s="797">
        <f>IF(F!Q86&lt;&gt;F!R86,IF(F!Q86&lt;&gt;0,IF(F!S86&lt;&gt;F!T86,F!U86,),),)</f>
        <v>0</v>
      </c>
      <c r="V86" s="875">
        <f>IF(F!Q86&lt;&gt;F!R86,IF(F!Q86&lt;&gt;0,IF(F!S86&lt;&gt;F!T86,F!V86,),),)</f>
        <v>0</v>
      </c>
      <c r="W86" s="633">
        <f>IF(Q86="","",$W$5-SUM($Q$7:$Q$45)-SUM($Q$64:Q86))</f>
        <v>0</v>
      </c>
      <c r="AO86" s="86"/>
      <c r="AP86" s="86"/>
      <c r="AQ86" s="86"/>
      <c r="AR86" s="86"/>
      <c r="AS86" s="86"/>
      <c r="AT86" s="86"/>
      <c r="AU86" s="86"/>
      <c r="AV86" s="86"/>
      <c r="AW86" s="86"/>
      <c r="AX86" s="86"/>
      <c r="AY86" s="86"/>
      <c r="CM86" s="86"/>
      <c r="CN86" s="86"/>
    </row>
    <row r="87" spans="2:92" s="367" customFormat="1" ht="15.75" hidden="1" customHeight="1" outlineLevel="1">
      <c r="H87" s="543"/>
      <c r="I87" s="853"/>
      <c r="J87" s="6"/>
      <c r="K87" s="541"/>
      <c r="L87" s="860"/>
      <c r="M87" s="20" t="str">
        <f>IF(J87="","",$M$5-SUM($J$7:J87))</f>
        <v/>
      </c>
      <c r="O87" s="7"/>
      <c r="P87" s="873">
        <f>IF(F!Q87&lt;&gt;F!R87,IF(F!Q87&lt;&gt;0,IF(F!S87&lt;&gt;F!T87,F!P87,),),)</f>
        <v>0</v>
      </c>
      <c r="Q87" s="795">
        <f>IF(F!Q87&lt;&gt;F!R87,IF(F!Q87&lt;&gt;0,IF(F!S87&lt;&gt;F!T87,F!Q87,),),)</f>
        <v>0</v>
      </c>
      <c r="R87" s="628">
        <f>IF(F!Q87&lt;&gt;F!R87,IF(F!Q87&lt;&gt;0,IF(F!S87&lt;&gt;F!T87,0,Q87),Q87),Q87)</f>
        <v>0</v>
      </c>
      <c r="S87" s="796">
        <f>IF(F!Q87&lt;&gt;F!R87,IF(F!Q87&lt;&gt;0,IF(F!S87&lt;&gt;F!T87,F!S87+1,),),)</f>
        <v>0</v>
      </c>
      <c r="T87" s="796">
        <f>IF(F!Q87&lt;&gt;F!R87,IF(F!Q87&lt;&gt;0,IF(F!S87&lt;&gt;F!T87,F!T87,),),)</f>
        <v>0</v>
      </c>
      <c r="U87" s="797">
        <f>IF(F!Q87&lt;&gt;F!R87,IF(F!Q87&lt;&gt;0,IF(F!S87&lt;&gt;F!T87,F!U87,),),)</f>
        <v>0</v>
      </c>
      <c r="V87" s="875">
        <f>IF(F!Q87&lt;&gt;F!R87,IF(F!Q87&lt;&gt;0,IF(F!S87&lt;&gt;F!T87,F!V87,),),)</f>
        <v>0</v>
      </c>
      <c r="W87" s="633">
        <f>IF(Q87="","",$W$5-SUM($Q$7:$Q$45)-SUM($Q$64:Q87))</f>
        <v>0</v>
      </c>
      <c r="AO87" s="86"/>
      <c r="AP87" s="86"/>
      <c r="AQ87" s="86"/>
      <c r="AR87" s="86"/>
      <c r="AS87" s="86"/>
      <c r="AT87" s="86"/>
      <c r="AU87" s="86"/>
      <c r="AV87" s="86"/>
      <c r="AW87" s="86"/>
      <c r="AX87" s="86"/>
      <c r="AY87" s="86"/>
      <c r="CM87" s="86"/>
      <c r="CN87" s="86"/>
    </row>
    <row r="88" spans="2:92" s="367" customFormat="1" ht="15.75" hidden="1" customHeight="1" outlineLevel="1">
      <c r="H88" s="543"/>
      <c r="I88" s="853"/>
      <c r="J88" s="6"/>
      <c r="K88" s="541"/>
      <c r="L88" s="860"/>
      <c r="M88" s="20" t="str">
        <f>IF(J88="","",$M$5-SUM($J$7:J88))</f>
        <v/>
      </c>
      <c r="O88" s="7"/>
      <c r="P88" s="871">
        <f>IF(F!Q88&lt;&gt;F!R88,IF(F!Q88&lt;&gt;0,IF(F!S88&lt;&gt;F!T88,F!P88,),),)</f>
        <v>0</v>
      </c>
      <c r="Q88" s="795">
        <f>IF(F!Q88&lt;&gt;F!R88,IF(F!Q88&lt;&gt;0,IF(F!S88&lt;&gt;F!T88,F!Q88,),),)</f>
        <v>0</v>
      </c>
      <c r="R88" s="628">
        <f>IF(F!Q88&lt;&gt;F!R88,IF(F!Q88&lt;&gt;0,IF(F!S88&lt;&gt;F!T88,0,Q88),Q88),Q88)</f>
        <v>0</v>
      </c>
      <c r="S88" s="796">
        <f>IF(F!Q88&lt;&gt;F!R88,IF(F!Q88&lt;&gt;0,IF(F!S88&lt;&gt;F!T88,F!S88+1,),),)</f>
        <v>0</v>
      </c>
      <c r="T88" s="796">
        <f>IF(F!Q88&lt;&gt;F!R88,IF(F!Q88&lt;&gt;0,IF(F!S88&lt;&gt;F!T88,F!T88,),),)</f>
        <v>0</v>
      </c>
      <c r="U88" s="797">
        <f>IF(F!Q88&lt;&gt;F!R88,IF(F!Q88&lt;&gt;0,IF(F!S88&lt;&gt;F!T88,F!U88,),),)</f>
        <v>0</v>
      </c>
      <c r="V88" s="875">
        <f>IF(F!Q88&lt;&gt;F!R88,IF(F!Q88&lt;&gt;0,IF(F!S88&lt;&gt;F!T88,F!V88,),),)</f>
        <v>0</v>
      </c>
      <c r="W88" s="633">
        <f>IF(Q88="","",$W$5-SUM($Q$7:$Q$45)-SUM($Q$64:Q88))</f>
        <v>0</v>
      </c>
      <c r="AO88" s="86"/>
      <c r="AP88" s="86"/>
      <c r="AQ88" s="86"/>
      <c r="AR88" s="86"/>
      <c r="AS88" s="86"/>
      <c r="AT88" s="86"/>
      <c r="AU88" s="86"/>
      <c r="AV88" s="86"/>
      <c r="AW88" s="86"/>
      <c r="AX88" s="86"/>
      <c r="AY88" s="86"/>
      <c r="CM88" s="86"/>
      <c r="CN88" s="86"/>
    </row>
    <row r="89" spans="2:92" s="367" customFormat="1" ht="15.75" hidden="1" customHeight="1" outlineLevel="1">
      <c r="H89" s="543"/>
      <c r="I89" s="853"/>
      <c r="J89" s="6"/>
      <c r="K89" s="541"/>
      <c r="L89" s="860"/>
      <c r="M89" s="20" t="str">
        <f>IF(J89="","",$M$5-SUM($J$7:J89))</f>
        <v/>
      </c>
      <c r="O89" s="7"/>
      <c r="P89" s="873">
        <f>IF(F!Q89&lt;&gt;F!R89,IF(F!Q89&lt;&gt;0,IF(F!S89&lt;&gt;F!T89,F!P89,),),)</f>
        <v>0</v>
      </c>
      <c r="Q89" s="795">
        <f>IF(F!Q89&lt;&gt;F!R89,IF(F!Q89&lt;&gt;0,IF(F!S89&lt;&gt;F!T89,F!Q89,),),)</f>
        <v>0</v>
      </c>
      <c r="R89" s="628">
        <f>IF(F!Q89&lt;&gt;F!R89,IF(F!Q89&lt;&gt;0,IF(F!S89&lt;&gt;F!T89,0,Q89),Q89),Q89)</f>
        <v>0</v>
      </c>
      <c r="S89" s="796">
        <f>IF(F!Q89&lt;&gt;F!R89,IF(F!Q89&lt;&gt;0,IF(F!S89&lt;&gt;F!T89,F!S89+1,),),)</f>
        <v>0</v>
      </c>
      <c r="T89" s="796">
        <f>IF(F!Q89&lt;&gt;F!R89,IF(F!Q89&lt;&gt;0,IF(F!S89&lt;&gt;F!T89,F!T89,),),)</f>
        <v>0</v>
      </c>
      <c r="U89" s="797">
        <f>IF(F!Q89&lt;&gt;F!R89,IF(F!Q89&lt;&gt;0,IF(F!S89&lt;&gt;F!T89,F!U89,),),)</f>
        <v>0</v>
      </c>
      <c r="V89" s="875">
        <f>IF(F!Q89&lt;&gt;F!R89,IF(F!Q89&lt;&gt;0,IF(F!S89&lt;&gt;F!T89,F!V89,),),)</f>
        <v>0</v>
      </c>
      <c r="W89" s="633">
        <f>IF(Q89="","",$W$5-SUM($Q$7:$Q$45)-SUM($Q$64:Q89))</f>
        <v>0</v>
      </c>
      <c r="AO89" s="86"/>
      <c r="AP89" s="86"/>
      <c r="AQ89" s="86"/>
      <c r="AR89" s="86"/>
      <c r="AS89" s="86"/>
      <c r="AT89" s="86"/>
      <c r="AU89" s="86"/>
      <c r="AV89" s="86"/>
      <c r="AW89" s="86"/>
      <c r="AX89" s="86"/>
      <c r="AY89" s="86"/>
      <c r="CM89" s="86"/>
      <c r="CN89" s="86"/>
    </row>
    <row r="90" spans="2:92" s="367" customFormat="1" ht="15.75" hidden="1" customHeight="1" outlineLevel="1">
      <c r="H90" s="543"/>
      <c r="I90" s="853"/>
      <c r="J90" s="6"/>
      <c r="K90" s="541"/>
      <c r="L90" s="860"/>
      <c r="M90" s="20" t="str">
        <f>IF(J90="","",$M$5-SUM($J$7:J90))</f>
        <v/>
      </c>
      <c r="O90" s="7"/>
      <c r="P90" s="871">
        <f>IF(F!Q90&lt;&gt;F!R90,IF(F!Q90&lt;&gt;0,IF(F!S90&lt;&gt;F!T90,F!P90,),),)</f>
        <v>0</v>
      </c>
      <c r="Q90" s="795">
        <f>IF(F!Q90&lt;&gt;F!R90,IF(F!Q90&lt;&gt;0,IF(F!S90&lt;&gt;F!T90,F!Q90,),),)</f>
        <v>0</v>
      </c>
      <c r="R90" s="628">
        <f>IF(F!Q90&lt;&gt;F!R90,IF(F!Q90&lt;&gt;0,IF(F!S90&lt;&gt;F!T90,0,Q90),Q90),Q90)</f>
        <v>0</v>
      </c>
      <c r="S90" s="796">
        <f>IF(F!Q90&lt;&gt;F!R90,IF(F!Q90&lt;&gt;0,IF(F!S90&lt;&gt;F!T90,F!S90+1,),),)</f>
        <v>0</v>
      </c>
      <c r="T90" s="796">
        <f>IF(F!Q90&lt;&gt;F!R90,IF(F!Q90&lt;&gt;0,IF(F!S90&lt;&gt;F!T90,F!T90,),),)</f>
        <v>0</v>
      </c>
      <c r="U90" s="797">
        <f>IF(F!Q90&lt;&gt;F!R90,IF(F!Q90&lt;&gt;0,IF(F!S90&lt;&gt;F!T90,F!U90,),),)</f>
        <v>0</v>
      </c>
      <c r="V90" s="875">
        <f>IF(F!Q90&lt;&gt;F!R90,IF(F!Q90&lt;&gt;0,IF(F!S90&lt;&gt;F!T90,F!V90,),),)</f>
        <v>0</v>
      </c>
      <c r="W90" s="633">
        <f>IF(Q90="","",$W$5-SUM($Q$7:$Q$45)-SUM($Q$64:Q90))</f>
        <v>0</v>
      </c>
      <c r="AO90" s="86"/>
      <c r="AP90" s="86"/>
      <c r="AQ90" s="86"/>
      <c r="AR90" s="86"/>
      <c r="AS90" s="86"/>
      <c r="AT90" s="86"/>
      <c r="AU90" s="86"/>
      <c r="AV90" s="86"/>
      <c r="AW90" s="86"/>
      <c r="AX90" s="86"/>
      <c r="AY90" s="86"/>
      <c r="CM90" s="86"/>
      <c r="CN90" s="86"/>
    </row>
    <row r="91" spans="2:92" s="367" customFormat="1" ht="15.75" hidden="1" customHeight="1" outlineLevel="1">
      <c r="H91" s="543"/>
      <c r="I91" s="853"/>
      <c r="J91" s="6"/>
      <c r="K91" s="541"/>
      <c r="L91" s="860"/>
      <c r="M91" s="20" t="str">
        <f>IF(J91="","",$M$5-SUM($J$7:J91))</f>
        <v/>
      </c>
      <c r="O91" s="7"/>
      <c r="P91" s="873">
        <f>IF(F!Q91&lt;&gt;F!R91,IF(F!Q91&lt;&gt;0,IF(F!S91&lt;&gt;F!T91,F!P91,),),)</f>
        <v>0</v>
      </c>
      <c r="Q91" s="795">
        <f>IF(F!Q91&lt;&gt;F!R91,IF(F!Q91&lt;&gt;0,IF(F!S91&lt;&gt;F!T91,F!Q91,),),)</f>
        <v>0</v>
      </c>
      <c r="R91" s="628">
        <f>IF(F!Q91&lt;&gt;F!R91,IF(F!Q91&lt;&gt;0,IF(F!S91&lt;&gt;F!T91,0,Q91),Q91),Q91)</f>
        <v>0</v>
      </c>
      <c r="S91" s="796">
        <f>IF(F!Q91&lt;&gt;F!R91,IF(F!Q91&lt;&gt;0,IF(F!S91&lt;&gt;F!T91,F!S91+1,),),)</f>
        <v>0</v>
      </c>
      <c r="T91" s="796">
        <f>IF(F!Q91&lt;&gt;F!R91,IF(F!Q91&lt;&gt;0,IF(F!S91&lt;&gt;F!T91,F!T91,),),)</f>
        <v>0</v>
      </c>
      <c r="U91" s="797">
        <f>IF(F!Q91&lt;&gt;F!R91,IF(F!Q91&lt;&gt;0,IF(F!S91&lt;&gt;F!T91,F!U91,),),)</f>
        <v>0</v>
      </c>
      <c r="V91" s="875">
        <f>IF(F!Q91&lt;&gt;F!R91,IF(F!Q91&lt;&gt;0,IF(F!S91&lt;&gt;F!T91,F!V91,),),)</f>
        <v>0</v>
      </c>
      <c r="W91" s="633">
        <f>IF(Q91="","",$W$5-SUM($Q$7:$Q$45)-SUM($Q$64:Q91))</f>
        <v>0</v>
      </c>
      <c r="AO91" s="86"/>
      <c r="AP91" s="86"/>
      <c r="AQ91" s="86"/>
      <c r="AR91" s="86"/>
      <c r="AS91" s="86"/>
      <c r="AT91" s="86"/>
      <c r="AU91" s="86"/>
      <c r="AV91" s="86"/>
      <c r="AW91" s="86"/>
      <c r="AX91" s="86"/>
      <c r="AY91" s="86"/>
      <c r="CM91" s="86"/>
      <c r="CN91" s="86"/>
    </row>
    <row r="92" spans="2:92" s="367" customFormat="1" ht="15.75" hidden="1" customHeight="1" outlineLevel="1">
      <c r="H92" s="543"/>
      <c r="I92" s="853"/>
      <c r="J92" s="6"/>
      <c r="K92" s="541"/>
      <c r="L92" s="860"/>
      <c r="M92" s="20" t="str">
        <f>IF(J92="","",$M$5-SUM($J$7:J92))</f>
        <v/>
      </c>
      <c r="O92" s="7"/>
      <c r="P92" s="871">
        <f>IF(F!Q92&lt;&gt;F!R92,IF(F!Q92&lt;&gt;0,IF(F!S92&lt;&gt;F!T92,F!P92,),),)</f>
        <v>0</v>
      </c>
      <c r="Q92" s="799">
        <f>IF(F!Q92&lt;&gt;F!R92,IF(F!Q92&lt;&gt;0,IF(F!S92&lt;&gt;F!T92,F!Q92,),),)</f>
        <v>0</v>
      </c>
      <c r="R92" s="628">
        <f>IF(F!Q92&lt;&gt;F!R92,IF(F!Q92&lt;&gt;0,IF(F!S92&lt;&gt;F!T92,0,Q92),Q92),Q92)</f>
        <v>0</v>
      </c>
      <c r="S92" s="796">
        <f>IF(F!Q92&lt;&gt;F!R92,IF(F!Q92&lt;&gt;0,IF(F!S92&lt;&gt;F!T92,F!S92+1,),),)</f>
        <v>0</v>
      </c>
      <c r="T92" s="796">
        <f>IF(F!Q92&lt;&gt;F!R92,IF(F!Q92&lt;&gt;0,IF(F!S92&lt;&gt;F!T92,F!T92,),),)</f>
        <v>0</v>
      </c>
      <c r="U92" s="797">
        <f>IF(F!Q92&lt;&gt;F!R92,IF(F!Q92&lt;&gt;0,IF(F!S92&lt;&gt;F!T92,F!U92,),),)</f>
        <v>0</v>
      </c>
      <c r="V92" s="875">
        <f>IF(F!Q92&lt;&gt;F!R92,IF(F!Q92&lt;&gt;0,IF(F!S92&lt;&gt;F!T92,F!V92,),),)</f>
        <v>0</v>
      </c>
      <c r="W92" s="634">
        <f>IF(Q92="","",$W$5-SUM($Q$7:$Q$45)-SUM($Q$64:Q92))</f>
        <v>0</v>
      </c>
      <c r="AO92" s="86"/>
      <c r="AP92" s="86"/>
      <c r="AQ92" s="86"/>
      <c r="AR92" s="86"/>
      <c r="AS92" s="86"/>
      <c r="AT92" s="86"/>
      <c r="AU92" s="86"/>
      <c r="AV92" s="86"/>
      <c r="AW92" s="86"/>
      <c r="AX92" s="86"/>
      <c r="AY92" s="86"/>
      <c r="CM92" s="86"/>
      <c r="CN92" s="86"/>
    </row>
    <row r="93" spans="2:92" s="367" customFormat="1" ht="15.75" hidden="1" customHeight="1" outlineLevel="1">
      <c r="H93" s="543"/>
      <c r="I93" s="853"/>
      <c r="J93" s="6"/>
      <c r="K93" s="541"/>
      <c r="L93" s="860"/>
      <c r="M93" s="20" t="str">
        <f>IF(J93="","",$M$5-SUM($J$7:J93))</f>
        <v/>
      </c>
      <c r="O93" s="7"/>
      <c r="P93" s="873">
        <f>IF(F!Q93&lt;&gt;F!R93,IF(F!Q93&lt;&gt;0,IF(F!S93&lt;&gt;F!T93,F!P93,),),)</f>
        <v>0</v>
      </c>
      <c r="Q93" s="795">
        <f>IF(F!Q93&lt;&gt;F!R93,IF(F!Q93&lt;&gt;0,IF(F!S93&lt;&gt;F!T93,F!Q93,),),)</f>
        <v>0</v>
      </c>
      <c r="R93" s="628">
        <f>IF(F!Q93&lt;&gt;F!R93,IF(F!Q93&lt;&gt;0,IF(F!S93&lt;&gt;F!T93,0,Q93),Q93),Q93)</f>
        <v>0</v>
      </c>
      <c r="S93" s="796">
        <f>IF(F!Q93&lt;&gt;F!R93,IF(F!Q93&lt;&gt;0,IF(F!S93&lt;&gt;F!T93,F!S93+1,),),)</f>
        <v>0</v>
      </c>
      <c r="T93" s="796">
        <f>IF(F!Q93&lt;&gt;F!R93,IF(F!Q93&lt;&gt;0,IF(F!S93&lt;&gt;F!T93,F!T93,),),)</f>
        <v>0</v>
      </c>
      <c r="U93" s="797">
        <f>IF(F!Q93&lt;&gt;F!R93,IF(F!Q93&lt;&gt;0,IF(F!S93&lt;&gt;F!T93,F!U93,),),)</f>
        <v>0</v>
      </c>
      <c r="V93" s="875">
        <f>IF(F!Q93&lt;&gt;F!R93,IF(F!Q93&lt;&gt;0,IF(F!S93&lt;&gt;F!T93,F!V93,),),)</f>
        <v>0</v>
      </c>
      <c r="W93" s="633">
        <f>IF(Q93="","",$W$5-SUM($Q$7:$Q$45)-SUM($Q$64:Q93))</f>
        <v>0</v>
      </c>
      <c r="AO93" s="86"/>
      <c r="AP93" s="86"/>
      <c r="AQ93" s="86"/>
      <c r="AR93" s="86"/>
      <c r="AS93" s="86"/>
      <c r="AT93" s="86"/>
      <c r="AU93" s="86"/>
      <c r="AV93" s="86"/>
      <c r="AW93" s="86"/>
      <c r="AX93" s="86"/>
      <c r="AY93" s="86"/>
      <c r="CM93" s="86"/>
      <c r="CN93" s="86"/>
    </row>
    <row r="94" spans="2:92" s="367" customFormat="1" ht="15.75" hidden="1" customHeight="1" outlineLevel="1">
      <c r="H94" s="543"/>
      <c r="I94" s="853"/>
      <c r="J94" s="6"/>
      <c r="K94" s="541"/>
      <c r="L94" s="860"/>
      <c r="M94" s="20" t="str">
        <f>IF(J94="","",$M$5-SUM($J$7:J94))</f>
        <v/>
      </c>
      <c r="O94" s="7"/>
      <c r="P94" s="871">
        <f>IF(F!Q94&lt;&gt;F!R94,IF(F!Q94&lt;&gt;0,IF(F!S94&lt;&gt;F!T94,F!P94,),),)</f>
        <v>0</v>
      </c>
      <c r="Q94" s="795">
        <f>IF(F!Q94&lt;&gt;F!R94,IF(F!Q94&lt;&gt;0,IF(F!S94&lt;&gt;F!T94,F!Q94,),),)</f>
        <v>0</v>
      </c>
      <c r="R94" s="628">
        <f>IF(F!Q94&lt;&gt;F!R94,IF(F!Q94&lt;&gt;0,IF(F!S94&lt;&gt;F!T94,0,Q94),Q94),Q94)</f>
        <v>0</v>
      </c>
      <c r="S94" s="796">
        <f>IF(F!Q94&lt;&gt;F!R94,IF(F!Q94&lt;&gt;0,IF(F!S94&lt;&gt;F!T94,F!S94+1,),),)</f>
        <v>0</v>
      </c>
      <c r="T94" s="796">
        <f>IF(F!Q94&lt;&gt;F!R94,IF(F!Q94&lt;&gt;0,IF(F!S94&lt;&gt;F!T94,F!T94,),),)</f>
        <v>0</v>
      </c>
      <c r="U94" s="797">
        <f>IF(F!Q94&lt;&gt;F!R94,IF(F!Q94&lt;&gt;0,IF(F!S94&lt;&gt;F!T94,F!U94,),),)</f>
        <v>0</v>
      </c>
      <c r="V94" s="875">
        <f>IF(F!Q94&lt;&gt;F!R94,IF(F!Q94&lt;&gt;0,IF(F!S94&lt;&gt;F!T94,F!V94,),),)</f>
        <v>0</v>
      </c>
      <c r="W94" s="633">
        <f>IF(Q94="","",$W$5-SUM($Q$7:$Q$45)-SUM($Q$64:Q94))</f>
        <v>0</v>
      </c>
      <c r="AO94" s="86"/>
      <c r="AP94" s="86"/>
      <c r="AQ94" s="86"/>
      <c r="AR94" s="86"/>
      <c r="AS94" s="86"/>
      <c r="AT94" s="86"/>
      <c r="AU94" s="86"/>
      <c r="AV94" s="86"/>
      <c r="AW94" s="86"/>
      <c r="AX94" s="86"/>
      <c r="AY94" s="86"/>
      <c r="CM94" s="86"/>
      <c r="CN94" s="86"/>
    </row>
    <row r="95" spans="2:92" s="367" customFormat="1" ht="15.75" hidden="1" customHeight="1" outlineLevel="1">
      <c r="H95" s="543"/>
      <c r="I95" s="853"/>
      <c r="J95" s="6"/>
      <c r="K95" s="541"/>
      <c r="L95" s="860"/>
      <c r="M95" s="20" t="str">
        <f>IF(J95="","",$M$5-SUM($J$7:J95))</f>
        <v/>
      </c>
      <c r="O95" s="7"/>
      <c r="P95" s="873">
        <f>IF(F!Q95&lt;&gt;F!R95,IF(F!Q95&lt;&gt;0,IF(F!S95&lt;&gt;F!T95,F!P95,),),)</f>
        <v>0</v>
      </c>
      <c r="Q95" s="795">
        <f>IF(F!Q95&lt;&gt;F!R95,IF(F!Q95&lt;&gt;0,IF(F!S95&lt;&gt;F!T95,F!Q95,),),)</f>
        <v>0</v>
      </c>
      <c r="R95" s="628">
        <f>IF(F!Q95&lt;&gt;F!R95,IF(F!Q95&lt;&gt;0,IF(F!S95&lt;&gt;F!T95,0,Q95),Q95),Q95)</f>
        <v>0</v>
      </c>
      <c r="S95" s="796">
        <f>IF(F!Q95&lt;&gt;F!R95,IF(F!Q95&lt;&gt;0,IF(F!S95&lt;&gt;F!T95,F!S95+1,),),)</f>
        <v>0</v>
      </c>
      <c r="T95" s="796">
        <f>IF(F!Q95&lt;&gt;F!R95,IF(F!Q95&lt;&gt;0,IF(F!S95&lt;&gt;F!T95,F!T95,),),)</f>
        <v>0</v>
      </c>
      <c r="U95" s="797">
        <f>IF(F!Q95&lt;&gt;F!R95,IF(F!Q95&lt;&gt;0,IF(F!S95&lt;&gt;F!T95,F!U95,),),)</f>
        <v>0</v>
      </c>
      <c r="V95" s="875">
        <f>IF(F!Q95&lt;&gt;F!R95,IF(F!Q95&lt;&gt;0,IF(F!S95&lt;&gt;F!T95,F!V95,),),)</f>
        <v>0</v>
      </c>
      <c r="W95" s="633">
        <f>IF(Q95="","",$W$5-SUM($Q$7:$Q$45)-SUM($Q$64:Q95))</f>
        <v>0</v>
      </c>
      <c r="AO95" s="86"/>
      <c r="AP95" s="86"/>
      <c r="AQ95" s="86"/>
      <c r="AR95" s="86"/>
      <c r="AS95" s="86"/>
      <c r="AT95" s="86"/>
      <c r="AU95" s="86"/>
      <c r="AV95" s="86"/>
      <c r="AW95" s="86"/>
      <c r="AX95" s="86"/>
      <c r="AY95" s="86"/>
      <c r="CM95" s="86"/>
      <c r="CN95" s="86"/>
    </row>
    <row r="96" spans="2:92" s="367" customFormat="1" ht="15.75" hidden="1" customHeight="1" outlineLevel="1">
      <c r="H96" s="543"/>
      <c r="I96" s="853"/>
      <c r="J96" s="6"/>
      <c r="K96" s="541"/>
      <c r="L96" s="860"/>
      <c r="M96" s="20" t="str">
        <f>IF(J96="","",$M$5-SUM($J$7:J96))</f>
        <v/>
      </c>
      <c r="O96" s="7"/>
      <c r="P96" s="872">
        <f>IF(F!Q96&lt;&gt;F!R96,IF(F!Q96&lt;&gt;0,IF(F!S96&lt;&gt;F!T96,F!P96,),),)</f>
        <v>0</v>
      </c>
      <c r="Q96" s="795">
        <f>IF(F!Q96&lt;&gt;F!R96,IF(F!Q96&lt;&gt;0,IF(F!S96&lt;&gt;F!T96,F!Q96,),),)</f>
        <v>0</v>
      </c>
      <c r="R96" s="628">
        <f>IF(F!Q96&lt;&gt;F!R96,IF(F!Q96&lt;&gt;0,IF(F!S96&lt;&gt;F!T96,0,Q96),Q96),Q96)</f>
        <v>0</v>
      </c>
      <c r="S96" s="796">
        <f>IF(F!Q96&lt;&gt;F!R96,IF(F!Q96&lt;&gt;0,IF(F!S96&lt;&gt;F!T96,F!S96+1,),),)</f>
        <v>0</v>
      </c>
      <c r="T96" s="796">
        <f>IF(F!Q96&lt;&gt;F!R96,IF(F!Q96&lt;&gt;0,IF(F!S96&lt;&gt;F!T96,F!T96,),),)</f>
        <v>0</v>
      </c>
      <c r="U96" s="797">
        <f>IF(F!Q96&lt;&gt;F!R96,IF(F!Q96&lt;&gt;0,IF(F!S96&lt;&gt;F!T96,F!U96,),),)</f>
        <v>0</v>
      </c>
      <c r="V96" s="875">
        <f>IF(F!Q96&lt;&gt;F!R96,IF(F!Q96&lt;&gt;0,IF(F!S96&lt;&gt;F!T96,F!V96,),),)</f>
        <v>0</v>
      </c>
      <c r="W96" s="633">
        <f>IF(Q96="","",$W$5-SUM($Q$7:$Q$45)-SUM($Q$64:Q96))</f>
        <v>0</v>
      </c>
      <c r="AO96" s="86"/>
      <c r="AP96" s="86"/>
      <c r="AQ96" s="86"/>
      <c r="AR96" s="86"/>
      <c r="AS96" s="86"/>
      <c r="AT96" s="86"/>
      <c r="AU96" s="86"/>
      <c r="AV96" s="86"/>
      <c r="AW96" s="86"/>
      <c r="AX96" s="86"/>
      <c r="AY96" s="86"/>
      <c r="CM96" s="86"/>
      <c r="CN96" s="86"/>
    </row>
    <row r="97" spans="8:92" s="367" customFormat="1" ht="15.75" hidden="1" customHeight="1" outlineLevel="1">
      <c r="H97" s="543"/>
      <c r="I97" s="853"/>
      <c r="J97" s="6"/>
      <c r="K97" s="541"/>
      <c r="L97" s="860"/>
      <c r="M97" s="20" t="str">
        <f>IF(J97="","",$M$5-SUM($J$7:J97))</f>
        <v/>
      </c>
      <c r="O97" s="7"/>
      <c r="P97" s="871">
        <f>IF(F!Q97&lt;&gt;F!R97,IF(F!Q97&lt;&gt;0,IF(F!S97&lt;&gt;F!T97,F!P97,),),)</f>
        <v>0</v>
      </c>
      <c r="Q97" s="795">
        <f>IF(F!Q97&lt;&gt;F!R97,IF(F!Q97&lt;&gt;0,IF(F!S97&lt;&gt;F!T97,F!Q97,),),)</f>
        <v>0</v>
      </c>
      <c r="R97" s="628">
        <f>IF(F!Q97&lt;&gt;F!R97,IF(F!Q97&lt;&gt;0,IF(F!S97&lt;&gt;F!T97,0,Q97),Q97),Q97)</f>
        <v>0</v>
      </c>
      <c r="S97" s="796">
        <f>IF(F!Q97&lt;&gt;F!R97,IF(F!Q97&lt;&gt;0,IF(F!S97&lt;&gt;F!T97,F!S97+1,),),)</f>
        <v>0</v>
      </c>
      <c r="T97" s="796">
        <f>IF(F!Q97&lt;&gt;F!R97,IF(F!Q97&lt;&gt;0,IF(F!S97&lt;&gt;F!T97,F!T97,),),)</f>
        <v>0</v>
      </c>
      <c r="U97" s="797">
        <f>IF(F!Q97&lt;&gt;F!R97,IF(F!Q97&lt;&gt;0,IF(F!S97&lt;&gt;F!T97,F!U97,),),)</f>
        <v>0</v>
      </c>
      <c r="V97" s="875">
        <f>IF(F!Q97&lt;&gt;F!R97,IF(F!Q97&lt;&gt;0,IF(F!S97&lt;&gt;F!T97,F!V97,),),)</f>
        <v>0</v>
      </c>
      <c r="W97" s="633">
        <f>IF(Q97="","",$W$5-SUM($Q$7:$Q$45)-SUM($Q$64:Q97))</f>
        <v>0</v>
      </c>
      <c r="AO97" s="86"/>
      <c r="AP97" s="86"/>
      <c r="AQ97" s="86"/>
      <c r="AR97" s="86"/>
      <c r="AS97" s="86"/>
      <c r="AT97" s="86"/>
      <c r="AU97" s="86"/>
      <c r="AV97" s="86"/>
      <c r="AW97" s="86"/>
      <c r="AX97" s="86"/>
      <c r="AY97" s="86"/>
      <c r="CM97" s="86"/>
      <c r="CN97" s="86"/>
    </row>
    <row r="98" spans="8:92" s="367" customFormat="1" ht="15.75" hidden="1" customHeight="1" outlineLevel="1">
      <c r="H98" s="543"/>
      <c r="I98" s="853"/>
      <c r="J98" s="6"/>
      <c r="K98" s="541"/>
      <c r="L98" s="860"/>
      <c r="M98" s="20" t="str">
        <f>IF(J98="","",$M$5-SUM($J$7:J98))</f>
        <v/>
      </c>
      <c r="O98" s="7"/>
      <c r="P98" s="871">
        <f>IF(F!Q98&lt;&gt;F!R98,IF(F!Q98&lt;&gt;0,IF(F!S98&lt;&gt;F!T98,F!P98,),),)</f>
        <v>0</v>
      </c>
      <c r="Q98" s="795">
        <f>IF(F!Q98&lt;&gt;F!R98,IF(F!Q98&lt;&gt;0,IF(F!S98&lt;&gt;F!T98,F!Q98,),),)</f>
        <v>0</v>
      </c>
      <c r="R98" s="628">
        <f>IF(F!Q98&lt;&gt;F!R98,IF(F!Q98&lt;&gt;0,IF(F!S98&lt;&gt;F!T98,0,Q98),Q98),Q98)</f>
        <v>0</v>
      </c>
      <c r="S98" s="796">
        <f>IF(F!Q98&lt;&gt;F!R98,IF(F!Q98&lt;&gt;0,IF(F!S98&lt;&gt;F!T98,F!S98+1,),),)</f>
        <v>0</v>
      </c>
      <c r="T98" s="796">
        <f>IF(F!Q98&lt;&gt;F!R98,IF(F!Q98&lt;&gt;0,IF(F!S98&lt;&gt;F!T98,F!T98,),),)</f>
        <v>0</v>
      </c>
      <c r="U98" s="797">
        <f>IF(F!Q98&lt;&gt;F!R98,IF(F!Q98&lt;&gt;0,IF(F!S98&lt;&gt;F!T98,F!U98,),),)</f>
        <v>0</v>
      </c>
      <c r="V98" s="875">
        <f>IF(F!Q98&lt;&gt;F!R98,IF(F!Q98&lt;&gt;0,IF(F!S98&lt;&gt;F!T98,F!V98,),),)</f>
        <v>0</v>
      </c>
      <c r="W98" s="633">
        <f>IF(Q98="","",$W$5-SUM($Q$7:$Q$45)-SUM($Q$64:Q98))</f>
        <v>0</v>
      </c>
      <c r="AO98" s="86"/>
      <c r="AP98" s="86"/>
      <c r="AQ98" s="86"/>
      <c r="AR98" s="86"/>
      <c r="AS98" s="86"/>
      <c r="AT98" s="86"/>
      <c r="AU98" s="86"/>
      <c r="AV98" s="86"/>
      <c r="AW98" s="86"/>
      <c r="AX98" s="86"/>
      <c r="AY98" s="86"/>
      <c r="CM98" s="86"/>
      <c r="CN98" s="86"/>
    </row>
    <row r="99" spans="8:92" s="367" customFormat="1" ht="15.75" hidden="1" customHeight="1" outlineLevel="1">
      <c r="H99" s="543"/>
      <c r="I99" s="853"/>
      <c r="J99" s="6"/>
      <c r="K99" s="541"/>
      <c r="L99" s="860"/>
      <c r="M99" s="20" t="str">
        <f>IF(J99="","",$M$5-SUM($J$7:J99))</f>
        <v/>
      </c>
      <c r="O99" s="7"/>
      <c r="P99" s="873">
        <f>IF(F!Q99&lt;&gt;F!R99,IF(F!Q99&lt;&gt;0,IF(F!S99&lt;&gt;F!T99,F!P99,),),)</f>
        <v>0</v>
      </c>
      <c r="Q99" s="795">
        <f>IF(F!Q99&lt;&gt;F!R99,IF(F!Q99&lt;&gt;0,IF(F!S99&lt;&gt;F!T99,F!Q99,),),)</f>
        <v>0</v>
      </c>
      <c r="R99" s="628">
        <f>IF(F!Q99&lt;&gt;F!R99,IF(F!Q99&lt;&gt;0,IF(F!S99&lt;&gt;F!T99,0,Q99),Q99),Q99)</f>
        <v>0</v>
      </c>
      <c r="S99" s="796">
        <f>IF(F!Q99&lt;&gt;F!R99,IF(F!Q99&lt;&gt;0,IF(F!S99&lt;&gt;F!T99,F!S99+1,),),)</f>
        <v>0</v>
      </c>
      <c r="T99" s="796">
        <f>IF(F!Q99&lt;&gt;F!R99,IF(F!Q99&lt;&gt;0,IF(F!S99&lt;&gt;F!T99,F!T99,),),)</f>
        <v>0</v>
      </c>
      <c r="U99" s="797">
        <f>IF(F!Q99&lt;&gt;F!R99,IF(F!Q99&lt;&gt;0,IF(F!S99&lt;&gt;F!T99,F!U99,),),)</f>
        <v>0</v>
      </c>
      <c r="V99" s="875">
        <f>IF(F!Q99&lt;&gt;F!R99,IF(F!Q99&lt;&gt;0,IF(F!S99&lt;&gt;F!T99,F!V99,),),)</f>
        <v>0</v>
      </c>
      <c r="W99" s="633">
        <f>IF(Q99="","",$W$5-SUM($Q$7:$Q$45)-SUM($Q$64:Q99))</f>
        <v>0</v>
      </c>
      <c r="AO99" s="86"/>
      <c r="AP99" s="86"/>
      <c r="AQ99" s="86"/>
      <c r="AR99" s="86"/>
      <c r="AS99" s="86"/>
      <c r="AT99" s="86"/>
      <c r="AU99" s="86"/>
      <c r="AV99" s="86"/>
      <c r="AW99" s="86"/>
      <c r="AX99" s="86"/>
      <c r="AY99" s="86"/>
      <c r="CM99" s="86"/>
      <c r="CN99" s="86"/>
    </row>
    <row r="100" spans="8:92" s="367" customFormat="1" ht="15.75" hidden="1" customHeight="1" outlineLevel="1">
      <c r="H100" s="543"/>
      <c r="I100" s="854"/>
      <c r="J100" s="6"/>
      <c r="K100" s="541"/>
      <c r="L100" s="860"/>
      <c r="M100" s="20" t="str">
        <f>IF(J100="","",$M$5-SUM($J$7:J100))</f>
        <v/>
      </c>
      <c r="O100" s="7"/>
      <c r="P100" s="871">
        <f>IF(F!Q100&lt;&gt;F!R100,IF(F!Q100&lt;&gt;0,IF(F!S100&lt;&gt;F!T100,F!P100,),),)</f>
        <v>0</v>
      </c>
      <c r="Q100" s="795">
        <f>IF(F!Q100&lt;&gt;F!R100,IF(F!Q100&lt;&gt;0,IF(F!S100&lt;&gt;F!T100,F!Q100,),),)</f>
        <v>0</v>
      </c>
      <c r="R100" s="628">
        <f>IF(F!Q100&lt;&gt;F!R100,IF(F!Q100&lt;&gt;0,IF(F!S100&lt;&gt;F!T100,0,Q100),Q100),Q100)</f>
        <v>0</v>
      </c>
      <c r="S100" s="796">
        <f>IF(F!Q100&lt;&gt;F!R100,IF(F!Q100&lt;&gt;0,IF(F!S100&lt;&gt;F!T100,F!S100+1,),),)</f>
        <v>0</v>
      </c>
      <c r="T100" s="796">
        <f>IF(F!Q100&lt;&gt;F!R100,IF(F!Q100&lt;&gt;0,IF(F!S100&lt;&gt;F!T100,F!T100,),),)</f>
        <v>0</v>
      </c>
      <c r="U100" s="797">
        <f>IF(F!Q100&lt;&gt;F!R100,IF(F!Q100&lt;&gt;0,IF(F!S100&lt;&gt;F!T100,F!U100,),),)</f>
        <v>0</v>
      </c>
      <c r="V100" s="875">
        <f>IF(F!Q100&lt;&gt;F!R100,IF(F!Q100&lt;&gt;0,IF(F!S100&lt;&gt;F!T100,F!V100,),),)</f>
        <v>0</v>
      </c>
      <c r="W100" s="633">
        <f>IF(Q100="","",$W$5-SUM($Q$7:$Q$45)-SUM($Q$64:Q100))</f>
        <v>0</v>
      </c>
      <c r="AO100" s="86"/>
      <c r="AP100" s="86"/>
      <c r="AQ100" s="86"/>
      <c r="AR100" s="86"/>
      <c r="AS100" s="86"/>
      <c r="AT100" s="86"/>
      <c r="AU100" s="86"/>
      <c r="AV100" s="86"/>
      <c r="AW100" s="86"/>
      <c r="AX100" s="86"/>
      <c r="AY100" s="86"/>
      <c r="CM100" s="86"/>
      <c r="CN100" s="86"/>
    </row>
    <row r="101" spans="8:92" s="367" customFormat="1" ht="15.75" hidden="1" customHeight="1" outlineLevel="1">
      <c r="H101" s="543"/>
      <c r="I101" s="853"/>
      <c r="J101" s="6"/>
      <c r="K101" s="541"/>
      <c r="L101" s="860"/>
      <c r="M101" s="20" t="str">
        <f>IF(J101="","",$M$5-SUM($J$7:J101))</f>
        <v/>
      </c>
      <c r="O101" s="7"/>
      <c r="P101" s="871">
        <f>IF(F!Q101&lt;&gt;F!R101,IF(F!Q101&lt;&gt;0,IF(F!S101&lt;&gt;F!T101,F!P101,),),)</f>
        <v>0</v>
      </c>
      <c r="Q101" s="795">
        <f>IF(F!Q101&lt;&gt;F!R101,IF(F!Q101&lt;&gt;0,IF(F!S101&lt;&gt;F!T101,F!Q101,),),)</f>
        <v>0</v>
      </c>
      <c r="R101" s="628">
        <f>IF(F!Q101&lt;&gt;F!R101,IF(F!Q101&lt;&gt;0,IF(F!S101&lt;&gt;F!T101,0,Q101),Q101),Q101)</f>
        <v>0</v>
      </c>
      <c r="S101" s="796">
        <f>IF(F!Q101&lt;&gt;F!R101,IF(F!Q101&lt;&gt;0,IF(F!S101&lt;&gt;F!T101,F!S101+1,),),)</f>
        <v>0</v>
      </c>
      <c r="T101" s="796">
        <f>IF(F!Q101&lt;&gt;F!R101,IF(F!Q101&lt;&gt;0,IF(F!S101&lt;&gt;F!T101,F!T101,),),)</f>
        <v>0</v>
      </c>
      <c r="U101" s="797">
        <f>IF(F!Q101&lt;&gt;F!R101,IF(F!Q101&lt;&gt;0,IF(F!S101&lt;&gt;F!T101,F!U101,),),)</f>
        <v>0</v>
      </c>
      <c r="V101" s="875">
        <f>IF(F!Q101&lt;&gt;F!R101,IF(F!Q101&lt;&gt;0,IF(F!S101&lt;&gt;F!T101,F!V101,),),)</f>
        <v>0</v>
      </c>
      <c r="W101" s="633">
        <f>IF(Q101="","",$W$5-SUM($Q$7:$Q$45)-SUM($Q$64:Q101))</f>
        <v>0</v>
      </c>
      <c r="AO101" s="86"/>
      <c r="AP101" s="86"/>
      <c r="AQ101" s="86"/>
      <c r="AR101" s="86"/>
      <c r="AS101" s="86"/>
      <c r="AT101" s="86"/>
      <c r="AU101" s="86"/>
      <c r="AV101" s="86"/>
      <c r="AW101" s="86"/>
      <c r="AX101" s="86"/>
      <c r="AY101" s="86"/>
      <c r="CM101" s="86"/>
      <c r="CN101" s="86"/>
    </row>
    <row r="102" spans="8:92" s="367" customFormat="1" ht="15.75" hidden="1" customHeight="1" outlineLevel="1">
      <c r="H102" s="543"/>
      <c r="I102" s="853"/>
      <c r="J102" s="6"/>
      <c r="K102" s="541"/>
      <c r="L102" s="860"/>
      <c r="M102" s="20" t="str">
        <f>IF(J102="","",$M$5-SUM($J$7:J102))</f>
        <v/>
      </c>
      <c r="O102" s="7"/>
      <c r="P102" s="873">
        <f>IF(F!Q102&lt;&gt;F!R102,IF(F!Q102&lt;&gt;0,IF(F!S102&lt;&gt;F!T102,F!P102,),),)</f>
        <v>0</v>
      </c>
      <c r="Q102" s="795">
        <f>IF(F!Q102&lt;&gt;F!R102,IF(F!Q102&lt;&gt;0,IF(F!S102&lt;&gt;F!T102,F!Q102,),),)</f>
        <v>0</v>
      </c>
      <c r="R102" s="628">
        <f>IF(F!Q102&lt;&gt;F!R102,IF(F!Q102&lt;&gt;0,IF(F!S102&lt;&gt;F!T102,0,Q102),Q102),Q102)</f>
        <v>0</v>
      </c>
      <c r="S102" s="796">
        <f>IF(F!Q102&lt;&gt;F!R102,IF(F!Q102&lt;&gt;0,IF(F!S102&lt;&gt;F!T102,F!S102+1,),),)</f>
        <v>0</v>
      </c>
      <c r="T102" s="796">
        <f>IF(F!Q102&lt;&gt;F!R102,IF(F!Q102&lt;&gt;0,IF(F!S102&lt;&gt;F!T102,F!T102,),),)</f>
        <v>0</v>
      </c>
      <c r="U102" s="797">
        <f>IF(F!Q102&lt;&gt;F!R102,IF(F!Q102&lt;&gt;0,IF(F!S102&lt;&gt;F!T102,F!U102,),),)</f>
        <v>0</v>
      </c>
      <c r="V102" s="875">
        <f>IF(F!Q102&lt;&gt;F!R102,IF(F!Q102&lt;&gt;0,IF(F!S102&lt;&gt;F!T102,F!V102,),),)</f>
        <v>0</v>
      </c>
      <c r="W102" s="633">
        <f>IF(Q102="","",$W$5-SUM($Q$7:$Q$45)-SUM($Q$64:Q102))</f>
        <v>0</v>
      </c>
      <c r="AO102" s="86"/>
      <c r="AP102" s="86"/>
      <c r="AQ102" s="86"/>
      <c r="AR102" s="86"/>
      <c r="AS102" s="86"/>
      <c r="AT102" s="86"/>
      <c r="AU102" s="86"/>
      <c r="AV102" s="86"/>
      <c r="AW102" s="86"/>
      <c r="AX102" s="86"/>
      <c r="AY102" s="86"/>
      <c r="CM102" s="86"/>
      <c r="CN102" s="86"/>
    </row>
    <row r="103" spans="8:92" s="367" customFormat="1" ht="15.75" hidden="1" customHeight="1" outlineLevel="1">
      <c r="H103" s="543"/>
      <c r="I103" s="853"/>
      <c r="J103" s="6"/>
      <c r="K103" s="541"/>
      <c r="L103" s="860"/>
      <c r="M103" s="20" t="str">
        <f>IF(J103="","",$M$5-SUM($J$7:J103))</f>
        <v/>
      </c>
      <c r="O103" s="7"/>
      <c r="P103" s="871">
        <f>IF(F!Q103&lt;&gt;F!R103,IF(F!Q103&lt;&gt;0,IF(F!S103&lt;&gt;F!T103,F!P103,),),)</f>
        <v>0</v>
      </c>
      <c r="Q103" s="795">
        <f>IF(F!Q103&lt;&gt;F!R103,IF(F!Q103&lt;&gt;0,IF(F!S103&lt;&gt;F!T103,F!Q103,),),)</f>
        <v>0</v>
      </c>
      <c r="R103" s="628">
        <f>IF(F!Q103&lt;&gt;F!R103,IF(F!Q103&lt;&gt;0,IF(F!S103&lt;&gt;F!T103,0,Q103),Q103),Q103)</f>
        <v>0</v>
      </c>
      <c r="S103" s="796">
        <f>IF(F!Q103&lt;&gt;F!R103,IF(F!Q103&lt;&gt;0,IF(F!S103&lt;&gt;F!T103,F!S103+1,),),)</f>
        <v>0</v>
      </c>
      <c r="T103" s="796">
        <f>IF(F!Q103&lt;&gt;F!R103,IF(F!Q103&lt;&gt;0,IF(F!S103&lt;&gt;F!T103,F!T103,),),)</f>
        <v>0</v>
      </c>
      <c r="U103" s="797">
        <f>IF(F!Q103&lt;&gt;F!R103,IF(F!Q103&lt;&gt;0,IF(F!S103&lt;&gt;F!T103,F!U103,),),)</f>
        <v>0</v>
      </c>
      <c r="V103" s="875">
        <f>IF(F!Q103&lt;&gt;F!R103,IF(F!Q103&lt;&gt;0,IF(F!S103&lt;&gt;F!T103,F!V103,),),)</f>
        <v>0</v>
      </c>
      <c r="W103" s="633">
        <f>IF(Q103="","",$W$5-SUM($Q$7:$Q$45)-SUM($Q$64:Q103))</f>
        <v>0</v>
      </c>
      <c r="AO103" s="86"/>
      <c r="AP103" s="86"/>
      <c r="AQ103" s="86"/>
      <c r="AR103" s="86"/>
      <c r="AS103" s="86"/>
      <c r="AT103" s="86"/>
      <c r="AU103" s="86"/>
      <c r="AV103" s="86"/>
      <c r="AW103" s="86"/>
      <c r="AX103" s="86"/>
      <c r="AY103" s="86"/>
      <c r="CM103" s="86"/>
      <c r="CN103" s="86"/>
    </row>
    <row r="104" spans="8:92" s="367" customFormat="1" ht="15.75" hidden="1" customHeight="1" outlineLevel="1">
      <c r="H104" s="543"/>
      <c r="I104" s="853"/>
      <c r="J104" s="6"/>
      <c r="K104" s="541"/>
      <c r="L104" s="860"/>
      <c r="M104" s="20" t="str">
        <f>IF(J104="","",$M$5-SUM($J$7:J104))</f>
        <v/>
      </c>
      <c r="O104" s="7"/>
      <c r="P104" s="873">
        <f>IF(F!Q104&lt;&gt;F!R104,IF(F!Q104&lt;&gt;0,IF(F!S104&lt;&gt;F!T104,F!P104,),),)</f>
        <v>0</v>
      </c>
      <c r="Q104" s="795">
        <f>IF(F!Q104&lt;&gt;F!R104,IF(F!Q104&lt;&gt;0,IF(F!S104&lt;&gt;F!T104,F!Q104,),),)</f>
        <v>0</v>
      </c>
      <c r="R104" s="628">
        <f>IF(F!Q104&lt;&gt;F!R104,IF(F!Q104&lt;&gt;0,IF(F!S104&lt;&gt;F!T104,0,Q104),Q104),Q104)</f>
        <v>0</v>
      </c>
      <c r="S104" s="796">
        <f>IF(F!Q104&lt;&gt;F!R104,IF(F!Q104&lt;&gt;0,IF(F!S104&lt;&gt;F!T104,F!S104+1,),),)</f>
        <v>0</v>
      </c>
      <c r="T104" s="796">
        <f>IF(F!Q104&lt;&gt;F!R104,IF(F!Q104&lt;&gt;0,IF(F!S104&lt;&gt;F!T104,F!T104,),),)</f>
        <v>0</v>
      </c>
      <c r="U104" s="797">
        <f>IF(F!Q104&lt;&gt;F!R104,IF(F!Q104&lt;&gt;0,IF(F!S104&lt;&gt;F!T104,F!U104,),),)</f>
        <v>0</v>
      </c>
      <c r="V104" s="875">
        <f>IF(F!Q104&lt;&gt;F!R104,IF(F!Q104&lt;&gt;0,IF(F!S104&lt;&gt;F!T104,F!V104,),),)</f>
        <v>0</v>
      </c>
      <c r="W104" s="633">
        <f>IF(Q104="","",$W$5-SUM($Q$7:$Q$45)-SUM($Q$64:Q104))</f>
        <v>0</v>
      </c>
      <c r="AO104" s="86"/>
      <c r="AP104" s="86"/>
      <c r="AQ104" s="86"/>
      <c r="AR104" s="86"/>
      <c r="AS104" s="86"/>
      <c r="AT104" s="86"/>
      <c r="AU104" s="86"/>
      <c r="AV104" s="86"/>
      <c r="AW104" s="86"/>
      <c r="AX104" s="86"/>
      <c r="AY104" s="86"/>
      <c r="CM104" s="86"/>
      <c r="CN104" s="86"/>
    </row>
    <row r="105" spans="8:92" s="367" customFormat="1" ht="15.75" hidden="1" customHeight="1" outlineLevel="1">
      <c r="H105" s="543"/>
      <c r="I105" s="853"/>
      <c r="J105" s="6"/>
      <c r="K105" s="541"/>
      <c r="L105" s="860"/>
      <c r="M105" s="20" t="str">
        <f>IF(J105="","",$M$5-SUM($J$7:J105))</f>
        <v/>
      </c>
      <c r="O105" s="7"/>
      <c r="P105" s="872">
        <f>IF(F!Q105&lt;&gt;F!R105,IF(F!Q105&lt;&gt;0,IF(F!S105&lt;&gt;F!T105,F!P105,),),)</f>
        <v>0</v>
      </c>
      <c r="Q105" s="795">
        <f>IF(F!Q105&lt;&gt;F!R105,IF(F!Q105&lt;&gt;0,IF(F!S105&lt;&gt;F!T105,F!Q105,),),)</f>
        <v>0</v>
      </c>
      <c r="R105" s="628">
        <f>IF(F!Q105&lt;&gt;F!R105,IF(F!Q105&lt;&gt;0,IF(F!S105&lt;&gt;F!T105,0,Q105),Q105),Q105)</f>
        <v>0</v>
      </c>
      <c r="S105" s="796">
        <f>IF(F!Q105&lt;&gt;F!R105,IF(F!Q105&lt;&gt;0,IF(F!S105&lt;&gt;F!T105,F!S105+1,),),)</f>
        <v>0</v>
      </c>
      <c r="T105" s="796">
        <f>IF(F!Q105&lt;&gt;F!R105,IF(F!Q105&lt;&gt;0,IF(F!S105&lt;&gt;F!T105,F!T105,),),)</f>
        <v>0</v>
      </c>
      <c r="U105" s="797">
        <f>IF(F!Q105&lt;&gt;F!R105,IF(F!Q105&lt;&gt;0,IF(F!S105&lt;&gt;F!T105,F!U105,),),)</f>
        <v>0</v>
      </c>
      <c r="V105" s="875">
        <f>IF(F!Q105&lt;&gt;F!R105,IF(F!Q105&lt;&gt;0,IF(F!S105&lt;&gt;F!T105,F!V105,),),)</f>
        <v>0</v>
      </c>
      <c r="W105" s="633">
        <f>IF(Q105="","",$W$5-SUM($Q$7:$Q$45)-SUM($Q$64:Q105))</f>
        <v>0</v>
      </c>
      <c r="AO105" s="86"/>
      <c r="AP105" s="86"/>
      <c r="AQ105" s="86"/>
      <c r="AR105" s="86"/>
      <c r="AS105" s="86"/>
      <c r="AT105" s="86"/>
      <c r="AU105" s="86"/>
      <c r="AV105" s="86"/>
      <c r="AW105" s="86"/>
      <c r="AX105" s="86"/>
      <c r="AY105" s="86"/>
      <c r="CM105" s="86"/>
      <c r="CN105" s="86"/>
    </row>
    <row r="106" spans="8:92" s="367" customFormat="1" ht="15.75" hidden="1" customHeight="1" outlineLevel="1">
      <c r="H106" s="543"/>
      <c r="I106" s="853"/>
      <c r="J106" s="6"/>
      <c r="K106" s="541"/>
      <c r="L106" s="860"/>
      <c r="M106" s="20" t="str">
        <f>IF(J106="","",$M$5-SUM($J$7:J106))</f>
        <v/>
      </c>
      <c r="O106" s="7"/>
      <c r="P106" s="871">
        <f>IF(F!Q106&lt;&gt;F!R106,IF(F!Q106&lt;&gt;0,IF(F!S106&lt;&gt;F!T106,F!P106,),),)</f>
        <v>0</v>
      </c>
      <c r="Q106" s="795">
        <f>IF(F!Q106&lt;&gt;F!R106,IF(F!Q106&lt;&gt;0,IF(F!S106&lt;&gt;F!T106,F!Q106,),),)</f>
        <v>0</v>
      </c>
      <c r="R106" s="628">
        <f>IF(F!Q106&lt;&gt;F!R106,IF(F!Q106&lt;&gt;0,IF(F!S106&lt;&gt;F!T106,0,Q106),Q106),Q106)</f>
        <v>0</v>
      </c>
      <c r="S106" s="796">
        <f>IF(F!Q106&lt;&gt;F!R106,IF(F!Q106&lt;&gt;0,IF(F!S106&lt;&gt;F!T106,F!S106+1,),),)</f>
        <v>0</v>
      </c>
      <c r="T106" s="796">
        <f>IF(F!Q106&lt;&gt;F!R106,IF(F!Q106&lt;&gt;0,IF(F!S106&lt;&gt;F!T106,F!T106,),),)</f>
        <v>0</v>
      </c>
      <c r="U106" s="797">
        <f>IF(F!Q106&lt;&gt;F!R106,IF(F!Q106&lt;&gt;0,IF(F!S106&lt;&gt;F!T106,F!U106,),),)</f>
        <v>0</v>
      </c>
      <c r="V106" s="875">
        <f>IF(F!Q106&lt;&gt;F!R106,IF(F!Q106&lt;&gt;0,IF(F!S106&lt;&gt;F!T106,F!V106,),),)</f>
        <v>0</v>
      </c>
      <c r="W106" s="633">
        <f>IF(Q106="","",$W$5-SUM($Q$7:$Q$45)-SUM($Q$64:Q106))</f>
        <v>0</v>
      </c>
      <c r="AO106" s="86"/>
      <c r="AP106" s="86"/>
      <c r="AQ106" s="86"/>
      <c r="AR106" s="86"/>
      <c r="AS106" s="86"/>
      <c r="AT106" s="86"/>
      <c r="AU106" s="86"/>
      <c r="AV106" s="86"/>
      <c r="AW106" s="86"/>
      <c r="AX106" s="86"/>
      <c r="AY106" s="86"/>
      <c r="CM106" s="86"/>
      <c r="CN106" s="86"/>
    </row>
    <row r="107" spans="8:92" s="367" customFormat="1" ht="15.75" hidden="1" customHeight="1" outlineLevel="1">
      <c r="H107" s="543"/>
      <c r="I107" s="853"/>
      <c r="J107" s="6"/>
      <c r="K107" s="541"/>
      <c r="L107" s="860"/>
      <c r="M107" s="20" t="str">
        <f>IF(J107="","",$M$5-SUM($J$7:J107))</f>
        <v/>
      </c>
      <c r="O107" s="7"/>
      <c r="P107" s="871">
        <f>IF(F!Q107&lt;&gt;F!R107,IF(F!Q107&lt;&gt;0,IF(F!S107&lt;&gt;F!T107,F!P107,),),)</f>
        <v>0</v>
      </c>
      <c r="Q107" s="795">
        <f>IF(F!Q107&lt;&gt;F!R107,IF(F!Q107&lt;&gt;0,IF(F!S107&lt;&gt;F!T107,F!Q107,),),)</f>
        <v>0</v>
      </c>
      <c r="R107" s="628">
        <f>IF(F!Q107&lt;&gt;F!R107,IF(F!Q107&lt;&gt;0,IF(F!S107&lt;&gt;F!T107,0,Q107),Q107),Q107)</f>
        <v>0</v>
      </c>
      <c r="S107" s="796">
        <f>IF(F!Q107&lt;&gt;F!R107,IF(F!Q107&lt;&gt;0,IF(F!S107&lt;&gt;F!T107,F!S107+1,),),)</f>
        <v>0</v>
      </c>
      <c r="T107" s="796">
        <f>IF(F!Q107&lt;&gt;F!R107,IF(F!Q107&lt;&gt;0,IF(F!S107&lt;&gt;F!T107,F!T107,),),)</f>
        <v>0</v>
      </c>
      <c r="U107" s="797">
        <f>IF(F!Q107&lt;&gt;F!R107,IF(F!Q107&lt;&gt;0,IF(F!S107&lt;&gt;F!T107,F!U107,),),)</f>
        <v>0</v>
      </c>
      <c r="V107" s="875">
        <f>IF(F!Q107&lt;&gt;F!R107,IF(F!Q107&lt;&gt;0,IF(F!S107&lt;&gt;F!T107,F!V107,),),)</f>
        <v>0</v>
      </c>
      <c r="W107" s="633">
        <f>IF(Q107="","",$W$5-SUM($Q$7:$Q$45)-SUM($Q$64:Q107))</f>
        <v>0</v>
      </c>
      <c r="AO107" s="86"/>
      <c r="AP107" s="86"/>
      <c r="AQ107" s="86"/>
      <c r="AR107" s="86"/>
      <c r="AS107" s="86"/>
      <c r="AT107" s="86"/>
      <c r="AU107" s="86"/>
      <c r="AV107" s="86"/>
      <c r="AW107" s="86"/>
      <c r="AX107" s="86"/>
      <c r="AY107" s="86"/>
      <c r="CM107" s="86"/>
      <c r="CN107" s="86"/>
    </row>
    <row r="108" spans="8:92" s="367" customFormat="1" ht="15.75" hidden="1" customHeight="1" outlineLevel="1">
      <c r="H108" s="543"/>
      <c r="I108" s="853"/>
      <c r="J108" s="6"/>
      <c r="K108" s="541"/>
      <c r="L108" s="860"/>
      <c r="M108" s="20" t="str">
        <f>IF(J108="","",$M$5-SUM($J$7:J108))</f>
        <v/>
      </c>
      <c r="O108" s="7"/>
      <c r="P108" s="873">
        <f>IF(F!Q108&lt;&gt;F!R108,IF(F!Q108&lt;&gt;0,IF(F!S108&lt;&gt;F!T108,F!P108,),),)</f>
        <v>0</v>
      </c>
      <c r="Q108" s="795">
        <f>IF(F!Q108&lt;&gt;F!R108,IF(F!Q108&lt;&gt;0,IF(F!S108&lt;&gt;F!T108,F!Q108,),),)</f>
        <v>0</v>
      </c>
      <c r="R108" s="628">
        <f>IF(F!Q108&lt;&gt;F!R108,IF(F!Q108&lt;&gt;0,IF(F!S108&lt;&gt;F!T108,0,Q108),Q108),Q108)</f>
        <v>0</v>
      </c>
      <c r="S108" s="796">
        <f>IF(F!Q108&lt;&gt;F!R108,IF(F!Q108&lt;&gt;0,IF(F!S108&lt;&gt;F!T108,F!S108+1,),),)</f>
        <v>0</v>
      </c>
      <c r="T108" s="796">
        <f>IF(F!Q108&lt;&gt;F!R108,IF(F!Q108&lt;&gt;0,IF(F!S108&lt;&gt;F!T108,F!T108,),),)</f>
        <v>0</v>
      </c>
      <c r="U108" s="797">
        <f>IF(F!Q108&lt;&gt;F!R108,IF(F!Q108&lt;&gt;0,IF(F!S108&lt;&gt;F!T108,F!U108,),),)</f>
        <v>0</v>
      </c>
      <c r="V108" s="875">
        <f>IF(F!Q108&lt;&gt;F!R108,IF(F!Q108&lt;&gt;0,IF(F!S108&lt;&gt;F!T108,F!V108,),),)</f>
        <v>0</v>
      </c>
      <c r="W108" s="633">
        <f>IF(Q108="","",$W$5-SUM($Q$7:$Q$45)-SUM($Q$64:Q108))</f>
        <v>0</v>
      </c>
      <c r="AO108" s="86"/>
      <c r="AP108" s="86"/>
      <c r="AQ108" s="86"/>
      <c r="AR108" s="86"/>
      <c r="AS108" s="86"/>
      <c r="AT108" s="86"/>
      <c r="AU108" s="86"/>
      <c r="AV108" s="86"/>
      <c r="AW108" s="86"/>
      <c r="AX108" s="86"/>
      <c r="AY108" s="86"/>
      <c r="CM108" s="86"/>
      <c r="CN108" s="86"/>
    </row>
    <row r="109" spans="8:92" s="367" customFormat="1" ht="15.75" hidden="1" customHeight="1" outlineLevel="1">
      <c r="H109" s="543"/>
      <c r="I109" s="853"/>
      <c r="J109" s="6"/>
      <c r="K109" s="541"/>
      <c r="L109" s="860"/>
      <c r="M109" s="20" t="str">
        <f>IF(J109="","",$M$5-SUM($J$7:J109))</f>
        <v/>
      </c>
      <c r="O109" s="7"/>
      <c r="P109" s="871">
        <f>IF(F!Q109&lt;&gt;F!R109,IF(F!Q109&lt;&gt;0,IF(F!S109&lt;&gt;F!T109,F!P109,),),)</f>
        <v>0</v>
      </c>
      <c r="Q109" s="795">
        <f>IF(F!Q109&lt;&gt;F!R109,IF(F!Q109&lt;&gt;0,IF(F!S109&lt;&gt;F!T109,F!Q109,),),)</f>
        <v>0</v>
      </c>
      <c r="R109" s="628">
        <f>IF(F!Q109&lt;&gt;F!R109,IF(F!Q109&lt;&gt;0,IF(F!S109&lt;&gt;F!T109,0,Q109),Q109),Q109)</f>
        <v>0</v>
      </c>
      <c r="S109" s="796">
        <f>IF(F!Q109&lt;&gt;F!R109,IF(F!Q109&lt;&gt;0,IF(F!S109&lt;&gt;F!T109,F!S109+1,),),)</f>
        <v>0</v>
      </c>
      <c r="T109" s="796">
        <f>IF(F!Q109&lt;&gt;F!R109,IF(F!Q109&lt;&gt;0,IF(F!S109&lt;&gt;F!T109,F!T109,),),)</f>
        <v>0</v>
      </c>
      <c r="U109" s="797">
        <f>IF(F!Q109&lt;&gt;F!R109,IF(F!Q109&lt;&gt;0,IF(F!S109&lt;&gt;F!T109,F!U109,),),)</f>
        <v>0</v>
      </c>
      <c r="V109" s="875">
        <f>IF(F!Q109&lt;&gt;F!R109,IF(F!Q109&lt;&gt;0,IF(F!S109&lt;&gt;F!T109,F!V109,),),)</f>
        <v>0</v>
      </c>
      <c r="W109" s="633">
        <f>IF(Q109="","",$W$5-SUM($Q$7:$Q$45)-SUM($Q$64:Q109))</f>
        <v>0</v>
      </c>
      <c r="AO109" s="86"/>
      <c r="AP109" s="86"/>
      <c r="AQ109" s="86"/>
      <c r="AR109" s="86"/>
      <c r="AS109" s="86"/>
      <c r="AT109" s="86"/>
      <c r="AU109" s="86"/>
      <c r="AV109" s="86"/>
      <c r="AW109" s="86"/>
      <c r="AX109" s="86"/>
      <c r="AY109" s="86"/>
      <c r="CM109" s="86"/>
      <c r="CN109" s="86"/>
    </row>
    <row r="110" spans="8:92" s="367" customFormat="1" ht="16.5" hidden="1" customHeight="1" outlineLevel="1" thickBot="1">
      <c r="H110" s="544"/>
      <c r="I110" s="857"/>
      <c r="J110" s="545"/>
      <c r="K110" s="601"/>
      <c r="L110" s="861"/>
      <c r="M110" s="546" t="str">
        <f>IF(J110="","",$M$5-SUM($J$7:J110))</f>
        <v/>
      </c>
      <c r="O110" s="523"/>
      <c r="P110" s="874">
        <f>IF(F!Q110&lt;&gt;F!R110,IF(F!Q110&lt;&gt;0,IF(F!S110&lt;&gt;F!T110,F!P110,),),)</f>
        <v>0</v>
      </c>
      <c r="Q110" s="800">
        <f>IF(F!Q110&lt;&gt;F!R110,IF(F!Q110&lt;&gt;0,IF(F!S110&lt;&gt;F!T110,F!Q110,),),)</f>
        <v>0</v>
      </c>
      <c r="R110" s="630">
        <f>IF(F!Q110&lt;&gt;F!R110,IF(F!Q110&lt;&gt;0,IF(F!S110&lt;&gt;F!T110,0,Q110),Q110),Q110)</f>
        <v>0</v>
      </c>
      <c r="S110" s="801">
        <f>IF(F!Q110&lt;&gt;F!R110,IF(F!Q110&lt;&gt;0,IF(F!S110&lt;&gt;F!T110,F!S110+1,),),)</f>
        <v>0</v>
      </c>
      <c r="T110" s="801">
        <f>IF(F!Q110&lt;&gt;F!R110,IF(F!Q110&lt;&gt;0,IF(F!S110&lt;&gt;F!T110,F!T110,),),)</f>
        <v>0</v>
      </c>
      <c r="U110" s="802">
        <f>IF(F!Q110&lt;&gt;F!R110,IF(F!Q110&lt;&gt;0,IF(F!S110&lt;&gt;F!T110,F!U110,),),)</f>
        <v>0</v>
      </c>
      <c r="V110" s="876">
        <f>IF(F!Q110&lt;&gt;F!R110,IF(F!Q110&lt;&gt;0,IF(F!S110&lt;&gt;F!T110,F!V110,),),)</f>
        <v>0</v>
      </c>
      <c r="W110" s="635">
        <f>IF(Q110="","",$W$5-SUM($Q$7:$Q$45)-SUM($Q$64:Q110))</f>
        <v>0</v>
      </c>
      <c r="AO110" s="86"/>
      <c r="AP110" s="86"/>
      <c r="AQ110" s="86"/>
      <c r="AR110" s="86"/>
      <c r="AS110" s="86"/>
      <c r="AT110" s="86"/>
      <c r="AU110" s="86"/>
      <c r="AV110" s="86"/>
      <c r="AW110" s="86"/>
      <c r="AX110" s="86"/>
      <c r="AY110" s="86"/>
      <c r="CM110" s="86"/>
      <c r="CN110" s="86"/>
    </row>
    <row r="111" spans="8:92" s="367" customFormat="1">
      <c r="K111" s="593"/>
      <c r="L111" s="593"/>
      <c r="O111" s="511"/>
      <c r="S111" s="371"/>
      <c r="T111" s="371"/>
      <c r="U111" s="371"/>
      <c r="V111" s="371"/>
      <c r="AO111" s="86"/>
      <c r="AP111" s="86"/>
      <c r="AQ111" s="86"/>
      <c r="AR111" s="86"/>
      <c r="AS111" s="86"/>
      <c r="AT111" s="86"/>
      <c r="AU111" s="86"/>
      <c r="AV111" s="86"/>
      <c r="AW111" s="86"/>
      <c r="AX111" s="86"/>
      <c r="AY111" s="86"/>
      <c r="CM111" s="86"/>
      <c r="CN111" s="86"/>
    </row>
    <row r="112" spans="8:92" s="367" customFormat="1">
      <c r="O112" s="511"/>
      <c r="S112" s="371"/>
      <c r="T112" s="371"/>
      <c r="U112" s="371"/>
      <c r="V112" s="371"/>
      <c r="AO112" s="86"/>
      <c r="AP112" s="86"/>
      <c r="AQ112" s="86"/>
      <c r="AR112" s="86"/>
      <c r="AS112" s="86"/>
      <c r="AT112" s="86"/>
      <c r="AU112" s="86"/>
      <c r="AV112" s="86"/>
      <c r="AW112" s="86"/>
      <c r="AX112" s="86"/>
      <c r="AY112" s="86"/>
      <c r="CM112" s="86"/>
      <c r="CN112" s="86"/>
    </row>
    <row r="113" spans="15:92" s="367" customFormat="1">
      <c r="O113" s="511"/>
      <c r="S113" s="371"/>
      <c r="T113" s="371"/>
      <c r="U113" s="371"/>
      <c r="V113" s="371"/>
      <c r="AO113" s="86"/>
      <c r="AP113" s="86"/>
      <c r="AQ113" s="86"/>
      <c r="AR113" s="86"/>
      <c r="AS113" s="86"/>
      <c r="AT113" s="86"/>
      <c r="AU113" s="86"/>
      <c r="AV113" s="86"/>
      <c r="AW113" s="86"/>
      <c r="AX113" s="86"/>
      <c r="AY113" s="86"/>
      <c r="CM113" s="86"/>
      <c r="CN113" s="86"/>
    </row>
    <row r="114" spans="15:92" s="367" customFormat="1">
      <c r="O114" s="511"/>
      <c r="S114" s="371"/>
      <c r="T114" s="371"/>
      <c r="U114" s="371"/>
      <c r="V114" s="371"/>
      <c r="AO114" s="86"/>
      <c r="AP114" s="86"/>
      <c r="AQ114" s="86"/>
      <c r="AR114" s="86"/>
      <c r="AS114" s="86"/>
      <c r="AT114" s="86"/>
      <c r="AU114" s="86"/>
      <c r="AV114" s="86"/>
      <c r="AW114" s="86"/>
      <c r="AX114" s="86"/>
      <c r="AY114" s="86"/>
      <c r="CM114" s="86"/>
      <c r="CN114" s="86"/>
    </row>
    <row r="115" spans="15:92" s="367" customFormat="1">
      <c r="O115" s="511"/>
      <c r="S115" s="371"/>
      <c r="T115" s="371"/>
      <c r="U115" s="371"/>
      <c r="V115" s="371"/>
      <c r="AO115" s="86"/>
      <c r="AP115" s="86"/>
      <c r="AQ115" s="86"/>
      <c r="AR115" s="86"/>
      <c r="AS115" s="86"/>
      <c r="AT115" s="86"/>
      <c r="AU115" s="86"/>
      <c r="AV115" s="86"/>
      <c r="AW115" s="86"/>
      <c r="AX115" s="86"/>
      <c r="AY115" s="86"/>
      <c r="CM115" s="86"/>
      <c r="CN115" s="86"/>
    </row>
    <row r="116" spans="15:92" s="367" customFormat="1">
      <c r="O116" s="511"/>
      <c r="S116" s="371"/>
      <c r="T116" s="371"/>
      <c r="U116" s="371"/>
      <c r="V116" s="371"/>
      <c r="AO116" s="86"/>
      <c r="AP116" s="86"/>
      <c r="AQ116" s="86"/>
      <c r="AR116" s="86"/>
      <c r="AS116" s="86"/>
      <c r="AT116" s="86"/>
      <c r="AU116" s="86"/>
      <c r="AV116" s="86"/>
      <c r="AW116" s="86"/>
      <c r="AX116" s="86"/>
      <c r="AY116" s="86"/>
      <c r="CM116" s="86"/>
      <c r="CN116" s="86"/>
    </row>
    <row r="117" spans="15:92" s="367" customFormat="1">
      <c r="O117" s="511"/>
      <c r="S117" s="371"/>
      <c r="T117" s="371"/>
      <c r="U117" s="371"/>
      <c r="V117" s="371"/>
      <c r="AO117" s="86"/>
      <c r="AP117" s="86"/>
      <c r="AQ117" s="86"/>
      <c r="AR117" s="86"/>
      <c r="AS117" s="86"/>
      <c r="AT117" s="86"/>
      <c r="AU117" s="86"/>
      <c r="AV117" s="86"/>
      <c r="AW117" s="86"/>
      <c r="AX117" s="86"/>
      <c r="AY117" s="86"/>
      <c r="CM117" s="86"/>
      <c r="CN117" s="86"/>
    </row>
    <row r="118" spans="15:92" s="367" customFormat="1">
      <c r="O118" s="511"/>
      <c r="S118" s="371"/>
      <c r="T118" s="371"/>
      <c r="U118" s="371"/>
      <c r="V118" s="371"/>
      <c r="AO118" s="86"/>
      <c r="AP118" s="86"/>
      <c r="AQ118" s="86"/>
      <c r="AR118" s="86"/>
      <c r="AS118" s="86"/>
      <c r="AT118" s="86"/>
      <c r="AU118" s="86"/>
      <c r="AV118" s="86"/>
      <c r="AW118" s="86"/>
      <c r="AX118" s="86"/>
      <c r="AY118" s="86"/>
      <c r="CM118" s="86"/>
      <c r="CN118" s="86"/>
    </row>
    <row r="119" spans="15:92" s="367" customFormat="1">
      <c r="O119" s="511"/>
      <c r="S119" s="371"/>
      <c r="T119" s="371"/>
      <c r="U119" s="371"/>
      <c r="V119" s="371"/>
      <c r="AO119" s="86"/>
      <c r="AP119" s="86"/>
      <c r="AQ119" s="86"/>
      <c r="AR119" s="86"/>
      <c r="AS119" s="86"/>
      <c r="AT119" s="86"/>
      <c r="AU119" s="86"/>
      <c r="AV119" s="86"/>
      <c r="AW119" s="86"/>
      <c r="AX119" s="86"/>
      <c r="AY119" s="86"/>
      <c r="CM119" s="86"/>
      <c r="CN119" s="86"/>
    </row>
    <row r="120" spans="15:92" s="367" customFormat="1">
      <c r="O120" s="511"/>
      <c r="S120" s="371"/>
      <c r="T120" s="371"/>
      <c r="U120" s="371"/>
      <c r="V120" s="371"/>
      <c r="AO120" s="86"/>
      <c r="AP120" s="86"/>
      <c r="AQ120" s="86"/>
      <c r="AR120" s="86"/>
      <c r="AS120" s="86"/>
      <c r="AT120" s="86"/>
      <c r="AU120" s="86"/>
      <c r="AV120" s="86"/>
      <c r="AW120" s="86"/>
      <c r="AX120" s="86"/>
      <c r="AY120" s="86"/>
      <c r="CM120" s="86"/>
      <c r="CN120" s="86"/>
    </row>
    <row r="121" spans="15:92" s="367" customFormat="1">
      <c r="O121" s="511"/>
      <c r="S121" s="371"/>
      <c r="T121" s="371"/>
      <c r="U121" s="371"/>
      <c r="V121" s="371"/>
      <c r="AO121" s="86"/>
      <c r="AP121" s="86"/>
      <c r="AQ121" s="86"/>
      <c r="AR121" s="86"/>
      <c r="AS121" s="86"/>
      <c r="AT121" s="86"/>
      <c r="AU121" s="86"/>
      <c r="AV121" s="86"/>
      <c r="AW121" s="86"/>
      <c r="AX121" s="86"/>
      <c r="AY121" s="86"/>
      <c r="CM121" s="86"/>
      <c r="CN121" s="86"/>
    </row>
    <row r="122" spans="15:92" s="367" customFormat="1">
      <c r="O122" s="511"/>
      <c r="S122" s="371"/>
      <c r="T122" s="371"/>
      <c r="U122" s="371"/>
      <c r="V122" s="371"/>
      <c r="AO122" s="86"/>
      <c r="AP122" s="86"/>
      <c r="AQ122" s="86"/>
      <c r="AR122" s="86"/>
      <c r="AS122" s="86"/>
      <c r="AT122" s="86"/>
      <c r="AU122" s="86"/>
      <c r="AV122" s="86"/>
      <c r="AW122" s="86"/>
      <c r="AX122" s="86"/>
      <c r="AY122" s="86"/>
      <c r="CM122" s="86"/>
      <c r="CN122" s="86"/>
    </row>
    <row r="123" spans="15:92" s="367" customFormat="1">
      <c r="O123" s="511"/>
      <c r="S123" s="371"/>
      <c r="T123" s="371"/>
      <c r="U123" s="371"/>
      <c r="V123" s="371"/>
      <c r="AO123" s="86"/>
      <c r="AP123" s="86"/>
      <c r="AQ123" s="86"/>
      <c r="AR123" s="86"/>
      <c r="AS123" s="86"/>
      <c r="AT123" s="86"/>
      <c r="AU123" s="86"/>
      <c r="AV123" s="86"/>
      <c r="AW123" s="86"/>
      <c r="AX123" s="86"/>
      <c r="AY123" s="86"/>
      <c r="CM123" s="86"/>
      <c r="CN123" s="86"/>
    </row>
    <row r="124" spans="15:92" s="367" customFormat="1">
      <c r="O124" s="511"/>
      <c r="S124" s="371"/>
      <c r="T124" s="371"/>
      <c r="U124" s="371"/>
      <c r="V124" s="371"/>
      <c r="AO124" s="86"/>
      <c r="AP124" s="86"/>
      <c r="AQ124" s="86"/>
      <c r="AR124" s="86"/>
      <c r="AS124" s="86"/>
      <c r="AT124" s="86"/>
      <c r="AU124" s="86"/>
      <c r="AV124" s="86"/>
      <c r="AW124" s="86"/>
      <c r="AX124" s="86"/>
      <c r="AY124" s="86"/>
      <c r="CM124" s="86"/>
      <c r="CN124" s="86"/>
    </row>
    <row r="125" spans="15:92" s="367" customFormat="1">
      <c r="O125" s="511"/>
      <c r="S125" s="371"/>
      <c r="T125" s="371"/>
      <c r="U125" s="371"/>
      <c r="V125" s="371"/>
      <c r="AO125" s="86"/>
      <c r="AP125" s="86"/>
      <c r="AQ125" s="86"/>
      <c r="AR125" s="86"/>
      <c r="AS125" s="86"/>
      <c r="AT125" s="86"/>
      <c r="AU125" s="86"/>
      <c r="AV125" s="86"/>
      <c r="AW125" s="86"/>
      <c r="AX125" s="86"/>
      <c r="AY125" s="86"/>
      <c r="CM125" s="86"/>
      <c r="CN125" s="86"/>
    </row>
    <row r="126" spans="15:92" s="367" customFormat="1">
      <c r="O126" s="511"/>
      <c r="S126" s="371"/>
      <c r="T126" s="371"/>
      <c r="U126" s="371"/>
      <c r="V126" s="371"/>
      <c r="AO126" s="86"/>
      <c r="AP126" s="86"/>
      <c r="AQ126" s="86"/>
      <c r="AR126" s="86"/>
      <c r="AS126" s="86"/>
      <c r="AT126" s="86"/>
      <c r="AU126" s="86"/>
      <c r="AV126" s="86"/>
      <c r="AW126" s="86"/>
      <c r="AX126" s="86"/>
      <c r="AY126" s="86"/>
      <c r="CM126" s="86"/>
      <c r="CN126" s="86"/>
    </row>
    <row r="127" spans="15:92" s="367" customFormat="1">
      <c r="O127" s="511"/>
      <c r="S127" s="371"/>
      <c r="T127" s="371"/>
      <c r="U127" s="371"/>
      <c r="V127" s="371"/>
      <c r="AO127" s="86"/>
      <c r="AP127" s="86"/>
      <c r="AQ127" s="86"/>
      <c r="AR127" s="86"/>
      <c r="AS127" s="86"/>
      <c r="AT127" s="86"/>
      <c r="AU127" s="86"/>
      <c r="AV127" s="86"/>
      <c r="AW127" s="86"/>
      <c r="AX127" s="86"/>
      <c r="AY127" s="86"/>
      <c r="CM127" s="86"/>
      <c r="CN127" s="86"/>
    </row>
    <row r="128" spans="15:92" s="367" customFormat="1">
      <c r="O128" s="511"/>
      <c r="S128" s="371"/>
      <c r="T128" s="371"/>
      <c r="U128" s="371"/>
      <c r="V128" s="371"/>
      <c r="AO128" s="86"/>
      <c r="AP128" s="86"/>
      <c r="AQ128" s="86"/>
      <c r="AR128" s="86"/>
      <c r="AS128" s="86"/>
      <c r="AT128" s="86"/>
      <c r="AU128" s="86"/>
      <c r="AV128" s="86"/>
      <c r="AW128" s="86"/>
      <c r="AX128" s="86"/>
      <c r="AY128" s="86"/>
      <c r="CM128" s="86"/>
      <c r="CN128" s="86"/>
    </row>
    <row r="129" spans="15:92" s="367" customFormat="1">
      <c r="O129" s="511"/>
      <c r="S129" s="371"/>
      <c r="T129" s="371"/>
      <c r="U129" s="371"/>
      <c r="V129" s="371"/>
      <c r="AO129" s="86"/>
      <c r="AP129" s="86"/>
      <c r="AQ129" s="86"/>
      <c r="AR129" s="86"/>
      <c r="AS129" s="86"/>
      <c r="AT129" s="86"/>
      <c r="AU129" s="86"/>
      <c r="AV129" s="86"/>
      <c r="AW129" s="86"/>
      <c r="AX129" s="86"/>
      <c r="AY129" s="86"/>
      <c r="CM129" s="86"/>
      <c r="CN129" s="86"/>
    </row>
    <row r="130" spans="15:92" s="367" customFormat="1">
      <c r="O130" s="511"/>
      <c r="S130" s="371"/>
      <c r="T130" s="371"/>
      <c r="U130" s="371"/>
      <c r="V130" s="371"/>
      <c r="AO130" s="86"/>
      <c r="AP130" s="86"/>
      <c r="AQ130" s="86"/>
      <c r="AR130" s="86"/>
      <c r="AS130" s="86"/>
      <c r="AT130" s="86"/>
      <c r="AU130" s="86"/>
      <c r="AV130" s="86"/>
      <c r="AW130" s="86"/>
      <c r="AX130" s="86"/>
      <c r="AY130" s="86"/>
      <c r="CM130" s="86"/>
      <c r="CN130" s="86"/>
    </row>
    <row r="131" spans="15:92" s="367" customFormat="1">
      <c r="O131" s="511"/>
      <c r="S131" s="371"/>
      <c r="T131" s="371"/>
      <c r="U131" s="371"/>
      <c r="V131" s="371"/>
      <c r="AO131" s="86"/>
      <c r="AP131" s="86"/>
      <c r="AQ131" s="86"/>
      <c r="AR131" s="86"/>
      <c r="AS131" s="86"/>
      <c r="AT131" s="86"/>
      <c r="AU131" s="86"/>
      <c r="AV131" s="86"/>
      <c r="AW131" s="86"/>
      <c r="AX131" s="86"/>
      <c r="AY131" s="86"/>
      <c r="CM131" s="86"/>
      <c r="CN131" s="86"/>
    </row>
    <row r="132" spans="15:92" s="367" customFormat="1">
      <c r="O132" s="511"/>
      <c r="S132" s="371"/>
      <c r="T132" s="371"/>
      <c r="U132" s="371"/>
      <c r="V132" s="371"/>
      <c r="AO132" s="86"/>
      <c r="AP132" s="86"/>
      <c r="AQ132" s="86"/>
      <c r="AR132" s="86"/>
      <c r="AS132" s="86"/>
      <c r="AT132" s="86"/>
      <c r="AU132" s="86"/>
      <c r="AV132" s="86"/>
      <c r="AW132" s="86"/>
      <c r="AX132" s="86"/>
      <c r="AY132" s="86"/>
      <c r="CM132" s="86"/>
      <c r="CN132" s="86"/>
    </row>
    <row r="133" spans="15:92" s="367" customFormat="1">
      <c r="O133" s="511"/>
      <c r="S133" s="371"/>
      <c r="T133" s="371"/>
      <c r="U133" s="371"/>
      <c r="V133" s="371"/>
      <c r="AO133" s="86"/>
      <c r="AP133" s="86"/>
      <c r="AQ133" s="86"/>
      <c r="AR133" s="86"/>
      <c r="AS133" s="86"/>
      <c r="AT133" s="86"/>
      <c r="AU133" s="86"/>
      <c r="AV133" s="86"/>
      <c r="AW133" s="86"/>
      <c r="AX133" s="86"/>
      <c r="AY133" s="86"/>
      <c r="CM133" s="86"/>
      <c r="CN133" s="86"/>
    </row>
    <row r="134" spans="15:92" s="367" customFormat="1">
      <c r="O134" s="511"/>
      <c r="S134" s="371"/>
      <c r="T134" s="371"/>
      <c r="U134" s="371"/>
      <c r="V134" s="371"/>
      <c r="AO134" s="86"/>
      <c r="AP134" s="86"/>
      <c r="AQ134" s="86"/>
      <c r="AR134" s="86"/>
      <c r="AS134" s="86"/>
      <c r="AT134" s="86"/>
      <c r="AU134" s="86"/>
      <c r="AV134" s="86"/>
      <c r="AW134" s="86"/>
      <c r="AX134" s="86"/>
      <c r="AY134" s="86"/>
      <c r="CM134" s="86"/>
      <c r="CN134" s="86"/>
    </row>
    <row r="135" spans="15:92" s="367" customFormat="1">
      <c r="O135" s="511"/>
      <c r="S135" s="371"/>
      <c r="T135" s="371"/>
      <c r="U135" s="371"/>
      <c r="V135" s="371"/>
      <c r="AO135" s="86"/>
      <c r="AP135" s="86"/>
      <c r="AQ135" s="86"/>
      <c r="AR135" s="86"/>
      <c r="AS135" s="86"/>
      <c r="AT135" s="86"/>
      <c r="AU135" s="86"/>
      <c r="AV135" s="86"/>
      <c r="AW135" s="86"/>
      <c r="AX135" s="86"/>
      <c r="AY135" s="86"/>
      <c r="CM135" s="86"/>
      <c r="CN135" s="86"/>
    </row>
    <row r="136" spans="15:92" s="367" customFormat="1">
      <c r="O136" s="511"/>
      <c r="S136" s="371"/>
      <c r="T136" s="371"/>
      <c r="U136" s="371"/>
      <c r="V136" s="371"/>
      <c r="AO136" s="86"/>
      <c r="AP136" s="86"/>
      <c r="AQ136" s="86"/>
      <c r="AR136" s="86"/>
      <c r="AS136" s="86"/>
      <c r="AT136" s="86"/>
      <c r="AU136" s="86"/>
      <c r="AV136" s="86"/>
      <c r="AW136" s="86"/>
      <c r="AX136" s="86"/>
      <c r="AY136" s="86"/>
      <c r="CM136" s="86"/>
      <c r="CN136" s="86"/>
    </row>
    <row r="137" spans="15:92" s="367" customFormat="1">
      <c r="O137" s="511"/>
      <c r="S137" s="371"/>
      <c r="T137" s="371"/>
      <c r="U137" s="371"/>
      <c r="V137" s="371"/>
      <c r="AO137" s="86"/>
      <c r="AP137" s="86"/>
      <c r="AQ137" s="86"/>
      <c r="AR137" s="86"/>
      <c r="AS137" s="86"/>
      <c r="AT137" s="86"/>
      <c r="AU137" s="86"/>
      <c r="AV137" s="86"/>
      <c r="AW137" s="86"/>
      <c r="AX137" s="86"/>
      <c r="AY137" s="86"/>
      <c r="CM137" s="86"/>
      <c r="CN137" s="86"/>
    </row>
    <row r="138" spans="15:92" s="367" customFormat="1">
      <c r="O138" s="511"/>
      <c r="S138" s="371"/>
      <c r="T138" s="371"/>
      <c r="U138" s="371"/>
      <c r="V138" s="371"/>
      <c r="AO138" s="86"/>
      <c r="AP138" s="86"/>
      <c r="AQ138" s="86"/>
      <c r="AR138" s="86"/>
      <c r="AS138" s="86"/>
      <c r="AT138" s="86"/>
      <c r="AU138" s="86"/>
      <c r="AV138" s="86"/>
      <c r="AW138" s="86"/>
      <c r="AX138" s="86"/>
      <c r="AY138" s="86"/>
      <c r="CM138" s="86"/>
      <c r="CN138" s="86"/>
    </row>
    <row r="139" spans="15:92" s="367" customFormat="1">
      <c r="O139" s="511"/>
      <c r="S139" s="371"/>
      <c r="T139" s="371"/>
      <c r="U139" s="371"/>
      <c r="V139" s="371"/>
      <c r="AO139" s="86"/>
      <c r="AP139" s="86"/>
      <c r="AQ139" s="86"/>
      <c r="AR139" s="86"/>
      <c r="AS139" s="86"/>
      <c r="AT139" s="86"/>
      <c r="AU139" s="86"/>
      <c r="AV139" s="86"/>
      <c r="AW139" s="86"/>
      <c r="AX139" s="86"/>
      <c r="AY139" s="86"/>
      <c r="CM139" s="86"/>
      <c r="CN139" s="86"/>
    </row>
    <row r="140" spans="15:92" s="367" customFormat="1">
      <c r="O140" s="511"/>
      <c r="S140" s="371"/>
      <c r="T140" s="371"/>
      <c r="U140" s="371"/>
      <c r="V140" s="371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CM140" s="86"/>
      <c r="CN140" s="86"/>
    </row>
    <row r="141" spans="15:92" s="367" customFormat="1">
      <c r="O141" s="511"/>
      <c r="S141" s="371"/>
      <c r="T141" s="371"/>
      <c r="U141" s="371"/>
      <c r="V141" s="371"/>
      <c r="AO141" s="86"/>
      <c r="AP141" s="86"/>
      <c r="AQ141" s="86"/>
      <c r="AR141" s="86"/>
      <c r="AS141" s="86"/>
      <c r="AT141" s="86"/>
      <c r="AU141" s="86"/>
      <c r="AV141" s="86"/>
      <c r="AW141" s="86"/>
      <c r="AX141" s="86"/>
      <c r="AY141" s="86"/>
      <c r="CM141" s="86"/>
      <c r="CN141" s="86"/>
    </row>
    <row r="142" spans="15:92" s="367" customFormat="1">
      <c r="O142" s="511"/>
      <c r="S142" s="371"/>
      <c r="T142" s="371"/>
      <c r="U142" s="371"/>
      <c r="V142" s="371"/>
      <c r="AO142" s="86"/>
      <c r="AP142" s="86"/>
      <c r="AQ142" s="86"/>
      <c r="AR142" s="86"/>
      <c r="AS142" s="86"/>
      <c r="AT142" s="86"/>
      <c r="AU142" s="86"/>
      <c r="AV142" s="86"/>
      <c r="AW142" s="86"/>
      <c r="AX142" s="86"/>
      <c r="AY142" s="86"/>
      <c r="CM142" s="86"/>
      <c r="CN142" s="86"/>
    </row>
    <row r="143" spans="15:92" s="367" customFormat="1">
      <c r="O143" s="511"/>
      <c r="S143" s="371"/>
      <c r="T143" s="371"/>
      <c r="U143" s="371"/>
      <c r="V143" s="371"/>
      <c r="AO143" s="86"/>
      <c r="AP143" s="86"/>
      <c r="AQ143" s="86"/>
      <c r="AR143" s="86"/>
      <c r="AS143" s="86"/>
      <c r="AT143" s="86"/>
      <c r="AU143" s="86"/>
      <c r="AV143" s="86"/>
      <c r="AW143" s="86"/>
      <c r="AX143" s="86"/>
      <c r="AY143" s="86"/>
      <c r="CM143" s="86"/>
      <c r="CN143" s="86"/>
    </row>
    <row r="144" spans="15:92" s="367" customFormat="1">
      <c r="O144" s="511"/>
      <c r="S144" s="371"/>
      <c r="T144" s="371"/>
      <c r="U144" s="371"/>
      <c r="V144" s="371"/>
      <c r="AO144" s="86"/>
      <c r="AP144" s="86"/>
      <c r="AQ144" s="86"/>
      <c r="AR144" s="86"/>
      <c r="AS144" s="86"/>
      <c r="AT144" s="86"/>
      <c r="AU144" s="86"/>
      <c r="AV144" s="86"/>
      <c r="AW144" s="86"/>
      <c r="AX144" s="86"/>
      <c r="AY144" s="86"/>
      <c r="CM144" s="86"/>
      <c r="CN144" s="86"/>
    </row>
    <row r="145" spans="1:92" s="367" customFormat="1">
      <c r="O145" s="511"/>
      <c r="S145" s="371"/>
      <c r="T145" s="371"/>
      <c r="U145" s="371"/>
      <c r="V145" s="371"/>
      <c r="AO145" s="86"/>
      <c r="AP145" s="86"/>
      <c r="AQ145" s="86"/>
      <c r="AR145" s="86"/>
      <c r="AS145" s="86"/>
      <c r="AT145" s="86"/>
      <c r="AU145" s="86"/>
      <c r="AV145" s="86"/>
      <c r="AW145" s="86"/>
      <c r="AX145" s="86"/>
      <c r="AY145" s="86"/>
      <c r="CM145" s="86"/>
      <c r="CN145" s="86"/>
    </row>
    <row r="146" spans="1:92" s="367" customFormat="1">
      <c r="O146" s="511"/>
      <c r="S146" s="371"/>
      <c r="T146" s="371"/>
      <c r="U146" s="371"/>
      <c r="V146" s="371"/>
      <c r="AO146" s="86"/>
      <c r="AP146" s="86"/>
      <c r="AQ146" s="86"/>
      <c r="AR146" s="86"/>
      <c r="AS146" s="86"/>
      <c r="AT146" s="86"/>
      <c r="AU146" s="86"/>
      <c r="AV146" s="86"/>
      <c r="AW146" s="86"/>
      <c r="AX146" s="86"/>
      <c r="AY146" s="86"/>
      <c r="CM146" s="86"/>
      <c r="CN146" s="86"/>
    </row>
    <row r="147" spans="1:92" s="367" customFormat="1">
      <c r="O147" s="511"/>
      <c r="S147" s="371"/>
      <c r="T147" s="371"/>
      <c r="U147" s="371"/>
      <c r="V147" s="371"/>
      <c r="AO147" s="86"/>
      <c r="AP147" s="86"/>
      <c r="AQ147" s="86"/>
      <c r="AR147" s="86"/>
      <c r="AS147" s="86"/>
      <c r="AT147" s="86"/>
      <c r="AU147" s="86"/>
      <c r="AV147" s="86"/>
      <c r="AW147" s="86"/>
      <c r="AX147" s="86"/>
      <c r="AY147" s="86"/>
      <c r="CM147" s="86"/>
      <c r="CN147" s="86"/>
    </row>
    <row r="148" spans="1:92" s="367" customFormat="1">
      <c r="O148" s="511"/>
      <c r="S148" s="371"/>
      <c r="T148" s="371"/>
      <c r="U148" s="371"/>
      <c r="V148" s="371"/>
      <c r="AO148" s="86"/>
      <c r="AP148" s="86"/>
      <c r="AQ148" s="86"/>
      <c r="AR148" s="86"/>
      <c r="AS148" s="86"/>
      <c r="AT148" s="86"/>
      <c r="AU148" s="86"/>
      <c r="AV148" s="86"/>
      <c r="AW148" s="86"/>
      <c r="AX148" s="86"/>
      <c r="AY148" s="86"/>
      <c r="CM148" s="86"/>
      <c r="CN148" s="86"/>
    </row>
    <row r="149" spans="1:92" s="367" customFormat="1">
      <c r="O149" s="511"/>
      <c r="S149" s="371"/>
      <c r="T149" s="371"/>
      <c r="U149" s="371"/>
      <c r="V149" s="371"/>
      <c r="AO149" s="86"/>
      <c r="AP149" s="86"/>
      <c r="AQ149" s="86"/>
      <c r="AR149" s="86"/>
      <c r="AS149" s="86"/>
      <c r="AT149" s="86"/>
      <c r="AU149" s="86"/>
      <c r="AV149" s="86"/>
      <c r="AW149" s="86"/>
      <c r="AX149" s="86"/>
      <c r="AY149" s="86"/>
      <c r="CM149" s="86"/>
      <c r="CN149" s="86"/>
    </row>
    <row r="150" spans="1:92" s="367" customFormat="1">
      <c r="O150" s="511"/>
      <c r="S150" s="371"/>
      <c r="T150" s="371"/>
      <c r="U150" s="371"/>
      <c r="V150" s="371"/>
      <c r="AO150" s="86"/>
      <c r="AP150" s="86"/>
      <c r="AQ150" s="86"/>
      <c r="AR150" s="86"/>
      <c r="AS150" s="86"/>
      <c r="AT150" s="86"/>
      <c r="AU150" s="86"/>
      <c r="AV150" s="86"/>
      <c r="AW150" s="86"/>
      <c r="AX150" s="86"/>
      <c r="AY150" s="86"/>
      <c r="CM150" s="86"/>
      <c r="CN150" s="86"/>
    </row>
    <row r="151" spans="1:92" s="367" customFormat="1">
      <c r="O151" s="511"/>
      <c r="S151" s="371"/>
      <c r="T151" s="371"/>
      <c r="U151" s="371"/>
      <c r="V151" s="371"/>
      <c r="AO151" s="86"/>
      <c r="AP151" s="86"/>
      <c r="AQ151" s="86"/>
      <c r="AR151" s="86"/>
      <c r="AS151" s="86"/>
      <c r="AT151" s="86"/>
      <c r="AU151" s="86"/>
      <c r="AV151" s="86"/>
      <c r="AW151" s="86"/>
      <c r="AX151" s="86"/>
      <c r="AY151" s="86"/>
      <c r="CM151" s="86"/>
      <c r="CN151" s="86"/>
    </row>
    <row r="152" spans="1:92">
      <c r="A152" s="367"/>
      <c r="B152" s="367"/>
      <c r="C152" s="367"/>
      <c r="D152" s="367"/>
      <c r="E152" s="367"/>
      <c r="F152" s="367"/>
      <c r="G152" s="367"/>
      <c r="H152" s="367"/>
      <c r="I152" s="367"/>
      <c r="J152" s="367"/>
      <c r="K152" s="367"/>
      <c r="L152" s="367"/>
      <c r="M152" s="367"/>
      <c r="N152" s="367"/>
      <c r="O152" s="377"/>
      <c r="P152" s="367"/>
      <c r="Q152" s="367"/>
      <c r="R152" s="367"/>
      <c r="S152" s="371"/>
      <c r="T152" s="371"/>
      <c r="U152" s="371"/>
      <c r="V152" s="371"/>
      <c r="W152" s="367"/>
      <c r="X152" s="367"/>
      <c r="Y152" s="367"/>
      <c r="Z152" s="367"/>
      <c r="AA152" s="367"/>
      <c r="AB152" s="367"/>
      <c r="AC152" s="367"/>
      <c r="AD152" s="367"/>
      <c r="AE152" s="367"/>
      <c r="AF152" s="367"/>
      <c r="AG152" s="367"/>
      <c r="AH152" s="367"/>
      <c r="AI152" s="367"/>
      <c r="AJ152" s="367"/>
      <c r="AK152" s="367"/>
      <c r="AL152" s="367"/>
      <c r="AM152" s="367"/>
      <c r="AN152" s="367"/>
      <c r="AO152" s="86"/>
    </row>
  </sheetData>
  <sheetProtection password="D37A" sheet="1" scenarios="1" formatCells="0" formatColumns="0" formatRows="0" insertColumns="0" insertRows="0" sort="0" autoFilter="0"/>
  <mergeCells count="72">
    <mergeCell ref="S51:T51"/>
    <mergeCell ref="S52:T52"/>
    <mergeCell ref="S59:T59"/>
    <mergeCell ref="S53:T53"/>
    <mergeCell ref="S54:T54"/>
    <mergeCell ref="S55:T55"/>
    <mergeCell ref="S56:T56"/>
    <mergeCell ref="S58:T58"/>
    <mergeCell ref="N2:O2"/>
    <mergeCell ref="H54:H56"/>
    <mergeCell ref="C41:D41"/>
    <mergeCell ref="I56:J56"/>
    <mergeCell ref="B42:D42"/>
    <mergeCell ref="B3:C3"/>
    <mergeCell ref="B23:B24"/>
    <mergeCell ref="B25:B26"/>
    <mergeCell ref="N53:O54"/>
    <mergeCell ref="E5:E6"/>
    <mergeCell ref="C5:C6"/>
    <mergeCell ref="F5:F6"/>
    <mergeCell ref="K5:K6"/>
    <mergeCell ref="Y3:AA3"/>
    <mergeCell ref="C58:D58"/>
    <mergeCell ref="C23:D24"/>
    <mergeCell ref="D25:D26"/>
    <mergeCell ref="C25:C26"/>
    <mergeCell ref="F25:F26"/>
    <mergeCell ref="E25:E26"/>
    <mergeCell ref="E23:F24"/>
    <mergeCell ref="C4:D4"/>
    <mergeCell ref="Y4:Z4"/>
    <mergeCell ref="E4:F4"/>
    <mergeCell ref="D5:D6"/>
    <mergeCell ref="H5:H6"/>
    <mergeCell ref="O5:O6"/>
    <mergeCell ref="B43:C43"/>
    <mergeCell ref="L5:L6"/>
    <mergeCell ref="AR21:AR22"/>
    <mergeCell ref="AE15:AE20"/>
    <mergeCell ref="AE21:AE22"/>
    <mergeCell ref="Y21:Y22"/>
    <mergeCell ref="Z21:Z22"/>
    <mergeCell ref="AG21:AG22"/>
    <mergeCell ref="AD21:AD22"/>
    <mergeCell ref="AA21:AA22"/>
    <mergeCell ref="AP12:AX12"/>
    <mergeCell ref="Y18:Z18"/>
    <mergeCell ref="Y20:AA20"/>
    <mergeCell ref="AQ20:AT20"/>
    <mergeCell ref="P5:Q6"/>
    <mergeCell ref="AE5:AE7"/>
    <mergeCell ref="AE10:AE12"/>
    <mergeCell ref="U5:U6"/>
    <mergeCell ref="S4:S5"/>
    <mergeCell ref="R5:R6"/>
    <mergeCell ref="T4:T5"/>
    <mergeCell ref="AB4:AC4"/>
    <mergeCell ref="V5:V6"/>
    <mergeCell ref="W5:W6"/>
    <mergeCell ref="B63:B64"/>
    <mergeCell ref="C63:C64"/>
    <mergeCell ref="D63:D64"/>
    <mergeCell ref="E63:E64"/>
    <mergeCell ref="F63:F64"/>
    <mergeCell ref="S49:T49"/>
    <mergeCell ref="S50:T50"/>
    <mergeCell ref="S48:T48"/>
    <mergeCell ref="Z46:AA46"/>
    <mergeCell ref="B5:B6"/>
    <mergeCell ref="B20:D20"/>
    <mergeCell ref="I5:J6"/>
    <mergeCell ref="M5:M6"/>
  </mergeCells>
  <conditionalFormatting sqref="AE23:AE44 Q56:S56 S50:S55">
    <cfRule type="cellIs" dxfId="3000" priority="6" stopIfTrue="1" operator="lessThan">
      <formula>0</formula>
    </cfRule>
  </conditionalFormatting>
  <conditionalFormatting sqref="AE13:AE14">
    <cfRule type="containsText" dxfId="2999" priority="364" stopIfTrue="1" operator="containsText" text="חריגה">
      <formula>NOT(ISERROR(SEARCH("חריגה",AE13)))</formula>
    </cfRule>
  </conditionalFormatting>
  <conditionalFormatting sqref="AI23:AI44">
    <cfRule type="cellIs" dxfId="2998" priority="363" stopIfTrue="1" operator="equal">
      <formula>1</formula>
    </cfRule>
  </conditionalFormatting>
  <conditionalFormatting sqref="E20:F20 E42:F42">
    <cfRule type="containsText" dxfId="2997" priority="362" stopIfTrue="1" operator="containsText" text="חיובי">
      <formula>NOT(ISERROR(SEARCH("חיובי",E20)))</formula>
    </cfRule>
  </conditionalFormatting>
  <conditionalFormatting sqref="W46 K54:M54 K58:M58 D19 C41">
    <cfRule type="cellIs" dxfId="2996" priority="361" stopIfTrue="1" operator="lessThan">
      <formula>0</formula>
    </cfRule>
  </conditionalFormatting>
  <conditionalFormatting sqref="D45">
    <cfRule type="cellIs" dxfId="2995" priority="382" stopIfTrue="1" operator="greaterThan">
      <formula>$C$45</formula>
    </cfRule>
  </conditionalFormatting>
  <conditionalFormatting sqref="D46">
    <cfRule type="cellIs" dxfId="2994" priority="383" stopIfTrue="1" operator="greaterThan">
      <formula>$C$46</formula>
    </cfRule>
  </conditionalFormatting>
  <conditionalFormatting sqref="D47">
    <cfRule type="cellIs" dxfId="2993" priority="384" stopIfTrue="1" operator="greaterThan">
      <formula>$C$47</formula>
    </cfRule>
  </conditionalFormatting>
  <conditionalFormatting sqref="D48">
    <cfRule type="cellIs" dxfId="2992" priority="385" stopIfTrue="1" operator="greaterThan">
      <formula>$C$48</formula>
    </cfRule>
  </conditionalFormatting>
  <conditionalFormatting sqref="D49">
    <cfRule type="cellIs" dxfId="2991" priority="386" stopIfTrue="1" operator="greaterThan">
      <formula>$C$49</formula>
    </cfRule>
  </conditionalFormatting>
  <conditionalFormatting sqref="D50">
    <cfRule type="cellIs" dxfId="2990" priority="387" stopIfTrue="1" operator="greaterThan">
      <formula>$C$50</formula>
    </cfRule>
  </conditionalFormatting>
  <conditionalFormatting sqref="D51">
    <cfRule type="cellIs" dxfId="2989" priority="388" stopIfTrue="1" operator="greaterThan">
      <formula>$C$51</formula>
    </cfRule>
  </conditionalFormatting>
  <conditionalFormatting sqref="D52">
    <cfRule type="cellIs" dxfId="2988" priority="389" stopIfTrue="1" operator="greaterThan">
      <formula>$C$52</formula>
    </cfRule>
  </conditionalFormatting>
  <conditionalFormatting sqref="D53">
    <cfRule type="cellIs" dxfId="2987" priority="390" stopIfTrue="1" operator="greaterThan">
      <formula>$C$53</formula>
    </cfRule>
  </conditionalFormatting>
  <conditionalFormatting sqref="D54">
    <cfRule type="cellIs" dxfId="2986" priority="391" stopIfTrue="1" operator="greaterThan">
      <formula>$C$54</formula>
    </cfRule>
  </conditionalFormatting>
  <conditionalFormatting sqref="D55">
    <cfRule type="cellIs" dxfId="2985" priority="392" stopIfTrue="1" operator="greaterThan">
      <formula>$C$55</formula>
    </cfRule>
  </conditionalFormatting>
  <conditionalFormatting sqref="D56">
    <cfRule type="cellIs" dxfId="2984" priority="393" stopIfTrue="1" operator="greaterThan">
      <formula>$C$56</formula>
    </cfRule>
  </conditionalFormatting>
  <conditionalFormatting sqref="C7">
    <cfRule type="expression" dxfId="2983" priority="357" stopIfTrue="1">
      <formula>AND(C7&lt;&gt;0, NOT(ISTEXT(B7)))</formula>
    </cfRule>
    <cfRule type="cellIs" dxfId="2982" priority="358" stopIfTrue="1" operator="lessThan">
      <formula>0</formula>
    </cfRule>
  </conditionalFormatting>
  <conditionalFormatting sqref="C8">
    <cfRule type="expression" dxfId="2981" priority="355" stopIfTrue="1">
      <formula>AND(C8&lt;&gt;0, NOT(ISTEXT(B8)))</formula>
    </cfRule>
    <cfRule type="cellIs" dxfId="2980" priority="356" stopIfTrue="1" operator="lessThan">
      <formula>0</formula>
    </cfRule>
  </conditionalFormatting>
  <conditionalFormatting sqref="C9">
    <cfRule type="expression" dxfId="2979" priority="353" stopIfTrue="1">
      <formula>AND(C9&lt;&gt;0, NOT(ISTEXT(B9)))</formula>
    </cfRule>
    <cfRule type="cellIs" dxfId="2978" priority="354" stopIfTrue="1" operator="lessThan">
      <formula>0</formula>
    </cfRule>
  </conditionalFormatting>
  <conditionalFormatting sqref="C10">
    <cfRule type="expression" dxfId="2977" priority="351" stopIfTrue="1">
      <formula>AND(C10&lt;&gt;0, NOT(ISTEXT(B10)))</formula>
    </cfRule>
    <cfRule type="cellIs" dxfId="2976" priority="352" stopIfTrue="1" operator="lessThan">
      <formula>0</formula>
    </cfRule>
  </conditionalFormatting>
  <conditionalFormatting sqref="C11">
    <cfRule type="expression" dxfId="2975" priority="349" stopIfTrue="1">
      <formula>AND(C11&lt;&gt;0, NOT(ISTEXT(B11)))</formula>
    </cfRule>
    <cfRule type="cellIs" dxfId="2974" priority="350" stopIfTrue="1" operator="lessThan">
      <formula>0</formula>
    </cfRule>
  </conditionalFormatting>
  <conditionalFormatting sqref="C12">
    <cfRule type="expression" dxfId="2973" priority="347" stopIfTrue="1">
      <formula>AND(C12&lt;&gt;0, NOT(ISTEXT(B12)))</formula>
    </cfRule>
    <cfRule type="cellIs" dxfId="2972" priority="348" stopIfTrue="1" operator="lessThan">
      <formula>0</formula>
    </cfRule>
  </conditionalFormatting>
  <conditionalFormatting sqref="C13">
    <cfRule type="expression" dxfId="2971" priority="345" stopIfTrue="1">
      <formula>AND(C13&lt;&gt;0, NOT(ISTEXT(B13)))</formula>
    </cfRule>
    <cfRule type="cellIs" dxfId="2970" priority="346" stopIfTrue="1" operator="lessThan">
      <formula>0</formula>
    </cfRule>
  </conditionalFormatting>
  <conditionalFormatting sqref="C14">
    <cfRule type="expression" dxfId="2969" priority="343" stopIfTrue="1">
      <formula>AND(C14&lt;&gt;0, NOT(ISTEXT(B14)))</formula>
    </cfRule>
    <cfRule type="cellIs" dxfId="2968" priority="344" stopIfTrue="1" operator="lessThan">
      <formula>0</formula>
    </cfRule>
  </conditionalFormatting>
  <conditionalFormatting sqref="C15">
    <cfRule type="expression" dxfId="2967" priority="341" stopIfTrue="1">
      <formula>AND(C15&lt;&gt;0, NOT(ISTEXT(B15)))</formula>
    </cfRule>
    <cfRule type="cellIs" dxfId="2966" priority="342" stopIfTrue="1" operator="lessThan">
      <formula>0</formula>
    </cfRule>
  </conditionalFormatting>
  <conditionalFormatting sqref="C16">
    <cfRule type="expression" dxfId="2965" priority="339" stopIfTrue="1">
      <formula>AND(C16&lt;&gt;0, NOT(ISTEXT(B16)))</formula>
    </cfRule>
    <cfRule type="cellIs" dxfId="2964" priority="340" stopIfTrue="1" operator="lessThan">
      <formula>0</formula>
    </cfRule>
  </conditionalFormatting>
  <conditionalFormatting sqref="C17">
    <cfRule type="expression" dxfId="2963" priority="337" stopIfTrue="1">
      <formula>AND(C17&lt;&gt;0, NOT(ISTEXT(B17)))</formula>
    </cfRule>
    <cfRule type="cellIs" dxfId="2962" priority="338" stopIfTrue="1" operator="lessThan">
      <formula>0</formula>
    </cfRule>
  </conditionalFormatting>
  <conditionalFormatting sqref="C27">
    <cfRule type="expression" dxfId="2961" priority="335" stopIfTrue="1">
      <formula>AND(C27&lt;&gt;0, NOT(ISTEXT(B27)))</formula>
    </cfRule>
    <cfRule type="cellIs" dxfId="2960" priority="336" stopIfTrue="1" operator="lessThan">
      <formula>0</formula>
    </cfRule>
  </conditionalFormatting>
  <conditionalFormatting sqref="C39">
    <cfRule type="expression" dxfId="2959" priority="333" stopIfTrue="1">
      <formula>AND(C39&lt;&gt;0, NOT(ISTEXT(B39)))</formula>
    </cfRule>
    <cfRule type="cellIs" dxfId="2958" priority="334" stopIfTrue="1" operator="lessThan">
      <formula>0</formula>
    </cfRule>
  </conditionalFormatting>
  <conditionalFormatting sqref="C28">
    <cfRule type="expression" dxfId="2957" priority="331" stopIfTrue="1">
      <formula>AND(C28&lt;&gt;0, NOT(ISTEXT(B28)))</formula>
    </cfRule>
    <cfRule type="cellIs" dxfId="2956" priority="332" stopIfTrue="1" operator="lessThan">
      <formula>0</formula>
    </cfRule>
  </conditionalFormatting>
  <conditionalFormatting sqref="C29">
    <cfRule type="expression" dxfId="2955" priority="329" stopIfTrue="1">
      <formula>AND(C29&lt;&gt;0, NOT(ISTEXT(B29)))</formula>
    </cfRule>
    <cfRule type="cellIs" dxfId="2954" priority="330" stopIfTrue="1" operator="lessThan">
      <formula>0</formula>
    </cfRule>
  </conditionalFormatting>
  <conditionalFormatting sqref="C30">
    <cfRule type="expression" dxfId="2953" priority="327" stopIfTrue="1">
      <formula>AND(C30&lt;&gt;0, NOT(ISTEXT(B30)))</formula>
    </cfRule>
    <cfRule type="cellIs" dxfId="2952" priority="328" stopIfTrue="1" operator="lessThan">
      <formula>0</formula>
    </cfRule>
  </conditionalFormatting>
  <conditionalFormatting sqref="C31">
    <cfRule type="expression" dxfId="2951" priority="325" stopIfTrue="1">
      <formula>AND(C31&lt;&gt;0, NOT(ISTEXT(B31)))</formula>
    </cfRule>
    <cfRule type="cellIs" dxfId="2950" priority="326" stopIfTrue="1" operator="lessThan">
      <formula>0</formula>
    </cfRule>
  </conditionalFormatting>
  <conditionalFormatting sqref="C32">
    <cfRule type="expression" dxfId="2949" priority="323" stopIfTrue="1">
      <formula>AND(C32&lt;&gt;0, NOT(ISTEXT(B32)))</formula>
    </cfRule>
    <cfRule type="cellIs" dxfId="2948" priority="324" stopIfTrue="1" operator="lessThan">
      <formula>0</formula>
    </cfRule>
  </conditionalFormatting>
  <conditionalFormatting sqref="C33">
    <cfRule type="expression" dxfId="2947" priority="321" stopIfTrue="1">
      <formula>AND(C33&lt;&gt;0, NOT(ISTEXT(B33)))</formula>
    </cfRule>
    <cfRule type="cellIs" dxfId="2946" priority="322" stopIfTrue="1" operator="lessThan">
      <formula>0</formula>
    </cfRule>
  </conditionalFormatting>
  <conditionalFormatting sqref="C34">
    <cfRule type="expression" dxfId="2945" priority="319" stopIfTrue="1">
      <formula>AND(C34&lt;&gt;0, NOT(ISTEXT(B34)))</formula>
    </cfRule>
    <cfRule type="cellIs" dxfId="2944" priority="320" stopIfTrue="1" operator="lessThan">
      <formula>0</formula>
    </cfRule>
  </conditionalFormatting>
  <conditionalFormatting sqref="C35">
    <cfRule type="expression" dxfId="2943" priority="317" stopIfTrue="1">
      <formula>AND(C35&lt;&gt;0, NOT(ISTEXT(B35)))</formula>
    </cfRule>
    <cfRule type="cellIs" dxfId="2942" priority="318" stopIfTrue="1" operator="lessThan">
      <formula>0</formula>
    </cfRule>
  </conditionalFormatting>
  <conditionalFormatting sqref="C36">
    <cfRule type="expression" dxfId="2941" priority="315" stopIfTrue="1">
      <formula>AND(C36&lt;&gt;0, NOT(ISTEXT(B36)))</formula>
    </cfRule>
    <cfRule type="cellIs" dxfId="2940" priority="316" stopIfTrue="1" operator="lessThan">
      <formula>0</formula>
    </cfRule>
  </conditionalFormatting>
  <conditionalFormatting sqref="C37">
    <cfRule type="expression" dxfId="2939" priority="313" stopIfTrue="1">
      <formula>AND(C37&lt;&gt;0, NOT(ISTEXT(B37)))</formula>
    </cfRule>
    <cfRule type="cellIs" dxfId="2938" priority="314" stopIfTrue="1" operator="lessThan">
      <formula>0</formula>
    </cfRule>
  </conditionalFormatting>
  <conditionalFormatting sqref="C38">
    <cfRule type="expression" dxfId="2937" priority="311" stopIfTrue="1">
      <formula>AND(C38&lt;&gt;0, NOT(ISTEXT(B38)))</formula>
    </cfRule>
    <cfRule type="cellIs" dxfId="2936" priority="312" stopIfTrue="1" operator="lessThan">
      <formula>0</formula>
    </cfRule>
  </conditionalFormatting>
  <conditionalFormatting sqref="C45">
    <cfRule type="expression" dxfId="2935" priority="309" stopIfTrue="1">
      <formula>AND(C45&lt;&gt;0, NOT(ISTEXT(B45)))</formula>
    </cfRule>
    <cfRule type="cellIs" dxfId="2934" priority="310" stopIfTrue="1" operator="lessThan">
      <formula>0</formula>
    </cfRule>
  </conditionalFormatting>
  <conditionalFormatting sqref="C56">
    <cfRule type="expression" dxfId="2933" priority="307" stopIfTrue="1">
      <formula>AND(C56&lt;&gt;0, NOT(ISTEXT(B56)))</formula>
    </cfRule>
    <cfRule type="cellIs" dxfId="2932" priority="308" stopIfTrue="1" operator="lessThan">
      <formula>0</formula>
    </cfRule>
  </conditionalFormatting>
  <conditionalFormatting sqref="C46">
    <cfRule type="expression" dxfId="2931" priority="305" stopIfTrue="1">
      <formula>AND(C46&lt;&gt;0, NOT(ISTEXT(B46)))</formula>
    </cfRule>
    <cfRule type="cellIs" dxfId="2930" priority="306" stopIfTrue="1" operator="lessThan">
      <formula>0</formula>
    </cfRule>
  </conditionalFormatting>
  <conditionalFormatting sqref="C47">
    <cfRule type="expression" dxfId="2929" priority="303" stopIfTrue="1">
      <formula>AND(C47&lt;&gt;0, NOT(ISTEXT(B47)))</formula>
    </cfRule>
    <cfRule type="cellIs" dxfId="2928" priority="304" stopIfTrue="1" operator="lessThan">
      <formula>0</formula>
    </cfRule>
  </conditionalFormatting>
  <conditionalFormatting sqref="C48">
    <cfRule type="expression" dxfId="2927" priority="301" stopIfTrue="1">
      <formula>AND(C48&lt;&gt;0, NOT(ISTEXT(B48)))</formula>
    </cfRule>
    <cfRule type="cellIs" dxfId="2926" priority="302" stopIfTrue="1" operator="lessThan">
      <formula>0</formula>
    </cfRule>
  </conditionalFormatting>
  <conditionalFormatting sqref="C49">
    <cfRule type="expression" dxfId="2925" priority="299" stopIfTrue="1">
      <formula>AND(C49&lt;&gt;0, NOT(ISTEXT(B49)))</formula>
    </cfRule>
    <cfRule type="cellIs" dxfId="2924" priority="300" stopIfTrue="1" operator="lessThan">
      <formula>0</formula>
    </cfRule>
  </conditionalFormatting>
  <conditionalFormatting sqref="C50">
    <cfRule type="expression" dxfId="2923" priority="297" stopIfTrue="1">
      <formula>AND(C50&lt;&gt;0, NOT(ISTEXT(B50)))</formula>
    </cfRule>
    <cfRule type="cellIs" dxfId="2922" priority="298" stopIfTrue="1" operator="lessThan">
      <formula>0</formula>
    </cfRule>
  </conditionalFormatting>
  <conditionalFormatting sqref="C51">
    <cfRule type="expression" dxfId="2921" priority="295" stopIfTrue="1">
      <formula>AND(C51&lt;&gt;0, NOT(ISTEXT(B51)))</formula>
    </cfRule>
    <cfRule type="cellIs" dxfId="2920" priority="296" stopIfTrue="1" operator="lessThan">
      <formula>0</formula>
    </cfRule>
  </conditionalFormatting>
  <conditionalFormatting sqref="C52">
    <cfRule type="expression" dxfId="2919" priority="293" stopIfTrue="1">
      <formula>AND(C52&lt;&gt;0, NOT(ISTEXT(B52)))</formula>
    </cfRule>
    <cfRule type="cellIs" dxfId="2918" priority="294" stopIfTrue="1" operator="lessThan">
      <formula>0</formula>
    </cfRule>
  </conditionalFormatting>
  <conditionalFormatting sqref="C53">
    <cfRule type="expression" dxfId="2917" priority="291" stopIfTrue="1">
      <formula>AND(C53&lt;&gt;0, NOT(ISTEXT(B53)))</formula>
    </cfRule>
    <cfRule type="cellIs" dxfId="2916" priority="292" stopIfTrue="1" operator="lessThan">
      <formula>0</formula>
    </cfRule>
  </conditionalFormatting>
  <conditionalFormatting sqref="C54">
    <cfRule type="expression" dxfId="2915" priority="289" stopIfTrue="1">
      <formula>AND(C54&lt;&gt;0, NOT(ISTEXT(B54)))</formula>
    </cfRule>
    <cfRule type="cellIs" dxfId="2914" priority="290" stopIfTrue="1" operator="lessThan">
      <formula>0</formula>
    </cfRule>
  </conditionalFormatting>
  <conditionalFormatting sqref="C55">
    <cfRule type="expression" dxfId="2913" priority="287" stopIfTrue="1">
      <formula>AND(C55&lt;&gt;0, NOT(ISTEXT(B55)))</formula>
    </cfRule>
    <cfRule type="cellIs" dxfId="2912" priority="288" stopIfTrue="1" operator="lessThan">
      <formula>0</formula>
    </cfRule>
  </conditionalFormatting>
  <conditionalFormatting sqref="Z6">
    <cfRule type="expression" dxfId="2911" priority="285" stopIfTrue="1">
      <formula>AND(Z6&lt;&gt;0, NOT(ISTEXT(Y6)))</formula>
    </cfRule>
    <cfRule type="cellIs" dxfId="2910" priority="286" stopIfTrue="1" operator="lessThan">
      <formula>0</formula>
    </cfRule>
  </conditionalFormatting>
  <conditionalFormatting sqref="Z16">
    <cfRule type="expression" dxfId="2909" priority="283" stopIfTrue="1">
      <formula>AND(Z16&lt;&gt;0, NOT(ISTEXT(Y16)))</formula>
    </cfRule>
    <cfRule type="cellIs" dxfId="2908" priority="284" stopIfTrue="1" operator="lessThan">
      <formula>0</formula>
    </cfRule>
  </conditionalFormatting>
  <conditionalFormatting sqref="Z7">
    <cfRule type="expression" dxfId="2907" priority="281" stopIfTrue="1">
      <formula>AND(Z7&lt;&gt;0, NOT(ISTEXT(Y7)))</formula>
    </cfRule>
    <cfRule type="cellIs" dxfId="2906" priority="282" stopIfTrue="1" operator="lessThan">
      <formula>0</formula>
    </cfRule>
  </conditionalFormatting>
  <conditionalFormatting sqref="Z8">
    <cfRule type="expression" dxfId="2905" priority="279" stopIfTrue="1">
      <formula>AND(Z8&lt;&gt;0, NOT(ISTEXT(Y8)))</formula>
    </cfRule>
    <cfRule type="cellIs" dxfId="2904" priority="280" stopIfTrue="1" operator="lessThan">
      <formula>0</formula>
    </cfRule>
  </conditionalFormatting>
  <conditionalFormatting sqref="Z9">
    <cfRule type="expression" dxfId="2903" priority="277" stopIfTrue="1">
      <formula>AND(Z9&lt;&gt;0, NOT(ISTEXT(Y9)))</formula>
    </cfRule>
    <cfRule type="cellIs" dxfId="2902" priority="278" stopIfTrue="1" operator="lessThan">
      <formula>0</formula>
    </cfRule>
  </conditionalFormatting>
  <conditionalFormatting sqref="Z10">
    <cfRule type="expression" dxfId="2901" priority="275" stopIfTrue="1">
      <formula>AND(Z10&lt;&gt;0, NOT(ISTEXT(Y10)))</formula>
    </cfRule>
    <cfRule type="cellIs" dxfId="2900" priority="276" stopIfTrue="1" operator="lessThan">
      <formula>0</formula>
    </cfRule>
  </conditionalFormatting>
  <conditionalFormatting sqref="Z11">
    <cfRule type="expression" dxfId="2899" priority="273" stopIfTrue="1">
      <formula>AND(Z11&lt;&gt;0, NOT(ISTEXT(Y11)))</formula>
    </cfRule>
    <cfRule type="cellIs" dxfId="2898" priority="274" stopIfTrue="1" operator="lessThan">
      <formula>0</formula>
    </cfRule>
  </conditionalFormatting>
  <conditionalFormatting sqref="Z12">
    <cfRule type="expression" dxfId="2897" priority="271" stopIfTrue="1">
      <formula>AND(Z12&lt;&gt;0, NOT(ISTEXT(Y12)))</formula>
    </cfRule>
    <cfRule type="cellIs" dxfId="2896" priority="272" stopIfTrue="1" operator="lessThan">
      <formula>0</formula>
    </cfRule>
  </conditionalFormatting>
  <conditionalFormatting sqref="Z13">
    <cfRule type="expression" dxfId="2895" priority="269" stopIfTrue="1">
      <formula>AND(Z13&lt;&gt;0, NOT(ISTEXT(Y13)))</formula>
    </cfRule>
    <cfRule type="cellIs" dxfId="2894" priority="270" stopIfTrue="1" operator="lessThan">
      <formula>0</formula>
    </cfRule>
  </conditionalFormatting>
  <conditionalFormatting sqref="Z14">
    <cfRule type="expression" dxfId="2893" priority="267" stopIfTrue="1">
      <formula>AND(Z14&lt;&gt;0, NOT(ISTEXT(Y14)))</formula>
    </cfRule>
    <cfRule type="cellIs" dxfId="2892" priority="268" stopIfTrue="1" operator="lessThan">
      <formula>0</formula>
    </cfRule>
  </conditionalFormatting>
  <conditionalFormatting sqref="Z15">
    <cfRule type="expression" dxfId="2891" priority="265" stopIfTrue="1">
      <formula>AND(Z15&lt;&gt;0, NOT(ISTEXT(Y15)))</formula>
    </cfRule>
    <cfRule type="cellIs" dxfId="2890" priority="266" stopIfTrue="1" operator="lessThan">
      <formula>0</formula>
    </cfRule>
  </conditionalFormatting>
  <conditionalFormatting sqref="Z23">
    <cfRule type="expression" dxfId="2889" priority="263" stopIfTrue="1">
      <formula>AND(Z23&lt;&gt;0, NOT(ISTEXT(Y23)))</formula>
    </cfRule>
    <cfRule type="cellIs" dxfId="2888" priority="264" stopIfTrue="1" operator="lessThan">
      <formula>0</formula>
    </cfRule>
  </conditionalFormatting>
  <conditionalFormatting sqref="Z44">
    <cfRule type="expression" dxfId="2887" priority="261" stopIfTrue="1">
      <formula>AND(Z44&lt;&gt;0, NOT(ISTEXT(Y44)))</formula>
    </cfRule>
    <cfRule type="cellIs" dxfId="2886" priority="262" stopIfTrue="1" operator="lessThan">
      <formula>0</formula>
    </cfRule>
  </conditionalFormatting>
  <conditionalFormatting sqref="Z24">
    <cfRule type="expression" dxfId="2885" priority="259" stopIfTrue="1">
      <formula>AND(Z24&lt;&gt;0, NOT(ISTEXT(Y24)))</formula>
    </cfRule>
    <cfRule type="cellIs" dxfId="2884" priority="260" stopIfTrue="1" operator="lessThan">
      <formula>0</formula>
    </cfRule>
  </conditionalFormatting>
  <conditionalFormatting sqref="Z25">
    <cfRule type="expression" dxfId="2883" priority="257" stopIfTrue="1">
      <formula>AND(Z25&lt;&gt;0, NOT(ISTEXT(Y25)))</formula>
    </cfRule>
    <cfRule type="cellIs" dxfId="2882" priority="258" stopIfTrue="1" operator="lessThan">
      <formula>0</formula>
    </cfRule>
  </conditionalFormatting>
  <conditionalFormatting sqref="Z26">
    <cfRule type="expression" dxfId="2881" priority="255" stopIfTrue="1">
      <formula>AND(Z26&lt;&gt;0, NOT(ISTEXT(Y26)))</formula>
    </cfRule>
    <cfRule type="cellIs" dxfId="2880" priority="256" stopIfTrue="1" operator="lessThan">
      <formula>0</formula>
    </cfRule>
  </conditionalFormatting>
  <conditionalFormatting sqref="Z27">
    <cfRule type="expression" dxfId="2879" priority="253" stopIfTrue="1">
      <formula>AND(Z27&lt;&gt;0, NOT(ISTEXT(Y27)))</formula>
    </cfRule>
    <cfRule type="cellIs" dxfId="2878" priority="254" stopIfTrue="1" operator="lessThan">
      <formula>0</formula>
    </cfRule>
  </conditionalFormatting>
  <conditionalFormatting sqref="Z28">
    <cfRule type="expression" dxfId="2877" priority="251" stopIfTrue="1">
      <formula>AND(Z28&lt;&gt;0, NOT(ISTEXT(Y28)))</formula>
    </cfRule>
    <cfRule type="cellIs" dxfId="2876" priority="252" stopIfTrue="1" operator="lessThan">
      <formula>0</formula>
    </cfRule>
  </conditionalFormatting>
  <conditionalFormatting sqref="Z29">
    <cfRule type="expression" dxfId="2875" priority="249" stopIfTrue="1">
      <formula>AND(Z29&lt;&gt;0, NOT(ISTEXT(Y29)))</formula>
    </cfRule>
    <cfRule type="cellIs" dxfId="2874" priority="250" stopIfTrue="1" operator="lessThan">
      <formula>0</formula>
    </cfRule>
  </conditionalFormatting>
  <conditionalFormatting sqref="Z30">
    <cfRule type="expression" dxfId="2873" priority="247" stopIfTrue="1">
      <formula>AND(Z30&lt;&gt;0, NOT(ISTEXT(Y30)))</formula>
    </cfRule>
    <cfRule type="cellIs" dxfId="2872" priority="248" stopIfTrue="1" operator="lessThan">
      <formula>0</formula>
    </cfRule>
  </conditionalFormatting>
  <conditionalFormatting sqref="Z31">
    <cfRule type="expression" dxfId="2871" priority="245" stopIfTrue="1">
      <formula>AND(Z31&lt;&gt;0, NOT(ISTEXT(Y31)))</formula>
    </cfRule>
    <cfRule type="cellIs" dxfId="2870" priority="246" stopIfTrue="1" operator="lessThan">
      <formula>0</formula>
    </cfRule>
  </conditionalFormatting>
  <conditionalFormatting sqref="Z32">
    <cfRule type="expression" dxfId="2869" priority="243" stopIfTrue="1">
      <formula>AND(Z32&lt;&gt;0, NOT(ISTEXT(Y32)))</formula>
    </cfRule>
    <cfRule type="cellIs" dxfId="2868" priority="244" stopIfTrue="1" operator="lessThan">
      <formula>0</formula>
    </cfRule>
  </conditionalFormatting>
  <conditionalFormatting sqref="Z33">
    <cfRule type="expression" dxfId="2867" priority="241" stopIfTrue="1">
      <formula>AND(Z33&lt;&gt;0, NOT(ISTEXT(Y33)))</formula>
    </cfRule>
    <cfRule type="cellIs" dxfId="2866" priority="242" stopIfTrue="1" operator="lessThan">
      <formula>0</formula>
    </cfRule>
  </conditionalFormatting>
  <conditionalFormatting sqref="Z34">
    <cfRule type="expression" dxfId="2865" priority="239" stopIfTrue="1">
      <formula>AND(Z34&lt;&gt;0, NOT(ISTEXT(Y34)))</formula>
    </cfRule>
    <cfRule type="cellIs" dxfId="2864" priority="240" stopIfTrue="1" operator="lessThan">
      <formula>0</formula>
    </cfRule>
  </conditionalFormatting>
  <conditionalFormatting sqref="Z35">
    <cfRule type="expression" dxfId="2863" priority="237" stopIfTrue="1">
      <formula>AND(Z35&lt;&gt;0, NOT(ISTEXT(Y35)))</formula>
    </cfRule>
    <cfRule type="cellIs" dxfId="2862" priority="238" stopIfTrue="1" operator="lessThan">
      <formula>0</formula>
    </cfRule>
  </conditionalFormatting>
  <conditionalFormatting sqref="Z36">
    <cfRule type="expression" dxfId="2861" priority="235" stopIfTrue="1">
      <formula>AND(Z36&lt;&gt;0, NOT(ISTEXT(Y36)))</formula>
    </cfRule>
    <cfRule type="cellIs" dxfId="2860" priority="236" stopIfTrue="1" operator="lessThan">
      <formula>0</formula>
    </cfRule>
  </conditionalFormatting>
  <conditionalFormatting sqref="Z37">
    <cfRule type="expression" dxfId="2859" priority="233" stopIfTrue="1">
      <formula>AND(Z37&lt;&gt;0, NOT(ISTEXT(Y37)))</formula>
    </cfRule>
    <cfRule type="cellIs" dxfId="2858" priority="234" stopIfTrue="1" operator="lessThan">
      <formula>0</formula>
    </cfRule>
  </conditionalFormatting>
  <conditionalFormatting sqref="Z38">
    <cfRule type="expression" dxfId="2857" priority="231" stopIfTrue="1">
      <formula>AND(Z38&lt;&gt;0, NOT(ISTEXT(Y38)))</formula>
    </cfRule>
    <cfRule type="cellIs" dxfId="2856" priority="232" stopIfTrue="1" operator="lessThan">
      <formula>0</formula>
    </cfRule>
  </conditionalFormatting>
  <conditionalFormatting sqref="Z39">
    <cfRule type="expression" dxfId="2855" priority="229" stopIfTrue="1">
      <formula>AND(Z39&lt;&gt;0, NOT(ISTEXT(Y39)))</formula>
    </cfRule>
    <cfRule type="cellIs" dxfId="2854" priority="230" stopIfTrue="1" operator="lessThan">
      <formula>0</formula>
    </cfRule>
  </conditionalFormatting>
  <conditionalFormatting sqref="Z40">
    <cfRule type="expression" dxfId="2853" priority="227" stopIfTrue="1">
      <formula>AND(Z40&lt;&gt;0, NOT(ISTEXT(Y40)))</formula>
    </cfRule>
    <cfRule type="cellIs" dxfId="2852" priority="228" stopIfTrue="1" operator="lessThan">
      <formula>0</formula>
    </cfRule>
  </conditionalFormatting>
  <conditionalFormatting sqref="Z41">
    <cfRule type="expression" dxfId="2851" priority="225" stopIfTrue="1">
      <formula>AND(Z41&lt;&gt;0, NOT(ISTEXT(Y41)))</formula>
    </cfRule>
    <cfRule type="cellIs" dxfId="2850" priority="226" stopIfTrue="1" operator="lessThan">
      <formula>0</formula>
    </cfRule>
  </conditionalFormatting>
  <conditionalFormatting sqref="Z42">
    <cfRule type="expression" dxfId="2849" priority="223" stopIfTrue="1">
      <formula>AND(Z42&lt;&gt;0, NOT(ISTEXT(Y42)))</formula>
    </cfRule>
    <cfRule type="cellIs" dxfId="2848" priority="224" stopIfTrue="1" operator="lessThan">
      <formula>0</formula>
    </cfRule>
  </conditionalFormatting>
  <conditionalFormatting sqref="Z43">
    <cfRule type="expression" dxfId="2847" priority="221" stopIfTrue="1">
      <formula>AND(Z43&lt;&gt;0, NOT(ISTEXT(Y43)))</formula>
    </cfRule>
    <cfRule type="cellIs" dxfId="2846" priority="222" stopIfTrue="1" operator="lessThan">
      <formula>0</formula>
    </cfRule>
  </conditionalFormatting>
  <conditionalFormatting sqref="N53:O54">
    <cfRule type="containsText" dxfId="2845" priority="219" stopIfTrue="1" operator="containsText" text="הפרש">
      <formula>NOT(ISERROR(SEARCH("הפרש",N53)))</formula>
    </cfRule>
  </conditionalFormatting>
  <conditionalFormatting sqref="Z23:Z44 Q64:Q110 Q7:Q45 J7:J53 D27:D39 C45:C56 J64:J110 D65:D86 C7:D17 Z6:AA16">
    <cfRule type="expression" dxfId="2844" priority="217" stopIfTrue="1">
      <formula>ISTEXT(C6)</formula>
    </cfRule>
  </conditionalFormatting>
  <conditionalFormatting sqref="C7">
    <cfRule type="expression" dxfId="2843" priority="215" stopIfTrue="1">
      <formula>AND(C7&lt;&gt;0, NOT(ISTEXT(B7)))</formula>
    </cfRule>
    <cfRule type="cellIs" dxfId="2842" priority="216" stopIfTrue="1" operator="lessThan">
      <formula>0</formula>
    </cfRule>
  </conditionalFormatting>
  <conditionalFormatting sqref="C8">
    <cfRule type="expression" dxfId="2841" priority="213" stopIfTrue="1">
      <formula>AND(C8&lt;&gt;0, NOT(ISTEXT(B8)))</formula>
    </cfRule>
    <cfRule type="cellIs" dxfId="2840" priority="214" stopIfTrue="1" operator="lessThan">
      <formula>0</formula>
    </cfRule>
  </conditionalFormatting>
  <conditionalFormatting sqref="C9">
    <cfRule type="expression" dxfId="2839" priority="211" stopIfTrue="1">
      <formula>AND(C9&lt;&gt;0, NOT(ISTEXT(B9)))</formula>
    </cfRule>
    <cfRule type="cellIs" dxfId="2838" priority="212" stopIfTrue="1" operator="lessThan">
      <formula>0</formula>
    </cfRule>
  </conditionalFormatting>
  <conditionalFormatting sqref="C10">
    <cfRule type="expression" dxfId="2837" priority="209" stopIfTrue="1">
      <formula>AND(C10&lt;&gt;0, NOT(ISTEXT(B10)))</formula>
    </cfRule>
    <cfRule type="cellIs" dxfId="2836" priority="210" stopIfTrue="1" operator="lessThan">
      <formula>0</formula>
    </cfRule>
  </conditionalFormatting>
  <conditionalFormatting sqref="C11">
    <cfRule type="expression" dxfId="2835" priority="207" stopIfTrue="1">
      <formula>AND(C11&lt;&gt;0, NOT(ISTEXT(B11)))</formula>
    </cfRule>
    <cfRule type="cellIs" dxfId="2834" priority="208" stopIfTrue="1" operator="lessThan">
      <formula>0</formula>
    </cfRule>
  </conditionalFormatting>
  <conditionalFormatting sqref="C12">
    <cfRule type="expression" dxfId="2833" priority="205" stopIfTrue="1">
      <formula>AND(C12&lt;&gt;0, NOT(ISTEXT(B12)))</formula>
    </cfRule>
    <cfRule type="cellIs" dxfId="2832" priority="206" stopIfTrue="1" operator="lessThan">
      <formula>0</formula>
    </cfRule>
  </conditionalFormatting>
  <conditionalFormatting sqref="C13">
    <cfRule type="expression" dxfId="2831" priority="203" stopIfTrue="1">
      <formula>AND(C13&lt;&gt;0, NOT(ISTEXT(B13)))</formula>
    </cfRule>
    <cfRule type="cellIs" dxfId="2830" priority="204" stopIfTrue="1" operator="lessThan">
      <formula>0</formula>
    </cfRule>
  </conditionalFormatting>
  <conditionalFormatting sqref="C14">
    <cfRule type="expression" dxfId="2829" priority="201" stopIfTrue="1">
      <formula>AND(C14&lt;&gt;0, NOT(ISTEXT(B14)))</formula>
    </cfRule>
    <cfRule type="cellIs" dxfId="2828" priority="202" stopIfTrue="1" operator="lessThan">
      <formula>0</formula>
    </cfRule>
  </conditionalFormatting>
  <conditionalFormatting sqref="C15">
    <cfRule type="expression" dxfId="2827" priority="199" stopIfTrue="1">
      <formula>AND(C15&lt;&gt;0, NOT(ISTEXT(B15)))</formula>
    </cfRule>
    <cfRule type="cellIs" dxfId="2826" priority="200" stopIfTrue="1" operator="lessThan">
      <formula>0</formula>
    </cfRule>
  </conditionalFormatting>
  <conditionalFormatting sqref="C16">
    <cfRule type="expression" dxfId="2825" priority="197" stopIfTrue="1">
      <formula>AND(C16&lt;&gt;0, NOT(ISTEXT(B16)))</formula>
    </cfRule>
    <cfRule type="cellIs" dxfId="2824" priority="198" stopIfTrue="1" operator="lessThan">
      <formula>0</formula>
    </cfRule>
  </conditionalFormatting>
  <conditionalFormatting sqref="C17">
    <cfRule type="expression" dxfId="2823" priority="195" stopIfTrue="1">
      <formula>AND(C17&lt;&gt;0, NOT(ISTEXT(B17)))</formula>
    </cfRule>
    <cfRule type="cellIs" dxfId="2822" priority="196" stopIfTrue="1" operator="lessThan">
      <formula>0</formula>
    </cfRule>
  </conditionalFormatting>
  <conditionalFormatting sqref="C7">
    <cfRule type="expression" dxfId="2821" priority="192" stopIfTrue="1">
      <formula>AND(C7&lt;&gt;0, NOT(ISTEXT(B7)))</formula>
    </cfRule>
    <cfRule type="cellIs" dxfId="2820" priority="193" stopIfTrue="1" operator="lessThan">
      <formula>0</formula>
    </cfRule>
  </conditionalFormatting>
  <conditionalFormatting sqref="C8">
    <cfRule type="expression" dxfId="2819" priority="190" stopIfTrue="1">
      <formula>AND(C8&lt;&gt;0, NOT(ISTEXT(B8)))</formula>
    </cfRule>
    <cfRule type="cellIs" dxfId="2818" priority="191" stopIfTrue="1" operator="lessThan">
      <formula>0</formula>
    </cfRule>
  </conditionalFormatting>
  <conditionalFormatting sqref="C9">
    <cfRule type="expression" dxfId="2817" priority="188" stopIfTrue="1">
      <formula>AND(C9&lt;&gt;0, NOT(ISTEXT(B9)))</formula>
    </cfRule>
    <cfRule type="cellIs" dxfId="2816" priority="189" stopIfTrue="1" operator="lessThan">
      <formula>0</formula>
    </cfRule>
  </conditionalFormatting>
  <conditionalFormatting sqref="C10">
    <cfRule type="expression" dxfId="2815" priority="186" stopIfTrue="1">
      <formula>AND(C10&lt;&gt;0, NOT(ISTEXT(B10)))</formula>
    </cfRule>
    <cfRule type="cellIs" dxfId="2814" priority="187" stopIfTrue="1" operator="lessThan">
      <formula>0</formula>
    </cfRule>
  </conditionalFormatting>
  <conditionalFormatting sqref="C11">
    <cfRule type="expression" dxfId="2813" priority="184" stopIfTrue="1">
      <formula>AND(C11&lt;&gt;0, NOT(ISTEXT(B11)))</formula>
    </cfRule>
    <cfRule type="cellIs" dxfId="2812" priority="185" stopIfTrue="1" operator="lessThan">
      <formula>0</formula>
    </cfRule>
  </conditionalFormatting>
  <conditionalFormatting sqref="C12">
    <cfRule type="expression" dxfId="2811" priority="182" stopIfTrue="1">
      <formula>AND(C12&lt;&gt;0, NOT(ISTEXT(B12)))</formula>
    </cfRule>
    <cfRule type="cellIs" dxfId="2810" priority="183" stopIfTrue="1" operator="lessThan">
      <formula>0</formula>
    </cfRule>
  </conditionalFormatting>
  <conditionalFormatting sqref="C13">
    <cfRule type="expression" dxfId="2809" priority="180" stopIfTrue="1">
      <formula>AND(C13&lt;&gt;0, NOT(ISTEXT(B13)))</formula>
    </cfRule>
    <cfRule type="cellIs" dxfId="2808" priority="181" stopIfTrue="1" operator="lessThan">
      <formula>0</formula>
    </cfRule>
  </conditionalFormatting>
  <conditionalFormatting sqref="C14">
    <cfRule type="expression" dxfId="2807" priority="178" stopIfTrue="1">
      <formula>AND(C14&lt;&gt;0, NOT(ISTEXT(B14)))</formula>
    </cfRule>
    <cfRule type="cellIs" dxfId="2806" priority="179" stopIfTrue="1" operator="lessThan">
      <formula>0</formula>
    </cfRule>
  </conditionalFormatting>
  <conditionalFormatting sqref="C15">
    <cfRule type="expression" dxfId="2805" priority="176" stopIfTrue="1">
      <formula>AND(C15&lt;&gt;0, NOT(ISTEXT(B15)))</formula>
    </cfRule>
    <cfRule type="cellIs" dxfId="2804" priority="177" stopIfTrue="1" operator="lessThan">
      <formula>0</formula>
    </cfRule>
  </conditionalFormatting>
  <conditionalFormatting sqref="C16">
    <cfRule type="expression" dxfId="2803" priority="174" stopIfTrue="1">
      <formula>AND(C16&lt;&gt;0, NOT(ISTEXT(B16)))</formula>
    </cfRule>
    <cfRule type="cellIs" dxfId="2802" priority="175" stopIfTrue="1" operator="lessThan">
      <formula>0</formula>
    </cfRule>
  </conditionalFormatting>
  <conditionalFormatting sqref="C17">
    <cfRule type="expression" dxfId="2801" priority="172" stopIfTrue="1">
      <formula>AND(C17&lt;&gt;0, NOT(ISTEXT(B17)))</formula>
    </cfRule>
    <cfRule type="cellIs" dxfId="2800" priority="173" stopIfTrue="1" operator="lessThan">
      <formula>0</formula>
    </cfRule>
  </conditionalFormatting>
  <conditionalFormatting sqref="C45">
    <cfRule type="expression" dxfId="2799" priority="169" stopIfTrue="1">
      <formula>AND(C45&lt;&gt;0, NOT(ISTEXT(B45)))</formula>
    </cfRule>
    <cfRule type="cellIs" dxfId="2798" priority="170" stopIfTrue="1" operator="lessThan">
      <formula>0</formula>
    </cfRule>
  </conditionalFormatting>
  <conditionalFormatting sqref="C56">
    <cfRule type="expression" dxfId="2797" priority="167" stopIfTrue="1">
      <formula>AND(C56&lt;&gt;0, NOT(ISTEXT(B56)))</formula>
    </cfRule>
    <cfRule type="cellIs" dxfId="2796" priority="168" stopIfTrue="1" operator="lessThan">
      <formula>0</formula>
    </cfRule>
  </conditionalFormatting>
  <conditionalFormatting sqref="C46">
    <cfRule type="expression" dxfId="2795" priority="165" stopIfTrue="1">
      <formula>AND(C46&lt;&gt;0, NOT(ISTEXT(B46)))</formula>
    </cfRule>
    <cfRule type="cellIs" dxfId="2794" priority="166" stopIfTrue="1" operator="lessThan">
      <formula>0</formula>
    </cfRule>
  </conditionalFormatting>
  <conditionalFormatting sqref="C47">
    <cfRule type="expression" dxfId="2793" priority="163" stopIfTrue="1">
      <formula>AND(C47&lt;&gt;0, NOT(ISTEXT(B47)))</formula>
    </cfRule>
    <cfRule type="cellIs" dxfId="2792" priority="164" stopIfTrue="1" operator="lessThan">
      <formula>0</formula>
    </cfRule>
  </conditionalFormatting>
  <conditionalFormatting sqref="C48">
    <cfRule type="expression" dxfId="2791" priority="161" stopIfTrue="1">
      <formula>AND(C48&lt;&gt;0, NOT(ISTEXT(B48)))</formula>
    </cfRule>
    <cfRule type="cellIs" dxfId="2790" priority="162" stopIfTrue="1" operator="lessThan">
      <formula>0</formula>
    </cfRule>
  </conditionalFormatting>
  <conditionalFormatting sqref="C49">
    <cfRule type="expression" dxfId="2789" priority="159" stopIfTrue="1">
      <formula>AND(C49&lt;&gt;0, NOT(ISTEXT(B49)))</formula>
    </cfRule>
    <cfRule type="cellIs" dxfId="2788" priority="160" stopIfTrue="1" operator="lessThan">
      <formula>0</formula>
    </cfRule>
  </conditionalFormatting>
  <conditionalFormatting sqref="C50">
    <cfRule type="expression" dxfId="2787" priority="157" stopIfTrue="1">
      <formula>AND(C50&lt;&gt;0, NOT(ISTEXT(B50)))</formula>
    </cfRule>
    <cfRule type="cellIs" dxfId="2786" priority="158" stopIfTrue="1" operator="lessThan">
      <formula>0</formula>
    </cfRule>
  </conditionalFormatting>
  <conditionalFormatting sqref="C51">
    <cfRule type="expression" dxfId="2785" priority="155" stopIfTrue="1">
      <formula>AND(C51&lt;&gt;0, NOT(ISTEXT(B51)))</formula>
    </cfRule>
    <cfRule type="cellIs" dxfId="2784" priority="156" stopIfTrue="1" operator="lessThan">
      <formula>0</formula>
    </cfRule>
  </conditionalFormatting>
  <conditionalFormatting sqref="C52">
    <cfRule type="expression" dxfId="2783" priority="153" stopIfTrue="1">
      <formula>AND(C52&lt;&gt;0, NOT(ISTEXT(B52)))</formula>
    </cfRule>
    <cfRule type="cellIs" dxfId="2782" priority="154" stopIfTrue="1" operator="lessThan">
      <formula>0</formula>
    </cfRule>
  </conditionalFormatting>
  <conditionalFormatting sqref="C53">
    <cfRule type="expression" dxfId="2781" priority="151" stopIfTrue="1">
      <formula>AND(C53&lt;&gt;0, NOT(ISTEXT(B53)))</formula>
    </cfRule>
    <cfRule type="cellIs" dxfId="2780" priority="152" stopIfTrue="1" operator="lessThan">
      <formula>0</formula>
    </cfRule>
  </conditionalFormatting>
  <conditionalFormatting sqref="C54">
    <cfRule type="expression" dxfId="2779" priority="149" stopIfTrue="1">
      <formula>AND(C54&lt;&gt;0, NOT(ISTEXT(B54)))</formula>
    </cfRule>
    <cfRule type="cellIs" dxfId="2778" priority="150" stopIfTrue="1" operator="lessThan">
      <formula>0</formula>
    </cfRule>
  </conditionalFormatting>
  <conditionalFormatting sqref="C55">
    <cfRule type="expression" dxfId="2777" priority="147" stopIfTrue="1">
      <formula>AND(C55&lt;&gt;0, NOT(ISTEXT(B55)))</formula>
    </cfRule>
    <cfRule type="cellIs" dxfId="2776" priority="148" stopIfTrue="1" operator="lessThan">
      <formula>0</formula>
    </cfRule>
  </conditionalFormatting>
  <conditionalFormatting sqref="Z6">
    <cfRule type="expression" dxfId="2775" priority="144" stopIfTrue="1">
      <formula>AND(Z6&lt;&gt;0, NOT(ISTEXT(Y6)))</formula>
    </cfRule>
    <cfRule type="cellIs" dxfId="2774" priority="145" stopIfTrue="1" operator="lessThan">
      <formula>0</formula>
    </cfRule>
  </conditionalFormatting>
  <conditionalFormatting sqref="Z16">
    <cfRule type="expression" dxfId="2773" priority="142" stopIfTrue="1">
      <formula>AND(Z16&lt;&gt;0, NOT(ISTEXT(Y16)))</formula>
    </cfRule>
    <cfRule type="cellIs" dxfId="2772" priority="143" stopIfTrue="1" operator="lessThan">
      <formula>0</formula>
    </cfRule>
  </conditionalFormatting>
  <conditionalFormatting sqref="Z7">
    <cfRule type="expression" dxfId="2771" priority="140" stopIfTrue="1">
      <formula>AND(Z7&lt;&gt;0, NOT(ISTEXT(Y7)))</formula>
    </cfRule>
    <cfRule type="cellIs" dxfId="2770" priority="141" stopIfTrue="1" operator="lessThan">
      <formula>0</formula>
    </cfRule>
  </conditionalFormatting>
  <conditionalFormatting sqref="Z8">
    <cfRule type="expression" dxfId="2769" priority="138" stopIfTrue="1">
      <formula>AND(Z8&lt;&gt;0, NOT(ISTEXT(Y8)))</formula>
    </cfRule>
    <cfRule type="cellIs" dxfId="2768" priority="139" stopIfTrue="1" operator="lessThan">
      <formula>0</formula>
    </cfRule>
  </conditionalFormatting>
  <conditionalFormatting sqref="Z9">
    <cfRule type="expression" dxfId="2767" priority="136" stopIfTrue="1">
      <formula>AND(Z9&lt;&gt;0, NOT(ISTEXT(Y9)))</formula>
    </cfRule>
    <cfRule type="cellIs" dxfId="2766" priority="137" stopIfTrue="1" operator="lessThan">
      <formula>0</formula>
    </cfRule>
  </conditionalFormatting>
  <conditionalFormatting sqref="Z10">
    <cfRule type="expression" dxfId="2765" priority="134" stopIfTrue="1">
      <formula>AND(Z10&lt;&gt;0, NOT(ISTEXT(Y10)))</formula>
    </cfRule>
    <cfRule type="cellIs" dxfId="2764" priority="135" stopIfTrue="1" operator="lessThan">
      <formula>0</formula>
    </cfRule>
  </conditionalFormatting>
  <conditionalFormatting sqref="Z11">
    <cfRule type="expression" dxfId="2763" priority="132" stopIfTrue="1">
      <formula>AND(Z11&lt;&gt;0, NOT(ISTEXT(Y11)))</formula>
    </cfRule>
    <cfRule type="cellIs" dxfId="2762" priority="133" stopIfTrue="1" operator="lessThan">
      <formula>0</formula>
    </cfRule>
  </conditionalFormatting>
  <conditionalFormatting sqref="Z12">
    <cfRule type="expression" dxfId="2761" priority="130" stopIfTrue="1">
      <formula>AND(Z12&lt;&gt;0, NOT(ISTEXT(Y12)))</formula>
    </cfRule>
    <cfRule type="cellIs" dxfId="2760" priority="131" stopIfTrue="1" operator="lessThan">
      <formula>0</formula>
    </cfRule>
  </conditionalFormatting>
  <conditionalFormatting sqref="Z13">
    <cfRule type="expression" dxfId="2759" priority="128" stopIfTrue="1">
      <formula>AND(Z13&lt;&gt;0, NOT(ISTEXT(Y13)))</formula>
    </cfRule>
    <cfRule type="cellIs" dxfId="2758" priority="129" stopIfTrue="1" operator="lessThan">
      <formula>0</formula>
    </cfRule>
  </conditionalFormatting>
  <conditionalFormatting sqref="Z14">
    <cfRule type="expression" dxfId="2757" priority="126" stopIfTrue="1">
      <formula>AND(Z14&lt;&gt;0, NOT(ISTEXT(Y14)))</formula>
    </cfRule>
    <cfRule type="cellIs" dxfId="2756" priority="127" stopIfTrue="1" operator="lessThan">
      <formula>0</formula>
    </cfRule>
  </conditionalFormatting>
  <conditionalFormatting sqref="Z15">
    <cfRule type="expression" dxfId="2755" priority="124" stopIfTrue="1">
      <formula>AND(Z15&lt;&gt;0, NOT(ISTEXT(Y15)))</formula>
    </cfRule>
    <cfRule type="cellIs" dxfId="2754" priority="125" stopIfTrue="1" operator="lessThan">
      <formula>0</formula>
    </cfRule>
  </conditionalFormatting>
  <conditionalFormatting sqref="Z23">
    <cfRule type="expression" dxfId="2753" priority="121" stopIfTrue="1">
      <formula>AND(Z23&lt;&gt;0, NOT(ISTEXT(Y23)))</formula>
    </cfRule>
    <cfRule type="cellIs" dxfId="2752" priority="122" stopIfTrue="1" operator="lessThan">
      <formula>0</formula>
    </cfRule>
  </conditionalFormatting>
  <conditionalFormatting sqref="Z44">
    <cfRule type="expression" dxfId="2751" priority="119" stopIfTrue="1">
      <formula>AND(Z44&lt;&gt;0, NOT(ISTEXT(Y44)))</formula>
    </cfRule>
    <cfRule type="cellIs" dxfId="2750" priority="120" stopIfTrue="1" operator="lessThan">
      <formula>0</formula>
    </cfRule>
  </conditionalFormatting>
  <conditionalFormatting sqref="Z24">
    <cfRule type="expression" dxfId="2749" priority="117" stopIfTrue="1">
      <formula>AND(Z24&lt;&gt;0, NOT(ISTEXT(Y24)))</formula>
    </cfRule>
    <cfRule type="cellIs" dxfId="2748" priority="118" stopIfTrue="1" operator="lessThan">
      <formula>0</formula>
    </cfRule>
  </conditionalFormatting>
  <conditionalFormatting sqref="Z25">
    <cfRule type="expression" dxfId="2747" priority="115" stopIfTrue="1">
      <formula>AND(Z25&lt;&gt;0, NOT(ISTEXT(Y25)))</formula>
    </cfRule>
    <cfRule type="cellIs" dxfId="2746" priority="116" stopIfTrue="1" operator="lessThan">
      <formula>0</formula>
    </cfRule>
  </conditionalFormatting>
  <conditionalFormatting sqref="Z26">
    <cfRule type="expression" dxfId="2745" priority="113" stopIfTrue="1">
      <formula>AND(Z26&lt;&gt;0, NOT(ISTEXT(Y26)))</formula>
    </cfRule>
    <cfRule type="cellIs" dxfId="2744" priority="114" stopIfTrue="1" operator="lessThan">
      <formula>0</formula>
    </cfRule>
  </conditionalFormatting>
  <conditionalFormatting sqref="Z27">
    <cfRule type="expression" dxfId="2743" priority="111" stopIfTrue="1">
      <formula>AND(Z27&lt;&gt;0, NOT(ISTEXT(Y27)))</formula>
    </cfRule>
    <cfRule type="cellIs" dxfId="2742" priority="112" stopIfTrue="1" operator="lessThan">
      <formula>0</formula>
    </cfRule>
  </conditionalFormatting>
  <conditionalFormatting sqref="Z28">
    <cfRule type="expression" dxfId="2741" priority="109" stopIfTrue="1">
      <formula>AND(Z28&lt;&gt;0, NOT(ISTEXT(Y28)))</formula>
    </cfRule>
    <cfRule type="cellIs" dxfId="2740" priority="110" stopIfTrue="1" operator="lessThan">
      <formula>0</formula>
    </cfRule>
  </conditionalFormatting>
  <conditionalFormatting sqref="Z29">
    <cfRule type="expression" dxfId="2739" priority="107" stopIfTrue="1">
      <formula>AND(Z29&lt;&gt;0, NOT(ISTEXT(Y29)))</formula>
    </cfRule>
    <cfRule type="cellIs" dxfId="2738" priority="108" stopIfTrue="1" operator="lessThan">
      <formula>0</formula>
    </cfRule>
  </conditionalFormatting>
  <conditionalFormatting sqref="Z30">
    <cfRule type="expression" dxfId="2737" priority="105" stopIfTrue="1">
      <formula>AND(Z30&lt;&gt;0, NOT(ISTEXT(Y30)))</formula>
    </cfRule>
    <cfRule type="cellIs" dxfId="2736" priority="106" stopIfTrue="1" operator="lessThan">
      <formula>0</formula>
    </cfRule>
  </conditionalFormatting>
  <conditionalFormatting sqref="Z31">
    <cfRule type="expression" dxfId="2735" priority="103" stopIfTrue="1">
      <formula>AND(Z31&lt;&gt;0, NOT(ISTEXT(Y31)))</formula>
    </cfRule>
    <cfRule type="cellIs" dxfId="2734" priority="104" stopIfTrue="1" operator="lessThan">
      <formula>0</formula>
    </cfRule>
  </conditionalFormatting>
  <conditionalFormatting sqref="Z32">
    <cfRule type="expression" dxfId="2733" priority="101" stopIfTrue="1">
      <formula>AND(Z32&lt;&gt;0, NOT(ISTEXT(Y32)))</formula>
    </cfRule>
    <cfRule type="cellIs" dxfId="2732" priority="102" stopIfTrue="1" operator="lessThan">
      <formula>0</formula>
    </cfRule>
  </conditionalFormatting>
  <conditionalFormatting sqref="Z33">
    <cfRule type="expression" dxfId="2731" priority="99" stopIfTrue="1">
      <formula>AND(Z33&lt;&gt;0, NOT(ISTEXT(Y33)))</formula>
    </cfRule>
    <cfRule type="cellIs" dxfId="2730" priority="100" stopIfTrue="1" operator="lessThan">
      <formula>0</formula>
    </cfRule>
  </conditionalFormatting>
  <conditionalFormatting sqref="Z34">
    <cfRule type="expression" dxfId="2729" priority="97" stopIfTrue="1">
      <formula>AND(Z34&lt;&gt;0, NOT(ISTEXT(Y34)))</formula>
    </cfRule>
    <cfRule type="cellIs" dxfId="2728" priority="98" stopIfTrue="1" operator="lessThan">
      <formula>0</formula>
    </cfRule>
  </conditionalFormatting>
  <conditionalFormatting sqref="Z35">
    <cfRule type="expression" dxfId="2727" priority="95" stopIfTrue="1">
      <formula>AND(Z35&lt;&gt;0, NOT(ISTEXT(Y35)))</formula>
    </cfRule>
    <cfRule type="cellIs" dxfId="2726" priority="96" stopIfTrue="1" operator="lessThan">
      <formula>0</formula>
    </cfRule>
  </conditionalFormatting>
  <conditionalFormatting sqref="Z36">
    <cfRule type="expression" dxfId="2725" priority="93" stopIfTrue="1">
      <formula>AND(Z36&lt;&gt;0, NOT(ISTEXT(Y36)))</formula>
    </cfRule>
    <cfRule type="cellIs" dxfId="2724" priority="94" stopIfTrue="1" operator="lessThan">
      <formula>0</formula>
    </cfRule>
  </conditionalFormatting>
  <conditionalFormatting sqref="Z37">
    <cfRule type="expression" dxfId="2723" priority="91" stopIfTrue="1">
      <formula>AND(Z37&lt;&gt;0, NOT(ISTEXT(Y37)))</formula>
    </cfRule>
    <cfRule type="cellIs" dxfId="2722" priority="92" stopIfTrue="1" operator="lessThan">
      <formula>0</formula>
    </cfRule>
  </conditionalFormatting>
  <conditionalFormatting sqref="Z38">
    <cfRule type="expression" dxfId="2721" priority="89" stopIfTrue="1">
      <formula>AND(Z38&lt;&gt;0, NOT(ISTEXT(Y38)))</formula>
    </cfRule>
    <cfRule type="cellIs" dxfId="2720" priority="90" stopIfTrue="1" operator="lessThan">
      <formula>0</formula>
    </cfRule>
  </conditionalFormatting>
  <conditionalFormatting sqref="Z39">
    <cfRule type="expression" dxfId="2719" priority="87" stopIfTrue="1">
      <formula>AND(Z39&lt;&gt;0, NOT(ISTEXT(Y39)))</formula>
    </cfRule>
    <cfRule type="cellIs" dxfId="2718" priority="88" stopIfTrue="1" operator="lessThan">
      <formula>0</formula>
    </cfRule>
  </conditionalFormatting>
  <conditionalFormatting sqref="Z40">
    <cfRule type="expression" dxfId="2717" priority="85" stopIfTrue="1">
      <formula>AND(Z40&lt;&gt;0, NOT(ISTEXT(Y40)))</formula>
    </cfRule>
    <cfRule type="cellIs" dxfId="2716" priority="86" stopIfTrue="1" operator="lessThan">
      <formula>0</formula>
    </cfRule>
  </conditionalFormatting>
  <conditionalFormatting sqref="Z41">
    <cfRule type="expression" dxfId="2715" priority="83" stopIfTrue="1">
      <formula>AND(Z41&lt;&gt;0, NOT(ISTEXT(Y41)))</formula>
    </cfRule>
    <cfRule type="cellIs" dxfId="2714" priority="84" stopIfTrue="1" operator="lessThan">
      <formula>0</formula>
    </cfRule>
  </conditionalFormatting>
  <conditionalFormatting sqref="Z42">
    <cfRule type="expression" dxfId="2713" priority="81" stopIfTrue="1">
      <formula>AND(Z42&lt;&gt;0, NOT(ISTEXT(Y42)))</formula>
    </cfRule>
    <cfRule type="cellIs" dxfId="2712" priority="82" stopIfTrue="1" operator="lessThan">
      <formula>0</formula>
    </cfRule>
  </conditionalFormatting>
  <conditionalFormatting sqref="Z43">
    <cfRule type="expression" dxfId="2711" priority="79" stopIfTrue="1">
      <formula>AND(Z43&lt;&gt;0, NOT(ISTEXT(Y43)))</formula>
    </cfRule>
    <cfRule type="cellIs" dxfId="2710" priority="80" stopIfTrue="1" operator="lessThan">
      <formula>0</formula>
    </cfRule>
  </conditionalFormatting>
  <conditionalFormatting sqref="D7:D17 D27:D39 AA6:AA16">
    <cfRule type="expression" dxfId="2709" priority="71" stopIfTrue="1">
      <formula>AND(D6&lt;&gt;0,NOT(ISTEXT(B6)))</formula>
    </cfRule>
  </conditionalFormatting>
  <conditionalFormatting sqref="C65">
    <cfRule type="expression" dxfId="2708" priority="67" stopIfTrue="1">
      <formula>AND(C65&lt;&gt;0, NOT(ISTEXT(B65)))</formula>
    </cfRule>
    <cfRule type="cellIs" dxfId="2707" priority="68" stopIfTrue="1" operator="lessThan">
      <formula>0</formula>
    </cfRule>
  </conditionalFormatting>
  <conditionalFormatting sqref="C77">
    <cfRule type="expression" dxfId="2706" priority="65" stopIfTrue="1">
      <formula>AND(C77&lt;&gt;0, NOT(ISTEXT(B77)))</formula>
    </cfRule>
    <cfRule type="cellIs" dxfId="2705" priority="66" stopIfTrue="1" operator="lessThan">
      <formula>0</formula>
    </cfRule>
  </conditionalFormatting>
  <conditionalFormatting sqref="C66">
    <cfRule type="expression" dxfId="2704" priority="63" stopIfTrue="1">
      <formula>AND(C66&lt;&gt;0, NOT(ISTEXT(B66)))</formula>
    </cfRule>
    <cfRule type="cellIs" dxfId="2703" priority="64" stopIfTrue="1" operator="lessThan">
      <formula>0</formula>
    </cfRule>
  </conditionalFormatting>
  <conditionalFormatting sqref="C67">
    <cfRule type="expression" dxfId="2702" priority="61" stopIfTrue="1">
      <formula>AND(C67&lt;&gt;0, NOT(ISTEXT(B67)))</formula>
    </cfRule>
    <cfRule type="cellIs" dxfId="2701" priority="62" stopIfTrue="1" operator="lessThan">
      <formula>0</formula>
    </cfRule>
  </conditionalFormatting>
  <conditionalFormatting sqref="C68">
    <cfRule type="expression" dxfId="2700" priority="59" stopIfTrue="1">
      <formula>AND(C68&lt;&gt;0, NOT(ISTEXT(B68)))</formula>
    </cfRule>
    <cfRule type="cellIs" dxfId="2699" priority="60" stopIfTrue="1" operator="lessThan">
      <formula>0</formula>
    </cfRule>
  </conditionalFormatting>
  <conditionalFormatting sqref="C69">
    <cfRule type="expression" dxfId="2698" priority="57" stopIfTrue="1">
      <formula>AND(C69&lt;&gt;0, NOT(ISTEXT(B69)))</formula>
    </cfRule>
    <cfRule type="cellIs" dxfId="2697" priority="58" stopIfTrue="1" operator="lessThan">
      <formula>0</formula>
    </cfRule>
  </conditionalFormatting>
  <conditionalFormatting sqref="C70">
    <cfRule type="expression" dxfId="2696" priority="55" stopIfTrue="1">
      <formula>AND(C70&lt;&gt;0, NOT(ISTEXT(B70)))</formula>
    </cfRule>
    <cfRule type="cellIs" dxfId="2695" priority="56" stopIfTrue="1" operator="lessThan">
      <formula>0</formula>
    </cfRule>
  </conditionalFormatting>
  <conditionalFormatting sqref="C71">
    <cfRule type="expression" dxfId="2694" priority="53" stopIfTrue="1">
      <formula>AND(C71&lt;&gt;0, NOT(ISTEXT(B71)))</formula>
    </cfRule>
    <cfRule type="cellIs" dxfId="2693" priority="54" stopIfTrue="1" operator="lessThan">
      <formula>0</formula>
    </cfRule>
  </conditionalFormatting>
  <conditionalFormatting sqref="C72">
    <cfRule type="expression" dxfId="2692" priority="51" stopIfTrue="1">
      <formula>AND(C72&lt;&gt;0, NOT(ISTEXT(B72)))</formula>
    </cfRule>
    <cfRule type="cellIs" dxfId="2691" priority="52" stopIfTrue="1" operator="lessThan">
      <formula>0</formula>
    </cfRule>
  </conditionalFormatting>
  <conditionalFormatting sqref="C73">
    <cfRule type="expression" dxfId="2690" priority="49" stopIfTrue="1">
      <formula>AND(C73&lt;&gt;0, NOT(ISTEXT(B73)))</formula>
    </cfRule>
    <cfRule type="cellIs" dxfId="2689" priority="50" stopIfTrue="1" operator="lessThan">
      <formula>0</formula>
    </cfRule>
  </conditionalFormatting>
  <conditionalFormatting sqref="C74">
    <cfRule type="expression" dxfId="2688" priority="47" stopIfTrue="1">
      <formula>AND(C74&lt;&gt;0, NOT(ISTEXT(B74)))</formula>
    </cfRule>
    <cfRule type="cellIs" dxfId="2687" priority="48" stopIfTrue="1" operator="lessThan">
      <formula>0</formula>
    </cfRule>
  </conditionalFormatting>
  <conditionalFormatting sqref="C75">
    <cfRule type="expression" dxfId="2686" priority="45" stopIfTrue="1">
      <formula>AND(C75&lt;&gt;0, NOT(ISTEXT(B75)))</formula>
    </cfRule>
    <cfRule type="cellIs" dxfId="2685" priority="46" stopIfTrue="1" operator="lessThan">
      <formula>0</formula>
    </cfRule>
  </conditionalFormatting>
  <conditionalFormatting sqref="C76">
    <cfRule type="expression" dxfId="2684" priority="43" stopIfTrue="1">
      <formula>AND(C76&lt;&gt;0, NOT(ISTEXT(B76)))</formula>
    </cfRule>
    <cfRule type="cellIs" dxfId="2683" priority="44" stopIfTrue="1" operator="lessThan">
      <formula>0</formula>
    </cfRule>
  </conditionalFormatting>
  <conditionalFormatting sqref="D65:D77">
    <cfRule type="expression" dxfId="2682" priority="41" stopIfTrue="1">
      <formula>AND(D65&lt;&gt;0,NOT(ISTEXT(B65)))</formula>
    </cfRule>
  </conditionalFormatting>
  <conditionalFormatting sqref="C86">
    <cfRule type="expression" dxfId="2681" priority="37" stopIfTrue="1">
      <formula>AND(C86&lt;&gt;0, NOT(ISTEXT(B86)))</formula>
    </cfRule>
    <cfRule type="cellIs" dxfId="2680" priority="38" stopIfTrue="1" operator="lessThan">
      <formula>0</formula>
    </cfRule>
  </conditionalFormatting>
  <conditionalFormatting sqref="C78">
    <cfRule type="expression" dxfId="2679" priority="35" stopIfTrue="1">
      <formula>AND(C78&lt;&gt;0, NOT(ISTEXT(B78)))</formula>
    </cfRule>
    <cfRule type="cellIs" dxfId="2678" priority="36" stopIfTrue="1" operator="lessThan">
      <formula>0</formula>
    </cfRule>
  </conditionalFormatting>
  <conditionalFormatting sqref="C79">
    <cfRule type="expression" dxfId="2677" priority="33" stopIfTrue="1">
      <formula>AND(C79&lt;&gt;0, NOT(ISTEXT(B79)))</formula>
    </cfRule>
    <cfRule type="cellIs" dxfId="2676" priority="34" stopIfTrue="1" operator="lessThan">
      <formula>0</formula>
    </cfRule>
  </conditionalFormatting>
  <conditionalFormatting sqref="C80">
    <cfRule type="expression" dxfId="2675" priority="31" stopIfTrue="1">
      <formula>AND(C80&lt;&gt;0, NOT(ISTEXT(B80)))</formula>
    </cfRule>
    <cfRule type="cellIs" dxfId="2674" priority="32" stopIfTrue="1" operator="lessThan">
      <formula>0</formula>
    </cfRule>
  </conditionalFormatting>
  <conditionalFormatting sqref="C81">
    <cfRule type="expression" dxfId="2673" priority="29" stopIfTrue="1">
      <formula>AND(C81&lt;&gt;0, NOT(ISTEXT(B81)))</formula>
    </cfRule>
    <cfRule type="cellIs" dxfId="2672" priority="30" stopIfTrue="1" operator="lessThan">
      <formula>0</formula>
    </cfRule>
  </conditionalFormatting>
  <conditionalFormatting sqref="C82">
    <cfRule type="expression" dxfId="2671" priority="27" stopIfTrue="1">
      <formula>AND(C82&lt;&gt;0, NOT(ISTEXT(B82)))</formula>
    </cfRule>
    <cfRule type="cellIs" dxfId="2670" priority="28" stopIfTrue="1" operator="lessThan">
      <formula>0</formula>
    </cfRule>
  </conditionalFormatting>
  <conditionalFormatting sqref="C83">
    <cfRule type="expression" dxfId="2669" priority="25" stopIfTrue="1">
      <formula>AND(C83&lt;&gt;0, NOT(ISTEXT(B83)))</formula>
    </cfRule>
    <cfRule type="cellIs" dxfId="2668" priority="26" stopIfTrue="1" operator="lessThan">
      <formula>0</formula>
    </cfRule>
  </conditionalFormatting>
  <conditionalFormatting sqref="C84">
    <cfRule type="expression" dxfId="2667" priority="23" stopIfTrue="1">
      <formula>AND(C84&lt;&gt;0, NOT(ISTEXT(B84)))</formula>
    </cfRule>
    <cfRule type="cellIs" dxfId="2666" priority="24" stopIfTrue="1" operator="lessThan">
      <formula>0</formula>
    </cfRule>
  </conditionalFormatting>
  <conditionalFormatting sqref="C85">
    <cfRule type="expression" dxfId="2665" priority="21" stopIfTrue="1">
      <formula>AND(C85&lt;&gt;0, NOT(ISTEXT(B85)))</formula>
    </cfRule>
    <cfRule type="cellIs" dxfId="2664" priority="22" stopIfTrue="1" operator="lessThan">
      <formula>0</formula>
    </cfRule>
  </conditionalFormatting>
  <conditionalFormatting sqref="D78:D86">
    <cfRule type="expression" dxfId="2663" priority="19" stopIfTrue="1">
      <formula>AND(D78&lt;&gt;0,NOT(ISTEXT(B78)))</formula>
    </cfRule>
  </conditionalFormatting>
  <conditionalFormatting sqref="D7:D17 D27:D39 D65:D86">
    <cfRule type="cellIs" dxfId="2662" priority="16" stopIfTrue="1" operator="greaterThan">
      <formula>C7</formula>
    </cfRule>
  </conditionalFormatting>
  <conditionalFormatting sqref="AE23:AE44">
    <cfRule type="expression" dxfId="2661" priority="7" stopIfTrue="1">
      <formula>((Z23*(12-$AR$19))-AE23)/(Z23*(12-$AR$19)+0.00001)&gt;0.9</formula>
    </cfRule>
    <cfRule type="expression" dxfId="2660" priority="8" stopIfTrue="1">
      <formula>((Z23*(12-$AR$19))-AE23)/(Z23*(12-$AR$19)+0.00001)&gt;0.8</formula>
    </cfRule>
    <cfRule type="expression" dxfId="2659" priority="9" stopIfTrue="1">
      <formula>((Z23*(12-$AR$19))-AE23)/(Z23*(12-$AR$19)+0.00001)&gt;0.7</formula>
    </cfRule>
    <cfRule type="expression" dxfId="2658" priority="10" stopIfTrue="1">
      <formula>((Z23*(12-$AR$19))-AE23)/(Z23*(12-$AR$19)+0.00001)&gt;0.6</formula>
    </cfRule>
    <cfRule type="expression" dxfId="2657" priority="11" stopIfTrue="1">
      <formula>((Z23*(12-$AR$19))-AE23)/(Z23*(12-$AR$19)+0.00001)&gt;0.5</formula>
    </cfRule>
    <cfRule type="expression" dxfId="2656" priority="12" stopIfTrue="1">
      <formula>((Z23*(12-$AR$19))-AE23)/(Z23*(12-$AR$19)+0.00001)&gt;0.4</formula>
    </cfRule>
    <cfRule type="expression" dxfId="2655" priority="13" stopIfTrue="1">
      <formula>((Z23*(12-$AR$19))-AE23)/(Z23*(12-$AR$19)+0.00001)&gt;0.3</formula>
    </cfRule>
    <cfRule type="expression" dxfId="2654" priority="377" stopIfTrue="1">
      <formula>((Z23*(12-$AR$19))-AE23)/(Z23*(12-$AR$19)+0.00001)&gt;0.2</formula>
    </cfRule>
  </conditionalFormatting>
  <conditionalFormatting sqref="N55:N56">
    <cfRule type="containsText" dxfId="2653" priority="4" stopIfTrue="1" operator="containsText" text="No">
      <formula>NOT(ISERROR(SEARCH("No",N55)))</formula>
    </cfRule>
  </conditionalFormatting>
  <conditionalFormatting sqref="AE15:AE20">
    <cfRule type="containsText" dxfId="2652" priority="3" stopIfTrue="1" operator="containsText" text="Over">
      <formula>NOT(ISERROR(SEARCH("Over",AE15)))</formula>
    </cfRule>
  </conditionalFormatting>
  <conditionalFormatting sqref="B20:D20">
    <cfRule type="containsText" dxfId="2651" priority="2" stopIfTrue="1" operator="containsText" text="Check">
      <formula>NOT(ISERROR(SEARCH("Check",B20)))</formula>
    </cfRule>
  </conditionalFormatting>
  <conditionalFormatting sqref="B42:D42">
    <cfRule type="containsText" dxfId="2650" priority="1" stopIfTrue="1" operator="containsText" text="Check">
      <formula>NOT(ISERROR(SEARCH("Check",B42)))</formula>
    </cfRule>
  </conditionalFormatting>
  <dataValidations count="14">
    <dataValidation type="custom" showInputMessage="1" showErrorMessage="1" errorTitle="שגיאה" error="חובה למלא את שם ההוצאה לפני מילוי הסכום." sqref="J64:J110 Q7:Q45 J7:J53 Q64:Q110">
      <formula1>ISTEXT(I7)</formula1>
    </dataValidation>
    <dataValidation type="custom" showInputMessage="1" showErrorMessage="1" errorTitle="שגיאה" error="חובה לתת שם לכל סעיף שנרשם בו תקציב" sqref="C7:C17 C27:C39 C45:C56 Z6:Z16 Z23:Z44 C65:C86">
      <formula1>ISTEXT(B6)</formula1>
    </dataValidation>
    <dataValidation type="custom" showInputMessage="1" showErrorMessage="1" errorTitle="שגיאה" error="חובה לתת שם לכל סעיף שנרשם בו ביצוע" sqref="D65:D86 D7:D17 D27:D39 AA6:AA16 AC17">
      <formula1>ISTEXT(B6)</formula1>
    </dataValidation>
    <dataValidation type="whole" allowBlank="1" showInputMessage="1" showErrorMessage="1" errorTitle="ערך לא חוקי" error="התא יכול לקבל 0 או 1. ערכים אחרים אינם חוקיים." prompt="שים לב!_x000a_שינוי תא זה עלול להשפיע על התקציב המתוכנן לשוטפות בחודש הבא." sqref="AI23:AI44">
      <formula1>0</formula1>
      <formula2>1</formula2>
    </dataValidation>
    <dataValidation type="list" errorStyle="information" allowBlank="1" showInputMessage="1" sqref="K64:K110 U64:U110 U7:U45 E7:E17 E27:E39 E65:E86 K7:K53 AB6:AB16">
      <formula1>$AT$5:$AT$9</formula1>
    </dataValidation>
    <dataValidation type="whole" allowBlank="1" showInputMessage="1" showErrorMessage="1" error="מס' יום לא חוקי" sqref="O7:O45 H7:H53 H64:H110 O64:O110">
      <formula1>1</formula1>
      <formula2>31</formula2>
    </dataValidation>
    <dataValidation type="list" allowBlank="1" showInputMessage="1" showErrorMessage="1" error="חובה לבחור בהתפריט הנפתח" sqref="P7:P45 P64:P110">
      <formula1>$Y$23:$Y$44</formula1>
    </dataValidation>
    <dataValidation type="list" allowBlank="1" showInputMessage="1" showErrorMessage="1" error="חובה לבחור כן/לא." sqref="N55:N56">
      <formula1>$AP$55:$AP$56</formula1>
    </dataValidation>
    <dataValidation type="list" allowBlank="1" showInputMessage="1" showErrorMessage="1" error="חובה לבחור מהתפריט הנפתח" sqref="I7:I53 I64:I110">
      <formula1>$B$45:$B$56</formula1>
    </dataValidation>
    <dataValidation allowBlank="1" showInputMessage="1" showErrorMessage="1" prompt="שים לב! שינוי תא זה יבטל את החישוב האוטומטי לסה&quot;כ ביצוע הוצאות קבועות לחודש הנוכחי. " sqref="D18"/>
    <dataValidation allowBlank="1" showInputMessage="1" showErrorMessage="1" prompt="שים לב! שינוי תא זה יבטל את החישוב האוטומטי לסה&quot;כ ביצוע החזרי החובות לחודש הנוכחי. " sqref="D40"/>
    <dataValidation type="custom" errorStyle="warning" allowBlank="1" showInputMessage="1" showErrorMessage="1" errorTitle="סעיף כבר בשימוש" error="שם סעיף זה כבר בשימוש בקטגוריה זו או בקטגוריה אחרת. יתכן גם שנרשמה עליו שם כבר הוצאה בחודש זה." sqref="Y23:Y44 B45:B56 B27:B39 B65:B86 B7:B17">
      <formula1>(COUNTIF($B$7:$B$17,B7)+COUNTIF($B$27:$B$39,B7)+COUNTIF($B$45:$B$56,B7)+COUNTIF($I$7:$I$53,B7)+COUNTIF($Y$23:$Y$44,B7)+COUNTIF($P$7:$P$45,B7))&lt;=1</formula1>
    </dataValidation>
    <dataValidation type="list" allowBlank="1" showInputMessage="1" showErrorMessage="1" error="חובה לבחור מהתפריט הנפתח" sqref="N58">
      <formula1>$AQ$55:$AQ$56</formula1>
    </dataValidation>
    <dataValidation type="custom" errorStyle="information" allowBlank="1" showInputMessage="1" showErrorMessage="1" error="אתם מזינים עיסקת תשלומים. _x000a_חובה למלא את עמודות &quot;מספר התשלום&quot; ו- &quot;מתוך&quot; כדי שהתשלומים הבאים יוכנסו אוטומטית." prompt="שנה תא זה רק בהזנת עיסקת תשלומים._x000a_בחודש הראשון - הזן את סכום העיסקה הכולל._x000a_בחודשי התשלום הבאים - יוכנס אוטומטית 0 (יוצג כ &quot;-&quot;)." sqref="R7:R45 R64:R110">
      <formula1>R7=Q7</formula1>
    </dataValidation>
  </dataValidations>
  <hyperlinks>
    <hyperlink ref="Q3" location="G!Y21:Z46" tooltip="To Summary Table" display="List Periodic Expenses"/>
    <hyperlink ref="I3" location="G!B44:C58" tooltip="To Summary Table" display="List Everyday Expenses"/>
  </hyperlink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FF00"/>
    <outlinePr summaryBelow="0" summaryRight="0"/>
  </sheetPr>
  <dimension ref="A1:CN152"/>
  <sheetViews>
    <sheetView showZeros="0" zoomScale="75" zoomScaleNormal="75" workbookViewId="0"/>
  </sheetViews>
  <sheetFormatPr defaultColWidth="9.125" defaultRowHeight="14.25" outlineLevelRow="1" outlineLevelCol="1"/>
  <cols>
    <col min="1" max="1" width="0.625" style="2" customWidth="1"/>
    <col min="2" max="2" width="22.125" style="2" customWidth="1"/>
    <col min="3" max="3" width="8.125" style="2" customWidth="1"/>
    <col min="4" max="4" width="9.75" style="2" customWidth="1" collapsed="1"/>
    <col min="5" max="5" width="12.25" style="2" hidden="1" customWidth="1" outlineLevel="1"/>
    <col min="6" max="6" width="20.75" style="2" hidden="1" customWidth="1" outlineLevel="1"/>
    <col min="7" max="7" width="1.125" style="2" customWidth="1"/>
    <col min="8" max="8" width="5.375" style="2" customWidth="1"/>
    <col min="9" max="9" width="22.125" style="2" customWidth="1"/>
    <col min="10" max="10" width="8.125" style="2" customWidth="1" collapsed="1"/>
    <col min="11" max="11" width="12.25" style="2" hidden="1" customWidth="1" outlineLevel="1"/>
    <col min="12" max="12" width="20.75" style="2" hidden="1" customWidth="1" outlineLevel="1"/>
    <col min="13" max="13" width="10.75" style="2" customWidth="1" collapsed="1"/>
    <col min="14" max="14" width="4.875" style="2" customWidth="1"/>
    <col min="15" max="15" width="5" style="3" customWidth="1"/>
    <col min="16" max="16" width="22.125" style="2" customWidth="1"/>
    <col min="17" max="17" width="10.875" style="2" customWidth="1"/>
    <col min="18" max="18" width="9.875" style="2" bestFit="1" customWidth="1"/>
    <col min="19" max="19" width="4.625" style="26" customWidth="1" collapsed="1"/>
    <col min="20" max="20" width="3.75" style="26" customWidth="1" collapsed="1"/>
    <col min="21" max="21" width="12.25" style="26" hidden="1" customWidth="1" outlineLevel="1"/>
    <col min="22" max="22" width="20.75" style="26" hidden="1" customWidth="1" outlineLevel="1"/>
    <col min="23" max="23" width="10.75" style="2" customWidth="1"/>
    <col min="24" max="24" width="1.125" style="2" customWidth="1"/>
    <col min="25" max="25" width="24.125" style="2" customWidth="1"/>
    <col min="26" max="26" width="9.875" style="2" bestFit="1" customWidth="1"/>
    <col min="27" max="27" width="10.875" style="2" bestFit="1" customWidth="1" collapsed="1"/>
    <col min="28" max="28" width="13.375" style="2" hidden="1" customWidth="1" outlineLevel="1"/>
    <col min="29" max="29" width="15" style="2" hidden="1" customWidth="1" outlineLevel="1"/>
    <col min="30" max="30" width="10.875" style="2" hidden="1" customWidth="1"/>
    <col min="31" max="31" width="13.875" style="2" customWidth="1"/>
    <col min="32" max="32" width="3" style="2" customWidth="1"/>
    <col min="33" max="33" width="9.75" style="2" customWidth="1"/>
    <col min="34" max="34" width="5.625" style="2" customWidth="1"/>
    <col min="35" max="35" width="4.25" style="2" customWidth="1"/>
    <col min="36" max="36" width="9.125" style="2"/>
    <col min="37" max="37" width="11.875" style="2" customWidth="1"/>
    <col min="38" max="38" width="13.875" style="2" customWidth="1"/>
    <col min="39" max="40" width="9.125" style="2"/>
    <col min="41" max="41" width="9.125" style="52" customWidth="1"/>
    <col min="42" max="42" width="13.875" style="52" hidden="1" customWidth="1"/>
    <col min="43" max="43" width="15.875" style="52" hidden="1" customWidth="1"/>
    <col min="44" max="44" width="18.125" style="52" hidden="1" customWidth="1"/>
    <col min="45" max="45" width="16" style="52" hidden="1" customWidth="1"/>
    <col min="46" max="46" width="11.75" style="52" hidden="1" customWidth="1"/>
    <col min="47" max="47" width="9.125" style="52" hidden="1" customWidth="1"/>
    <col min="48" max="48" width="14" style="52" hidden="1" customWidth="1"/>
    <col min="49" max="49" width="16.75" style="52" hidden="1" customWidth="1"/>
    <col min="50" max="50" width="17.375" style="52" hidden="1" customWidth="1"/>
    <col min="51" max="51" width="9.125" style="52" hidden="1" customWidth="1"/>
    <col min="52" max="53" width="9.125" style="2" hidden="1" customWidth="1"/>
    <col min="54" max="60" width="9.125" style="2"/>
    <col min="61" max="61" width="2.875" style="2" customWidth="1"/>
    <col min="62" max="90" width="9.125" style="2"/>
    <col min="91" max="92" width="0" style="52" hidden="1" customWidth="1"/>
    <col min="93" max="16384" width="9.125" style="2"/>
  </cols>
  <sheetData>
    <row r="1" spans="1:92" s="367" customFormat="1" ht="15">
      <c r="B1" s="880" t="s">
        <v>381</v>
      </c>
      <c r="O1" s="512"/>
      <c r="S1" s="371"/>
      <c r="T1" s="371"/>
      <c r="U1" s="371"/>
      <c r="V1" s="371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CM1" s="86"/>
      <c r="CN1" s="86"/>
    </row>
    <row r="2" spans="1:92" ht="20.25">
      <c r="A2" s="367"/>
      <c r="B2" s="809" t="s">
        <v>468</v>
      </c>
      <c r="C2" s="890" t="s">
        <v>475</v>
      </c>
      <c r="E2" s="367"/>
      <c r="F2" s="367"/>
      <c r="G2" s="367"/>
      <c r="H2" s="367"/>
      <c r="I2" s="367"/>
      <c r="J2" s="368"/>
      <c r="K2" s="596"/>
      <c r="L2" s="585"/>
      <c r="M2" s="67" t="str">
        <f>IF('Month A'!M2="Month","",VLOOKUP(G!M2,'Month A'!CM3:CN14,2,FALSE))</f>
        <v/>
      </c>
      <c r="N2" s="1232" t="str">
        <f>IF('Month A'!N2:O2="Yearשנה","",IF(M2="Jan",G!N2:O2+1,G!N2:O2))</f>
        <v/>
      </c>
      <c r="O2" s="1232"/>
      <c r="Q2" s="367"/>
      <c r="R2" s="878" t="s">
        <v>491</v>
      </c>
      <c r="S2" s="371"/>
      <c r="U2" s="371"/>
      <c r="V2" s="371"/>
      <c r="W2" s="367"/>
      <c r="X2" s="367"/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86"/>
    </row>
    <row r="3" spans="1:92" ht="19.5" customHeight="1" thickBot="1">
      <c r="A3" s="367"/>
      <c r="B3" s="1162" t="s">
        <v>348</v>
      </c>
      <c r="C3" s="1163"/>
      <c r="D3" s="378"/>
      <c r="E3" s="378"/>
      <c r="F3" s="378"/>
      <c r="G3" s="367"/>
      <c r="I3" s="830" t="s">
        <v>345</v>
      </c>
      <c r="J3" s="380"/>
      <c r="K3" s="367"/>
      <c r="L3" s="581"/>
      <c r="M3" s="367"/>
      <c r="N3" s="367"/>
      <c r="O3" s="377"/>
      <c r="P3" s="381"/>
      <c r="Q3" s="830" t="s">
        <v>346</v>
      </c>
      <c r="R3" s="641"/>
      <c r="S3" s="513"/>
      <c r="T3" s="381"/>
      <c r="U3" s="513"/>
      <c r="V3" s="513"/>
      <c r="W3" s="555"/>
      <c r="X3" s="382"/>
      <c r="Y3" s="1218" t="s">
        <v>296</v>
      </c>
      <c r="Z3" s="1218"/>
      <c r="AA3" s="1218"/>
      <c r="AB3" s="554"/>
      <c r="AC3" s="554"/>
      <c r="AD3" s="383"/>
      <c r="AE3" s="367"/>
      <c r="AF3" s="367"/>
      <c r="AG3" s="367"/>
      <c r="AH3" s="367"/>
      <c r="AI3" s="367"/>
      <c r="AJ3" s="367"/>
      <c r="AK3" s="367"/>
      <c r="AL3" s="367"/>
      <c r="AM3" s="367"/>
      <c r="AN3" s="367"/>
      <c r="AO3" s="86"/>
    </row>
    <row r="4" spans="1:92" s="614" customFormat="1" ht="34.5" customHeight="1" thickBot="1">
      <c r="A4" s="602"/>
      <c r="B4" s="879" t="s">
        <v>352</v>
      </c>
      <c r="C4" s="1230">
        <f>C18</f>
        <v>0</v>
      </c>
      <c r="D4" s="1167"/>
      <c r="E4" s="1158"/>
      <c r="F4" s="1159"/>
      <c r="G4" s="602"/>
      <c r="H4" s="603" t="s">
        <v>356</v>
      </c>
      <c r="I4" s="604" t="s">
        <v>357</v>
      </c>
      <c r="J4" s="605" t="s">
        <v>494</v>
      </c>
      <c r="K4" s="606" t="s">
        <v>380</v>
      </c>
      <c r="L4" s="607" t="s">
        <v>335</v>
      </c>
      <c r="M4" s="608" t="s">
        <v>389</v>
      </c>
      <c r="N4" s="602"/>
      <c r="O4" s="609" t="s">
        <v>356</v>
      </c>
      <c r="P4" s="610" t="s">
        <v>357</v>
      </c>
      <c r="Q4" s="806" t="s">
        <v>494</v>
      </c>
      <c r="R4" s="610" t="s">
        <v>359</v>
      </c>
      <c r="S4" s="1176" t="s">
        <v>360</v>
      </c>
      <c r="T4" s="1155" t="s">
        <v>361</v>
      </c>
      <c r="U4" s="787" t="s">
        <v>380</v>
      </c>
      <c r="V4" s="639" t="s">
        <v>335</v>
      </c>
      <c r="W4" s="640" t="s">
        <v>389</v>
      </c>
      <c r="X4" s="623"/>
      <c r="Y4" s="1208" t="s">
        <v>363</v>
      </c>
      <c r="Z4" s="1231"/>
      <c r="AA4" s="611">
        <f>Z17</f>
        <v>0</v>
      </c>
      <c r="AB4" s="1174"/>
      <c r="AC4" s="1175"/>
      <c r="AD4" s="612"/>
      <c r="AF4" s="602"/>
      <c r="AG4" s="602"/>
      <c r="AH4" s="602"/>
      <c r="AI4" s="602"/>
      <c r="AJ4" s="602"/>
      <c r="AK4" s="602"/>
      <c r="AL4" s="602"/>
      <c r="AM4" s="602"/>
      <c r="AN4" s="602"/>
      <c r="AO4" s="703"/>
      <c r="AP4" s="704"/>
      <c r="AQ4" s="704"/>
      <c r="AR4" s="704"/>
      <c r="AS4" s="704"/>
      <c r="AT4" s="705" t="s">
        <v>30</v>
      </c>
      <c r="AU4" s="704"/>
      <c r="AV4" s="704"/>
      <c r="AW4" s="704"/>
      <c r="AX4" s="704"/>
      <c r="AY4" s="704"/>
      <c r="CM4" s="704"/>
      <c r="CN4" s="704"/>
    </row>
    <row r="5" spans="1:92" ht="15" customHeight="1">
      <c r="A5" s="367"/>
      <c r="B5" s="1219" t="s">
        <v>353</v>
      </c>
      <c r="C5" s="1108" t="s">
        <v>354</v>
      </c>
      <c r="D5" s="1168" t="s">
        <v>494</v>
      </c>
      <c r="E5" s="1109" t="s">
        <v>380</v>
      </c>
      <c r="F5" s="1108" t="s">
        <v>335</v>
      </c>
      <c r="G5" s="367"/>
      <c r="H5" s="1157"/>
      <c r="I5" s="1221" t="s">
        <v>427</v>
      </c>
      <c r="J5" s="1150"/>
      <c r="K5" s="1193"/>
      <c r="L5" s="1160"/>
      <c r="M5" s="1153">
        <f ca="1">C57+IF(G!N58=AQ55,G!M58,0)+G!AP45</f>
        <v>0</v>
      </c>
      <c r="N5" s="14"/>
      <c r="O5" s="1182"/>
      <c r="P5" s="1183" t="s">
        <v>467</v>
      </c>
      <c r="Q5" s="1184"/>
      <c r="R5" s="1191"/>
      <c r="S5" s="1177"/>
      <c r="T5" s="1156"/>
      <c r="U5" s="1192"/>
      <c r="V5" s="1191"/>
      <c r="W5" s="1195">
        <f>G!W46+H!Z45-G!AP45</f>
        <v>0</v>
      </c>
      <c r="X5" s="621"/>
      <c r="Y5" s="5" t="s">
        <v>364</v>
      </c>
      <c r="Z5" s="105" t="s">
        <v>354</v>
      </c>
      <c r="AA5" s="914" t="s">
        <v>494</v>
      </c>
      <c r="AB5" s="803" t="s">
        <v>386</v>
      </c>
      <c r="AC5" s="718" t="s">
        <v>335</v>
      </c>
      <c r="AD5" s="31"/>
      <c r="AE5" s="1223" t="s">
        <v>365</v>
      </c>
      <c r="AF5" s="367"/>
      <c r="AG5" s="367"/>
      <c r="AH5" s="367"/>
      <c r="AI5" s="367"/>
      <c r="AJ5" s="367"/>
      <c r="AK5" s="367"/>
      <c r="AL5" s="367"/>
      <c r="AM5" s="367"/>
      <c r="AN5" s="367"/>
      <c r="AO5" s="86"/>
      <c r="AT5" s="52" t="s">
        <v>476</v>
      </c>
    </row>
    <row r="6" spans="1:92" ht="15" customHeight="1">
      <c r="A6" s="367"/>
      <c r="B6" s="1220"/>
      <c r="C6" s="1234"/>
      <c r="D6" s="1169"/>
      <c r="E6" s="1109"/>
      <c r="F6" s="1108"/>
      <c r="G6" s="367"/>
      <c r="H6" s="1157"/>
      <c r="I6" s="1222"/>
      <c r="J6" s="1152"/>
      <c r="K6" s="1194"/>
      <c r="L6" s="1161"/>
      <c r="M6" s="1154"/>
      <c r="N6" s="367"/>
      <c r="O6" s="1182"/>
      <c r="P6" s="1185"/>
      <c r="Q6" s="1186"/>
      <c r="R6" s="1192"/>
      <c r="S6" s="638"/>
      <c r="T6" s="786"/>
      <c r="U6" s="1197"/>
      <c r="V6" s="1191"/>
      <c r="W6" s="1196"/>
      <c r="X6" s="395"/>
      <c r="Y6" s="144" t="str">
        <f>IF(G!Y6&lt;&gt;"",G!Y6,)</f>
        <v>Husband job 1</v>
      </c>
      <c r="Z6" s="456">
        <f>G!Z6</f>
        <v>0</v>
      </c>
      <c r="AA6" s="69"/>
      <c r="AB6" s="715"/>
      <c r="AC6" s="877"/>
      <c r="AD6" s="32"/>
      <c r="AE6" s="1224"/>
      <c r="AF6" s="367"/>
      <c r="AG6" s="367"/>
      <c r="AH6" s="367"/>
      <c r="AI6" s="367"/>
      <c r="AJ6" s="367"/>
      <c r="AK6" s="367"/>
      <c r="AL6" s="367"/>
      <c r="AM6" s="367"/>
      <c r="AN6" s="367"/>
      <c r="AO6" s="86"/>
      <c r="AT6" s="52" t="s">
        <v>477</v>
      </c>
    </row>
    <row r="7" spans="1:92" ht="15" customHeight="1" thickBot="1">
      <c r="A7" s="367"/>
      <c r="B7" s="901" t="str">
        <f>IF(G!B7&lt;&gt;"",G!B7,)</f>
        <v>Mortgage Payments</v>
      </c>
      <c r="C7" s="451">
        <f>G!C7</f>
        <v>0</v>
      </c>
      <c r="D7" s="78"/>
      <c r="E7" s="521"/>
      <c r="F7" s="858"/>
      <c r="G7" s="367"/>
      <c r="H7" s="542"/>
      <c r="I7" s="853"/>
      <c r="J7" s="6"/>
      <c r="K7" s="541"/>
      <c r="L7" s="860"/>
      <c r="M7" s="20" t="str">
        <f>IF(J7="","",$M$5-SUM($J$7:J7))</f>
        <v/>
      </c>
      <c r="N7" s="367"/>
      <c r="O7" s="106"/>
      <c r="P7" s="871">
        <f>IF(G!Q7&lt;&gt;G!R7,IF(G!Q7&lt;&gt;0,IF(G!S7&lt;&gt;G!T7,G!P7,),),)</f>
        <v>0</v>
      </c>
      <c r="Q7" s="795">
        <f>IF(G!Q7&lt;&gt;G!R7,IF(G!Q7&lt;&gt;0,IF(G!S7&lt;&gt;G!T7,G!Q7,),),)</f>
        <v>0</v>
      </c>
      <c r="R7" s="628">
        <f>IF(G!Q7&lt;&gt;G!R7,IF(G!Q7&lt;&gt;0,IF(G!S7&lt;&gt;G!T7,0,Q7),Q7),Q7)</f>
        <v>0</v>
      </c>
      <c r="S7" s="796">
        <f>IF(G!Q7&lt;&gt;G!R7,IF(G!Q7&lt;&gt;0,IF(G!S7&lt;&gt;G!T7,G!S7+1,),),)</f>
        <v>0</v>
      </c>
      <c r="T7" s="796">
        <f>IF(G!Q7&lt;&gt;G!R7,IF(G!Q7&lt;&gt;0,IF(G!S7&lt;&gt;G!T7,G!T7,),),)</f>
        <v>0</v>
      </c>
      <c r="U7" s="797">
        <f>IF(G!Q7&lt;&gt;G!R7,IF(G!Q7&lt;&gt;0,IF(G!S7&lt;&gt;G!T7,G!U7,),),)</f>
        <v>0</v>
      </c>
      <c r="V7" s="875">
        <f>IF(G!Q7&lt;&gt;G!R7,IF(G!Q7&lt;&gt;0,IF(G!S7&lt;&gt;G!T7,G!V7,),),)</f>
        <v>0</v>
      </c>
      <c r="W7" s="622">
        <f>IF(Q7="","",$W$5-SUM($Q$7:Q7))</f>
        <v>0</v>
      </c>
      <c r="X7" s="395"/>
      <c r="Y7" s="144" t="str">
        <f>IF(G!Y7&lt;&gt;"",G!Y7,)</f>
        <v>Husband job 2</v>
      </c>
      <c r="Z7" s="456">
        <f>G!Z7</f>
        <v>0</v>
      </c>
      <c r="AA7" s="69"/>
      <c r="AB7" s="521"/>
      <c r="AC7" s="858"/>
      <c r="AD7" s="32"/>
      <c r="AE7" s="1225"/>
      <c r="AF7" s="367"/>
      <c r="AG7" s="367"/>
      <c r="AH7" s="367"/>
      <c r="AI7" s="367"/>
      <c r="AJ7" s="367"/>
      <c r="AK7" s="367"/>
      <c r="AL7" s="367"/>
      <c r="AM7" s="367"/>
      <c r="AN7" s="367"/>
      <c r="AO7" s="86"/>
      <c r="AT7" s="52" t="s">
        <v>478</v>
      </c>
    </row>
    <row r="8" spans="1:92" ht="15" customHeight="1" thickBot="1">
      <c r="A8" s="367"/>
      <c r="B8" s="901" t="str">
        <f>IF(G!B8&lt;&gt;"",G!B8,)</f>
        <v>Mortgage Insurance</v>
      </c>
      <c r="C8" s="451">
        <f>G!C8</f>
        <v>0</v>
      </c>
      <c r="D8" s="78"/>
      <c r="E8" s="521"/>
      <c r="F8" s="858"/>
      <c r="G8" s="367"/>
      <c r="H8" s="543"/>
      <c r="I8" s="853"/>
      <c r="J8" s="6"/>
      <c r="K8" s="541"/>
      <c r="L8" s="860"/>
      <c r="M8" s="20" t="str">
        <f>IF(J8="","",$M$5-SUM($J$7:J8))</f>
        <v/>
      </c>
      <c r="N8" s="367"/>
      <c r="O8" s="7"/>
      <c r="P8" s="872">
        <f>IF(G!Q8&lt;&gt;G!R8,IF(G!Q8&lt;&gt;0,IF(G!S8&lt;&gt;G!T8,G!P8,),),)</f>
        <v>0</v>
      </c>
      <c r="Q8" s="795">
        <f>IF(G!Q8&lt;&gt;G!R8,IF(G!Q8&lt;&gt;0,IF(G!S8&lt;&gt;G!T8,G!Q8,),),)</f>
        <v>0</v>
      </c>
      <c r="R8" s="628">
        <f>IF(G!Q8&lt;&gt;G!R8,IF(G!Q8&lt;&gt;0,IF(G!S8&lt;&gt;G!T8,0,Q8),Q8),Q8)</f>
        <v>0</v>
      </c>
      <c r="S8" s="796">
        <f>IF(G!Q8&lt;&gt;G!R8,IF(G!Q8&lt;&gt;0,IF(G!S8&lt;&gt;G!T8,G!S8+1,),),)</f>
        <v>0</v>
      </c>
      <c r="T8" s="796">
        <f>IF(G!Q8&lt;&gt;G!R8,IF(G!Q8&lt;&gt;0,IF(G!S8&lt;&gt;G!T8,G!T8,),),)</f>
        <v>0</v>
      </c>
      <c r="U8" s="797">
        <f>IF(G!Q8&lt;&gt;G!R8,IF(G!Q8&lt;&gt;0,IF(G!S8&lt;&gt;G!T8,G!U8,),),)</f>
        <v>0</v>
      </c>
      <c r="V8" s="875">
        <f>IF(G!Q8&lt;&gt;G!R8,IF(G!Q8&lt;&gt;0,IF(G!S8&lt;&gt;G!T8,G!V8,),),)</f>
        <v>0</v>
      </c>
      <c r="W8" s="622">
        <f>IF(Q8="","",$W$5-SUM($Q$7:Q8))</f>
        <v>0</v>
      </c>
      <c r="X8" s="395"/>
      <c r="Y8" s="144" t="str">
        <f>IF(G!Y8&lt;&gt;"",G!Y8,)</f>
        <v>Wife job 1</v>
      </c>
      <c r="Z8" s="456">
        <f>G!Z8</f>
        <v>0</v>
      </c>
      <c r="AA8" s="69"/>
      <c r="AB8" s="521"/>
      <c r="AC8" s="858"/>
      <c r="AD8" s="32"/>
      <c r="AE8" s="363">
        <f>(AA17+'Month A'!AA17+B!AA17+'C'!AA17+D!AA17+E!AA17+F!AA17+G!AA17)/AR19</f>
        <v>0</v>
      </c>
      <c r="AF8" s="367"/>
      <c r="AG8" s="367"/>
      <c r="AH8" s="367"/>
      <c r="AI8" s="367"/>
      <c r="AJ8" s="367"/>
      <c r="AK8" s="367"/>
      <c r="AL8" s="367"/>
      <c r="AM8" s="367"/>
      <c r="AN8" s="367"/>
      <c r="AO8" s="86"/>
      <c r="AT8" s="52" t="s">
        <v>480</v>
      </c>
    </row>
    <row r="9" spans="1:92" ht="15" customHeight="1" thickBot="1">
      <c r="A9" s="367"/>
      <c r="B9" s="901" t="str">
        <f>IF(G!B9&lt;&gt;"",G!B9,)</f>
        <v>Rent</v>
      </c>
      <c r="C9" s="451">
        <f>G!C9</f>
        <v>0</v>
      </c>
      <c r="D9" s="78"/>
      <c r="E9" s="521"/>
      <c r="F9" s="858"/>
      <c r="G9" s="367"/>
      <c r="H9" s="543"/>
      <c r="I9" s="853"/>
      <c r="J9" s="6"/>
      <c r="K9" s="541"/>
      <c r="L9" s="860"/>
      <c r="M9" s="20" t="str">
        <f>IF(J9="","",$M$5-SUM($J$7:J9))</f>
        <v/>
      </c>
      <c r="N9" s="367"/>
      <c r="O9" s="7"/>
      <c r="P9" s="871">
        <f>IF(G!Q9&lt;&gt;G!R9,IF(G!Q9&lt;&gt;0,IF(G!S9&lt;&gt;G!T9,G!P9,),),)</f>
        <v>0</v>
      </c>
      <c r="Q9" s="795">
        <f>IF(G!Q9&lt;&gt;G!R9,IF(G!Q9&lt;&gt;0,IF(G!S9&lt;&gt;G!T9,G!Q9,),),)</f>
        <v>0</v>
      </c>
      <c r="R9" s="628">
        <f>IF(G!Q9&lt;&gt;G!R9,IF(G!Q9&lt;&gt;0,IF(G!S9&lt;&gt;G!T9,0,Q9),Q9),Q9)</f>
        <v>0</v>
      </c>
      <c r="S9" s="796">
        <f>IF(G!Q9&lt;&gt;G!R9,IF(G!Q9&lt;&gt;0,IF(G!S9&lt;&gt;G!T9,G!S9+1,),),)</f>
        <v>0</v>
      </c>
      <c r="T9" s="796">
        <f>IF(G!Q9&lt;&gt;G!R9,IF(G!Q9&lt;&gt;0,IF(G!S9&lt;&gt;G!T9,G!T9,),),)</f>
        <v>0</v>
      </c>
      <c r="U9" s="797">
        <f>IF(G!Q9&lt;&gt;G!R9,IF(G!Q9&lt;&gt;0,IF(G!S9&lt;&gt;G!T9,G!U9,),),)</f>
        <v>0</v>
      </c>
      <c r="V9" s="875">
        <f>IF(G!Q9&lt;&gt;G!R9,IF(G!Q9&lt;&gt;0,IF(G!S9&lt;&gt;G!T9,G!V9,),),)</f>
        <v>0</v>
      </c>
      <c r="W9" s="622">
        <f>IF(Q9="","",$W$5-SUM($Q$7:Q9))</f>
        <v>0</v>
      </c>
      <c r="X9" s="395"/>
      <c r="Y9" s="144" t="str">
        <f>IF(G!Y9&lt;&gt;"",G!Y9,)</f>
        <v>Wife job 2</v>
      </c>
      <c r="Z9" s="456">
        <f>G!Z9</f>
        <v>0</v>
      </c>
      <c r="AA9" s="69"/>
      <c r="AB9" s="521"/>
      <c r="AC9" s="858"/>
      <c r="AD9" s="32"/>
      <c r="AE9" s="404"/>
      <c r="AF9" s="367"/>
      <c r="AG9" s="367"/>
      <c r="AH9" s="367"/>
      <c r="AI9" s="367"/>
      <c r="AJ9" s="367"/>
      <c r="AK9" s="367"/>
      <c r="AL9" s="367"/>
      <c r="AM9" s="367"/>
      <c r="AN9" s="367"/>
      <c r="AO9" s="86"/>
      <c r="AT9" s="52" t="s">
        <v>479</v>
      </c>
    </row>
    <row r="10" spans="1:92" ht="15" customHeight="1">
      <c r="A10" s="367"/>
      <c r="B10" s="902" t="str">
        <f>IF(G!B10&lt;&gt;"",G!B10,)</f>
        <v>Town Taxes / Maintenance Fees</v>
      </c>
      <c r="C10" s="451">
        <f>G!C10</f>
        <v>0</v>
      </c>
      <c r="D10" s="79"/>
      <c r="E10" s="522"/>
      <c r="F10" s="859"/>
      <c r="G10" s="367"/>
      <c r="H10" s="543"/>
      <c r="I10" s="853"/>
      <c r="J10" s="6"/>
      <c r="K10" s="541"/>
      <c r="L10" s="860"/>
      <c r="M10" s="20" t="str">
        <f>IF(J10="","",$M$5-SUM($J$7:J10))</f>
        <v/>
      </c>
      <c r="N10" s="367"/>
      <c r="O10" s="7"/>
      <c r="P10" s="871">
        <f>IF(G!Q10&lt;&gt;G!R10,IF(G!Q10&lt;&gt;0,IF(G!S10&lt;&gt;G!T10,G!P10,),),)</f>
        <v>0</v>
      </c>
      <c r="Q10" s="798">
        <f>IF(G!Q10&lt;&gt;G!R10,IF(G!Q10&lt;&gt;0,IF(G!S10&lt;&gt;G!T10,G!Q10,),),)</f>
        <v>0</v>
      </c>
      <c r="R10" s="628">
        <f>IF(G!Q10&lt;&gt;G!R10,IF(G!Q10&lt;&gt;0,IF(G!S10&lt;&gt;G!T10,0,Q10),Q10),Q10)</f>
        <v>0</v>
      </c>
      <c r="S10" s="796">
        <f>IF(G!Q10&lt;&gt;G!R10,IF(G!Q10&lt;&gt;0,IF(G!S10&lt;&gt;G!T10,G!S10+1,),),)</f>
        <v>0</v>
      </c>
      <c r="T10" s="796">
        <f>IF(G!Q10&lt;&gt;G!R10,IF(G!Q10&lt;&gt;0,IF(G!S10&lt;&gt;G!T10,G!T10,),),)</f>
        <v>0</v>
      </c>
      <c r="U10" s="797">
        <f>IF(G!Q10&lt;&gt;G!R10,IF(G!Q10&lt;&gt;0,IF(G!S10&lt;&gt;G!T10,G!U10,),),)</f>
        <v>0</v>
      </c>
      <c r="V10" s="875">
        <f>IF(G!Q10&lt;&gt;G!R10,IF(G!Q10&lt;&gt;0,IF(G!S10&lt;&gt;G!T10,G!V10,),),)</f>
        <v>0</v>
      </c>
      <c r="W10" s="624">
        <f>IF(Q10="","",$W$5-SUM($Q$7:Q10))</f>
        <v>0</v>
      </c>
      <c r="X10" s="621"/>
      <c r="Y10" s="144" t="str">
        <f>IF(G!Y10&lt;&gt;"",G!Y10,)</f>
        <v>National Social Security for Children</v>
      </c>
      <c r="Z10" s="456">
        <f>G!Z10</f>
        <v>0</v>
      </c>
      <c r="AA10" s="69"/>
      <c r="AB10" s="522"/>
      <c r="AC10" s="859"/>
      <c r="AD10" s="32"/>
      <c r="AE10" s="1226" t="s">
        <v>366</v>
      </c>
      <c r="AF10" s="367"/>
      <c r="AG10" s="367"/>
      <c r="AH10" s="367"/>
      <c r="AI10" s="367"/>
      <c r="AJ10" s="367"/>
      <c r="AK10" s="367"/>
      <c r="AL10" s="367"/>
      <c r="AM10" s="367"/>
      <c r="AN10" s="367"/>
      <c r="AO10" s="86"/>
    </row>
    <row r="11" spans="1:92" ht="15" customHeight="1" thickBot="1">
      <c r="A11" s="367"/>
      <c r="B11" s="901" t="str">
        <f>IF(G!B11&lt;&gt;"",G!B11,)</f>
        <v xml:space="preserve">Insurance (excl. car) </v>
      </c>
      <c r="C11" s="451">
        <f>G!C11</f>
        <v>0</v>
      </c>
      <c r="D11" s="78"/>
      <c r="E11" s="521"/>
      <c r="F11" s="858"/>
      <c r="G11" s="367"/>
      <c r="H11" s="543"/>
      <c r="I11" s="853"/>
      <c r="J11" s="6"/>
      <c r="K11" s="541"/>
      <c r="L11" s="860"/>
      <c r="M11" s="20" t="str">
        <f>IF(J11="","",$M$5-SUM($J$7:J11))</f>
        <v/>
      </c>
      <c r="N11" s="367"/>
      <c r="O11" s="7"/>
      <c r="P11" s="871">
        <f>IF(G!Q11&lt;&gt;G!R11,IF(G!Q11&lt;&gt;0,IF(G!S11&lt;&gt;G!T11,G!P11,),),)</f>
        <v>0</v>
      </c>
      <c r="Q11" s="795">
        <f>IF(G!Q11&lt;&gt;G!R11,IF(G!Q11&lt;&gt;0,IF(G!S11&lt;&gt;G!T11,G!Q11,),),)</f>
        <v>0</v>
      </c>
      <c r="R11" s="628">
        <f>IF(G!Q11&lt;&gt;G!R11,IF(G!Q11&lt;&gt;0,IF(G!S11&lt;&gt;G!T11,0,Q11),Q11),Q11)</f>
        <v>0</v>
      </c>
      <c r="S11" s="796">
        <f>IF(G!Q11&lt;&gt;G!R11,IF(G!Q11&lt;&gt;0,IF(G!S11&lt;&gt;G!T11,G!S11+1,),),)</f>
        <v>0</v>
      </c>
      <c r="T11" s="796">
        <f>IF(G!Q11&lt;&gt;G!R11,IF(G!Q11&lt;&gt;0,IF(G!S11&lt;&gt;G!T11,G!T11,),),)</f>
        <v>0</v>
      </c>
      <c r="U11" s="797">
        <f>IF(G!Q11&lt;&gt;G!R11,IF(G!Q11&lt;&gt;0,IF(G!S11&lt;&gt;G!T11,G!U11,),),)</f>
        <v>0</v>
      </c>
      <c r="V11" s="875">
        <f>IF(G!Q11&lt;&gt;G!R11,IF(G!Q11&lt;&gt;0,IF(G!S11&lt;&gt;G!T11,G!V11,),),)</f>
        <v>0</v>
      </c>
      <c r="W11" s="622">
        <f>IF(Q11="","",$W$5-SUM($Q$7:Q11))</f>
        <v>0</v>
      </c>
      <c r="X11" s="395"/>
      <c r="Y11" s="144" t="str">
        <f>IF(G!Y11&lt;&gt;"",G!Y11,)</f>
        <v>other Allowances</v>
      </c>
      <c r="Z11" s="456">
        <f>G!Z11</f>
        <v>0</v>
      </c>
      <c r="AA11" s="69"/>
      <c r="AB11" s="521"/>
      <c r="AC11" s="858"/>
      <c r="AD11" s="32"/>
      <c r="AE11" s="1227"/>
      <c r="AF11" s="367"/>
      <c r="AG11" s="367"/>
      <c r="AH11" s="367"/>
      <c r="AI11" s="367"/>
      <c r="AJ11" s="367"/>
      <c r="AK11" s="367"/>
      <c r="AL11" s="367"/>
      <c r="AM11" s="367"/>
      <c r="AN11" s="367"/>
      <c r="AO11" s="86"/>
    </row>
    <row r="12" spans="1:92" ht="15" customHeight="1" thickBot="1">
      <c r="A12" s="367"/>
      <c r="B12" s="901" t="str">
        <f>IF(G!B12&lt;&gt;"",G!B12,)</f>
        <v>Bank Savings Program</v>
      </c>
      <c r="C12" s="451">
        <f>G!C12</f>
        <v>0</v>
      </c>
      <c r="D12" s="78"/>
      <c r="E12" s="521"/>
      <c r="F12" s="858"/>
      <c r="G12" s="367"/>
      <c r="H12" s="543"/>
      <c r="I12" s="853"/>
      <c r="J12" s="6"/>
      <c r="K12" s="541"/>
      <c r="L12" s="860"/>
      <c r="M12" s="20" t="str">
        <f>IF(J12="","",$M$5-SUM($J$7:J12))</f>
        <v/>
      </c>
      <c r="N12" s="367"/>
      <c r="O12" s="7"/>
      <c r="P12" s="871">
        <f>IF(G!Q12&lt;&gt;G!R12,IF(G!Q12&lt;&gt;0,IF(G!S12&lt;&gt;G!T12,G!P12,),),)</f>
        <v>0</v>
      </c>
      <c r="Q12" s="795">
        <f>IF(G!Q12&lt;&gt;G!R12,IF(G!Q12&lt;&gt;0,IF(G!S12&lt;&gt;G!T12,G!Q12,),),)</f>
        <v>0</v>
      </c>
      <c r="R12" s="628">
        <f>IF(G!Q12&lt;&gt;G!R12,IF(G!Q12&lt;&gt;0,IF(G!S12&lt;&gt;G!T12,0,Q12),Q12),Q12)</f>
        <v>0</v>
      </c>
      <c r="S12" s="796">
        <f>IF(G!Q12&lt;&gt;G!R12,IF(G!Q12&lt;&gt;0,IF(G!S12&lt;&gt;G!T12,G!S12+1,),),)</f>
        <v>0</v>
      </c>
      <c r="T12" s="796">
        <f>IF(G!Q12&lt;&gt;G!R12,IF(G!Q12&lt;&gt;0,IF(G!S12&lt;&gt;G!T12,G!T12,),),)</f>
        <v>0</v>
      </c>
      <c r="U12" s="797">
        <f>IF(G!Q12&lt;&gt;G!R12,IF(G!Q12&lt;&gt;0,IF(G!S12&lt;&gt;G!T12,G!U12,),),)</f>
        <v>0</v>
      </c>
      <c r="V12" s="875">
        <f>IF(G!Q12&lt;&gt;G!R12,IF(G!Q12&lt;&gt;0,IF(G!S12&lt;&gt;G!T12,G!V12,),),)</f>
        <v>0</v>
      </c>
      <c r="W12" s="622">
        <f>IF(Q12="","",$W$5-SUM($Q$7:Q12))</f>
        <v>0</v>
      </c>
      <c r="X12" s="395"/>
      <c r="Y12" s="144" t="str">
        <f>IF(G!Y12&lt;&gt;"",G!Y12,)</f>
        <v>Rent Assistance</v>
      </c>
      <c r="Z12" s="456">
        <f>G!Z12</f>
        <v>0</v>
      </c>
      <c r="AA12" s="69"/>
      <c r="AB12" s="521"/>
      <c r="AC12" s="858"/>
      <c r="AD12" s="32"/>
      <c r="AE12" s="1228"/>
      <c r="AF12" s="367"/>
      <c r="AG12" s="367"/>
      <c r="AH12" s="367"/>
      <c r="AI12" s="367"/>
      <c r="AJ12" s="367"/>
      <c r="AK12" s="367"/>
      <c r="AL12" s="367"/>
      <c r="AM12" s="367"/>
      <c r="AN12" s="367"/>
      <c r="AO12" s="86"/>
      <c r="AP12" s="1138" t="s">
        <v>20</v>
      </c>
      <c r="AQ12" s="1139"/>
      <c r="AR12" s="1139"/>
      <c r="AS12" s="1139"/>
      <c r="AT12" s="1139"/>
      <c r="AU12" s="1139"/>
      <c r="AV12" s="1139"/>
      <c r="AW12" s="1139"/>
      <c r="AX12" s="1140"/>
    </row>
    <row r="13" spans="1:92" ht="15" customHeight="1" thickBot="1">
      <c r="A13" s="367"/>
      <c r="B13" s="901" t="str">
        <f>IF(G!B13&lt;&gt;"",G!B13,)</f>
        <v>Subscriptions</v>
      </c>
      <c r="C13" s="451">
        <f>G!C13</f>
        <v>0</v>
      </c>
      <c r="D13" s="78"/>
      <c r="E13" s="521"/>
      <c r="F13" s="858"/>
      <c r="G13" s="367"/>
      <c r="H13" s="543"/>
      <c r="I13" s="853"/>
      <c r="J13" s="6"/>
      <c r="K13" s="541"/>
      <c r="L13" s="860"/>
      <c r="M13" s="20" t="str">
        <f>IF(J13="","",$M$5-SUM($J$7:J13))</f>
        <v/>
      </c>
      <c r="N13" s="367"/>
      <c r="O13" s="7"/>
      <c r="P13" s="871">
        <f>IF(G!Q13&lt;&gt;G!R13,IF(G!Q13&lt;&gt;0,IF(G!S13&lt;&gt;G!T13,G!P13,),),)</f>
        <v>0</v>
      </c>
      <c r="Q13" s="795">
        <f>IF(G!Q13&lt;&gt;G!R13,IF(G!Q13&lt;&gt;0,IF(G!S13&lt;&gt;G!T13,G!Q13,),),)</f>
        <v>0</v>
      </c>
      <c r="R13" s="628">
        <f>IF(G!Q13&lt;&gt;G!R13,IF(G!Q13&lt;&gt;0,IF(G!S13&lt;&gt;G!T13,0,Q13),Q13),Q13)</f>
        <v>0</v>
      </c>
      <c r="S13" s="796">
        <f>IF(G!Q13&lt;&gt;G!R13,IF(G!Q13&lt;&gt;0,IF(G!S13&lt;&gt;G!T13,G!S13+1,),),)</f>
        <v>0</v>
      </c>
      <c r="T13" s="796">
        <f>IF(G!Q13&lt;&gt;G!R13,IF(G!Q13&lt;&gt;0,IF(G!S13&lt;&gt;G!T13,G!T13,),),)</f>
        <v>0</v>
      </c>
      <c r="U13" s="797">
        <f>IF(G!Q13&lt;&gt;G!R13,IF(G!Q13&lt;&gt;0,IF(G!S13&lt;&gt;G!T13,G!U13,),),)</f>
        <v>0</v>
      </c>
      <c r="V13" s="875">
        <f>IF(G!Q13&lt;&gt;G!R13,IF(G!Q13&lt;&gt;0,IF(G!S13&lt;&gt;G!T13,G!V13,),),)</f>
        <v>0</v>
      </c>
      <c r="W13" s="622">
        <f>IF(Q13="","",$W$5-SUM($Q$7:Q13))</f>
        <v>0</v>
      </c>
      <c r="X13" s="395"/>
      <c r="Y13" s="144" t="str">
        <f>IF(G!Y13&lt;&gt;"",G!Y13,)</f>
        <v>Food Packages</v>
      </c>
      <c r="Z13" s="456">
        <f>G!Z13</f>
        <v>0</v>
      </c>
      <c r="AA13" s="69"/>
      <c r="AB13" s="521"/>
      <c r="AC13" s="858"/>
      <c r="AD13" s="32"/>
      <c r="AE13" s="363">
        <f>AA18+'Month A'!AA18+B!AA18+'C'!AA18+D!AA18+E!AA18+F!AA18+G!AA18</f>
        <v>0</v>
      </c>
      <c r="AF13" s="367"/>
      <c r="AG13" s="367"/>
      <c r="AH13" s="367"/>
      <c r="AI13" s="367"/>
      <c r="AJ13" s="367"/>
      <c r="AK13" s="367"/>
      <c r="AL13" s="367"/>
      <c r="AM13" s="367"/>
      <c r="AN13" s="367"/>
      <c r="AO13" s="86"/>
    </row>
    <row r="14" spans="1:92" ht="15" customHeight="1">
      <c r="A14" s="367"/>
      <c r="B14" s="901" t="str">
        <f>IF(G!B14&lt;&gt;"",G!B14,)</f>
        <v>Donations</v>
      </c>
      <c r="C14" s="451">
        <f>G!C14</f>
        <v>0</v>
      </c>
      <c r="D14" s="78"/>
      <c r="E14" s="521"/>
      <c r="F14" s="858"/>
      <c r="G14" s="367"/>
      <c r="H14" s="543"/>
      <c r="I14" s="853"/>
      <c r="J14" s="6"/>
      <c r="K14" s="541"/>
      <c r="L14" s="860"/>
      <c r="M14" s="20" t="str">
        <f>IF(J14="","",$M$5-SUM($J$7:J14))</f>
        <v/>
      </c>
      <c r="N14" s="367"/>
      <c r="O14" s="7"/>
      <c r="P14" s="871">
        <f>IF(G!Q14&lt;&gt;G!R14,IF(G!Q14&lt;&gt;0,IF(G!S14&lt;&gt;G!T14,G!P14,),),)</f>
        <v>0</v>
      </c>
      <c r="Q14" s="795">
        <f>IF(G!Q14&lt;&gt;G!R14,IF(G!Q14&lt;&gt;0,IF(G!S14&lt;&gt;G!T14,G!Q14,),),)</f>
        <v>0</v>
      </c>
      <c r="R14" s="628">
        <f>IF(G!Q14&lt;&gt;G!R14,IF(G!Q14&lt;&gt;0,IF(G!S14&lt;&gt;G!T14,0,Q14),Q14),Q14)</f>
        <v>0</v>
      </c>
      <c r="S14" s="796">
        <f>IF(G!Q14&lt;&gt;G!R14,IF(G!Q14&lt;&gt;0,IF(G!S14&lt;&gt;G!T14,G!S14+1,),),)</f>
        <v>0</v>
      </c>
      <c r="T14" s="796">
        <f>IF(G!Q14&lt;&gt;G!R14,IF(G!Q14&lt;&gt;0,IF(G!S14&lt;&gt;G!T14,G!T14,),),)</f>
        <v>0</v>
      </c>
      <c r="U14" s="797">
        <f>IF(G!Q14&lt;&gt;G!R14,IF(G!Q14&lt;&gt;0,IF(G!S14&lt;&gt;G!T14,G!U14,),),)</f>
        <v>0</v>
      </c>
      <c r="V14" s="875">
        <f>IF(G!Q14&lt;&gt;G!R14,IF(G!Q14&lt;&gt;0,IF(G!S14&lt;&gt;G!T14,G!V14,),),)</f>
        <v>0</v>
      </c>
      <c r="W14" s="622">
        <f>IF(Q14="","",$W$5-SUM($Q$7:Q14))</f>
        <v>0</v>
      </c>
      <c r="X14" s="395"/>
      <c r="Y14" s="144" t="str">
        <f>IF(G!Y14&lt;&gt;"",G!Y14,)</f>
        <v>Income from Property</v>
      </c>
      <c r="Z14" s="456">
        <f>G!Z14</f>
        <v>0</v>
      </c>
      <c r="AA14" s="69"/>
      <c r="AB14" s="521"/>
      <c r="AC14" s="858"/>
      <c r="AD14" s="32"/>
      <c r="AE14" s="403"/>
      <c r="AF14" s="367"/>
      <c r="AG14" s="367"/>
      <c r="AH14" s="367"/>
      <c r="AI14" s="367"/>
      <c r="AJ14" s="367"/>
      <c r="AK14" s="367"/>
      <c r="AL14" s="367"/>
      <c r="AM14" s="367"/>
      <c r="AN14" s="367"/>
      <c r="AO14" s="86"/>
      <c r="AW14" s="52" t="s">
        <v>12</v>
      </c>
    </row>
    <row r="15" spans="1:92" ht="15" customHeight="1">
      <c r="A15" s="367"/>
      <c r="B15" s="901">
        <f>IF(G!B15&lt;&gt;"",G!B15,)</f>
        <v>0</v>
      </c>
      <c r="C15" s="451">
        <f>G!C15</f>
        <v>0</v>
      </c>
      <c r="D15" s="78"/>
      <c r="E15" s="521"/>
      <c r="F15" s="858"/>
      <c r="G15" s="367"/>
      <c r="H15" s="543"/>
      <c r="I15" s="853"/>
      <c r="J15" s="6"/>
      <c r="K15" s="541"/>
      <c r="L15" s="860"/>
      <c r="M15" s="20" t="str">
        <f>IF(J15="","",$M$5-SUM($J$7:J15))</f>
        <v/>
      </c>
      <c r="N15" s="367"/>
      <c r="O15" s="7"/>
      <c r="P15" s="871">
        <f>IF(G!Q15&lt;&gt;G!R15,IF(G!Q15&lt;&gt;0,IF(G!S15&lt;&gt;G!T15,G!P15,),),)</f>
        <v>0</v>
      </c>
      <c r="Q15" s="795">
        <f>IF(G!Q15&lt;&gt;G!R15,IF(G!Q15&lt;&gt;0,IF(G!S15&lt;&gt;G!T15,G!Q15,),),)</f>
        <v>0</v>
      </c>
      <c r="R15" s="628">
        <f>IF(G!Q15&lt;&gt;G!R15,IF(G!Q15&lt;&gt;0,IF(G!S15&lt;&gt;G!T15,0,Q15),Q15),Q15)</f>
        <v>0</v>
      </c>
      <c r="S15" s="796">
        <f>IF(G!Q15&lt;&gt;G!R15,IF(G!Q15&lt;&gt;0,IF(G!S15&lt;&gt;G!T15,G!S15+1,),),)</f>
        <v>0</v>
      </c>
      <c r="T15" s="796">
        <f>IF(G!Q15&lt;&gt;G!R15,IF(G!Q15&lt;&gt;0,IF(G!S15&lt;&gt;G!T15,G!T15,),),)</f>
        <v>0</v>
      </c>
      <c r="U15" s="797">
        <f>IF(G!Q15&lt;&gt;G!R15,IF(G!Q15&lt;&gt;0,IF(G!S15&lt;&gt;G!T15,G!U15,),),)</f>
        <v>0</v>
      </c>
      <c r="V15" s="875">
        <f>IF(G!Q15&lt;&gt;G!R15,IF(G!Q15&lt;&gt;0,IF(G!S15&lt;&gt;G!T15,G!V15,),),)</f>
        <v>0</v>
      </c>
      <c r="W15" s="625">
        <f>IF(Q15="","",$W$5-SUM($Q$7:Q15))</f>
        <v>0</v>
      </c>
      <c r="X15" s="621"/>
      <c r="Y15" s="144" t="str">
        <f>IF(G!Y15&lt;&gt;"",G!Y15,)</f>
        <v>Help from parents</v>
      </c>
      <c r="Z15" s="456">
        <f>G!Z15</f>
        <v>0</v>
      </c>
      <c r="AA15" s="69"/>
      <c r="AB15" s="521"/>
      <c r="AC15" s="858"/>
      <c r="AD15" s="32"/>
      <c r="AE15" s="1137" t="str">
        <f>IF(COUNTIF(AE23:AE44,"&lt;0")&gt;0,"Over yearly budget!
Take an action from the options to your right.","")</f>
        <v/>
      </c>
      <c r="AF15" s="367"/>
      <c r="AG15" s="367"/>
      <c r="AH15" s="367"/>
      <c r="AI15" s="367"/>
      <c r="AJ15" s="367"/>
      <c r="AK15" s="367"/>
      <c r="AL15" s="367"/>
      <c r="AM15" s="367"/>
      <c r="AN15" s="367"/>
      <c r="AO15" s="86"/>
      <c r="AW15" s="52" t="s">
        <v>13</v>
      </c>
    </row>
    <row r="16" spans="1:92" ht="15" customHeight="1">
      <c r="A16" s="367"/>
      <c r="B16" s="849">
        <f>IF(G!B16&lt;&gt;"",G!B16,)</f>
        <v>0</v>
      </c>
      <c r="C16" s="451">
        <f>G!C16</f>
        <v>0</v>
      </c>
      <c r="D16" s="78"/>
      <c r="E16" s="521"/>
      <c r="F16" s="858"/>
      <c r="G16" s="367"/>
      <c r="H16" s="543"/>
      <c r="I16" s="853"/>
      <c r="J16" s="6"/>
      <c r="K16" s="541"/>
      <c r="L16" s="860"/>
      <c r="M16" s="20" t="str">
        <f>IF(J16="","",$M$5-SUM($J$7:J16))</f>
        <v/>
      </c>
      <c r="N16" s="367"/>
      <c r="O16" s="7"/>
      <c r="P16" s="873">
        <f>IF(G!Q16&lt;&gt;G!R16,IF(G!Q16&lt;&gt;0,IF(G!S16&lt;&gt;G!T16,G!P16,),),)</f>
        <v>0</v>
      </c>
      <c r="Q16" s="795">
        <f>IF(G!Q16&lt;&gt;G!R16,IF(G!Q16&lt;&gt;0,IF(G!S16&lt;&gt;G!T16,G!Q16,),),)</f>
        <v>0</v>
      </c>
      <c r="R16" s="628">
        <f>IF(G!Q16&lt;&gt;G!R16,IF(G!Q16&lt;&gt;0,IF(G!S16&lt;&gt;G!T16,0,Q16),Q16),Q16)</f>
        <v>0</v>
      </c>
      <c r="S16" s="796">
        <f>IF(G!Q16&lt;&gt;G!R16,IF(G!Q16&lt;&gt;0,IF(G!S16&lt;&gt;G!T16,G!S16+1,),),)</f>
        <v>0</v>
      </c>
      <c r="T16" s="796">
        <f>IF(G!Q16&lt;&gt;G!R16,IF(G!Q16&lt;&gt;0,IF(G!S16&lt;&gt;G!T16,G!T16,),),)</f>
        <v>0</v>
      </c>
      <c r="U16" s="797">
        <f>IF(G!Q16&lt;&gt;G!R16,IF(G!Q16&lt;&gt;0,IF(G!S16&lt;&gt;G!T16,G!U16,),),)</f>
        <v>0</v>
      </c>
      <c r="V16" s="875">
        <f>IF(G!Q16&lt;&gt;G!R16,IF(G!Q16&lt;&gt;0,IF(G!S16&lt;&gt;G!T16,G!V16,),),)</f>
        <v>0</v>
      </c>
      <c r="W16" s="622">
        <f>IF(Q16="","",$W$5-SUM($Q$7:Q16))</f>
        <v>0</v>
      </c>
      <c r="X16" s="395"/>
      <c r="Y16" s="144" t="str">
        <f>IF(G!Y16&lt;&gt;"",G!Y16,)</f>
        <v>Other Income</v>
      </c>
      <c r="Z16" s="456">
        <f>G!Z16</f>
        <v>0</v>
      </c>
      <c r="AA16" s="69"/>
      <c r="AB16" s="645"/>
      <c r="AC16" s="870"/>
      <c r="AD16" s="32"/>
      <c r="AE16" s="1137"/>
      <c r="AF16" s="367"/>
      <c r="AG16" s="367"/>
      <c r="AH16" s="367"/>
      <c r="AI16" s="367"/>
      <c r="AJ16" s="367"/>
      <c r="AK16" s="367"/>
      <c r="AL16" s="367"/>
      <c r="AM16" s="367"/>
      <c r="AN16" s="367"/>
      <c r="AO16" s="86"/>
      <c r="AW16" s="90">
        <f>13-AR19</f>
        <v>5</v>
      </c>
    </row>
    <row r="17" spans="1:63" ht="15" customHeight="1">
      <c r="A17" s="367"/>
      <c r="B17" s="849">
        <f>IF(G!B17&lt;&gt;"",G!B17,)</f>
        <v>0</v>
      </c>
      <c r="C17" s="451">
        <f>G!C17</f>
        <v>0</v>
      </c>
      <c r="D17" s="78"/>
      <c r="E17" s="521"/>
      <c r="F17" s="858"/>
      <c r="G17" s="367"/>
      <c r="H17" s="543"/>
      <c r="I17" s="853"/>
      <c r="J17" s="6"/>
      <c r="K17" s="541"/>
      <c r="L17" s="860"/>
      <c r="M17" s="20" t="str">
        <f>IF(J17="","",$M$5-SUM($J$7:J17))</f>
        <v/>
      </c>
      <c r="N17" s="367"/>
      <c r="O17" s="7"/>
      <c r="P17" s="871">
        <f>IF(G!Q17&lt;&gt;G!R17,IF(G!Q17&lt;&gt;0,IF(G!S17&lt;&gt;G!T17,G!P17,),),)</f>
        <v>0</v>
      </c>
      <c r="Q17" s="795">
        <f>IF(G!Q17&lt;&gt;G!R17,IF(G!Q17&lt;&gt;0,IF(G!S17&lt;&gt;G!T17,G!Q17,),),)</f>
        <v>0</v>
      </c>
      <c r="R17" s="628">
        <f>IF(G!Q17&lt;&gt;G!R17,IF(G!Q17&lt;&gt;0,IF(G!S17&lt;&gt;G!T17,0,Q17),Q17),Q17)</f>
        <v>0</v>
      </c>
      <c r="S17" s="796">
        <f>IF(G!Q17&lt;&gt;G!R17,IF(G!Q17&lt;&gt;0,IF(G!S17&lt;&gt;G!T17,G!S17+1,),),)</f>
        <v>0</v>
      </c>
      <c r="T17" s="796">
        <f>IF(G!Q17&lt;&gt;G!R17,IF(G!Q17&lt;&gt;0,IF(G!S17&lt;&gt;G!T17,G!T17,),),)</f>
        <v>0</v>
      </c>
      <c r="U17" s="797">
        <f>IF(G!Q17&lt;&gt;G!R17,IF(G!Q17&lt;&gt;0,IF(G!S17&lt;&gt;G!T17,G!U17,),),)</f>
        <v>0</v>
      </c>
      <c r="V17" s="875">
        <f>IF(G!Q17&lt;&gt;G!R17,IF(G!Q17&lt;&gt;0,IF(G!S17&lt;&gt;G!T17,G!V17,),),)</f>
        <v>0</v>
      </c>
      <c r="W17" s="624">
        <f>IF(Q17="","",$W$5-SUM($Q$7:Q17))</f>
        <v>0</v>
      </c>
      <c r="X17" s="621"/>
      <c r="Y17" s="18" t="s">
        <v>179</v>
      </c>
      <c r="Z17" s="17">
        <f>SUM(Z6:Z16)</f>
        <v>0</v>
      </c>
      <c r="AA17" s="19">
        <f>SUM(AA6:AA16)</f>
        <v>0</v>
      </c>
      <c r="AB17" s="642"/>
      <c r="AC17" s="642"/>
      <c r="AD17" s="33"/>
      <c r="AE17" s="1137"/>
      <c r="AF17" s="367"/>
      <c r="AG17" s="367"/>
      <c r="AH17" s="367"/>
      <c r="AI17" s="367"/>
      <c r="AJ17" s="367"/>
      <c r="AK17" s="367"/>
      <c r="AL17" s="367"/>
      <c r="AM17" s="367"/>
      <c r="AN17" s="367"/>
      <c r="AO17" s="86"/>
    </row>
    <row r="18" spans="1:63" ht="15" customHeight="1" thickBot="1">
      <c r="A18" s="367"/>
      <c r="B18" s="16" t="s">
        <v>179</v>
      </c>
      <c r="C18" s="77">
        <f>SUM(C7:C17)</f>
        <v>0</v>
      </c>
      <c r="D18" s="75">
        <f>SUM(D7:D17)</f>
        <v>0</v>
      </c>
      <c r="E18" s="515"/>
      <c r="F18" s="515"/>
      <c r="G18" s="367"/>
      <c r="H18" s="543"/>
      <c r="I18" s="853"/>
      <c r="J18" s="6"/>
      <c r="K18" s="541"/>
      <c r="L18" s="860"/>
      <c r="M18" s="20" t="str">
        <f>IF(J18="","",$M$5-SUM($J$7:J18))</f>
        <v/>
      </c>
      <c r="N18" s="367"/>
      <c r="O18" s="7"/>
      <c r="P18" s="873">
        <f>IF(G!Q18&lt;&gt;G!R18,IF(G!Q18&lt;&gt;0,IF(G!S18&lt;&gt;G!T18,G!P18,),),)</f>
        <v>0</v>
      </c>
      <c r="Q18" s="795">
        <f>IF(G!Q18&lt;&gt;G!R18,IF(G!Q18&lt;&gt;0,IF(G!S18&lt;&gt;G!T18,G!Q18,),),)</f>
        <v>0</v>
      </c>
      <c r="R18" s="628">
        <f>IF(G!Q18&lt;&gt;G!R18,IF(G!Q18&lt;&gt;0,IF(G!S18&lt;&gt;G!T18,0,Q18),Q18),Q18)</f>
        <v>0</v>
      </c>
      <c r="S18" s="796">
        <f>IF(G!Q18&lt;&gt;G!R18,IF(G!Q18&lt;&gt;0,IF(G!S18&lt;&gt;G!T18,G!S18+1,),),)</f>
        <v>0</v>
      </c>
      <c r="T18" s="796">
        <f>IF(G!Q18&lt;&gt;G!R18,IF(G!Q18&lt;&gt;0,IF(G!S18&lt;&gt;G!T18,G!T18,),),)</f>
        <v>0</v>
      </c>
      <c r="U18" s="797">
        <f>IF(G!Q18&lt;&gt;G!R18,IF(G!Q18&lt;&gt;0,IF(G!S18&lt;&gt;G!T18,G!U18,),),)</f>
        <v>0</v>
      </c>
      <c r="V18" s="875">
        <f>IF(G!Q18&lt;&gt;G!R18,IF(G!Q18&lt;&gt;0,IF(G!S18&lt;&gt;G!T18,G!V18,),),)</f>
        <v>0</v>
      </c>
      <c r="W18" s="622">
        <f>IF(Q18="","",$W$5-SUM($Q$7:Q18))</f>
        <v>0</v>
      </c>
      <c r="X18" s="395"/>
      <c r="Y18" s="1204" t="s">
        <v>367</v>
      </c>
      <c r="Z18" s="1205"/>
      <c r="AA18" s="121">
        <f>AA17-AA4</f>
        <v>0</v>
      </c>
      <c r="AB18" s="643"/>
      <c r="AC18" s="643"/>
      <c r="AD18" s="34"/>
      <c r="AE18" s="1137"/>
      <c r="AF18" s="367"/>
      <c r="AG18" s="376"/>
      <c r="AH18" s="885" t="s">
        <v>401</v>
      </c>
      <c r="AI18" s="367"/>
      <c r="AJ18" s="367"/>
      <c r="AK18" s="367"/>
      <c r="AL18" s="367"/>
      <c r="AM18" s="367"/>
      <c r="AN18" s="367"/>
      <c r="AO18" s="86"/>
      <c r="AR18" s="52" t="s">
        <v>5</v>
      </c>
    </row>
    <row r="19" spans="1:63" ht="15" customHeight="1" thickBot="1">
      <c r="A19" s="367"/>
      <c r="B19" s="95" t="s">
        <v>367</v>
      </c>
      <c r="C19" s="98"/>
      <c r="D19" s="97">
        <f>C18-D18</f>
        <v>0</v>
      </c>
      <c r="E19" s="516"/>
      <c r="F19" s="516"/>
      <c r="G19" s="367"/>
      <c r="H19" s="543"/>
      <c r="I19" s="853"/>
      <c r="J19" s="6"/>
      <c r="K19" s="541"/>
      <c r="L19" s="860"/>
      <c r="M19" s="20" t="str">
        <f>IF(J19="","",$M$5-SUM($J$7:J19))</f>
        <v/>
      </c>
      <c r="N19" s="367"/>
      <c r="O19" s="7"/>
      <c r="P19" s="871">
        <f>IF(G!Q19&lt;&gt;G!R19,IF(G!Q19&lt;&gt;0,IF(G!S19&lt;&gt;G!T19,G!P19,),),)</f>
        <v>0</v>
      </c>
      <c r="Q19" s="795">
        <f>IF(G!Q19&lt;&gt;G!R19,IF(G!Q19&lt;&gt;0,IF(G!S19&lt;&gt;G!T19,G!Q19,),),)</f>
        <v>0</v>
      </c>
      <c r="R19" s="628">
        <f>IF(G!Q19&lt;&gt;G!R19,IF(G!Q19&lt;&gt;0,IF(G!S19&lt;&gt;G!T19,0,Q19),Q19),Q19)</f>
        <v>0</v>
      </c>
      <c r="S19" s="796">
        <f>IF(G!Q19&lt;&gt;G!R19,IF(G!Q19&lt;&gt;0,IF(G!S19&lt;&gt;G!T19,G!S19+1,),),)</f>
        <v>0</v>
      </c>
      <c r="T19" s="796">
        <f>IF(G!Q19&lt;&gt;G!R19,IF(G!Q19&lt;&gt;0,IF(G!S19&lt;&gt;G!T19,G!T19,),),)</f>
        <v>0</v>
      </c>
      <c r="U19" s="797">
        <f>IF(G!Q19&lt;&gt;G!R19,IF(G!Q19&lt;&gt;0,IF(G!S19&lt;&gt;G!T19,G!U19,),),)</f>
        <v>0</v>
      </c>
      <c r="V19" s="875">
        <f>IF(G!Q19&lt;&gt;G!R19,IF(G!Q19&lt;&gt;0,IF(G!S19&lt;&gt;G!T19,G!V19,),),)</f>
        <v>0</v>
      </c>
      <c r="W19" s="622">
        <f>IF(Q19="","",$W$5-SUM($Q$7:Q19))</f>
        <v>0</v>
      </c>
      <c r="X19" s="395"/>
      <c r="Y19" s="378"/>
      <c r="Z19" s="378"/>
      <c r="AA19" s="378"/>
      <c r="AB19" s="378"/>
      <c r="AC19" s="378"/>
      <c r="AD19" s="9"/>
      <c r="AE19" s="1137"/>
      <c r="AF19" s="367"/>
      <c r="AG19" s="373"/>
      <c r="AH19" s="886" t="s">
        <v>402</v>
      </c>
      <c r="AI19" s="367"/>
      <c r="AJ19" s="367"/>
      <c r="AK19" s="367"/>
      <c r="AL19" s="367"/>
      <c r="AM19" s="367"/>
      <c r="AN19" s="367"/>
      <c r="AO19" s="86"/>
      <c r="AR19" s="88">
        <v>8</v>
      </c>
      <c r="AV19" s="476" t="s">
        <v>14</v>
      </c>
    </row>
    <row r="20" spans="1:63" ht="15" customHeight="1" thickBot="1">
      <c r="A20" s="367"/>
      <c r="B20" s="1095" t="str">
        <f>IF(D19&gt;0,"Unexpected positive difference - Check why!","")</f>
        <v/>
      </c>
      <c r="C20" s="1095"/>
      <c r="D20" s="1095"/>
      <c r="E20" s="514"/>
      <c r="F20" s="514"/>
      <c r="G20" s="367"/>
      <c r="H20" s="543"/>
      <c r="I20" s="853"/>
      <c r="J20" s="6"/>
      <c r="K20" s="541"/>
      <c r="L20" s="860"/>
      <c r="M20" s="20" t="str">
        <f>IF(J20="","",$M$5-SUM($J$7:J20))</f>
        <v/>
      </c>
      <c r="N20" s="367"/>
      <c r="O20" s="7"/>
      <c r="P20" s="871">
        <f>IF(G!Q20&lt;&gt;G!R20,IF(G!Q20&lt;&gt;0,IF(G!S20&lt;&gt;G!T20,G!P20,),),)</f>
        <v>0</v>
      </c>
      <c r="Q20" s="795">
        <f>IF(G!Q20&lt;&gt;G!R20,IF(G!Q20&lt;&gt;0,IF(G!S20&lt;&gt;G!T20,G!Q20,),),)</f>
        <v>0</v>
      </c>
      <c r="R20" s="628">
        <f>IF(G!Q20&lt;&gt;G!R20,IF(G!Q20&lt;&gt;0,IF(G!S20&lt;&gt;G!T20,0,Q20),Q20),Q20)</f>
        <v>0</v>
      </c>
      <c r="S20" s="796">
        <f>IF(G!Q20&lt;&gt;G!R20,IF(G!Q20&lt;&gt;0,IF(G!S20&lt;&gt;G!T20,G!S20+1,),),)</f>
        <v>0</v>
      </c>
      <c r="T20" s="796">
        <f>IF(G!Q20&lt;&gt;G!R20,IF(G!Q20&lt;&gt;0,IF(G!S20&lt;&gt;G!T20,G!T20,),),)</f>
        <v>0</v>
      </c>
      <c r="U20" s="797">
        <f>IF(G!Q20&lt;&gt;G!R20,IF(G!Q20&lt;&gt;0,IF(G!S20&lt;&gt;G!T20,G!U20,),),)</f>
        <v>0</v>
      </c>
      <c r="V20" s="875">
        <f>IF(G!Q20&lt;&gt;G!R20,IF(G!Q20&lt;&gt;0,IF(G!S20&lt;&gt;G!T20,G!V20,),),)</f>
        <v>0</v>
      </c>
      <c r="W20" s="622">
        <f>IF(Q20="","",$W$5-SUM($Q$7:Q20))</f>
        <v>0</v>
      </c>
      <c r="X20" s="395"/>
      <c r="Y20" s="1206" t="s">
        <v>350</v>
      </c>
      <c r="Z20" s="1207"/>
      <c r="AA20" s="1207"/>
      <c r="AB20" s="552"/>
      <c r="AC20" s="552"/>
      <c r="AD20" s="27"/>
      <c r="AE20" s="1137"/>
      <c r="AF20" s="367"/>
      <c r="AG20" s="374"/>
      <c r="AH20" s="887" t="s">
        <v>466</v>
      </c>
      <c r="AI20" s="367"/>
      <c r="AJ20" s="367"/>
      <c r="AK20" s="367"/>
      <c r="AL20" s="367"/>
      <c r="AM20" s="367"/>
      <c r="AN20" s="367"/>
      <c r="AO20" s="86"/>
      <c r="AQ20" s="1240" t="s">
        <v>29</v>
      </c>
      <c r="AR20" s="1139"/>
      <c r="AS20" s="1139"/>
      <c r="AT20" s="1140"/>
      <c r="AV20" s="476" t="s">
        <v>15</v>
      </c>
    </row>
    <row r="21" spans="1:63" ht="15" customHeight="1">
      <c r="A21" s="367"/>
      <c r="B21" s="399"/>
      <c r="C21" s="400"/>
      <c r="D21" s="400"/>
      <c r="E21" s="400"/>
      <c r="F21" s="400"/>
      <c r="G21" s="367"/>
      <c r="H21" s="543"/>
      <c r="I21" s="853"/>
      <c r="J21" s="6"/>
      <c r="K21" s="541"/>
      <c r="L21" s="860"/>
      <c r="M21" s="20" t="str">
        <f>IF(J21="","",$M$5-SUM($J$7:J21))</f>
        <v/>
      </c>
      <c r="N21" s="367"/>
      <c r="O21" s="7"/>
      <c r="P21" s="873">
        <f>IF(G!Q21&lt;&gt;G!R21,IF(G!Q21&lt;&gt;0,IF(G!S21&lt;&gt;G!T21,G!P21,),),)</f>
        <v>0</v>
      </c>
      <c r="Q21" s="795">
        <f>IF(G!Q21&lt;&gt;G!R21,IF(G!Q21&lt;&gt;0,IF(G!S21&lt;&gt;G!T21,G!Q21,),),)</f>
        <v>0</v>
      </c>
      <c r="R21" s="628">
        <f>IF(G!Q21&lt;&gt;G!R21,IF(G!Q21&lt;&gt;0,IF(G!S21&lt;&gt;G!T21,0,Q21),Q21),Q21)</f>
        <v>0</v>
      </c>
      <c r="S21" s="796">
        <f>IF(G!Q21&lt;&gt;G!R21,IF(G!Q21&lt;&gt;0,IF(G!S21&lt;&gt;G!T21,G!S21+1,),),)</f>
        <v>0</v>
      </c>
      <c r="T21" s="796">
        <f>IF(G!Q21&lt;&gt;G!R21,IF(G!Q21&lt;&gt;0,IF(G!S21&lt;&gt;G!T21,G!T21,),),)</f>
        <v>0</v>
      </c>
      <c r="U21" s="797">
        <f>IF(G!Q21&lt;&gt;G!R21,IF(G!Q21&lt;&gt;0,IF(G!S21&lt;&gt;G!T21,G!U21,),),)</f>
        <v>0</v>
      </c>
      <c r="V21" s="875">
        <f>IF(G!Q21&lt;&gt;G!R21,IF(G!Q21&lt;&gt;0,IF(G!S21&lt;&gt;G!T21,G!V21,),),)</f>
        <v>0</v>
      </c>
      <c r="W21" s="622">
        <f>IF(Q21="","",$W$5-SUM($Q$7:Q21))</f>
        <v>0</v>
      </c>
      <c r="X21" s="395"/>
      <c r="Y21" s="1187" t="s">
        <v>353</v>
      </c>
      <c r="Z21" s="1189" t="s">
        <v>354</v>
      </c>
      <c r="AA21" s="1210" t="s">
        <v>494</v>
      </c>
      <c r="AB21" s="719"/>
      <c r="AC21" s="720"/>
      <c r="AD21" s="1148" t="s">
        <v>2</v>
      </c>
      <c r="AE21" s="1141" t="s">
        <v>406</v>
      </c>
      <c r="AG21" s="1242" t="s">
        <v>405</v>
      </c>
      <c r="AH21" s="887" t="s">
        <v>403</v>
      </c>
      <c r="AI21" s="367"/>
      <c r="AJ21" s="367"/>
      <c r="AK21" s="367"/>
      <c r="AL21" s="367"/>
      <c r="AM21" s="367"/>
      <c r="AN21" s="367"/>
      <c r="AO21" s="86"/>
      <c r="AP21" s="89" t="s">
        <v>3</v>
      </c>
      <c r="AQ21" s="475" t="s">
        <v>7</v>
      </c>
      <c r="AR21" s="1229" t="s">
        <v>11</v>
      </c>
      <c r="AS21" s="476"/>
      <c r="AT21" s="476"/>
      <c r="AU21" s="476"/>
      <c r="AV21" s="476" t="s">
        <v>16</v>
      </c>
      <c r="AW21" s="476"/>
      <c r="AX21" s="90" t="s">
        <v>0</v>
      </c>
    </row>
    <row r="22" spans="1:63" ht="15.75" customHeight="1" thickBot="1">
      <c r="A22" s="367"/>
      <c r="B22" s="401" t="s">
        <v>349</v>
      </c>
      <c r="C22" s="402"/>
      <c r="D22" s="378"/>
      <c r="E22" s="378"/>
      <c r="F22" s="378"/>
      <c r="G22" s="367"/>
      <c r="H22" s="543"/>
      <c r="I22" s="853"/>
      <c r="J22" s="6"/>
      <c r="K22" s="541"/>
      <c r="L22" s="860"/>
      <c r="M22" s="20" t="str">
        <f>IF(J22="","",$M$5-SUM($J$7:J22))</f>
        <v/>
      </c>
      <c r="N22" s="367"/>
      <c r="O22" s="7"/>
      <c r="P22" s="871">
        <f>IF(G!Q22&lt;&gt;G!R22,IF(G!Q22&lt;&gt;0,IF(G!S22&lt;&gt;G!T22,G!P22,),),)</f>
        <v>0</v>
      </c>
      <c r="Q22" s="795">
        <f>IF(G!Q22&lt;&gt;G!R22,IF(G!Q22&lt;&gt;0,IF(G!S22&lt;&gt;G!T22,G!Q22,),),)</f>
        <v>0</v>
      </c>
      <c r="R22" s="628">
        <f>IF(G!Q22&lt;&gt;G!R22,IF(G!Q22&lt;&gt;0,IF(G!S22&lt;&gt;G!T22,0,Q22),Q22),Q22)</f>
        <v>0</v>
      </c>
      <c r="S22" s="796">
        <f>IF(G!Q22&lt;&gt;G!R22,IF(G!Q22&lt;&gt;0,IF(G!S22&lt;&gt;G!T22,G!S22+1,),),)</f>
        <v>0</v>
      </c>
      <c r="T22" s="796">
        <f>IF(G!Q22&lt;&gt;G!R22,IF(G!Q22&lt;&gt;0,IF(G!S22&lt;&gt;G!T22,G!T22,),),)</f>
        <v>0</v>
      </c>
      <c r="U22" s="797">
        <f>IF(G!Q22&lt;&gt;G!R22,IF(G!Q22&lt;&gt;0,IF(G!S22&lt;&gt;G!T22,G!U22,),),)</f>
        <v>0</v>
      </c>
      <c r="V22" s="875">
        <f>IF(G!Q22&lt;&gt;G!R22,IF(G!Q22&lt;&gt;0,IF(G!S22&lt;&gt;G!T22,G!V22,),),)</f>
        <v>0</v>
      </c>
      <c r="W22" s="622">
        <f>IF(Q22="","",$W$5-SUM($Q$7:Q22))</f>
        <v>0</v>
      </c>
      <c r="X22" s="395"/>
      <c r="Y22" s="1188"/>
      <c r="Z22" s="1241"/>
      <c r="AA22" s="1211"/>
      <c r="AB22" s="719"/>
      <c r="AC22" s="721"/>
      <c r="AD22" s="1148"/>
      <c r="AE22" s="1141"/>
      <c r="AF22" s="367"/>
      <c r="AG22" s="1243"/>
      <c r="AH22" s="367"/>
      <c r="AI22" s="367"/>
      <c r="AJ22" s="367"/>
      <c r="AK22" s="367"/>
      <c r="AL22" s="367"/>
      <c r="AM22" s="367"/>
      <c r="AN22" s="367"/>
      <c r="AO22" s="86"/>
      <c r="AP22" s="90" t="s">
        <v>9</v>
      </c>
      <c r="AQ22" s="475" t="s">
        <v>10</v>
      </c>
      <c r="AR22" s="1229"/>
      <c r="AS22" s="475" t="s">
        <v>8</v>
      </c>
      <c r="AT22" s="475" t="s">
        <v>6</v>
      </c>
      <c r="AU22" s="476"/>
      <c r="AV22" s="475" t="s">
        <v>17</v>
      </c>
      <c r="AW22" s="475" t="s">
        <v>18</v>
      </c>
      <c r="AX22" s="706" t="s">
        <v>19</v>
      </c>
      <c r="AZ22" s="725" t="s">
        <v>31</v>
      </c>
      <c r="BA22" s="724"/>
      <c r="BB22" s="724"/>
      <c r="BC22" s="724"/>
      <c r="BD22" s="724"/>
      <c r="BE22" s="724"/>
      <c r="BF22" s="724"/>
      <c r="BG22" s="724"/>
      <c r="BH22" s="724"/>
      <c r="BJ22" s="724"/>
      <c r="BK22" s="724"/>
    </row>
    <row r="23" spans="1:63" ht="15.75">
      <c r="A23" s="367"/>
      <c r="B23" s="1102" t="s">
        <v>428</v>
      </c>
      <c r="C23" s="1104">
        <f ca="1">C40</f>
        <v>0</v>
      </c>
      <c r="D23" s="1105"/>
      <c r="E23" s="1091"/>
      <c r="F23" s="1092"/>
      <c r="G23" s="367"/>
      <c r="H23" s="543"/>
      <c r="I23" s="853"/>
      <c r="J23" s="6"/>
      <c r="K23" s="541"/>
      <c r="L23" s="860"/>
      <c r="M23" s="20" t="str">
        <f>IF(J23="","",$M$5-SUM($J$7:J23))</f>
        <v/>
      </c>
      <c r="N23" s="367"/>
      <c r="O23" s="7"/>
      <c r="P23" s="873">
        <f>IF(G!Q23&lt;&gt;G!R23,IF(G!Q23&lt;&gt;0,IF(G!S23&lt;&gt;G!T23,G!P23,),),)</f>
        <v>0</v>
      </c>
      <c r="Q23" s="795">
        <f>IF(G!Q23&lt;&gt;G!R23,IF(G!Q23&lt;&gt;0,IF(G!S23&lt;&gt;G!T23,G!Q23,),),)</f>
        <v>0</v>
      </c>
      <c r="R23" s="628">
        <f>IF(G!Q23&lt;&gt;G!R23,IF(G!Q23&lt;&gt;0,IF(G!S23&lt;&gt;G!T23,0,Q23),Q23),Q23)</f>
        <v>0</v>
      </c>
      <c r="S23" s="796">
        <f>IF(G!Q23&lt;&gt;G!R23,IF(G!Q23&lt;&gt;0,IF(G!S23&lt;&gt;G!T23,G!S23+1,),),)</f>
        <v>0</v>
      </c>
      <c r="T23" s="796">
        <f>IF(G!Q23&lt;&gt;G!R23,IF(G!Q23&lt;&gt;0,IF(G!S23&lt;&gt;G!T23,G!T23,),),)</f>
        <v>0</v>
      </c>
      <c r="U23" s="797">
        <f>IF(G!Q23&lt;&gt;G!R23,IF(G!Q23&lt;&gt;0,IF(G!S23&lt;&gt;G!T23,G!U23,),),)</f>
        <v>0</v>
      </c>
      <c r="V23" s="875">
        <f>IF(G!Q23&lt;&gt;G!R23,IF(G!Q23&lt;&gt;0,IF(G!S23&lt;&gt;G!T23,G!V23,),),)</f>
        <v>0</v>
      </c>
      <c r="W23" s="622">
        <f>IF(Q23="","",$W$5-SUM($Q$7:Q23))</f>
        <v>0</v>
      </c>
      <c r="X23" s="395"/>
      <c r="Y23" s="905" t="str">
        <f>IF(G!Y23&lt;&gt;"",G!Y23,)</f>
        <v>Municipal Taxes</v>
      </c>
      <c r="Z23" s="457">
        <f>G!Z23</f>
        <v>0</v>
      </c>
      <c r="AA23" s="21">
        <f t="shared" ref="AA23:AA44" si="0">SUMIF($P$7:$P$110,Y23,$Q$7:$Q$110)</f>
        <v>0</v>
      </c>
      <c r="AB23" s="722"/>
      <c r="AC23" s="722"/>
      <c r="AD23" s="35">
        <f t="shared" ref="AD23:AD44" si="1">SUMIF($P$7:$P$110,Y23,$R$7:$R$110)</f>
        <v>0</v>
      </c>
      <c r="AE23" s="23">
        <f>IF(AI23=0,AX23,0)</f>
        <v>0</v>
      </c>
      <c r="AF23" s="367"/>
      <c r="AG23" s="728">
        <f t="shared" ref="AG23:AG44" si="2">IF(AZ23&gt;1,"overrun",IF(AZ23&lt;0,"OK",AZ23))</f>
        <v>0</v>
      </c>
      <c r="AH23" s="367"/>
      <c r="AI23" s="375">
        <v>0</v>
      </c>
      <c r="AJ23" s="367"/>
      <c r="AK23" s="367"/>
      <c r="AL23" s="367"/>
      <c r="AM23" s="367"/>
      <c r="AN23" s="367"/>
      <c r="AO23" s="86"/>
      <c r="AP23" s="51">
        <f t="shared" ref="AP23:AP44" si="3">IF(AI23=1,AX23,0)</f>
        <v>0</v>
      </c>
      <c r="AQ23" s="476">
        <f>G!AQ23+G!AP23</f>
        <v>0</v>
      </c>
      <c r="AR23" s="476">
        <f t="shared" ref="AR23:AR44" si="4">Z23*12-AS23-AQ23</f>
        <v>0</v>
      </c>
      <c r="AS23" s="477">
        <f>AD23+G!AS23</f>
        <v>0</v>
      </c>
      <c r="AT23" s="477">
        <f>AA23+G!AT23</f>
        <v>0</v>
      </c>
      <c r="AU23" s="476"/>
      <c r="AV23" s="477">
        <f>G!AV23-G!AD23+H!Z23-G!AP23</f>
        <v>0</v>
      </c>
      <c r="AW23" s="476">
        <f>IF(AE23&lt;0,AE23,0)</f>
        <v>0</v>
      </c>
      <c r="AX23" s="52">
        <f>IF(Z23=G!Z23,G!AE23-AD23,G!AE23+(Z23-G!Z23)*$AW$16-AD23)</f>
        <v>0</v>
      </c>
      <c r="AZ23" s="726">
        <f>(($Z23*(12-$AR$19))-$AE23)/($Z23*(12-$AR$19)+0.00001)</f>
        <v>0</v>
      </c>
    </row>
    <row r="24" spans="1:63" ht="15.75">
      <c r="A24" s="367"/>
      <c r="B24" s="1103"/>
      <c r="C24" s="1106"/>
      <c r="D24" s="1107"/>
      <c r="E24" s="1091"/>
      <c r="F24" s="1092"/>
      <c r="G24" s="367"/>
      <c r="H24" s="543"/>
      <c r="I24" s="853"/>
      <c r="J24" s="6"/>
      <c r="K24" s="541"/>
      <c r="L24" s="860"/>
      <c r="M24" s="20" t="str">
        <f>IF(J24="","",$M$5-SUM($J$7:J24))</f>
        <v/>
      </c>
      <c r="N24" s="367"/>
      <c r="O24" s="7"/>
      <c r="P24" s="873">
        <f>IF(G!Q24&lt;&gt;G!R24,IF(G!Q24&lt;&gt;0,IF(G!S24&lt;&gt;G!T24,G!P24,),),)</f>
        <v>0</v>
      </c>
      <c r="Q24" s="795">
        <f>IF(G!Q24&lt;&gt;G!R24,IF(G!Q24&lt;&gt;0,IF(G!S24&lt;&gt;G!T24,G!Q24,),),)</f>
        <v>0</v>
      </c>
      <c r="R24" s="628">
        <f>IF(G!Q24&lt;&gt;G!R24,IF(G!Q24&lt;&gt;0,IF(G!S24&lt;&gt;G!T24,0,Q24),Q24),Q24)</f>
        <v>0</v>
      </c>
      <c r="S24" s="796">
        <f>IF(G!Q24&lt;&gt;G!R24,IF(G!Q24&lt;&gt;0,IF(G!S24&lt;&gt;G!T24,G!S24+1,),),)</f>
        <v>0</v>
      </c>
      <c r="T24" s="796">
        <f>IF(G!Q24&lt;&gt;G!R24,IF(G!Q24&lt;&gt;0,IF(G!S24&lt;&gt;G!T24,G!T24,),),)</f>
        <v>0</v>
      </c>
      <c r="U24" s="797">
        <f>IF(G!Q24&lt;&gt;G!R24,IF(G!Q24&lt;&gt;0,IF(G!S24&lt;&gt;G!T24,G!U24,),),)</f>
        <v>0</v>
      </c>
      <c r="V24" s="875">
        <f>IF(G!Q24&lt;&gt;G!R24,IF(G!Q24&lt;&gt;0,IF(G!S24&lt;&gt;G!T24,G!V24,),),)</f>
        <v>0</v>
      </c>
      <c r="W24" s="622">
        <f>IF(Q24="","",$W$5-SUM($Q$7:Q24))</f>
        <v>0</v>
      </c>
      <c r="X24" s="395"/>
      <c r="Y24" s="905" t="str">
        <f>IF(G!Y24&lt;&gt;"",G!Y24,)</f>
        <v>Water and Sewage</v>
      </c>
      <c r="Z24" s="457">
        <f>G!Z24</f>
        <v>0</v>
      </c>
      <c r="AA24" s="20">
        <f t="shared" si="0"/>
        <v>0</v>
      </c>
      <c r="AB24" s="723"/>
      <c r="AC24" s="723"/>
      <c r="AD24" s="36">
        <f t="shared" si="1"/>
        <v>0</v>
      </c>
      <c r="AE24" s="23">
        <f t="shared" ref="AE24:AE44" si="5">IF(AI24=0,AX24,0)</f>
        <v>0</v>
      </c>
      <c r="AF24" s="367"/>
      <c r="AG24" s="728">
        <f t="shared" si="2"/>
        <v>0</v>
      </c>
      <c r="AH24" s="367"/>
      <c r="AI24" s="375">
        <v>0</v>
      </c>
      <c r="AJ24" s="367"/>
      <c r="AK24" s="367"/>
      <c r="AL24" s="367"/>
      <c r="AM24" s="367"/>
      <c r="AN24" s="367"/>
      <c r="AO24" s="86"/>
      <c r="AP24" s="51">
        <f t="shared" si="3"/>
        <v>0</v>
      </c>
      <c r="AQ24" s="476">
        <f>G!AQ24+G!AP24</f>
        <v>0</v>
      </c>
      <c r="AR24" s="476">
        <f t="shared" si="4"/>
        <v>0</v>
      </c>
      <c r="AS24" s="477">
        <f>AD24+G!AS24</f>
        <v>0</v>
      </c>
      <c r="AT24" s="477">
        <f>AA24+G!AT24</f>
        <v>0</v>
      </c>
      <c r="AU24" s="476"/>
      <c r="AV24" s="477">
        <f>G!AV24-G!AD24+H!Z24-G!AP24</f>
        <v>0</v>
      </c>
      <c r="AW24" s="476">
        <f t="shared" ref="AW24:AW44" si="6">IF(AE24&lt;0,AE24,0)</f>
        <v>0</v>
      </c>
      <c r="AX24" s="52">
        <f>IF(Z24=G!Z24,G!AE24-AD24,G!AE24+(Z24-G!Z24)*$AW$16-AD24)</f>
        <v>0</v>
      </c>
      <c r="AZ24" s="726">
        <f t="shared" ref="AZ24:AZ44" si="7">(($Z24*(12-$AR$19))-$AE24)/($Z24*(12-$AR$19)+0.00001)</f>
        <v>0</v>
      </c>
    </row>
    <row r="25" spans="1:63" ht="16.5" thickBot="1">
      <c r="A25" s="367"/>
      <c r="B25" s="1178" t="s">
        <v>388</v>
      </c>
      <c r="C25" s="1118" t="s">
        <v>354</v>
      </c>
      <c r="D25" s="1180" t="s">
        <v>494</v>
      </c>
      <c r="E25" s="1109" t="s">
        <v>380</v>
      </c>
      <c r="F25" s="1108" t="s">
        <v>335</v>
      </c>
      <c r="G25" s="367"/>
      <c r="H25" s="543"/>
      <c r="I25" s="853"/>
      <c r="J25" s="6"/>
      <c r="K25" s="541"/>
      <c r="L25" s="860"/>
      <c r="M25" s="20" t="str">
        <f>IF(J25="","",$M$5-SUM($J$7:J25))</f>
        <v/>
      </c>
      <c r="N25" s="367"/>
      <c r="O25" s="7"/>
      <c r="P25" s="873">
        <f>IF(G!Q25&lt;&gt;G!R25,IF(G!Q25&lt;&gt;0,IF(G!S25&lt;&gt;G!T25,G!P25,),),)</f>
        <v>0</v>
      </c>
      <c r="Q25" s="795">
        <f>IF(G!Q25&lt;&gt;G!R25,IF(G!Q25&lt;&gt;0,IF(G!S25&lt;&gt;G!T25,G!Q25,),),)</f>
        <v>0</v>
      </c>
      <c r="R25" s="628">
        <f>IF(G!Q25&lt;&gt;G!R25,IF(G!Q25&lt;&gt;0,IF(G!S25&lt;&gt;G!T25,0,Q25),Q25),Q25)</f>
        <v>0</v>
      </c>
      <c r="S25" s="796">
        <f>IF(G!Q25&lt;&gt;G!R25,IF(G!Q25&lt;&gt;0,IF(G!S25&lt;&gt;G!T25,G!S25+1,),),)</f>
        <v>0</v>
      </c>
      <c r="T25" s="796">
        <f>IF(G!Q25&lt;&gt;G!R25,IF(G!Q25&lt;&gt;0,IF(G!S25&lt;&gt;G!T25,G!T25,),),)</f>
        <v>0</v>
      </c>
      <c r="U25" s="797">
        <f>IF(G!Q25&lt;&gt;G!R25,IF(G!Q25&lt;&gt;0,IF(G!S25&lt;&gt;G!T25,G!U25,),),)</f>
        <v>0</v>
      </c>
      <c r="V25" s="875">
        <f>IF(G!Q25&lt;&gt;G!R25,IF(G!Q25&lt;&gt;0,IF(G!S25&lt;&gt;G!T25,G!V25,),),)</f>
        <v>0</v>
      </c>
      <c r="W25" s="622">
        <f>IF(Q25="","",$W$5-SUM($Q$7:Q25))</f>
        <v>0</v>
      </c>
      <c r="X25" s="395"/>
      <c r="Y25" s="905" t="str">
        <f>IF(G!Y25&lt;&gt;"",G!Y25,)</f>
        <v>Electricity</v>
      </c>
      <c r="Z25" s="457">
        <f>G!Z25</f>
        <v>0</v>
      </c>
      <c r="AA25" s="20">
        <f t="shared" si="0"/>
        <v>0</v>
      </c>
      <c r="AB25" s="723"/>
      <c r="AC25" s="723"/>
      <c r="AD25" s="36">
        <f t="shared" si="1"/>
        <v>0</v>
      </c>
      <c r="AE25" s="23">
        <f t="shared" si="5"/>
        <v>0</v>
      </c>
      <c r="AF25" s="367"/>
      <c r="AG25" s="728">
        <f t="shared" si="2"/>
        <v>0</v>
      </c>
      <c r="AH25" s="367"/>
      <c r="AI25" s="375">
        <v>0</v>
      </c>
      <c r="AJ25" s="367"/>
      <c r="AK25" s="367"/>
      <c r="AL25" s="367"/>
      <c r="AM25" s="367"/>
      <c r="AN25" s="367"/>
      <c r="AO25" s="86"/>
      <c r="AP25" s="51">
        <f t="shared" si="3"/>
        <v>0</v>
      </c>
      <c r="AQ25" s="476">
        <f>G!AQ25+G!AP25</f>
        <v>0</v>
      </c>
      <c r="AR25" s="476">
        <f t="shared" si="4"/>
        <v>0</v>
      </c>
      <c r="AS25" s="477">
        <f>AD25+G!AS25</f>
        <v>0</v>
      </c>
      <c r="AT25" s="477">
        <f>AA25+G!AT25</f>
        <v>0</v>
      </c>
      <c r="AU25" s="476"/>
      <c r="AV25" s="477">
        <f>G!AV25-G!AD25+H!Z25-G!AP25</f>
        <v>0</v>
      </c>
      <c r="AW25" s="476">
        <f t="shared" si="6"/>
        <v>0</v>
      </c>
      <c r="AX25" s="52">
        <f>IF(Z25=G!Z25,G!AE25-AD25,G!AE25+(Z25-G!Z25)*$AW$16-AD25)</f>
        <v>0</v>
      </c>
      <c r="AZ25" s="726">
        <f t="shared" si="7"/>
        <v>0</v>
      </c>
    </row>
    <row r="26" spans="1:63" ht="15.75">
      <c r="A26" s="367"/>
      <c r="B26" s="1179"/>
      <c r="C26" s="1119"/>
      <c r="D26" s="1181"/>
      <c r="E26" s="1109"/>
      <c r="F26" s="1108"/>
      <c r="G26" s="367"/>
      <c r="H26" s="543"/>
      <c r="I26" s="853"/>
      <c r="J26" s="6"/>
      <c r="K26" s="541"/>
      <c r="L26" s="860"/>
      <c r="M26" s="20" t="str">
        <f>IF(J26="","",$M$5-SUM($J$7:J26))</f>
        <v/>
      </c>
      <c r="N26" s="367"/>
      <c r="O26" s="7"/>
      <c r="P26" s="873">
        <f>IF(G!Q26&lt;&gt;G!R26,IF(G!Q26&lt;&gt;0,IF(G!S26&lt;&gt;G!T26,G!P26,),),)</f>
        <v>0</v>
      </c>
      <c r="Q26" s="795">
        <f>IF(G!Q26&lt;&gt;G!R26,IF(G!Q26&lt;&gt;0,IF(G!S26&lt;&gt;G!T26,G!Q26,),),)</f>
        <v>0</v>
      </c>
      <c r="R26" s="628">
        <f>IF(G!Q26&lt;&gt;G!R26,IF(G!Q26&lt;&gt;0,IF(G!S26&lt;&gt;G!T26,0,Q26),Q26),Q26)</f>
        <v>0</v>
      </c>
      <c r="S26" s="796">
        <f>IF(G!Q26&lt;&gt;G!R26,IF(G!Q26&lt;&gt;0,IF(G!S26&lt;&gt;G!T26,G!S26+1,),),)</f>
        <v>0</v>
      </c>
      <c r="T26" s="796">
        <f>IF(G!Q26&lt;&gt;G!R26,IF(G!Q26&lt;&gt;0,IF(G!S26&lt;&gt;G!T26,G!T26,),),)</f>
        <v>0</v>
      </c>
      <c r="U26" s="797">
        <f>IF(G!Q26&lt;&gt;G!R26,IF(G!Q26&lt;&gt;0,IF(G!S26&lt;&gt;G!T26,G!U26,),),)</f>
        <v>0</v>
      </c>
      <c r="V26" s="875">
        <f>IF(G!Q26&lt;&gt;G!R26,IF(G!Q26&lt;&gt;0,IF(G!S26&lt;&gt;G!T26,G!V26,),),)</f>
        <v>0</v>
      </c>
      <c r="W26" s="622">
        <f>IF(Q26="","",$W$5-SUM($Q$7:Q26))</f>
        <v>0</v>
      </c>
      <c r="X26" s="395"/>
      <c r="Y26" s="905" t="str">
        <f>IF(G!Y26&lt;&gt;"",G!Y26,)</f>
        <v>Gas</v>
      </c>
      <c r="Z26" s="457">
        <f>G!Z26</f>
        <v>0</v>
      </c>
      <c r="AA26" s="20">
        <f t="shared" si="0"/>
        <v>0</v>
      </c>
      <c r="AB26" s="723"/>
      <c r="AC26" s="723"/>
      <c r="AD26" s="36">
        <f t="shared" si="1"/>
        <v>0</v>
      </c>
      <c r="AE26" s="23">
        <f t="shared" si="5"/>
        <v>0</v>
      </c>
      <c r="AF26" s="367"/>
      <c r="AG26" s="728">
        <f t="shared" si="2"/>
        <v>0</v>
      </c>
      <c r="AH26" s="367"/>
      <c r="AI26" s="375">
        <v>0</v>
      </c>
      <c r="AJ26" s="367"/>
      <c r="AK26" s="525" t="s">
        <v>404</v>
      </c>
      <c r="AL26" s="526"/>
      <c r="AM26" s="367"/>
      <c r="AN26" s="367"/>
      <c r="AO26" s="86"/>
      <c r="AP26" s="51">
        <f t="shared" si="3"/>
        <v>0</v>
      </c>
      <c r="AQ26" s="476">
        <f>G!AQ26+G!AP26</f>
        <v>0</v>
      </c>
      <c r="AR26" s="476">
        <f t="shared" si="4"/>
        <v>0</v>
      </c>
      <c r="AS26" s="477">
        <f>AD26+G!AS26</f>
        <v>0</v>
      </c>
      <c r="AT26" s="477">
        <f>AA26+G!AT26</f>
        <v>0</v>
      </c>
      <c r="AU26" s="476"/>
      <c r="AV26" s="477">
        <f>G!AV26-G!AD26+H!Z26-G!AP26</f>
        <v>0</v>
      </c>
      <c r="AW26" s="476">
        <f t="shared" si="6"/>
        <v>0</v>
      </c>
      <c r="AX26" s="52">
        <f>IF(Z26=G!Z26,G!AE26-AD26,G!AE26+(Z26-G!Z26)*$AW$16-AD26)</f>
        <v>0</v>
      </c>
      <c r="AZ26" s="726">
        <f t="shared" si="7"/>
        <v>0</v>
      </c>
    </row>
    <row r="27" spans="1:63" ht="15.75">
      <c r="A27" s="367"/>
      <c r="B27" s="850">
        <f>IF(G!B27&lt;&gt;"",G!B27,)</f>
        <v>0</v>
      </c>
      <c r="C27" s="454">
        <f>G!C27</f>
        <v>0</v>
      </c>
      <c r="D27" s="74"/>
      <c r="E27" s="521"/>
      <c r="F27" s="858"/>
      <c r="G27" s="367"/>
      <c r="H27" s="543"/>
      <c r="I27" s="853"/>
      <c r="J27" s="6"/>
      <c r="K27" s="541"/>
      <c r="L27" s="860"/>
      <c r="M27" s="20" t="str">
        <f>IF(J27="","",$M$5-SUM($J$7:J27))</f>
        <v/>
      </c>
      <c r="N27" s="367"/>
      <c r="O27" s="7"/>
      <c r="P27" s="873">
        <f>IF(G!Q27&lt;&gt;G!R27,IF(G!Q27&lt;&gt;0,IF(G!S27&lt;&gt;G!T27,G!P27,),),)</f>
        <v>0</v>
      </c>
      <c r="Q27" s="795">
        <f>IF(G!Q27&lt;&gt;G!R27,IF(G!Q27&lt;&gt;0,IF(G!S27&lt;&gt;G!T27,G!Q27,),),)</f>
        <v>0</v>
      </c>
      <c r="R27" s="628">
        <f>IF(G!Q27&lt;&gt;G!R27,IF(G!Q27&lt;&gt;0,IF(G!S27&lt;&gt;G!T27,0,Q27),Q27),Q27)</f>
        <v>0</v>
      </c>
      <c r="S27" s="796">
        <f>IF(G!Q27&lt;&gt;G!R27,IF(G!Q27&lt;&gt;0,IF(G!S27&lt;&gt;G!T27,G!S27+1,),),)</f>
        <v>0</v>
      </c>
      <c r="T27" s="796">
        <f>IF(G!Q27&lt;&gt;G!R27,IF(G!Q27&lt;&gt;0,IF(G!S27&lt;&gt;G!T27,G!T27,),),)</f>
        <v>0</v>
      </c>
      <c r="U27" s="797">
        <f>IF(G!Q27&lt;&gt;G!R27,IF(G!Q27&lt;&gt;0,IF(G!S27&lt;&gt;G!T27,G!U27,),),)</f>
        <v>0</v>
      </c>
      <c r="V27" s="875">
        <f>IF(G!Q27&lt;&gt;G!R27,IF(G!Q27&lt;&gt;0,IF(G!S27&lt;&gt;G!T27,G!V27,),),)</f>
        <v>0</v>
      </c>
      <c r="W27" s="622">
        <f>IF(Q27="","",$W$5-SUM($Q$7:Q27))</f>
        <v>0</v>
      </c>
      <c r="X27" s="395"/>
      <c r="Y27" s="905" t="str">
        <f>IF(G!Y27&lt;&gt;"",G!Y27,)</f>
        <v>Heating</v>
      </c>
      <c r="Z27" s="457">
        <f>G!Z27</f>
        <v>0</v>
      </c>
      <c r="AA27" s="20">
        <f t="shared" si="0"/>
        <v>0</v>
      </c>
      <c r="AB27" s="723"/>
      <c r="AC27" s="723"/>
      <c r="AD27" s="36">
        <f t="shared" si="1"/>
        <v>0</v>
      </c>
      <c r="AE27" s="23">
        <f t="shared" si="5"/>
        <v>0</v>
      </c>
      <c r="AF27" s="367"/>
      <c r="AG27" s="728">
        <f t="shared" si="2"/>
        <v>0</v>
      </c>
      <c r="AH27" s="367"/>
      <c r="AI27" s="375">
        <v>0</v>
      </c>
      <c r="AJ27" s="367"/>
      <c r="AK27" s="527"/>
      <c r="AL27" s="394"/>
      <c r="AM27" s="367"/>
      <c r="AN27" s="367"/>
      <c r="AO27" s="86"/>
      <c r="AP27" s="51">
        <f t="shared" si="3"/>
        <v>0</v>
      </c>
      <c r="AQ27" s="476">
        <f>G!AQ27+G!AP27</f>
        <v>0</v>
      </c>
      <c r="AR27" s="476">
        <f t="shared" si="4"/>
        <v>0</v>
      </c>
      <c r="AS27" s="477">
        <f>AD27+G!AS27</f>
        <v>0</v>
      </c>
      <c r="AT27" s="477">
        <f>AA27+G!AT27</f>
        <v>0</v>
      </c>
      <c r="AU27" s="476"/>
      <c r="AV27" s="477">
        <f>G!AV27-G!AD27+H!Z27-G!AP27</f>
        <v>0</v>
      </c>
      <c r="AW27" s="476">
        <f t="shared" si="6"/>
        <v>0</v>
      </c>
      <c r="AX27" s="52">
        <f>IF(Z27=G!Z27,G!AE27-AD27,G!AE27+(Z27-G!Z27)*$AW$16-AD27)</f>
        <v>0</v>
      </c>
      <c r="AZ27" s="726">
        <f t="shared" si="7"/>
        <v>0</v>
      </c>
    </row>
    <row r="28" spans="1:63" ht="15" customHeight="1">
      <c r="A28" s="367"/>
      <c r="B28" s="850">
        <f ca="1">IF(G!B28&lt;&gt;"",G!B28,)</f>
        <v>0</v>
      </c>
      <c r="C28" s="454">
        <f ca="1">G!C28</f>
        <v>0</v>
      </c>
      <c r="D28" s="74"/>
      <c r="E28" s="521"/>
      <c r="F28" s="858"/>
      <c r="G28" s="367"/>
      <c r="H28" s="543"/>
      <c r="I28" s="853"/>
      <c r="J28" s="6"/>
      <c r="K28" s="541"/>
      <c r="L28" s="860"/>
      <c r="M28" s="20" t="str">
        <f>IF(J28="","",$M$5-SUM($J$7:J28))</f>
        <v/>
      </c>
      <c r="N28" s="367"/>
      <c r="O28" s="7"/>
      <c r="P28" s="873">
        <f>IF(G!Q28&lt;&gt;G!R28,IF(G!Q28&lt;&gt;0,IF(G!S28&lt;&gt;G!T28,G!P28,),),)</f>
        <v>0</v>
      </c>
      <c r="Q28" s="795">
        <f>IF(G!Q28&lt;&gt;G!R28,IF(G!Q28&lt;&gt;0,IF(G!S28&lt;&gt;G!T28,G!Q28,),),)</f>
        <v>0</v>
      </c>
      <c r="R28" s="628">
        <f>IF(G!Q28&lt;&gt;G!R28,IF(G!Q28&lt;&gt;0,IF(G!S28&lt;&gt;G!T28,0,Q28),Q28),Q28)</f>
        <v>0</v>
      </c>
      <c r="S28" s="796">
        <f>IF(G!Q28&lt;&gt;G!R28,IF(G!Q28&lt;&gt;0,IF(G!S28&lt;&gt;G!T28,G!S28+1,),),)</f>
        <v>0</v>
      </c>
      <c r="T28" s="796">
        <f>IF(G!Q28&lt;&gt;G!R28,IF(G!Q28&lt;&gt;0,IF(G!S28&lt;&gt;G!T28,G!T28,),),)</f>
        <v>0</v>
      </c>
      <c r="U28" s="797">
        <f>IF(G!Q28&lt;&gt;G!R28,IF(G!Q28&lt;&gt;0,IF(G!S28&lt;&gt;G!T28,G!U28,),),)</f>
        <v>0</v>
      </c>
      <c r="V28" s="875">
        <f>IF(G!Q28&lt;&gt;G!R28,IF(G!Q28&lt;&gt;0,IF(G!S28&lt;&gt;G!T28,G!V28,),),)</f>
        <v>0</v>
      </c>
      <c r="W28" s="622">
        <f>IF(Q28="","",$W$5-SUM($Q$7:Q28))</f>
        <v>0</v>
      </c>
      <c r="X28" s="395"/>
      <c r="Y28" s="906" t="str">
        <f>IF(G!Y28&lt;&gt;"",G!Y28,)</f>
        <v>Education/Schoolbooks</v>
      </c>
      <c r="Z28" s="457">
        <f>G!Z28</f>
        <v>0</v>
      </c>
      <c r="AA28" s="20">
        <f t="shared" si="0"/>
        <v>0</v>
      </c>
      <c r="AB28" s="723"/>
      <c r="AC28" s="723"/>
      <c r="AD28" s="36">
        <f t="shared" si="1"/>
        <v>0</v>
      </c>
      <c r="AE28" s="23">
        <f>IF(AI28=0,AX28,0)</f>
        <v>0</v>
      </c>
      <c r="AF28" s="367"/>
      <c r="AG28" s="728">
        <f t="shared" si="2"/>
        <v>0</v>
      </c>
      <c r="AH28" s="367"/>
      <c r="AI28" s="375">
        <v>0</v>
      </c>
      <c r="AJ28" s="367"/>
      <c r="AK28" s="528" t="s">
        <v>405</v>
      </c>
      <c r="AL28" s="529" t="s">
        <v>407</v>
      </c>
      <c r="AM28" s="367"/>
      <c r="AN28" s="367"/>
      <c r="AO28" s="86"/>
      <c r="AP28" s="51">
        <f t="shared" si="3"/>
        <v>0</v>
      </c>
      <c r="AQ28" s="476">
        <f>G!AQ28+G!AP28</f>
        <v>0</v>
      </c>
      <c r="AR28" s="476">
        <f t="shared" si="4"/>
        <v>0</v>
      </c>
      <c r="AS28" s="477">
        <f>AD28+G!AS28</f>
        <v>0</v>
      </c>
      <c r="AT28" s="477">
        <f>AA28+G!AT28</f>
        <v>0</v>
      </c>
      <c r="AU28" s="476"/>
      <c r="AV28" s="477">
        <f>G!AV28-G!AD28+H!Z28-G!AP28</f>
        <v>0</v>
      </c>
      <c r="AW28" s="476">
        <f t="shared" si="6"/>
        <v>0</v>
      </c>
      <c r="AX28" s="52">
        <f>IF(Z28=G!Z28,G!AE28-AD28,G!AE28+(Z28-G!Z28)*$AW$16-AD28)</f>
        <v>0</v>
      </c>
      <c r="AZ28" s="726">
        <f t="shared" si="7"/>
        <v>0</v>
      </c>
    </row>
    <row r="29" spans="1:63" ht="15" customHeight="1">
      <c r="A29" s="367"/>
      <c r="B29" s="850">
        <f ca="1">IF(G!B29&lt;&gt;"",G!B29,)</f>
        <v>0</v>
      </c>
      <c r="C29" s="454">
        <f ca="1">G!C29</f>
        <v>0</v>
      </c>
      <c r="D29" s="74"/>
      <c r="E29" s="521"/>
      <c r="F29" s="858"/>
      <c r="G29" s="367"/>
      <c r="H29" s="543"/>
      <c r="I29" s="854"/>
      <c r="J29" s="6"/>
      <c r="K29" s="541"/>
      <c r="L29" s="860"/>
      <c r="M29" s="20" t="str">
        <f>IF(J29="","",$M$5-SUM($J$7:J29))</f>
        <v/>
      </c>
      <c r="N29" s="367"/>
      <c r="O29" s="7"/>
      <c r="P29" s="873">
        <f>IF(G!Q29&lt;&gt;G!R29,IF(G!Q29&lt;&gt;0,IF(G!S29&lt;&gt;G!T29,G!P29,),),)</f>
        <v>0</v>
      </c>
      <c r="Q29" s="795">
        <f>IF(G!Q29&lt;&gt;G!R29,IF(G!Q29&lt;&gt;0,IF(G!S29&lt;&gt;G!T29,G!Q29,),),)</f>
        <v>0</v>
      </c>
      <c r="R29" s="628">
        <f>IF(G!Q29&lt;&gt;G!R29,IF(G!Q29&lt;&gt;0,IF(G!S29&lt;&gt;G!T29,0,Q29),Q29),Q29)</f>
        <v>0</v>
      </c>
      <c r="S29" s="796">
        <f>IF(G!Q29&lt;&gt;G!R29,IF(G!Q29&lt;&gt;0,IF(G!S29&lt;&gt;G!T29,G!S29+1,),),)</f>
        <v>0</v>
      </c>
      <c r="T29" s="796">
        <f>IF(G!Q29&lt;&gt;G!R29,IF(G!Q29&lt;&gt;0,IF(G!S29&lt;&gt;G!T29,G!T29,),),)</f>
        <v>0</v>
      </c>
      <c r="U29" s="797">
        <f>IF(G!Q29&lt;&gt;G!R29,IF(G!Q29&lt;&gt;0,IF(G!S29&lt;&gt;G!T29,G!U29,),),)</f>
        <v>0</v>
      </c>
      <c r="V29" s="875">
        <f>IF(G!Q29&lt;&gt;G!R29,IF(G!Q29&lt;&gt;0,IF(G!S29&lt;&gt;G!T29,G!V29,),),)</f>
        <v>0</v>
      </c>
      <c r="W29" s="622">
        <f>IF(Q29="","",$W$5-SUM($Q$7:Q29))</f>
        <v>0</v>
      </c>
      <c r="X29" s="395"/>
      <c r="Y29" s="906" t="str">
        <f>IF(G!Y29&lt;&gt;"",G!Y29,)</f>
        <v>Extracurricular Activities/Camps/Pool</v>
      </c>
      <c r="Z29" s="457">
        <f>G!Z29</f>
        <v>0</v>
      </c>
      <c r="AA29" s="20">
        <f t="shared" si="0"/>
        <v>0</v>
      </c>
      <c r="AB29" s="723"/>
      <c r="AC29" s="723"/>
      <c r="AD29" s="36">
        <f t="shared" si="1"/>
        <v>0</v>
      </c>
      <c r="AE29" s="23">
        <f t="shared" si="5"/>
        <v>0</v>
      </c>
      <c r="AF29" s="367"/>
      <c r="AG29" s="728">
        <f t="shared" si="2"/>
        <v>0</v>
      </c>
      <c r="AH29" s="367"/>
      <c r="AI29" s="375">
        <v>0</v>
      </c>
      <c r="AJ29" s="367"/>
      <c r="AK29" s="530" t="s">
        <v>32</v>
      </c>
      <c r="AL29" s="531" t="s">
        <v>33</v>
      </c>
      <c r="AM29" s="367"/>
      <c r="AN29" s="367"/>
      <c r="AO29" s="86"/>
      <c r="AP29" s="51">
        <f t="shared" si="3"/>
        <v>0</v>
      </c>
      <c r="AQ29" s="476">
        <f>G!AQ29+G!AP29</f>
        <v>0</v>
      </c>
      <c r="AR29" s="476">
        <f t="shared" si="4"/>
        <v>0</v>
      </c>
      <c r="AS29" s="477">
        <f>AD29+G!AS29</f>
        <v>0</v>
      </c>
      <c r="AT29" s="477">
        <f>AA29+G!AT29</f>
        <v>0</v>
      </c>
      <c r="AU29" s="476"/>
      <c r="AV29" s="477">
        <f>G!AV29-G!AD29+H!Z29-G!AP29</f>
        <v>0</v>
      </c>
      <c r="AW29" s="476">
        <f t="shared" si="6"/>
        <v>0</v>
      </c>
      <c r="AX29" s="52">
        <f>IF(Z29=G!Z29,G!AE29-AD29,G!AE29+(Z29-G!Z29)*$AW$16-AD29)</f>
        <v>0</v>
      </c>
      <c r="AZ29" s="726">
        <f t="shared" si="7"/>
        <v>0</v>
      </c>
    </row>
    <row r="30" spans="1:63" ht="15" customHeight="1">
      <c r="A30" s="367"/>
      <c r="B30" s="850">
        <f ca="1">IF(G!B30&lt;&gt;"",G!B30,)</f>
        <v>0</v>
      </c>
      <c r="C30" s="454">
        <f ca="1">G!C30</f>
        <v>0</v>
      </c>
      <c r="D30" s="74"/>
      <c r="E30" s="521"/>
      <c r="F30" s="858"/>
      <c r="G30" s="367"/>
      <c r="H30" s="543"/>
      <c r="I30" s="853"/>
      <c r="J30" s="6"/>
      <c r="K30" s="541"/>
      <c r="L30" s="860"/>
      <c r="M30" s="20" t="str">
        <f>IF(J30="","",$M$5-SUM($J$7:J30))</f>
        <v/>
      </c>
      <c r="N30" s="367"/>
      <c r="O30" s="7"/>
      <c r="P30" s="873">
        <f>IF(G!Q30&lt;&gt;G!R30,IF(G!Q30&lt;&gt;0,IF(G!S30&lt;&gt;G!T30,G!P30,),),)</f>
        <v>0</v>
      </c>
      <c r="Q30" s="795">
        <f>IF(G!Q30&lt;&gt;G!R30,IF(G!Q30&lt;&gt;0,IF(G!S30&lt;&gt;G!T30,G!Q30,),),)</f>
        <v>0</v>
      </c>
      <c r="R30" s="628">
        <f>IF(G!Q30&lt;&gt;G!R30,IF(G!Q30&lt;&gt;0,IF(G!S30&lt;&gt;G!T30,0,Q30),Q30),Q30)</f>
        <v>0</v>
      </c>
      <c r="S30" s="796">
        <f>IF(G!Q30&lt;&gt;G!R30,IF(G!Q30&lt;&gt;0,IF(G!S30&lt;&gt;G!T30,G!S30+1,),),)</f>
        <v>0</v>
      </c>
      <c r="T30" s="796">
        <f>IF(G!Q30&lt;&gt;G!R30,IF(G!Q30&lt;&gt;0,IF(G!S30&lt;&gt;G!T30,G!T30,),),)</f>
        <v>0</v>
      </c>
      <c r="U30" s="797">
        <f>IF(G!Q30&lt;&gt;G!R30,IF(G!Q30&lt;&gt;0,IF(G!S30&lt;&gt;G!T30,G!U30,),),)</f>
        <v>0</v>
      </c>
      <c r="V30" s="875">
        <f>IF(G!Q30&lt;&gt;G!R30,IF(G!Q30&lt;&gt;0,IF(G!S30&lt;&gt;G!T30,G!V30,),),)</f>
        <v>0</v>
      </c>
      <c r="W30" s="622">
        <f>IF(Q30="","",$W$5-SUM($Q$7:Q30))</f>
        <v>0</v>
      </c>
      <c r="X30" s="395"/>
      <c r="Y30" s="906" t="str">
        <f>IF(G!Y30&lt;&gt;"",G!Y30,)</f>
        <v xml:space="preserve">  Car Insurance and Licensing</v>
      </c>
      <c r="Z30" s="457">
        <f>G!Z30</f>
        <v>0</v>
      </c>
      <c r="AA30" s="20">
        <f t="shared" si="0"/>
        <v>0</v>
      </c>
      <c r="AB30" s="723"/>
      <c r="AC30" s="723"/>
      <c r="AD30" s="36">
        <f t="shared" si="1"/>
        <v>0</v>
      </c>
      <c r="AE30" s="23">
        <f t="shared" si="5"/>
        <v>0</v>
      </c>
      <c r="AF30" s="367"/>
      <c r="AG30" s="728">
        <f t="shared" si="2"/>
        <v>0</v>
      </c>
      <c r="AH30" s="367"/>
      <c r="AI30" s="375">
        <v>0</v>
      </c>
      <c r="AJ30" s="367"/>
      <c r="AK30" s="530" t="s">
        <v>34</v>
      </c>
      <c r="AL30" s="532" t="s">
        <v>33</v>
      </c>
      <c r="AM30" s="367"/>
      <c r="AN30" s="367"/>
      <c r="AO30" s="86"/>
      <c r="AP30" s="51">
        <f t="shared" si="3"/>
        <v>0</v>
      </c>
      <c r="AQ30" s="476">
        <f>G!AQ30+G!AP30</f>
        <v>0</v>
      </c>
      <c r="AR30" s="476">
        <f t="shared" si="4"/>
        <v>0</v>
      </c>
      <c r="AS30" s="477">
        <f>AD30+G!AS30</f>
        <v>0</v>
      </c>
      <c r="AT30" s="477">
        <f>AA30+G!AT30</f>
        <v>0</v>
      </c>
      <c r="AU30" s="476"/>
      <c r="AV30" s="477">
        <f>G!AV30-G!AD30+H!Z30-G!AP30</f>
        <v>0</v>
      </c>
      <c r="AW30" s="476">
        <f t="shared" si="6"/>
        <v>0</v>
      </c>
      <c r="AX30" s="52">
        <f>IF(Z30=G!Z30,G!AE30-AD30,G!AE30+(Z30-G!Z30)*$AW$16-AD30)</f>
        <v>0</v>
      </c>
      <c r="AZ30" s="726">
        <f t="shared" si="7"/>
        <v>0</v>
      </c>
    </row>
    <row r="31" spans="1:63" ht="15" customHeight="1">
      <c r="A31" s="367"/>
      <c r="B31" s="850">
        <f ca="1">IF(G!B31&lt;&gt;"",G!B31,)</f>
        <v>0</v>
      </c>
      <c r="C31" s="454">
        <f ca="1">G!C31</f>
        <v>0</v>
      </c>
      <c r="D31" s="74"/>
      <c r="E31" s="521"/>
      <c r="F31" s="858"/>
      <c r="G31" s="367"/>
      <c r="H31" s="543"/>
      <c r="I31" s="853"/>
      <c r="J31" s="6"/>
      <c r="K31" s="541"/>
      <c r="L31" s="860"/>
      <c r="M31" s="20" t="str">
        <f>IF(J31="","",$M$5-SUM($J$7:J31))</f>
        <v/>
      </c>
      <c r="N31" s="367"/>
      <c r="O31" s="7"/>
      <c r="P31" s="871">
        <f>IF(G!Q31&lt;&gt;G!R31,IF(G!Q31&lt;&gt;0,IF(G!S31&lt;&gt;G!T31,G!P31,),),)</f>
        <v>0</v>
      </c>
      <c r="Q31" s="795">
        <f>IF(G!Q31&lt;&gt;G!R31,IF(G!Q31&lt;&gt;0,IF(G!S31&lt;&gt;G!T31,G!Q31,),),)</f>
        <v>0</v>
      </c>
      <c r="R31" s="628">
        <f>IF(G!Q31&lt;&gt;G!R31,IF(G!Q31&lt;&gt;0,IF(G!S31&lt;&gt;G!T31,0,Q31),Q31),Q31)</f>
        <v>0</v>
      </c>
      <c r="S31" s="796">
        <f>IF(G!Q31&lt;&gt;G!R31,IF(G!Q31&lt;&gt;0,IF(G!S31&lt;&gt;G!T31,G!S31+1,),),)</f>
        <v>0</v>
      </c>
      <c r="T31" s="796">
        <f>IF(G!Q31&lt;&gt;G!R31,IF(G!Q31&lt;&gt;0,IF(G!S31&lt;&gt;G!T31,G!T31,),),)</f>
        <v>0</v>
      </c>
      <c r="U31" s="797">
        <f>IF(G!Q31&lt;&gt;G!R31,IF(G!Q31&lt;&gt;0,IF(G!S31&lt;&gt;G!T31,G!U31,),),)</f>
        <v>0</v>
      </c>
      <c r="V31" s="875">
        <f>IF(G!Q31&lt;&gt;G!R31,IF(G!Q31&lt;&gt;0,IF(G!S31&lt;&gt;G!T31,G!V31,),),)</f>
        <v>0</v>
      </c>
      <c r="W31" s="622">
        <f>IF(Q31="","",$W$5-SUM($Q$7:Q31))</f>
        <v>0</v>
      </c>
      <c r="X31" s="395"/>
      <c r="Y31" s="906" t="str">
        <f>IF(G!Y31&lt;&gt;"",G!Y31,)</f>
        <v>Car Maintenance</v>
      </c>
      <c r="Z31" s="457">
        <f>G!Z31</f>
        <v>0</v>
      </c>
      <c r="AA31" s="20">
        <f t="shared" si="0"/>
        <v>0</v>
      </c>
      <c r="AB31" s="723"/>
      <c r="AC31" s="723"/>
      <c r="AD31" s="36">
        <f t="shared" si="1"/>
        <v>0</v>
      </c>
      <c r="AE31" s="23">
        <f t="shared" si="5"/>
        <v>0</v>
      </c>
      <c r="AF31" s="367"/>
      <c r="AG31" s="728">
        <f t="shared" si="2"/>
        <v>0</v>
      </c>
      <c r="AH31" s="367"/>
      <c r="AI31" s="375">
        <v>0</v>
      </c>
      <c r="AJ31" s="367"/>
      <c r="AK31" s="530" t="s">
        <v>35</v>
      </c>
      <c r="AL31" s="533" t="s">
        <v>33</v>
      </c>
      <c r="AM31" s="367"/>
      <c r="AN31" s="367"/>
      <c r="AO31" s="86"/>
      <c r="AP31" s="51">
        <f t="shared" si="3"/>
        <v>0</v>
      </c>
      <c r="AQ31" s="476">
        <f>G!AQ31+G!AP31</f>
        <v>0</v>
      </c>
      <c r="AR31" s="476">
        <f t="shared" si="4"/>
        <v>0</v>
      </c>
      <c r="AS31" s="477">
        <f>AD31+G!AS31</f>
        <v>0</v>
      </c>
      <c r="AT31" s="477">
        <f>AA31+G!AT31</f>
        <v>0</v>
      </c>
      <c r="AU31" s="476"/>
      <c r="AV31" s="477">
        <f>G!AV31-G!AD31+H!Z31-G!AP31</f>
        <v>0</v>
      </c>
      <c r="AW31" s="476">
        <f t="shared" si="6"/>
        <v>0</v>
      </c>
      <c r="AX31" s="52">
        <f>IF(Z31=G!Z31,G!AE31-AD31,G!AE31+(Z31-G!Z31)*$AW$16-AD31)</f>
        <v>0</v>
      </c>
      <c r="AZ31" s="726">
        <f t="shared" si="7"/>
        <v>0</v>
      </c>
    </row>
    <row r="32" spans="1:63" ht="15" customHeight="1">
      <c r="A32" s="367"/>
      <c r="B32" s="850">
        <f ca="1">IF(G!B32&lt;&gt;"",G!B32,)</f>
        <v>0</v>
      </c>
      <c r="C32" s="454">
        <f ca="1">G!C32</f>
        <v>0</v>
      </c>
      <c r="D32" s="74"/>
      <c r="E32" s="521"/>
      <c r="F32" s="858"/>
      <c r="G32" s="367"/>
      <c r="H32" s="543"/>
      <c r="I32" s="853"/>
      <c r="J32" s="6"/>
      <c r="K32" s="541"/>
      <c r="L32" s="860"/>
      <c r="M32" s="20" t="str">
        <f>IF(J32="","",$M$5-SUM($J$7:J32))</f>
        <v/>
      </c>
      <c r="N32" s="367"/>
      <c r="O32" s="7"/>
      <c r="P32" s="873">
        <f>IF(G!Q32&lt;&gt;G!R32,IF(G!Q32&lt;&gt;0,IF(G!S32&lt;&gt;G!T32,G!P32,),),)</f>
        <v>0</v>
      </c>
      <c r="Q32" s="795">
        <f>IF(G!Q32&lt;&gt;G!R32,IF(G!Q32&lt;&gt;0,IF(G!S32&lt;&gt;G!T32,G!Q32,),),)</f>
        <v>0</v>
      </c>
      <c r="R32" s="628">
        <f>IF(G!Q32&lt;&gt;G!R32,IF(G!Q32&lt;&gt;0,IF(G!S32&lt;&gt;G!T32,0,Q32),Q32),Q32)</f>
        <v>0</v>
      </c>
      <c r="S32" s="796">
        <f>IF(G!Q32&lt;&gt;G!R32,IF(G!Q32&lt;&gt;0,IF(G!S32&lt;&gt;G!T32,G!S32+1,),),)</f>
        <v>0</v>
      </c>
      <c r="T32" s="796">
        <f>IF(G!Q32&lt;&gt;G!R32,IF(G!Q32&lt;&gt;0,IF(G!S32&lt;&gt;G!T32,G!T32,),),)</f>
        <v>0</v>
      </c>
      <c r="U32" s="797">
        <f>IF(G!Q32&lt;&gt;G!R32,IF(G!Q32&lt;&gt;0,IF(G!S32&lt;&gt;G!T32,G!U32,),),)</f>
        <v>0</v>
      </c>
      <c r="V32" s="875">
        <f>IF(G!Q32&lt;&gt;G!R32,IF(G!Q32&lt;&gt;0,IF(G!S32&lt;&gt;G!T32,G!V32,),),)</f>
        <v>0</v>
      </c>
      <c r="W32" s="622">
        <f>IF(Q32="","",$W$5-SUM($Q$7:Q32))</f>
        <v>0</v>
      </c>
      <c r="X32" s="389"/>
      <c r="Y32" s="906" t="str">
        <f>IF(G!Y32&lt;&gt;"",G!Y32,)</f>
        <v>Clothing and Shoes</v>
      </c>
      <c r="Z32" s="457">
        <f>G!Z32</f>
        <v>0</v>
      </c>
      <c r="AA32" s="20">
        <f t="shared" si="0"/>
        <v>0</v>
      </c>
      <c r="AB32" s="723"/>
      <c r="AC32" s="723"/>
      <c r="AD32" s="36">
        <f t="shared" si="1"/>
        <v>0</v>
      </c>
      <c r="AE32" s="23">
        <f t="shared" si="5"/>
        <v>0</v>
      </c>
      <c r="AF32" s="367"/>
      <c r="AG32" s="728">
        <f t="shared" si="2"/>
        <v>0</v>
      </c>
      <c r="AH32" s="367"/>
      <c r="AI32" s="375">
        <v>0</v>
      </c>
      <c r="AJ32" s="367"/>
      <c r="AK32" s="530" t="s">
        <v>36</v>
      </c>
      <c r="AL32" s="534" t="s">
        <v>33</v>
      </c>
      <c r="AM32" s="367"/>
      <c r="AN32" s="367"/>
      <c r="AO32" s="86"/>
      <c r="AP32" s="51">
        <f t="shared" si="3"/>
        <v>0</v>
      </c>
      <c r="AQ32" s="476">
        <f>G!AQ32+G!AP32</f>
        <v>0</v>
      </c>
      <c r="AR32" s="476">
        <f t="shared" si="4"/>
        <v>0</v>
      </c>
      <c r="AS32" s="477">
        <f>AD32+G!AS32</f>
        <v>0</v>
      </c>
      <c r="AT32" s="477">
        <f>AA32+G!AT32</f>
        <v>0</v>
      </c>
      <c r="AU32" s="476"/>
      <c r="AV32" s="477">
        <f>G!AV32-G!AD32+H!Z32-G!AP32</f>
        <v>0</v>
      </c>
      <c r="AW32" s="476">
        <f t="shared" si="6"/>
        <v>0</v>
      </c>
      <c r="AX32" s="52">
        <f>IF(Z32=G!Z32,G!AE32-AD32,G!AE32+(Z32-G!Z32)*$AW$16-AD32)</f>
        <v>0</v>
      </c>
      <c r="AZ32" s="726">
        <f t="shared" si="7"/>
        <v>0</v>
      </c>
    </row>
    <row r="33" spans="1:52" ht="15" customHeight="1">
      <c r="A33" s="367"/>
      <c r="B33" s="850">
        <f ca="1">IF(G!B33&lt;&gt;"",G!B33,)</f>
        <v>0</v>
      </c>
      <c r="C33" s="454">
        <f ca="1">G!C33</f>
        <v>0</v>
      </c>
      <c r="D33" s="74"/>
      <c r="E33" s="521"/>
      <c r="F33" s="858"/>
      <c r="G33" s="367"/>
      <c r="H33" s="543"/>
      <c r="I33" s="853"/>
      <c r="J33" s="6"/>
      <c r="K33" s="541"/>
      <c r="L33" s="860"/>
      <c r="M33" s="20" t="str">
        <f>IF(J33="","",$M$5-SUM($J$7:J33))</f>
        <v/>
      </c>
      <c r="N33" s="367"/>
      <c r="O33" s="7"/>
      <c r="P33" s="871">
        <f>IF(G!Q33&lt;&gt;G!R33,IF(G!Q33&lt;&gt;0,IF(G!S33&lt;&gt;G!T33,G!P33,),),)</f>
        <v>0</v>
      </c>
      <c r="Q33" s="795">
        <f>IF(G!Q33&lt;&gt;G!R33,IF(G!Q33&lt;&gt;0,IF(G!S33&lt;&gt;G!T33,G!Q33,),),)</f>
        <v>0</v>
      </c>
      <c r="R33" s="628">
        <f>IF(G!Q33&lt;&gt;G!R33,IF(G!Q33&lt;&gt;0,IF(G!S33&lt;&gt;G!T33,0,Q33),Q33),Q33)</f>
        <v>0</v>
      </c>
      <c r="S33" s="796">
        <f>IF(G!Q33&lt;&gt;G!R33,IF(G!Q33&lt;&gt;0,IF(G!S33&lt;&gt;G!T33,G!S33+1,),),)</f>
        <v>0</v>
      </c>
      <c r="T33" s="796">
        <f>IF(G!Q33&lt;&gt;G!R33,IF(G!Q33&lt;&gt;0,IF(G!S33&lt;&gt;G!T33,G!T33,),),)</f>
        <v>0</v>
      </c>
      <c r="U33" s="797">
        <f>IF(G!Q33&lt;&gt;G!R33,IF(G!Q33&lt;&gt;0,IF(G!S33&lt;&gt;G!T33,G!U33,),),)</f>
        <v>0</v>
      </c>
      <c r="V33" s="875">
        <f>IF(G!Q33&lt;&gt;G!R33,IF(G!Q33&lt;&gt;0,IF(G!S33&lt;&gt;G!T33,G!V33,),),)</f>
        <v>0</v>
      </c>
      <c r="W33" s="622">
        <f>IF(Q33="","",$W$5-SUM($Q$7:Q33))</f>
        <v>0</v>
      </c>
      <c r="X33" s="10"/>
      <c r="Y33" s="906" t="str">
        <f>IF(G!Y33&lt;&gt;"",G!Y33,)</f>
        <v>Medicine/Treatment</v>
      </c>
      <c r="Z33" s="457">
        <f>G!Z33</f>
        <v>0</v>
      </c>
      <c r="AA33" s="20">
        <f t="shared" si="0"/>
        <v>0</v>
      </c>
      <c r="AB33" s="723"/>
      <c r="AC33" s="723"/>
      <c r="AD33" s="36">
        <f t="shared" si="1"/>
        <v>0</v>
      </c>
      <c r="AE33" s="23">
        <f t="shared" si="5"/>
        <v>0</v>
      </c>
      <c r="AF33" s="367"/>
      <c r="AG33" s="728">
        <f t="shared" si="2"/>
        <v>0</v>
      </c>
      <c r="AH33" s="367"/>
      <c r="AI33" s="375">
        <v>0</v>
      </c>
      <c r="AJ33" s="367"/>
      <c r="AK33" s="530" t="s">
        <v>37</v>
      </c>
      <c r="AL33" s="535" t="s">
        <v>33</v>
      </c>
      <c r="AM33" s="367"/>
      <c r="AN33" s="367"/>
      <c r="AO33" s="86"/>
      <c r="AP33" s="51">
        <f t="shared" si="3"/>
        <v>0</v>
      </c>
      <c r="AQ33" s="476">
        <f>G!AQ33+G!AP33</f>
        <v>0</v>
      </c>
      <c r="AR33" s="476">
        <f t="shared" si="4"/>
        <v>0</v>
      </c>
      <c r="AS33" s="477">
        <f>AD33+G!AS33</f>
        <v>0</v>
      </c>
      <c r="AT33" s="477">
        <f>AA33+G!AT33</f>
        <v>0</v>
      </c>
      <c r="AU33" s="476"/>
      <c r="AV33" s="477">
        <f>G!AV33-G!AD33+H!Z33-G!AP33</f>
        <v>0</v>
      </c>
      <c r="AW33" s="476">
        <f t="shared" si="6"/>
        <v>0</v>
      </c>
      <c r="AX33" s="52">
        <f>IF(Z33=G!Z33,G!AE33-AD33,G!AE33+(Z33-G!Z33)*$AW$16-AD33)</f>
        <v>0</v>
      </c>
      <c r="AZ33" s="726">
        <f t="shared" si="7"/>
        <v>0</v>
      </c>
    </row>
    <row r="34" spans="1:52" ht="15" customHeight="1">
      <c r="A34" s="367"/>
      <c r="B34" s="850">
        <f ca="1">IF(G!B34&lt;&gt;"",G!B34,)</f>
        <v>0</v>
      </c>
      <c r="C34" s="454">
        <f ca="1">G!C34</f>
        <v>0</v>
      </c>
      <c r="D34" s="74"/>
      <c r="E34" s="521"/>
      <c r="F34" s="858"/>
      <c r="G34" s="367"/>
      <c r="H34" s="543"/>
      <c r="I34" s="853"/>
      <c r="J34" s="6"/>
      <c r="K34" s="541"/>
      <c r="L34" s="860"/>
      <c r="M34" s="20" t="str">
        <f>IF(J34="","",$M$5-SUM($J$7:J34))</f>
        <v/>
      </c>
      <c r="N34" s="367"/>
      <c r="O34" s="7"/>
      <c r="P34" s="873">
        <f>IF(G!Q34&lt;&gt;G!R34,IF(G!Q34&lt;&gt;0,IF(G!S34&lt;&gt;G!T34,G!P34,),),)</f>
        <v>0</v>
      </c>
      <c r="Q34" s="795">
        <f>IF(G!Q34&lt;&gt;G!R34,IF(G!Q34&lt;&gt;0,IF(G!S34&lt;&gt;G!T34,G!Q34,),),)</f>
        <v>0</v>
      </c>
      <c r="R34" s="628">
        <f>IF(G!Q34&lt;&gt;G!R34,IF(G!Q34&lt;&gt;0,IF(G!S34&lt;&gt;G!T34,0,Q34),Q34),Q34)</f>
        <v>0</v>
      </c>
      <c r="S34" s="796">
        <f>IF(G!Q34&lt;&gt;G!R34,IF(G!Q34&lt;&gt;0,IF(G!S34&lt;&gt;G!T34,G!S34+1,),),)</f>
        <v>0</v>
      </c>
      <c r="T34" s="796">
        <f>IF(G!Q34&lt;&gt;G!R34,IF(G!Q34&lt;&gt;0,IF(G!S34&lt;&gt;G!T34,G!T34,),),)</f>
        <v>0</v>
      </c>
      <c r="U34" s="797">
        <f>IF(G!Q34&lt;&gt;G!R34,IF(G!Q34&lt;&gt;0,IF(G!S34&lt;&gt;G!T34,G!U34,),),)</f>
        <v>0</v>
      </c>
      <c r="V34" s="875">
        <f>IF(G!Q34&lt;&gt;G!R34,IF(G!Q34&lt;&gt;0,IF(G!S34&lt;&gt;G!T34,G!V34,),),)</f>
        <v>0</v>
      </c>
      <c r="W34" s="622">
        <f>IF(Q34="","",$W$5-SUM($Q$7:Q34))</f>
        <v>0</v>
      </c>
      <c r="X34" s="10"/>
      <c r="Y34" s="905" t="str">
        <f>IF(G!Y34&lt;&gt;"",G!Y34,)</f>
        <v>Bank Interest and Fees</v>
      </c>
      <c r="Z34" s="457">
        <f>G!Z34</f>
        <v>0</v>
      </c>
      <c r="AA34" s="20">
        <f t="shared" si="0"/>
        <v>0</v>
      </c>
      <c r="AB34" s="723"/>
      <c r="AC34" s="723"/>
      <c r="AD34" s="36">
        <f t="shared" si="1"/>
        <v>0</v>
      </c>
      <c r="AE34" s="23">
        <f t="shared" si="5"/>
        <v>0</v>
      </c>
      <c r="AF34" s="367"/>
      <c r="AG34" s="728">
        <f t="shared" si="2"/>
        <v>0</v>
      </c>
      <c r="AH34" s="367"/>
      <c r="AI34" s="375">
        <v>0</v>
      </c>
      <c r="AJ34" s="367"/>
      <c r="AK34" s="530" t="s">
        <v>38</v>
      </c>
      <c r="AL34" s="536" t="s">
        <v>33</v>
      </c>
      <c r="AM34" s="367"/>
      <c r="AN34" s="367"/>
      <c r="AO34" s="86"/>
      <c r="AP34" s="51">
        <f t="shared" si="3"/>
        <v>0</v>
      </c>
      <c r="AQ34" s="476">
        <f>G!AQ34+G!AP34</f>
        <v>0</v>
      </c>
      <c r="AR34" s="476">
        <f t="shared" si="4"/>
        <v>0</v>
      </c>
      <c r="AS34" s="477">
        <f>AD34+G!AS34</f>
        <v>0</v>
      </c>
      <c r="AT34" s="477">
        <f>AA34+G!AT34</f>
        <v>0</v>
      </c>
      <c r="AU34" s="476"/>
      <c r="AV34" s="477">
        <f>G!AV34-G!AD34+H!Z34-G!AP34</f>
        <v>0</v>
      </c>
      <c r="AW34" s="476">
        <f t="shared" si="6"/>
        <v>0</v>
      </c>
      <c r="AX34" s="52">
        <f>IF(Z34=G!Z34,G!AE34-AD34,G!AE34+(Z34-G!Z34)*$AW$16-AD34)</f>
        <v>0</v>
      </c>
      <c r="AZ34" s="726">
        <f t="shared" si="7"/>
        <v>0</v>
      </c>
    </row>
    <row r="35" spans="1:52" ht="15" customHeight="1">
      <c r="A35" s="367"/>
      <c r="B35" s="850">
        <f ca="1">IF(G!B35&lt;&gt;"",G!B35,)</f>
        <v>0</v>
      </c>
      <c r="C35" s="454">
        <f ca="1">G!C35</f>
        <v>0</v>
      </c>
      <c r="D35" s="74"/>
      <c r="E35" s="521"/>
      <c r="F35" s="858"/>
      <c r="G35" s="367"/>
      <c r="H35" s="543"/>
      <c r="I35" s="853"/>
      <c r="J35" s="6"/>
      <c r="K35" s="541"/>
      <c r="L35" s="860"/>
      <c r="M35" s="20" t="str">
        <f>IF(J35="","",$M$5-SUM($J$7:J35))</f>
        <v/>
      </c>
      <c r="N35" s="367"/>
      <c r="O35" s="7"/>
      <c r="P35" s="871">
        <f>IF(G!Q35&lt;&gt;G!R35,IF(G!Q35&lt;&gt;0,IF(G!S35&lt;&gt;G!T35,G!P35,),),)</f>
        <v>0</v>
      </c>
      <c r="Q35" s="799">
        <f>IF(G!Q35&lt;&gt;G!R35,IF(G!Q35&lt;&gt;0,IF(G!S35&lt;&gt;G!T35,G!Q35,),),)</f>
        <v>0</v>
      </c>
      <c r="R35" s="628">
        <f>IF(G!Q35&lt;&gt;G!R35,IF(G!Q35&lt;&gt;0,IF(G!S35&lt;&gt;G!T35,0,Q35),Q35),Q35)</f>
        <v>0</v>
      </c>
      <c r="S35" s="796">
        <f>IF(G!Q35&lt;&gt;G!R35,IF(G!Q35&lt;&gt;0,IF(G!S35&lt;&gt;G!T35,G!S35+1,),),)</f>
        <v>0</v>
      </c>
      <c r="T35" s="796">
        <f>IF(G!Q35&lt;&gt;G!R35,IF(G!Q35&lt;&gt;0,IF(G!S35&lt;&gt;G!T35,G!T35,),),)</f>
        <v>0</v>
      </c>
      <c r="U35" s="797">
        <f>IF(G!Q35&lt;&gt;G!R35,IF(G!Q35&lt;&gt;0,IF(G!S35&lt;&gt;G!T35,G!U35,),),)</f>
        <v>0</v>
      </c>
      <c r="V35" s="875">
        <f>IF(G!Q35&lt;&gt;G!R35,IF(G!Q35&lt;&gt;0,IF(G!S35&lt;&gt;G!T35,G!V35,),),)</f>
        <v>0</v>
      </c>
      <c r="W35" s="626">
        <f>IF(Q35="","",$W$5-SUM($Q$7:Q35))</f>
        <v>0</v>
      </c>
      <c r="X35" s="395"/>
      <c r="Y35" s="905" t="str">
        <f>IF(G!Y35&lt;&gt;"",G!Y35,)</f>
        <v>Dental treatments</v>
      </c>
      <c r="Z35" s="457">
        <f>G!Z35</f>
        <v>0</v>
      </c>
      <c r="AA35" s="20">
        <f t="shared" si="0"/>
        <v>0</v>
      </c>
      <c r="AB35" s="723"/>
      <c r="AC35" s="723"/>
      <c r="AD35" s="36">
        <f t="shared" si="1"/>
        <v>0</v>
      </c>
      <c r="AE35" s="23">
        <f t="shared" si="5"/>
        <v>0</v>
      </c>
      <c r="AF35" s="367"/>
      <c r="AG35" s="728">
        <f t="shared" si="2"/>
        <v>0</v>
      </c>
      <c r="AH35" s="367"/>
      <c r="AI35" s="375">
        <v>0</v>
      </c>
      <c r="AJ35" s="367"/>
      <c r="AK35" s="530" t="s">
        <v>39</v>
      </c>
      <c r="AL35" s="537" t="s">
        <v>33</v>
      </c>
      <c r="AM35" s="367"/>
      <c r="AN35" s="367"/>
      <c r="AO35" s="86"/>
      <c r="AP35" s="51">
        <f t="shared" si="3"/>
        <v>0</v>
      </c>
      <c r="AQ35" s="476">
        <f>G!AQ35+G!AP35</f>
        <v>0</v>
      </c>
      <c r="AR35" s="476">
        <f t="shared" si="4"/>
        <v>0</v>
      </c>
      <c r="AS35" s="477">
        <f>AD35+G!AS35</f>
        <v>0</v>
      </c>
      <c r="AT35" s="477">
        <f>AA35+G!AT35</f>
        <v>0</v>
      </c>
      <c r="AU35" s="476"/>
      <c r="AV35" s="477">
        <f>G!AV35-G!AD35+H!Z35-G!AP35</f>
        <v>0</v>
      </c>
      <c r="AW35" s="476">
        <f t="shared" si="6"/>
        <v>0</v>
      </c>
      <c r="AX35" s="52">
        <f>IF(Z35=G!Z35,G!AE35-AD35,G!AE35+(Z35-G!Z35)*$AW$16-AD35)</f>
        <v>0</v>
      </c>
      <c r="AZ35" s="726">
        <f t="shared" si="7"/>
        <v>0</v>
      </c>
    </row>
    <row r="36" spans="1:52" ht="15" customHeight="1">
      <c r="A36" s="367"/>
      <c r="B36" s="850">
        <f ca="1">IF(G!B36&lt;&gt;"",G!B36,)</f>
        <v>0</v>
      </c>
      <c r="C36" s="454">
        <f ca="1">G!C36</f>
        <v>0</v>
      </c>
      <c r="D36" s="74"/>
      <c r="E36" s="521"/>
      <c r="F36" s="858"/>
      <c r="G36" s="367"/>
      <c r="H36" s="543"/>
      <c r="I36" s="853"/>
      <c r="J36" s="6"/>
      <c r="K36" s="541"/>
      <c r="L36" s="860"/>
      <c r="M36" s="20" t="str">
        <f>IF(J36="","",$M$5-SUM($J$7:J36))</f>
        <v/>
      </c>
      <c r="N36" s="367"/>
      <c r="O36" s="7"/>
      <c r="P36" s="873">
        <f>IF(G!Q36&lt;&gt;G!R36,IF(G!Q36&lt;&gt;0,IF(G!S36&lt;&gt;G!T36,G!P36,),),)</f>
        <v>0</v>
      </c>
      <c r="Q36" s="795">
        <f>IF(G!Q36&lt;&gt;G!R36,IF(G!Q36&lt;&gt;0,IF(G!S36&lt;&gt;G!T36,G!Q36,),),)</f>
        <v>0</v>
      </c>
      <c r="R36" s="628">
        <f>IF(G!Q36&lt;&gt;G!R36,IF(G!Q36&lt;&gt;0,IF(G!S36&lt;&gt;G!T36,0,Q36),Q36),Q36)</f>
        <v>0</v>
      </c>
      <c r="S36" s="796">
        <f>IF(G!Q36&lt;&gt;G!R36,IF(G!Q36&lt;&gt;0,IF(G!S36&lt;&gt;G!T36,G!S36+1,),),)</f>
        <v>0</v>
      </c>
      <c r="T36" s="796">
        <f>IF(G!Q36&lt;&gt;G!R36,IF(G!Q36&lt;&gt;0,IF(G!S36&lt;&gt;G!T36,G!T36,),),)</f>
        <v>0</v>
      </c>
      <c r="U36" s="797">
        <f>IF(G!Q36&lt;&gt;G!R36,IF(G!Q36&lt;&gt;0,IF(G!S36&lt;&gt;G!T36,G!U36,),),)</f>
        <v>0</v>
      </c>
      <c r="V36" s="875">
        <f>IF(G!Q36&lt;&gt;G!R36,IF(G!Q36&lt;&gt;0,IF(G!S36&lt;&gt;G!T36,G!V36,),),)</f>
        <v>0</v>
      </c>
      <c r="W36" s="622">
        <f>IF(Q36="","",$W$5-SUM($Q$7:Q36))</f>
        <v>0</v>
      </c>
      <c r="X36" s="395"/>
      <c r="Y36" s="905" t="str">
        <f>IF(G!Y36&lt;&gt;"",G!Y36,)</f>
        <v>Eyeglasses/Contact Lens</v>
      </c>
      <c r="Z36" s="457">
        <f>G!Z36</f>
        <v>0</v>
      </c>
      <c r="AA36" s="20">
        <f t="shared" si="0"/>
        <v>0</v>
      </c>
      <c r="AB36" s="723"/>
      <c r="AC36" s="723"/>
      <c r="AD36" s="36">
        <f t="shared" si="1"/>
        <v>0</v>
      </c>
      <c r="AE36" s="23">
        <f t="shared" si="5"/>
        <v>0</v>
      </c>
      <c r="AF36" s="367"/>
      <c r="AG36" s="728">
        <f t="shared" si="2"/>
        <v>0</v>
      </c>
      <c r="AH36" s="367"/>
      <c r="AI36" s="375">
        <v>0</v>
      </c>
      <c r="AJ36" s="367"/>
      <c r="AK36" s="530" t="s">
        <v>40</v>
      </c>
      <c r="AL36" s="538" t="s">
        <v>33</v>
      </c>
      <c r="AM36" s="367"/>
      <c r="AN36" s="367"/>
      <c r="AO36" s="86"/>
      <c r="AP36" s="51">
        <f t="shared" si="3"/>
        <v>0</v>
      </c>
      <c r="AQ36" s="476">
        <f>G!AQ36+G!AP36</f>
        <v>0</v>
      </c>
      <c r="AR36" s="476">
        <f t="shared" si="4"/>
        <v>0</v>
      </c>
      <c r="AS36" s="477">
        <f>AD36+G!AS36</f>
        <v>0</v>
      </c>
      <c r="AT36" s="477">
        <f>AA36+G!AT36</f>
        <v>0</v>
      </c>
      <c r="AU36" s="476"/>
      <c r="AV36" s="477">
        <f>G!AV36-G!AD36+H!Z36-G!AP36</f>
        <v>0</v>
      </c>
      <c r="AW36" s="476">
        <f t="shared" si="6"/>
        <v>0</v>
      </c>
      <c r="AX36" s="52">
        <f>IF(Z36=G!Z36,G!AE36-AD36,G!AE36+(Z36-G!Z36)*$AW$16-AD36)</f>
        <v>0</v>
      </c>
      <c r="AZ36" s="726">
        <f t="shared" si="7"/>
        <v>0</v>
      </c>
    </row>
    <row r="37" spans="1:52" ht="15" customHeight="1" thickBot="1">
      <c r="A37" s="367"/>
      <c r="B37" s="850">
        <f ca="1">IF(G!B37&lt;&gt;"",G!B37,)</f>
        <v>0</v>
      </c>
      <c r="C37" s="454">
        <f ca="1">G!C37</f>
        <v>0</v>
      </c>
      <c r="D37" s="74"/>
      <c r="E37" s="521"/>
      <c r="F37" s="858"/>
      <c r="G37" s="367"/>
      <c r="H37" s="543"/>
      <c r="I37" s="853"/>
      <c r="J37" s="6"/>
      <c r="K37" s="541"/>
      <c r="L37" s="860"/>
      <c r="M37" s="20" t="str">
        <f>IF(J37="","",$M$5-SUM($J$7:J37))</f>
        <v/>
      </c>
      <c r="N37" s="367"/>
      <c r="O37" s="7"/>
      <c r="P37" s="871">
        <f>IF(G!Q37&lt;&gt;G!R37,IF(G!Q37&lt;&gt;0,IF(G!S37&lt;&gt;G!T37,G!P37,),),)</f>
        <v>0</v>
      </c>
      <c r="Q37" s="795">
        <f>IF(G!Q37&lt;&gt;G!R37,IF(G!Q37&lt;&gt;0,IF(G!S37&lt;&gt;G!T37,G!Q37,),),)</f>
        <v>0</v>
      </c>
      <c r="R37" s="628">
        <f>IF(G!Q37&lt;&gt;G!R37,IF(G!Q37&lt;&gt;0,IF(G!S37&lt;&gt;G!T37,0,Q37),Q37),Q37)</f>
        <v>0</v>
      </c>
      <c r="S37" s="796">
        <f>IF(G!Q37&lt;&gt;G!R37,IF(G!Q37&lt;&gt;0,IF(G!S37&lt;&gt;G!T37,G!S37+1,),),)</f>
        <v>0</v>
      </c>
      <c r="T37" s="796">
        <f>IF(G!Q37&lt;&gt;G!R37,IF(G!Q37&lt;&gt;0,IF(G!S37&lt;&gt;G!T37,G!T37,),),)</f>
        <v>0</v>
      </c>
      <c r="U37" s="797">
        <f>IF(G!Q37&lt;&gt;G!R37,IF(G!Q37&lt;&gt;0,IF(G!S37&lt;&gt;G!T37,G!U37,),),)</f>
        <v>0</v>
      </c>
      <c r="V37" s="875">
        <f>IF(G!Q37&lt;&gt;G!R37,IF(G!Q37&lt;&gt;0,IF(G!S37&lt;&gt;G!T37,G!V37,),),)</f>
        <v>0</v>
      </c>
      <c r="W37" s="622">
        <f>IF(Q37="","",$W$5-SUM($Q$7:Q37))</f>
        <v>0</v>
      </c>
      <c r="X37" s="395"/>
      <c r="Y37" s="905" t="str">
        <f>IF(G!Y37&lt;&gt;"",G!Y37,)</f>
        <v>Vacations</v>
      </c>
      <c r="Z37" s="457">
        <f>G!Z37</f>
        <v>0</v>
      </c>
      <c r="AA37" s="20">
        <f t="shared" si="0"/>
        <v>0</v>
      </c>
      <c r="AB37" s="723"/>
      <c r="AC37" s="723"/>
      <c r="AD37" s="36">
        <f t="shared" si="1"/>
        <v>0</v>
      </c>
      <c r="AE37" s="23">
        <f t="shared" si="5"/>
        <v>0</v>
      </c>
      <c r="AF37" s="367"/>
      <c r="AG37" s="728">
        <f t="shared" si="2"/>
        <v>0</v>
      </c>
      <c r="AH37" s="367"/>
      <c r="AI37" s="375">
        <v>0</v>
      </c>
      <c r="AJ37" s="367"/>
      <c r="AK37" s="539" t="s">
        <v>41</v>
      </c>
      <c r="AL37" s="540" t="s">
        <v>33</v>
      </c>
      <c r="AM37" s="367"/>
      <c r="AN37" s="367"/>
      <c r="AO37" s="86"/>
      <c r="AP37" s="51">
        <f t="shared" si="3"/>
        <v>0</v>
      </c>
      <c r="AQ37" s="476">
        <f>G!AQ37+G!AP37</f>
        <v>0</v>
      </c>
      <c r="AR37" s="476">
        <f t="shared" si="4"/>
        <v>0</v>
      </c>
      <c r="AS37" s="477">
        <f>AD37+G!AS37</f>
        <v>0</v>
      </c>
      <c r="AT37" s="477">
        <f>AA37+G!AT37</f>
        <v>0</v>
      </c>
      <c r="AU37" s="476"/>
      <c r="AV37" s="477">
        <f>G!AV37-G!AD37+H!Z37-G!AP37</f>
        <v>0</v>
      </c>
      <c r="AW37" s="476">
        <f t="shared" si="6"/>
        <v>0</v>
      </c>
      <c r="AX37" s="52">
        <f>IF(Z37=G!Z37,G!AE37-AD37,G!AE37+(Z37-G!Z37)*$AW$16-AD37)</f>
        <v>0</v>
      </c>
      <c r="AZ37" s="726">
        <f t="shared" si="7"/>
        <v>0</v>
      </c>
    </row>
    <row r="38" spans="1:52" ht="15" customHeight="1">
      <c r="A38" s="367"/>
      <c r="B38" s="850">
        <f ca="1">IF(G!B38&lt;&gt;"",G!B38,)</f>
        <v>0</v>
      </c>
      <c r="C38" s="454">
        <f ca="1">G!C38</f>
        <v>0</v>
      </c>
      <c r="D38" s="74"/>
      <c r="E38" s="521"/>
      <c r="F38" s="858"/>
      <c r="G38" s="367"/>
      <c r="H38" s="543"/>
      <c r="I38" s="853"/>
      <c r="J38" s="6"/>
      <c r="K38" s="541"/>
      <c r="L38" s="860"/>
      <c r="M38" s="20" t="str">
        <f>IF(J38="","",$M$5-SUM($J$7:J38))</f>
        <v/>
      </c>
      <c r="N38" s="367"/>
      <c r="O38" s="7"/>
      <c r="P38" s="873">
        <f>IF(G!Q38&lt;&gt;G!R38,IF(G!Q38&lt;&gt;0,IF(G!S38&lt;&gt;G!T38,G!P38,),),)</f>
        <v>0</v>
      </c>
      <c r="Q38" s="795">
        <f>IF(G!Q38&lt;&gt;G!R38,IF(G!Q38&lt;&gt;0,IF(G!S38&lt;&gt;G!T38,G!Q38,),),)</f>
        <v>0</v>
      </c>
      <c r="R38" s="628">
        <f>IF(G!Q38&lt;&gt;G!R38,IF(G!Q38&lt;&gt;0,IF(G!S38&lt;&gt;G!T38,0,Q38),Q38),Q38)</f>
        <v>0</v>
      </c>
      <c r="S38" s="796">
        <f>IF(G!Q38&lt;&gt;G!R38,IF(G!Q38&lt;&gt;0,IF(G!S38&lt;&gt;G!T38,G!S38+1,),),)</f>
        <v>0</v>
      </c>
      <c r="T38" s="796">
        <f>IF(G!Q38&lt;&gt;G!R38,IF(G!Q38&lt;&gt;0,IF(G!S38&lt;&gt;G!T38,G!T38,),),)</f>
        <v>0</v>
      </c>
      <c r="U38" s="797">
        <f>IF(G!Q38&lt;&gt;G!R38,IF(G!Q38&lt;&gt;0,IF(G!S38&lt;&gt;G!T38,G!U38,),),)</f>
        <v>0</v>
      </c>
      <c r="V38" s="875">
        <f>IF(G!Q38&lt;&gt;G!R38,IF(G!Q38&lt;&gt;0,IF(G!S38&lt;&gt;G!T38,G!V38,),),)</f>
        <v>0</v>
      </c>
      <c r="W38" s="625">
        <f>IF(Q38="","",$W$5-SUM($Q$7:Q38))</f>
        <v>0</v>
      </c>
      <c r="X38" s="621"/>
      <c r="Y38" s="906" t="str">
        <f>IF(G!Y38&lt;&gt;"",G!Y38,)</f>
        <v>Religious expenses</v>
      </c>
      <c r="Z38" s="457">
        <f>G!Z38</f>
        <v>0</v>
      </c>
      <c r="AA38" s="20">
        <f t="shared" si="0"/>
        <v>0</v>
      </c>
      <c r="AB38" s="723"/>
      <c r="AC38" s="723"/>
      <c r="AD38" s="36">
        <f t="shared" si="1"/>
        <v>0</v>
      </c>
      <c r="AE38" s="23">
        <f t="shared" si="5"/>
        <v>0</v>
      </c>
      <c r="AF38" s="367"/>
      <c r="AG38" s="728">
        <f t="shared" si="2"/>
        <v>0</v>
      </c>
      <c r="AH38" s="367"/>
      <c r="AI38" s="375">
        <v>0</v>
      </c>
      <c r="AJ38" s="367"/>
      <c r="AK38" s="367"/>
      <c r="AL38" s="367"/>
      <c r="AM38" s="367"/>
      <c r="AN38" s="367"/>
      <c r="AO38" s="86"/>
      <c r="AP38" s="51">
        <f t="shared" si="3"/>
        <v>0</v>
      </c>
      <c r="AQ38" s="476">
        <f>G!AQ38+G!AP38</f>
        <v>0</v>
      </c>
      <c r="AR38" s="476">
        <f t="shared" si="4"/>
        <v>0</v>
      </c>
      <c r="AS38" s="477">
        <f>AD38+G!AS38</f>
        <v>0</v>
      </c>
      <c r="AT38" s="477">
        <f>AA38+G!AT38</f>
        <v>0</v>
      </c>
      <c r="AU38" s="476"/>
      <c r="AV38" s="477">
        <f>G!AV38-G!AD38+H!Z38-G!AP38</f>
        <v>0</v>
      </c>
      <c r="AW38" s="476">
        <f t="shared" si="6"/>
        <v>0</v>
      </c>
      <c r="AX38" s="52">
        <f>IF(Z38=G!Z38,G!AE38-AD38,G!AE38+(Z38-G!Z38)*$AW$16-AD38)</f>
        <v>0</v>
      </c>
      <c r="AZ38" s="726">
        <f t="shared" si="7"/>
        <v>0</v>
      </c>
    </row>
    <row r="39" spans="1:52" ht="15" customHeight="1">
      <c r="A39" s="367"/>
      <c r="B39" s="850">
        <f ca="1">IF(G!B39&lt;&gt;"",G!B39,)</f>
        <v>0</v>
      </c>
      <c r="C39" s="454">
        <f ca="1">G!C39</f>
        <v>0</v>
      </c>
      <c r="D39" s="74"/>
      <c r="E39" s="521"/>
      <c r="F39" s="858"/>
      <c r="G39" s="367"/>
      <c r="H39" s="543"/>
      <c r="I39" s="853"/>
      <c r="J39" s="6"/>
      <c r="K39" s="541"/>
      <c r="L39" s="860"/>
      <c r="M39" s="20" t="str">
        <f>IF(J39="","",$M$5-SUM($J$7:J39))</f>
        <v/>
      </c>
      <c r="N39" s="367"/>
      <c r="O39" s="7"/>
      <c r="P39" s="872">
        <f>IF(G!Q39&lt;&gt;G!R39,IF(G!Q39&lt;&gt;0,IF(G!S39&lt;&gt;G!T39,G!P39,),),)</f>
        <v>0</v>
      </c>
      <c r="Q39" s="795">
        <f>IF(G!Q39&lt;&gt;G!R39,IF(G!Q39&lt;&gt;0,IF(G!S39&lt;&gt;G!T39,G!Q39,),),)</f>
        <v>0</v>
      </c>
      <c r="R39" s="628">
        <f>IF(G!Q39&lt;&gt;G!R39,IF(G!Q39&lt;&gt;0,IF(G!S39&lt;&gt;G!T39,0,Q39),Q39),Q39)</f>
        <v>0</v>
      </c>
      <c r="S39" s="796">
        <f>IF(G!Q39&lt;&gt;G!R39,IF(G!Q39&lt;&gt;0,IF(G!S39&lt;&gt;G!T39,G!S39+1,),),)</f>
        <v>0</v>
      </c>
      <c r="T39" s="796">
        <f>IF(G!Q39&lt;&gt;G!R39,IF(G!Q39&lt;&gt;0,IF(G!S39&lt;&gt;G!T39,G!T39,),),)</f>
        <v>0</v>
      </c>
      <c r="U39" s="797">
        <f>IF(G!Q39&lt;&gt;G!R39,IF(G!Q39&lt;&gt;0,IF(G!S39&lt;&gt;G!T39,G!U39,),),)</f>
        <v>0</v>
      </c>
      <c r="V39" s="875">
        <f>IF(G!Q39&lt;&gt;G!R39,IF(G!Q39&lt;&gt;0,IF(G!S39&lt;&gt;G!T39,G!V39,),),)</f>
        <v>0</v>
      </c>
      <c r="W39" s="622">
        <f>IF(Q39="","",$W$5-SUM($Q$7:Q39))</f>
        <v>0</v>
      </c>
      <c r="X39" s="395"/>
      <c r="Y39" s="906" t="str">
        <f>IF(G!Y39&lt;&gt;"",G!Y39,)</f>
        <v>Gifts</v>
      </c>
      <c r="Z39" s="457">
        <f>G!Z39</f>
        <v>0</v>
      </c>
      <c r="AA39" s="20">
        <f t="shared" si="0"/>
        <v>0</v>
      </c>
      <c r="AB39" s="723"/>
      <c r="AC39" s="723"/>
      <c r="AD39" s="36">
        <f t="shared" si="1"/>
        <v>0</v>
      </c>
      <c r="AE39" s="23">
        <f t="shared" si="5"/>
        <v>0</v>
      </c>
      <c r="AF39" s="367"/>
      <c r="AG39" s="728">
        <f t="shared" si="2"/>
        <v>0</v>
      </c>
      <c r="AH39" s="367"/>
      <c r="AI39" s="375">
        <v>0</v>
      </c>
      <c r="AJ39" s="367"/>
      <c r="AK39" s="367"/>
      <c r="AL39" s="367"/>
      <c r="AM39" s="367"/>
      <c r="AN39" s="367"/>
      <c r="AO39" s="86"/>
      <c r="AP39" s="51">
        <f t="shared" si="3"/>
        <v>0</v>
      </c>
      <c r="AQ39" s="476">
        <f>G!AQ39+G!AP39</f>
        <v>0</v>
      </c>
      <c r="AR39" s="476">
        <f t="shared" si="4"/>
        <v>0</v>
      </c>
      <c r="AS39" s="477">
        <f>AD39+G!AS39</f>
        <v>0</v>
      </c>
      <c r="AT39" s="477">
        <f>AA39+G!AT39</f>
        <v>0</v>
      </c>
      <c r="AU39" s="476"/>
      <c r="AV39" s="477">
        <f>G!AV39-G!AD39+H!Z39-G!AP39</f>
        <v>0</v>
      </c>
      <c r="AW39" s="476">
        <f t="shared" si="6"/>
        <v>0</v>
      </c>
      <c r="AX39" s="52">
        <f>IF(Z39=G!Z39,G!AE39-AD39,G!AE39+(Z39-G!Z39)*$AW$16-AD39)</f>
        <v>0</v>
      </c>
      <c r="AZ39" s="726">
        <f t="shared" si="7"/>
        <v>0</v>
      </c>
    </row>
    <row r="40" spans="1:52" ht="15" customHeight="1">
      <c r="A40" s="367"/>
      <c r="B40" s="16" t="s">
        <v>179</v>
      </c>
      <c r="C40" s="77">
        <f ca="1">SUM(C27:C39)+SUM(C65:C86)</f>
        <v>0</v>
      </c>
      <c r="D40" s="75">
        <f>SUM(D27:D39)+SUM(D65:D86)</f>
        <v>0</v>
      </c>
      <c r="E40" s="515"/>
      <c r="F40" s="515"/>
      <c r="G40" s="367"/>
      <c r="H40" s="543"/>
      <c r="I40" s="853"/>
      <c r="J40" s="6"/>
      <c r="K40" s="541"/>
      <c r="L40" s="860"/>
      <c r="M40" s="20" t="str">
        <f>IF(J40="","",$M$5-SUM($J$7:J40))</f>
        <v/>
      </c>
      <c r="N40" s="367"/>
      <c r="O40" s="7"/>
      <c r="P40" s="871">
        <f>IF(G!Q40&lt;&gt;G!R40,IF(G!Q40&lt;&gt;0,IF(G!S40&lt;&gt;G!T40,G!P40,),),)</f>
        <v>0</v>
      </c>
      <c r="Q40" s="795">
        <f>IF(G!Q40&lt;&gt;G!R40,IF(G!Q40&lt;&gt;0,IF(G!S40&lt;&gt;G!T40,G!Q40,),),)</f>
        <v>0</v>
      </c>
      <c r="R40" s="628">
        <f>IF(G!Q40&lt;&gt;G!R40,IF(G!Q40&lt;&gt;0,IF(G!S40&lt;&gt;G!T40,0,Q40),Q40),Q40)</f>
        <v>0</v>
      </c>
      <c r="S40" s="796">
        <f>IF(G!Q40&lt;&gt;G!R40,IF(G!Q40&lt;&gt;0,IF(G!S40&lt;&gt;G!T40,G!S40+1,),),)</f>
        <v>0</v>
      </c>
      <c r="T40" s="796">
        <f>IF(G!Q40&lt;&gt;G!R40,IF(G!Q40&lt;&gt;0,IF(G!S40&lt;&gt;G!T40,G!T40,),),)</f>
        <v>0</v>
      </c>
      <c r="U40" s="797">
        <f>IF(G!Q40&lt;&gt;G!R40,IF(G!Q40&lt;&gt;0,IF(G!S40&lt;&gt;G!T40,G!U40,),),)</f>
        <v>0</v>
      </c>
      <c r="V40" s="875">
        <f>IF(G!Q40&lt;&gt;G!R40,IF(G!Q40&lt;&gt;0,IF(G!S40&lt;&gt;G!T40,G!V40,),),)</f>
        <v>0</v>
      </c>
      <c r="W40" s="622">
        <f>IF(Q40="","",$W$5-SUM($Q$7:Q40))</f>
        <v>0</v>
      </c>
      <c r="X40" s="395"/>
      <c r="Y40" s="906" t="str">
        <f>IF(G!Y40&lt;&gt;"",G!Y40,)</f>
        <v>Small Purchases</v>
      </c>
      <c r="Z40" s="457">
        <f>G!Z40</f>
        <v>0</v>
      </c>
      <c r="AA40" s="20">
        <f t="shared" si="0"/>
        <v>0</v>
      </c>
      <c r="AB40" s="723"/>
      <c r="AC40" s="723"/>
      <c r="AD40" s="36">
        <f t="shared" si="1"/>
        <v>0</v>
      </c>
      <c r="AE40" s="23">
        <f t="shared" si="5"/>
        <v>0</v>
      </c>
      <c r="AF40" s="367"/>
      <c r="AG40" s="728">
        <f t="shared" si="2"/>
        <v>0</v>
      </c>
      <c r="AH40" s="367"/>
      <c r="AI40" s="375">
        <v>0</v>
      </c>
      <c r="AJ40" s="367"/>
      <c r="AK40" s="367"/>
      <c r="AL40" s="367"/>
      <c r="AM40" s="367"/>
      <c r="AN40" s="367"/>
      <c r="AO40" s="86"/>
      <c r="AP40" s="51">
        <f t="shared" si="3"/>
        <v>0</v>
      </c>
      <c r="AQ40" s="476">
        <f>G!AQ40+G!AP40</f>
        <v>0</v>
      </c>
      <c r="AR40" s="476">
        <f t="shared" si="4"/>
        <v>0</v>
      </c>
      <c r="AS40" s="477">
        <f>AD40+G!AS40</f>
        <v>0</v>
      </c>
      <c r="AT40" s="477">
        <f>AA40+G!AT40</f>
        <v>0</v>
      </c>
      <c r="AU40" s="476"/>
      <c r="AV40" s="477">
        <f>G!AV40-G!AD40+H!Z40-G!AP40</f>
        <v>0</v>
      </c>
      <c r="AW40" s="476">
        <f t="shared" si="6"/>
        <v>0</v>
      </c>
      <c r="AX40" s="52">
        <f>IF(Z40=G!Z40,G!AE40-AD40,G!AE40+(Z40-G!Z40)*$AW$16-AD40)</f>
        <v>0</v>
      </c>
      <c r="AZ40" s="726">
        <f t="shared" si="7"/>
        <v>0</v>
      </c>
    </row>
    <row r="41" spans="1:52" ht="15" customHeight="1" thickBot="1">
      <c r="A41" s="367"/>
      <c r="B41" s="11" t="s">
        <v>367</v>
      </c>
      <c r="C41" s="1093">
        <f ca="1">C40-D40</f>
        <v>0</v>
      </c>
      <c r="D41" s="1094"/>
      <c r="E41" s="517"/>
      <c r="F41" s="517"/>
      <c r="G41" s="367"/>
      <c r="H41" s="543"/>
      <c r="I41" s="853"/>
      <c r="J41" s="6"/>
      <c r="K41" s="541"/>
      <c r="L41" s="860"/>
      <c r="M41" s="20" t="str">
        <f>IF(J41="","",$M$5-SUM($J$7:J41))</f>
        <v/>
      </c>
      <c r="N41" s="367"/>
      <c r="O41" s="7"/>
      <c r="P41" s="871">
        <f>IF(G!Q41&lt;&gt;G!R41,IF(G!Q41&lt;&gt;0,IF(G!S41&lt;&gt;G!T41,G!P41,),),)</f>
        <v>0</v>
      </c>
      <c r="Q41" s="795">
        <f>IF(G!Q41&lt;&gt;G!R41,IF(G!Q41&lt;&gt;0,IF(G!S41&lt;&gt;G!T41,G!Q41,),),)</f>
        <v>0</v>
      </c>
      <c r="R41" s="628">
        <f>IF(G!Q41&lt;&gt;G!R41,IF(G!Q41&lt;&gt;0,IF(G!S41&lt;&gt;G!T41,0,Q41),Q41),Q41)</f>
        <v>0</v>
      </c>
      <c r="S41" s="796">
        <f>IF(G!Q41&lt;&gt;G!R41,IF(G!Q41&lt;&gt;0,IF(G!S41&lt;&gt;G!T41,G!S41+1,),),)</f>
        <v>0</v>
      </c>
      <c r="T41" s="796">
        <f>IF(G!Q41&lt;&gt;G!R41,IF(G!Q41&lt;&gt;0,IF(G!S41&lt;&gt;G!T41,G!T41,),),)</f>
        <v>0</v>
      </c>
      <c r="U41" s="797">
        <f>IF(G!Q41&lt;&gt;G!R41,IF(G!Q41&lt;&gt;0,IF(G!S41&lt;&gt;G!T41,G!U41,),),)</f>
        <v>0</v>
      </c>
      <c r="V41" s="875">
        <f>IF(G!Q41&lt;&gt;G!R41,IF(G!Q41&lt;&gt;0,IF(G!S41&lt;&gt;G!T41,G!V41,),),)</f>
        <v>0</v>
      </c>
      <c r="W41" s="622">
        <f>IF(Q41="","",$W$5-SUM($Q$7:Q41))</f>
        <v>0</v>
      </c>
      <c r="X41" s="395"/>
      <c r="Y41" s="905" t="str">
        <f>IF(G!Y41&lt;&gt;"",G!Y41,)</f>
        <v>Haircuts / Cosmetics Treatments</v>
      </c>
      <c r="Z41" s="457">
        <f>G!Z41</f>
        <v>0</v>
      </c>
      <c r="AA41" s="20">
        <f t="shared" si="0"/>
        <v>0</v>
      </c>
      <c r="AB41" s="723"/>
      <c r="AC41" s="723"/>
      <c r="AD41" s="36">
        <f t="shared" si="1"/>
        <v>0</v>
      </c>
      <c r="AE41" s="23">
        <f t="shared" si="5"/>
        <v>0</v>
      </c>
      <c r="AF41" s="367"/>
      <c r="AG41" s="728">
        <f t="shared" si="2"/>
        <v>0</v>
      </c>
      <c r="AH41" s="367"/>
      <c r="AI41" s="375">
        <v>0</v>
      </c>
      <c r="AJ41" s="367"/>
      <c r="AK41" s="367"/>
      <c r="AL41" s="367"/>
      <c r="AM41" s="367"/>
      <c r="AN41" s="367"/>
      <c r="AO41" s="86"/>
      <c r="AP41" s="51">
        <f t="shared" si="3"/>
        <v>0</v>
      </c>
      <c r="AQ41" s="476">
        <f>G!AQ41+G!AP41</f>
        <v>0</v>
      </c>
      <c r="AR41" s="476">
        <f t="shared" si="4"/>
        <v>0</v>
      </c>
      <c r="AS41" s="477">
        <f>AD41+G!AS41</f>
        <v>0</v>
      </c>
      <c r="AT41" s="477">
        <f>AA41+G!AT41</f>
        <v>0</v>
      </c>
      <c r="AU41" s="476"/>
      <c r="AV41" s="477">
        <f>G!AV41-G!AD41+H!Z41-G!AP41</f>
        <v>0</v>
      </c>
      <c r="AW41" s="476">
        <f t="shared" si="6"/>
        <v>0</v>
      </c>
      <c r="AX41" s="52">
        <f>IF(Z41=G!Z41,G!AE41-AD41,G!AE41+(Z41-G!Z41)*$AW$16-AD41)</f>
        <v>0</v>
      </c>
      <c r="AZ41" s="726">
        <f t="shared" si="7"/>
        <v>0</v>
      </c>
    </row>
    <row r="42" spans="1:52" ht="15" customHeight="1">
      <c r="A42" s="367"/>
      <c r="B42" s="1095" t="str">
        <f ca="1">IF(C41&gt;0,"Unexpected positive difference - Check why!","")</f>
        <v/>
      </c>
      <c r="C42" s="1095"/>
      <c r="D42" s="1095"/>
      <c r="E42" s="514"/>
      <c r="F42" s="514"/>
      <c r="G42" s="367"/>
      <c r="H42" s="543"/>
      <c r="I42" s="853"/>
      <c r="J42" s="6"/>
      <c r="K42" s="541"/>
      <c r="L42" s="860"/>
      <c r="M42" s="20" t="str">
        <f>IF(J42="","",$M$5-SUM($J$7:J42))</f>
        <v/>
      </c>
      <c r="N42" s="367"/>
      <c r="O42" s="7"/>
      <c r="P42" s="873">
        <f>IF(G!Q42&lt;&gt;G!R42,IF(G!Q42&lt;&gt;0,IF(G!S42&lt;&gt;G!T42,G!P42,),),)</f>
        <v>0</v>
      </c>
      <c r="Q42" s="795">
        <f>IF(G!Q42&lt;&gt;G!R42,IF(G!Q42&lt;&gt;0,IF(G!S42&lt;&gt;G!T42,G!Q42,),),)</f>
        <v>0</v>
      </c>
      <c r="R42" s="628">
        <f>IF(G!Q42&lt;&gt;G!R42,IF(G!Q42&lt;&gt;0,IF(G!S42&lt;&gt;G!T42,0,Q42),Q42),Q42)</f>
        <v>0</v>
      </c>
      <c r="S42" s="796">
        <f>IF(G!Q42&lt;&gt;G!R42,IF(G!Q42&lt;&gt;0,IF(G!S42&lt;&gt;G!T42,G!S42+1,),),)</f>
        <v>0</v>
      </c>
      <c r="T42" s="796">
        <f>IF(G!Q42&lt;&gt;G!R42,IF(G!Q42&lt;&gt;0,IF(G!S42&lt;&gt;G!T42,G!T42,),),)</f>
        <v>0</v>
      </c>
      <c r="U42" s="797">
        <f>IF(G!Q42&lt;&gt;G!R42,IF(G!Q42&lt;&gt;0,IF(G!S42&lt;&gt;G!T42,G!U42,),),)</f>
        <v>0</v>
      </c>
      <c r="V42" s="875">
        <f>IF(G!Q42&lt;&gt;G!R42,IF(G!Q42&lt;&gt;0,IF(G!S42&lt;&gt;G!T42,G!V42,),),)</f>
        <v>0</v>
      </c>
      <c r="W42" s="622">
        <f>IF(Q42="","",$W$5-SUM($Q$7:Q42))</f>
        <v>0</v>
      </c>
      <c r="X42" s="395"/>
      <c r="Y42" s="905" t="str">
        <f>IF(G!Y42&lt;&gt;"",G!Y42,)</f>
        <v>National Insurance</v>
      </c>
      <c r="Z42" s="457">
        <f>G!Z42</f>
        <v>0</v>
      </c>
      <c r="AA42" s="20">
        <f t="shared" si="0"/>
        <v>0</v>
      </c>
      <c r="AB42" s="723"/>
      <c r="AC42" s="723"/>
      <c r="AD42" s="36">
        <f t="shared" si="1"/>
        <v>0</v>
      </c>
      <c r="AE42" s="23">
        <f t="shared" si="5"/>
        <v>0</v>
      </c>
      <c r="AF42" s="367"/>
      <c r="AG42" s="728">
        <f t="shared" si="2"/>
        <v>0</v>
      </c>
      <c r="AH42" s="367"/>
      <c r="AI42" s="375">
        <v>0</v>
      </c>
      <c r="AJ42" s="367"/>
      <c r="AK42" s="367"/>
      <c r="AL42" s="367"/>
      <c r="AM42" s="367"/>
      <c r="AN42" s="367"/>
      <c r="AO42" s="86"/>
      <c r="AP42" s="51">
        <f t="shared" si="3"/>
        <v>0</v>
      </c>
      <c r="AQ42" s="476">
        <f>G!AQ42+G!AP42</f>
        <v>0</v>
      </c>
      <c r="AR42" s="476">
        <f t="shared" si="4"/>
        <v>0</v>
      </c>
      <c r="AS42" s="477">
        <f>AD42+G!AS42</f>
        <v>0</v>
      </c>
      <c r="AT42" s="477">
        <f>AA42+G!AT42</f>
        <v>0</v>
      </c>
      <c r="AU42" s="476"/>
      <c r="AV42" s="477">
        <f>G!AV42-G!AD42+H!Z42-G!AP42</f>
        <v>0</v>
      </c>
      <c r="AW42" s="476">
        <f t="shared" si="6"/>
        <v>0</v>
      </c>
      <c r="AX42" s="52">
        <f>IF(Z42=G!Z42,G!AE42-AD42,G!AE42+(Z42-G!Z42)*$AW$16-AD42)</f>
        <v>0</v>
      </c>
      <c r="AZ42" s="726">
        <f t="shared" si="7"/>
        <v>0</v>
      </c>
    </row>
    <row r="43" spans="1:52" ht="15" customHeight="1" thickBot="1">
      <c r="A43" s="367"/>
      <c r="B43" s="1117" t="s">
        <v>351</v>
      </c>
      <c r="C43" s="1117"/>
      <c r="D43" s="367"/>
      <c r="E43" s="367"/>
      <c r="F43" s="367"/>
      <c r="G43" s="367"/>
      <c r="H43" s="543"/>
      <c r="I43" s="854"/>
      <c r="J43" s="6"/>
      <c r="K43" s="541"/>
      <c r="L43" s="860"/>
      <c r="M43" s="20" t="str">
        <f>IF(J43="","",$M$5-SUM($J$7:J43))</f>
        <v/>
      </c>
      <c r="N43" s="367"/>
      <c r="O43" s="7"/>
      <c r="P43" s="871">
        <f>IF(G!Q43&lt;&gt;G!R43,IF(G!Q43&lt;&gt;0,IF(G!S43&lt;&gt;G!T43,G!P43,),),)</f>
        <v>0</v>
      </c>
      <c r="Q43" s="795">
        <f>IF(G!Q43&lt;&gt;G!R43,IF(G!Q43&lt;&gt;0,IF(G!S43&lt;&gt;G!T43,G!Q43,),),)</f>
        <v>0</v>
      </c>
      <c r="R43" s="628">
        <f>IF(G!Q43&lt;&gt;G!R43,IF(G!Q43&lt;&gt;0,IF(G!S43&lt;&gt;G!T43,0,Q43),Q43),Q43)</f>
        <v>0</v>
      </c>
      <c r="S43" s="796">
        <f>IF(G!Q43&lt;&gt;G!R43,IF(G!Q43&lt;&gt;0,IF(G!S43&lt;&gt;G!T43,G!S43+1,),),)</f>
        <v>0</v>
      </c>
      <c r="T43" s="796">
        <f>IF(G!Q43&lt;&gt;G!R43,IF(G!Q43&lt;&gt;0,IF(G!S43&lt;&gt;G!T43,G!T43,),),)</f>
        <v>0</v>
      </c>
      <c r="U43" s="797">
        <f>IF(G!Q43&lt;&gt;G!R43,IF(G!Q43&lt;&gt;0,IF(G!S43&lt;&gt;G!T43,G!U43,),),)</f>
        <v>0</v>
      </c>
      <c r="V43" s="875">
        <f>IF(G!Q43&lt;&gt;G!R43,IF(G!Q43&lt;&gt;0,IF(G!S43&lt;&gt;G!T43,G!V43,),),)</f>
        <v>0</v>
      </c>
      <c r="W43" s="622">
        <f>IF(Q43="","",$W$5-SUM($Q$7:Q43))</f>
        <v>0</v>
      </c>
      <c r="X43" s="395"/>
      <c r="Y43" s="905">
        <f>IF(G!Y43&lt;&gt;"",G!Y43,)</f>
        <v>0</v>
      </c>
      <c r="Z43" s="457">
        <f>G!Z43</f>
        <v>0</v>
      </c>
      <c r="AA43" s="20">
        <f t="shared" si="0"/>
        <v>0</v>
      </c>
      <c r="AB43" s="723"/>
      <c r="AC43" s="723"/>
      <c r="AD43" s="36">
        <f t="shared" si="1"/>
        <v>0</v>
      </c>
      <c r="AE43" s="23">
        <f t="shared" si="5"/>
        <v>0</v>
      </c>
      <c r="AF43" s="367"/>
      <c r="AG43" s="728">
        <f t="shared" si="2"/>
        <v>0</v>
      </c>
      <c r="AH43" s="367"/>
      <c r="AI43" s="375">
        <v>0</v>
      </c>
      <c r="AJ43" s="367"/>
      <c r="AK43" s="367"/>
      <c r="AL43" s="367"/>
      <c r="AM43" s="367"/>
      <c r="AN43" s="367"/>
      <c r="AO43" s="86"/>
      <c r="AP43" s="51">
        <f t="shared" si="3"/>
        <v>0</v>
      </c>
      <c r="AQ43" s="476">
        <f>G!AQ43+G!AP43</f>
        <v>0</v>
      </c>
      <c r="AR43" s="476">
        <f t="shared" si="4"/>
        <v>0</v>
      </c>
      <c r="AS43" s="477">
        <f>AD43+G!AS43</f>
        <v>0</v>
      </c>
      <c r="AT43" s="477">
        <f>AA43+G!AT43</f>
        <v>0</v>
      </c>
      <c r="AU43" s="476"/>
      <c r="AV43" s="477">
        <f>G!AV43-G!AD43+H!Z43-G!AP43</f>
        <v>0</v>
      </c>
      <c r="AW43" s="476">
        <f t="shared" si="6"/>
        <v>0</v>
      </c>
      <c r="AX43" s="52">
        <f>IF(Z43=G!Z43,G!AE43-AD43,G!AE43+(Z43-G!Z43)*$AW$16-AD43)</f>
        <v>0</v>
      </c>
      <c r="AZ43" s="726">
        <f t="shared" si="7"/>
        <v>0</v>
      </c>
    </row>
    <row r="44" spans="1:52" ht="15" customHeight="1">
      <c r="A44" s="367"/>
      <c r="B44" s="811" t="s">
        <v>353</v>
      </c>
      <c r="C44" s="100" t="s">
        <v>354</v>
      </c>
      <c r="D44" s="915" t="s">
        <v>494</v>
      </c>
      <c r="E44" s="518"/>
      <c r="F44" s="518"/>
      <c r="G44" s="367"/>
      <c r="H44" s="543"/>
      <c r="I44" s="853"/>
      <c r="J44" s="6"/>
      <c r="K44" s="541"/>
      <c r="L44" s="860"/>
      <c r="M44" s="20" t="str">
        <f>IF(J44="","",$M$5-SUM($J$7:J44))</f>
        <v/>
      </c>
      <c r="N44" s="367"/>
      <c r="O44" s="7"/>
      <c r="P44" s="871">
        <f>IF(G!Q44&lt;&gt;G!R44,IF(G!Q44&lt;&gt;0,IF(G!S44&lt;&gt;G!T44,G!P44,),),)</f>
        <v>0</v>
      </c>
      <c r="Q44" s="795">
        <f>IF(G!Q44&lt;&gt;G!R44,IF(G!Q44&lt;&gt;0,IF(G!S44&lt;&gt;G!T44,G!Q44,),),)</f>
        <v>0</v>
      </c>
      <c r="R44" s="628">
        <f>IF(G!Q44&lt;&gt;G!R44,IF(G!Q44&lt;&gt;0,IF(G!S44&lt;&gt;G!T44,0,Q44),Q44),Q44)</f>
        <v>0</v>
      </c>
      <c r="S44" s="796">
        <f>IF(G!Q44&lt;&gt;G!R44,IF(G!Q44&lt;&gt;0,IF(G!S44&lt;&gt;G!T44,G!S44+1,),),)</f>
        <v>0</v>
      </c>
      <c r="T44" s="796">
        <f>IF(G!Q44&lt;&gt;G!R44,IF(G!Q44&lt;&gt;0,IF(G!S44&lt;&gt;G!T44,G!T44,),),)</f>
        <v>0</v>
      </c>
      <c r="U44" s="797">
        <f>IF(G!Q44&lt;&gt;G!R44,IF(G!Q44&lt;&gt;0,IF(G!S44&lt;&gt;G!T44,G!U44,),),)</f>
        <v>0</v>
      </c>
      <c r="V44" s="875">
        <f>IF(G!Q44&lt;&gt;G!R44,IF(G!Q44&lt;&gt;0,IF(G!S44&lt;&gt;G!T44,G!V44,),),)</f>
        <v>0</v>
      </c>
      <c r="W44" s="622">
        <f>IF(Q44="","",$W$5-SUM($Q$7:Q44))</f>
        <v>0</v>
      </c>
      <c r="X44" s="396"/>
      <c r="Y44" s="905">
        <f>IF(G!Y44&lt;&gt;"",G!Y44,)</f>
        <v>0</v>
      </c>
      <c r="Z44" s="457">
        <f>G!Z44</f>
        <v>0</v>
      </c>
      <c r="AA44" s="20">
        <f t="shared" si="0"/>
        <v>0</v>
      </c>
      <c r="AB44" s="723"/>
      <c r="AC44" s="723"/>
      <c r="AD44" s="36">
        <f t="shared" si="1"/>
        <v>0</v>
      </c>
      <c r="AE44" s="23">
        <f t="shared" si="5"/>
        <v>0</v>
      </c>
      <c r="AF44" s="367"/>
      <c r="AG44" s="728">
        <f t="shared" si="2"/>
        <v>0</v>
      </c>
      <c r="AH44" s="367"/>
      <c r="AI44" s="375">
        <v>0</v>
      </c>
      <c r="AJ44" s="367"/>
      <c r="AK44" s="367"/>
      <c r="AL44" s="367"/>
      <c r="AM44" s="367"/>
      <c r="AN44" s="367"/>
      <c r="AO44" s="86"/>
      <c r="AP44" s="51">
        <f t="shared" si="3"/>
        <v>0</v>
      </c>
      <c r="AQ44" s="476">
        <f>G!AQ44+G!AP44</f>
        <v>0</v>
      </c>
      <c r="AR44" s="476">
        <f t="shared" si="4"/>
        <v>0</v>
      </c>
      <c r="AS44" s="477">
        <f>AD44+G!AS44</f>
        <v>0</v>
      </c>
      <c r="AT44" s="477">
        <f>AA44+G!AT44</f>
        <v>0</v>
      </c>
      <c r="AU44" s="476"/>
      <c r="AV44" s="477">
        <f>G!AV44-G!AD44+H!Z44-G!AP44</f>
        <v>0</v>
      </c>
      <c r="AW44" s="476">
        <f t="shared" si="6"/>
        <v>0</v>
      </c>
      <c r="AX44" s="52">
        <f>IF(Z44=G!Z44,G!AE44-AD44,G!AE44+(Z44-G!Z44)*$AW$16-AD44)</f>
        <v>0</v>
      </c>
      <c r="AZ44" s="727">
        <f t="shared" si="7"/>
        <v>0</v>
      </c>
    </row>
    <row r="45" spans="1:52" ht="15.75">
      <c r="A45" s="367"/>
      <c r="B45" s="850" t="str">
        <f>IF(G!B45&lt;&gt;"",G!B45,)</f>
        <v>Food</v>
      </c>
      <c r="C45" s="455">
        <f>G!C45</f>
        <v>0</v>
      </c>
      <c r="D45" s="80">
        <f t="shared" ref="D45:D56" si="8">SUMIF($I$7:$I$110,B45,$J$7:$J$110)</f>
        <v>0</v>
      </c>
      <c r="E45" s="519"/>
      <c r="F45" s="519"/>
      <c r="G45" s="367"/>
      <c r="H45" s="543"/>
      <c r="I45" s="853"/>
      <c r="J45" s="6"/>
      <c r="K45" s="541"/>
      <c r="L45" s="860"/>
      <c r="M45" s="20" t="str">
        <f>IF(J45="","",$M$5-SUM($J$7:J45))</f>
        <v/>
      </c>
      <c r="N45" s="367"/>
      <c r="O45" s="107"/>
      <c r="P45" s="873">
        <f>IF(G!Q45&lt;&gt;G!R45,IF(G!Q45&lt;&gt;0,IF(G!S45&lt;&gt;G!T45,G!P45,),),)</f>
        <v>0</v>
      </c>
      <c r="Q45" s="795">
        <f>IF(G!Q45&lt;&gt;G!R45,IF(G!Q45&lt;&gt;0,IF(G!S45&lt;&gt;G!T45,G!Q45,),),)</f>
        <v>0</v>
      </c>
      <c r="R45" s="628">
        <f>IF(G!Q45&lt;&gt;G!R45,IF(G!Q45&lt;&gt;0,IF(G!S45&lt;&gt;G!T45,0,Q45),Q45),Q45)</f>
        <v>0</v>
      </c>
      <c r="S45" s="796">
        <f>IF(G!Q45&lt;&gt;G!R45,IF(G!Q45&lt;&gt;0,IF(G!S45&lt;&gt;G!T45,G!S45+1,),),)</f>
        <v>0</v>
      </c>
      <c r="T45" s="796">
        <f>IF(G!Q45&lt;&gt;G!R45,IF(G!Q45&lt;&gt;0,IF(G!S45&lt;&gt;G!T45,G!T45,),),)</f>
        <v>0</v>
      </c>
      <c r="U45" s="797">
        <f>IF(G!Q45&lt;&gt;G!R45,IF(G!Q45&lt;&gt;0,IF(G!S45&lt;&gt;G!T45,G!U45,),),)</f>
        <v>0</v>
      </c>
      <c r="V45" s="875">
        <f>IF(G!Q45&lt;&gt;G!R45,IF(G!Q45&lt;&gt;0,IF(G!S45&lt;&gt;G!T45,G!V45,),),)</f>
        <v>0</v>
      </c>
      <c r="W45" s="622">
        <f>IF(Q45="","",$W$5-SUM($Q$7:Q45))</f>
        <v>0</v>
      </c>
      <c r="X45" s="397"/>
      <c r="Y45" s="18" t="s">
        <v>179</v>
      </c>
      <c r="Z45" s="17">
        <f>SUM(Z23:Z44)</f>
        <v>0</v>
      </c>
      <c r="AA45" s="20">
        <f>SUM(AA23:AA44)</f>
        <v>0</v>
      </c>
      <c r="AB45" s="723"/>
      <c r="AC45" s="723"/>
      <c r="AD45" s="36"/>
      <c r="AE45" s="24">
        <f>SUM(AE23:AE44)</f>
        <v>0</v>
      </c>
      <c r="AF45" s="367"/>
      <c r="AG45" s="367"/>
      <c r="AH45" s="367"/>
      <c r="AI45" s="367"/>
      <c r="AJ45" s="367"/>
      <c r="AK45" s="367"/>
      <c r="AL45" s="367"/>
      <c r="AM45" s="367"/>
      <c r="AN45" s="367"/>
      <c r="AO45" s="86"/>
      <c r="AP45" s="52">
        <f>SUM(AP23:AP44)</f>
        <v>0</v>
      </c>
      <c r="AQ45" s="476">
        <f>SUM(AQ23:AQ44)</f>
        <v>0</v>
      </c>
      <c r="AR45" s="476">
        <f>SUM(AR23:AR44)</f>
        <v>0</v>
      </c>
      <c r="AS45" s="476">
        <f>SUM(AS23:AS44)</f>
        <v>0</v>
      </c>
      <c r="AT45" s="476">
        <f>SUM(AT23:AT44)</f>
        <v>0</v>
      </c>
      <c r="AU45" s="476"/>
      <c r="AV45" s="476">
        <f>SUM(AV23:AV44)</f>
        <v>0</v>
      </c>
      <c r="AW45" s="476">
        <f>SUM(AW23:AW44)</f>
        <v>0</v>
      </c>
      <c r="AX45" s="52">
        <f>SUM(AX23:AX44)</f>
        <v>0</v>
      </c>
    </row>
    <row r="46" spans="1:52" ht="15.75" customHeight="1" thickBot="1">
      <c r="A46" s="367"/>
      <c r="B46" s="850" t="str">
        <f>IF(G!B46&lt;&gt;"",G!B46,)</f>
        <v>Public Transportation</v>
      </c>
      <c r="C46" s="455">
        <f>G!C46</f>
        <v>0</v>
      </c>
      <c r="D46" s="80">
        <f t="shared" si="8"/>
        <v>0</v>
      </c>
      <c r="E46" s="519"/>
      <c r="F46" s="519"/>
      <c r="G46" s="367"/>
      <c r="H46" s="543"/>
      <c r="I46" s="853"/>
      <c r="J46" s="6"/>
      <c r="K46" s="541"/>
      <c r="L46" s="860"/>
      <c r="M46" s="20" t="str">
        <f>IF(J46="","",$M$5-SUM($J$7:J46))</f>
        <v/>
      </c>
      <c r="N46" s="367"/>
      <c r="O46" s="652"/>
      <c r="P46" s="865" t="s">
        <v>429</v>
      </c>
      <c r="Q46" s="620"/>
      <c r="R46" s="619"/>
      <c r="S46" s="629"/>
      <c r="T46" s="629"/>
      <c r="U46" s="646"/>
      <c r="V46" s="618"/>
      <c r="W46" s="627">
        <f>W5-AA45</f>
        <v>0</v>
      </c>
      <c r="X46" s="386"/>
      <c r="Y46" s="125" t="s">
        <v>367</v>
      </c>
      <c r="Z46" s="1202">
        <f>Z45-AA45</f>
        <v>0</v>
      </c>
      <c r="AA46" s="1203"/>
      <c r="AB46" s="644"/>
      <c r="AC46" s="644"/>
      <c r="AD46" s="37"/>
      <c r="AF46" s="367"/>
      <c r="AG46" s="367"/>
      <c r="AH46" s="367"/>
      <c r="AI46" s="367"/>
      <c r="AJ46" s="367"/>
      <c r="AK46" s="367"/>
      <c r="AL46" s="367"/>
      <c r="AM46" s="367"/>
      <c r="AN46" s="367"/>
      <c r="AO46" s="86"/>
    </row>
    <row r="47" spans="1:52" ht="15.75" customHeight="1">
      <c r="A47" s="367"/>
      <c r="B47" s="850" t="str">
        <f>IF(G!B47&lt;&gt;"",G!B47,)</f>
        <v>Gas and Parking</v>
      </c>
      <c r="C47" s="455">
        <f>G!C47</f>
        <v>0</v>
      </c>
      <c r="D47" s="80">
        <f t="shared" si="8"/>
        <v>0</v>
      </c>
      <c r="E47" s="519"/>
      <c r="F47" s="519"/>
      <c r="G47" s="367"/>
      <c r="H47" s="543"/>
      <c r="I47" s="853"/>
      <c r="J47" s="6"/>
      <c r="K47" s="541"/>
      <c r="L47" s="860"/>
      <c r="M47" s="20" t="str">
        <f>IF(J47="","",$M$5-SUM($J$7:J47))</f>
        <v/>
      </c>
      <c r="N47" s="367"/>
      <c r="O47" s="385"/>
      <c r="P47" s="393"/>
      <c r="Q47" s="378"/>
      <c r="R47" s="392"/>
      <c r="S47" s="387"/>
      <c r="T47" s="387"/>
      <c r="U47" s="387"/>
      <c r="V47" s="617"/>
      <c r="W47" s="392"/>
      <c r="X47" s="386"/>
      <c r="Y47" s="388"/>
      <c r="Z47" s="389"/>
      <c r="AA47" s="389"/>
      <c r="AB47" s="389"/>
      <c r="AC47" s="389"/>
      <c r="AD47" s="389"/>
      <c r="AE47" s="367"/>
      <c r="AF47" s="367"/>
      <c r="AG47" s="367"/>
      <c r="AH47" s="367"/>
      <c r="AI47" s="367"/>
      <c r="AJ47" s="367"/>
      <c r="AK47" s="367"/>
      <c r="AL47" s="367"/>
      <c r="AM47" s="367"/>
      <c r="AN47" s="367"/>
      <c r="AO47" s="86"/>
    </row>
    <row r="48" spans="1:52" ht="19.5" thickBot="1">
      <c r="A48" s="367"/>
      <c r="B48" s="850" t="str">
        <f>IF(G!B48&lt;&gt;"",G!B48,)</f>
        <v>Telephone-Landline/Long Distance</v>
      </c>
      <c r="C48" s="455">
        <f>G!C48</f>
        <v>0</v>
      </c>
      <c r="D48" s="80">
        <f t="shared" si="8"/>
        <v>0</v>
      </c>
      <c r="E48" s="519"/>
      <c r="F48" s="519"/>
      <c r="G48" s="367"/>
      <c r="H48" s="543"/>
      <c r="I48" s="853"/>
      <c r="J48" s="6"/>
      <c r="K48" s="541"/>
      <c r="L48" s="860"/>
      <c r="M48" s="20" t="str">
        <f>IF(J48="","",$M$5-SUM($J$7:J48))</f>
        <v/>
      </c>
      <c r="N48" s="367"/>
      <c r="P48" s="819" t="s">
        <v>395</v>
      </c>
      <c r="Q48" s="94" t="str">
        <f>M2</f>
        <v/>
      </c>
      <c r="R48" s="94" t="str">
        <f>N2</f>
        <v/>
      </c>
      <c r="S48" s="1215"/>
      <c r="T48" s="1215"/>
      <c r="U48" s="390"/>
      <c r="V48" s="390"/>
      <c r="W48" s="390"/>
      <c r="X48" s="386"/>
      <c r="Y48" s="386"/>
      <c r="Z48" s="386"/>
      <c r="AA48" s="386"/>
      <c r="AB48" s="391"/>
      <c r="AC48" s="391"/>
      <c r="AD48" s="391"/>
      <c r="AE48" s="367"/>
      <c r="AF48" s="367"/>
      <c r="AG48" s="367"/>
      <c r="AH48" s="367"/>
      <c r="AI48" s="367"/>
      <c r="AJ48" s="367"/>
      <c r="AK48" s="367"/>
      <c r="AL48" s="367"/>
      <c r="AM48" s="367"/>
      <c r="AN48" s="367"/>
      <c r="AO48" s="86"/>
    </row>
    <row r="49" spans="1:92" ht="16.5" thickBot="1">
      <c r="A49" s="367"/>
      <c r="B49" s="850" t="str">
        <f>IF(G!B49&lt;&gt;"",G!B49,)</f>
        <v>Cell Phones</v>
      </c>
      <c r="C49" s="455">
        <f>G!C49</f>
        <v>0</v>
      </c>
      <c r="D49" s="80">
        <f t="shared" si="8"/>
        <v>0</v>
      </c>
      <c r="E49" s="519"/>
      <c r="F49" s="519"/>
      <c r="G49" s="367"/>
      <c r="H49" s="543"/>
      <c r="I49" s="853"/>
      <c r="J49" s="6"/>
      <c r="K49" s="541"/>
      <c r="L49" s="860"/>
      <c r="M49" s="20" t="str">
        <f>IF(J49="","",$M$5-SUM($J$7:J49))</f>
        <v/>
      </c>
      <c r="N49" s="367"/>
      <c r="O49" s="377"/>
      <c r="P49" s="653" t="s">
        <v>288</v>
      </c>
      <c r="Q49" s="654" t="s">
        <v>354</v>
      </c>
      <c r="R49" s="654" t="s">
        <v>398</v>
      </c>
      <c r="S49" s="1216" t="s">
        <v>298</v>
      </c>
      <c r="T49" s="1217"/>
      <c r="U49" s="648"/>
      <c r="V49" s="371"/>
      <c r="W49" s="371"/>
      <c r="X49" s="367"/>
      <c r="Y49" s="386"/>
      <c r="Z49" s="386"/>
      <c r="AA49" s="386"/>
      <c r="AB49" s="391"/>
      <c r="AC49" s="391"/>
      <c r="AD49" s="391"/>
      <c r="AE49" s="367"/>
      <c r="AF49" s="367"/>
      <c r="AG49" s="367"/>
      <c r="AH49" s="367"/>
      <c r="AI49" s="367"/>
      <c r="AJ49" s="367"/>
      <c r="AK49" s="367"/>
      <c r="AL49" s="367"/>
      <c r="AM49" s="367"/>
      <c r="AN49" s="367"/>
      <c r="AO49" s="86"/>
    </row>
    <row r="50" spans="1:92" ht="15.75">
      <c r="A50" s="367"/>
      <c r="B50" s="850" t="str">
        <f>IF(G!B50&lt;&gt;"",G!B50,)</f>
        <v>Home</v>
      </c>
      <c r="C50" s="455">
        <f>G!C50</f>
        <v>0</v>
      </c>
      <c r="D50" s="80">
        <f t="shared" si="8"/>
        <v>0</v>
      </c>
      <c r="E50" s="519"/>
      <c r="F50" s="519"/>
      <c r="G50" s="367"/>
      <c r="H50" s="543"/>
      <c r="I50" s="853"/>
      <c r="J50" s="6"/>
      <c r="K50" s="541"/>
      <c r="L50" s="860"/>
      <c r="M50" s="20" t="str">
        <f>IF(J50="","",$M$5-SUM($J$7:J50))</f>
        <v/>
      </c>
      <c r="N50" s="367"/>
      <c r="O50" s="377"/>
      <c r="P50" s="655" t="s">
        <v>151</v>
      </c>
      <c r="Q50" s="22">
        <f>C18</f>
        <v>0</v>
      </c>
      <c r="R50" s="22">
        <f>D18</f>
        <v>0</v>
      </c>
      <c r="S50" s="1096">
        <f>Q50-R50</f>
        <v>0</v>
      </c>
      <c r="T50" s="1097"/>
      <c r="U50" s="647"/>
      <c r="V50" s="371"/>
      <c r="W50" s="371"/>
      <c r="X50" s="367"/>
      <c r="Y50" s="386"/>
      <c r="Z50" s="386"/>
      <c r="AA50" s="386"/>
      <c r="AB50" s="386"/>
      <c r="AC50" s="386"/>
      <c r="AD50" s="386"/>
      <c r="AE50" s="367"/>
      <c r="AF50" s="367"/>
      <c r="AG50" s="367"/>
      <c r="AH50" s="367"/>
      <c r="AI50" s="367"/>
      <c r="AJ50" s="367"/>
      <c r="AK50" s="367"/>
      <c r="AL50" s="367"/>
      <c r="AM50" s="367"/>
      <c r="AN50" s="367"/>
      <c r="AO50" s="86"/>
    </row>
    <row r="51" spans="1:92" ht="15.75">
      <c r="A51" s="367"/>
      <c r="B51" s="850" t="str">
        <f>IF(G!B51&lt;&gt;"",G!B51,)</f>
        <v>Cleaning help / Babysitter</v>
      </c>
      <c r="C51" s="455">
        <f>G!C51</f>
        <v>0</v>
      </c>
      <c r="D51" s="80">
        <f t="shared" si="8"/>
        <v>0</v>
      </c>
      <c r="E51" s="519"/>
      <c r="F51" s="519"/>
      <c r="G51" s="367"/>
      <c r="H51" s="543"/>
      <c r="I51" s="853"/>
      <c r="J51" s="6"/>
      <c r="K51" s="541"/>
      <c r="L51" s="860"/>
      <c r="M51" s="20" t="str">
        <f>IF(J51="","",$M$5-SUM($J$7:J51))</f>
        <v/>
      </c>
      <c r="N51" s="367"/>
      <c r="O51" s="377"/>
      <c r="P51" s="656" t="s">
        <v>396</v>
      </c>
      <c r="Q51" s="22">
        <f>Z45</f>
        <v>0</v>
      </c>
      <c r="R51" s="22">
        <f>AA45</f>
        <v>0</v>
      </c>
      <c r="S51" s="1147">
        <f>Q51-R51</f>
        <v>0</v>
      </c>
      <c r="T51" s="1147"/>
      <c r="U51" s="647"/>
      <c r="V51" s="371"/>
      <c r="W51" s="371"/>
      <c r="X51" s="367"/>
      <c r="Y51" s="367"/>
      <c r="Z51" s="367"/>
      <c r="AA51" s="367"/>
      <c r="AB51" s="367"/>
      <c r="AC51" s="367"/>
      <c r="AD51" s="367"/>
      <c r="AE51" s="367"/>
      <c r="AF51" s="367"/>
      <c r="AG51" s="367"/>
      <c r="AH51" s="367"/>
      <c r="AI51" s="367"/>
      <c r="AJ51" s="367"/>
      <c r="AK51" s="367"/>
      <c r="AL51" s="367"/>
      <c r="AM51" s="367"/>
      <c r="AN51" s="367"/>
      <c r="AO51" s="86"/>
    </row>
    <row r="52" spans="1:92" ht="15.75">
      <c r="A52" s="367"/>
      <c r="B52" s="850" t="str">
        <f>IF(G!B52&lt;&gt;"",G!B52,)</f>
        <v>Cigarettes</v>
      </c>
      <c r="C52" s="455">
        <f>G!C52</f>
        <v>0</v>
      </c>
      <c r="D52" s="80">
        <f t="shared" si="8"/>
        <v>0</v>
      </c>
      <c r="E52" s="519"/>
      <c r="F52" s="519"/>
      <c r="G52" s="367"/>
      <c r="H52" s="543"/>
      <c r="I52" s="853"/>
      <c r="J52" s="6"/>
      <c r="K52" s="541"/>
      <c r="L52" s="860"/>
      <c r="M52" s="20" t="str">
        <f>IF(J52="","",$M$5-SUM($J$7:J52))</f>
        <v/>
      </c>
      <c r="N52" s="367"/>
      <c r="O52" s="377"/>
      <c r="P52" s="657" t="s">
        <v>397</v>
      </c>
      <c r="Q52" s="22">
        <f>C57</f>
        <v>0</v>
      </c>
      <c r="R52" s="22">
        <f>D57</f>
        <v>0</v>
      </c>
      <c r="S52" s="1098">
        <f>Q52-R52</f>
        <v>0</v>
      </c>
      <c r="T52" s="1099"/>
      <c r="U52" s="649"/>
      <c r="V52" s="371"/>
      <c r="W52" s="370"/>
      <c r="X52" s="367"/>
      <c r="Y52" s="367"/>
      <c r="Z52" s="367"/>
      <c r="AA52" s="367"/>
      <c r="AB52" s="367"/>
      <c r="AC52" s="367"/>
      <c r="AD52" s="367"/>
      <c r="AE52" s="367"/>
      <c r="AF52" s="367"/>
      <c r="AG52" s="367"/>
      <c r="AH52" s="367"/>
      <c r="AI52" s="367"/>
      <c r="AJ52" s="367"/>
      <c r="AK52" s="367"/>
      <c r="AL52" s="367"/>
      <c r="AM52" s="367"/>
      <c r="AN52" s="367"/>
      <c r="AO52" s="86"/>
    </row>
    <row r="53" spans="1:92" ht="15.75">
      <c r="A53" s="367"/>
      <c r="B53" s="850" t="str">
        <f>IF(G!B53&lt;&gt;"",G!B53,)</f>
        <v>Other</v>
      </c>
      <c r="C53" s="455">
        <f>G!C53</f>
        <v>0</v>
      </c>
      <c r="D53" s="80">
        <f t="shared" si="8"/>
        <v>0</v>
      </c>
      <c r="E53" s="519"/>
      <c r="F53" s="519"/>
      <c r="G53" s="367"/>
      <c r="H53" s="543"/>
      <c r="I53" s="853"/>
      <c r="J53" s="6"/>
      <c r="K53" s="541"/>
      <c r="L53" s="860"/>
      <c r="M53" s="20" t="str">
        <f>IF(J53="","",$M$5-SUM($J$7:J53))</f>
        <v/>
      </c>
      <c r="N53" s="1110" t="str">
        <f ca="1">IF(D19&lt;=0,IF(C41&lt;=0,"","Pass positive diff?"),"Pass positive diff?")</f>
        <v/>
      </c>
      <c r="O53" s="1233"/>
      <c r="P53" s="658" t="s">
        <v>308</v>
      </c>
      <c r="Q53" s="150">
        <f>SUM(Q50:Q52)</f>
        <v>0</v>
      </c>
      <c r="R53" s="150">
        <f>SUM(R50:R52)</f>
        <v>0</v>
      </c>
      <c r="S53" s="1100">
        <f>Q53-R53</f>
        <v>0</v>
      </c>
      <c r="T53" s="1101"/>
      <c r="U53" s="788"/>
      <c r="V53" s="371"/>
      <c r="W53" s="371"/>
      <c r="X53" s="367"/>
      <c r="Y53" s="367"/>
      <c r="Z53" s="367"/>
      <c r="AA53" s="367"/>
      <c r="AB53" s="367"/>
      <c r="AC53" s="367"/>
      <c r="AD53" s="367"/>
      <c r="AE53" s="367"/>
      <c r="AF53" s="367"/>
      <c r="AG53" s="367"/>
      <c r="AH53" s="367"/>
      <c r="AI53" s="367"/>
      <c r="AJ53" s="367"/>
      <c r="AK53" s="367"/>
      <c r="AL53" s="367"/>
      <c r="AM53" s="367"/>
      <c r="AN53" s="367"/>
      <c r="AO53" s="86"/>
    </row>
    <row r="54" spans="1:92" ht="15.75">
      <c r="A54" s="367"/>
      <c r="B54" s="850">
        <f>IF(G!B54&lt;&gt;"",G!B54,)</f>
        <v>0</v>
      </c>
      <c r="C54" s="455">
        <f>G!C54</f>
        <v>0</v>
      </c>
      <c r="D54" s="80">
        <f t="shared" si="8"/>
        <v>0</v>
      </c>
      <c r="E54" s="519"/>
      <c r="F54" s="519"/>
      <c r="G54" s="367"/>
      <c r="H54" s="1199" t="s">
        <v>392</v>
      </c>
      <c r="I54" s="855" t="s">
        <v>430</v>
      </c>
      <c r="J54" s="816"/>
      <c r="K54" s="589"/>
      <c r="L54" s="590"/>
      <c r="M54" s="102">
        <f ca="1">M5-D57</f>
        <v>0</v>
      </c>
      <c r="N54" s="1110"/>
      <c r="O54" s="1233"/>
      <c r="P54" s="659" t="s">
        <v>296</v>
      </c>
      <c r="Q54" s="22">
        <f>AA4</f>
        <v>0</v>
      </c>
      <c r="R54" s="22">
        <f>AA17</f>
        <v>0</v>
      </c>
      <c r="S54" s="1096">
        <f>R54-Q54</f>
        <v>0</v>
      </c>
      <c r="T54" s="1097"/>
      <c r="U54" s="647"/>
      <c r="V54" s="371"/>
      <c r="W54" s="371"/>
      <c r="X54" s="367"/>
      <c r="Y54" s="367"/>
      <c r="Z54" s="367"/>
      <c r="AA54" s="367"/>
      <c r="AB54" s="367"/>
      <c r="AC54" s="367"/>
      <c r="AD54" s="367"/>
      <c r="AE54" s="367"/>
      <c r="AF54" s="367"/>
      <c r="AG54" s="367"/>
      <c r="AH54" s="367"/>
      <c r="AI54" s="367"/>
      <c r="AJ54" s="367"/>
      <c r="AK54" s="367"/>
      <c r="AL54" s="367"/>
      <c r="AM54" s="367"/>
      <c r="AN54" s="367"/>
      <c r="AO54" s="86"/>
    </row>
    <row r="55" spans="1:92" ht="16.5" thickBot="1">
      <c r="A55" s="367"/>
      <c r="B55" s="850">
        <f>IF(G!B55&lt;&gt;"",G!B55,)</f>
        <v>0</v>
      </c>
      <c r="C55" s="455">
        <f>G!C55</f>
        <v>0</v>
      </c>
      <c r="D55" s="80">
        <f t="shared" si="8"/>
        <v>0</v>
      </c>
      <c r="E55" s="519"/>
      <c r="F55" s="519"/>
      <c r="G55" s="367"/>
      <c r="H55" s="1200"/>
      <c r="I55" s="856" t="s">
        <v>393</v>
      </c>
      <c r="J55" s="821"/>
      <c r="K55" s="592"/>
      <c r="L55" s="591"/>
      <c r="M55" s="99">
        <f>IF(D19&lt;=0,D19,IF(N55="Yes",D19,0))</f>
        <v>0</v>
      </c>
      <c r="N55" s="438" t="str">
        <f>IF(D19&gt;0,"No","")</f>
        <v/>
      </c>
      <c r="O55" s="377"/>
      <c r="P55" s="660" t="s">
        <v>349</v>
      </c>
      <c r="Q55" s="22">
        <f ca="1">C40</f>
        <v>0</v>
      </c>
      <c r="R55" s="22">
        <f>D40</f>
        <v>0</v>
      </c>
      <c r="S55" s="1144">
        <f ca="1">Q55-R55</f>
        <v>0</v>
      </c>
      <c r="T55" s="1146"/>
      <c r="U55" s="649"/>
      <c r="V55" s="370"/>
      <c r="W55" s="371"/>
      <c r="X55" s="367"/>
      <c r="Y55" s="367"/>
      <c r="Z55" s="367"/>
      <c r="AA55" s="367"/>
      <c r="AB55" s="367"/>
      <c r="AC55" s="367"/>
      <c r="AD55" s="367"/>
      <c r="AE55" s="367"/>
      <c r="AF55" s="367"/>
      <c r="AG55" s="367"/>
      <c r="AH55" s="367"/>
      <c r="AI55" s="367"/>
      <c r="AJ55" s="367"/>
      <c r="AK55" s="367"/>
      <c r="AL55" s="367"/>
      <c r="AM55" s="367"/>
      <c r="AN55" s="367"/>
      <c r="AO55" s="86"/>
      <c r="AP55" s="52" t="s">
        <v>408</v>
      </c>
      <c r="AQ55" s="52" t="s">
        <v>410</v>
      </c>
    </row>
    <row r="56" spans="1:92" ht="16.5" thickBot="1">
      <c r="A56" s="367"/>
      <c r="B56" s="850">
        <f>IF(G!B56&lt;&gt;"",G!B56,)</f>
        <v>0</v>
      </c>
      <c r="C56" s="455">
        <f>G!C56</f>
        <v>0</v>
      </c>
      <c r="D56" s="80">
        <f t="shared" si="8"/>
        <v>0</v>
      </c>
      <c r="E56" s="519"/>
      <c r="F56" s="519"/>
      <c r="G56" s="367"/>
      <c r="H56" s="1201"/>
      <c r="I56" s="1115" t="s">
        <v>394</v>
      </c>
      <c r="J56" s="1116"/>
      <c r="K56" s="587"/>
      <c r="L56" s="594"/>
      <c r="M56" s="1">
        <f ca="1">IF(C41&lt;=0,C41,IF(N56="Yes",C41,0))</f>
        <v>0</v>
      </c>
      <c r="N56" s="438" t="str">
        <f ca="1">IF(C41&gt;0,"No","")</f>
        <v/>
      </c>
      <c r="O56" s="377"/>
      <c r="P56" s="661" t="s">
        <v>179</v>
      </c>
      <c r="Q56" s="662">
        <f ca="1">Q54-Q53-Q55</f>
        <v>0</v>
      </c>
      <c r="R56" s="662">
        <f>R54-R53-R55</f>
        <v>0</v>
      </c>
      <c r="S56" s="1144">
        <f ca="1">SUM(S53:S55)</f>
        <v>0</v>
      </c>
      <c r="T56" s="1145"/>
      <c r="U56" s="647"/>
      <c r="V56" s="371"/>
      <c r="W56" s="371"/>
      <c r="X56" s="367"/>
      <c r="Y56" s="367"/>
      <c r="Z56" s="367"/>
      <c r="AA56" s="367"/>
      <c r="AB56" s="367"/>
      <c r="AC56" s="367"/>
      <c r="AD56" s="367"/>
      <c r="AE56" s="367"/>
      <c r="AF56" s="367"/>
      <c r="AG56" s="367"/>
      <c r="AH56" s="367"/>
      <c r="AI56" s="367"/>
      <c r="AJ56" s="367"/>
      <c r="AK56" s="367"/>
      <c r="AL56" s="367"/>
      <c r="AM56" s="367"/>
      <c r="AN56" s="367"/>
      <c r="AO56" s="86"/>
      <c r="AP56" s="52" t="s">
        <v>409</v>
      </c>
      <c r="AQ56" s="52" t="s">
        <v>411</v>
      </c>
    </row>
    <row r="57" spans="1:92" ht="16.5" thickBot="1">
      <c r="A57" s="367"/>
      <c r="B57" s="16" t="s">
        <v>179</v>
      </c>
      <c r="C57" s="77">
        <f>SUM(C45:C56)</f>
        <v>0</v>
      </c>
      <c r="D57" s="76">
        <f>SUM(D45:D56)</f>
        <v>0</v>
      </c>
      <c r="E57" s="520"/>
      <c r="F57" s="520"/>
      <c r="G57" s="367"/>
      <c r="H57" s="12"/>
      <c r="I57" s="13"/>
      <c r="J57" s="14"/>
      <c r="K57" s="593"/>
      <c r="L57" s="14"/>
      <c r="M57" s="14"/>
      <c r="N57" s="367"/>
      <c r="O57" s="377"/>
      <c r="P57" s="438"/>
      <c r="Q57" s="790"/>
      <c r="R57" s="790"/>
      <c r="S57" s="789"/>
      <c r="T57" s="370"/>
      <c r="U57" s="370"/>
      <c r="V57" s="371"/>
      <c r="W57" s="371"/>
      <c r="X57" s="367"/>
      <c r="Y57" s="367"/>
      <c r="Z57" s="367"/>
      <c r="AA57" s="367"/>
      <c r="AB57" s="367"/>
      <c r="AC57" s="367"/>
      <c r="AD57" s="367"/>
      <c r="AE57" s="367"/>
      <c r="AF57" s="367"/>
      <c r="AG57" s="367"/>
      <c r="AH57" s="367"/>
      <c r="AI57" s="367"/>
      <c r="AJ57" s="367"/>
      <c r="AK57" s="367"/>
      <c r="AL57" s="367"/>
      <c r="AM57" s="367"/>
      <c r="AN57" s="367"/>
      <c r="AO57" s="86"/>
    </row>
    <row r="58" spans="1:92" ht="16.5" customHeight="1" thickBot="1">
      <c r="A58" s="367"/>
      <c r="B58" s="101" t="s">
        <v>367</v>
      </c>
      <c r="C58" s="1113">
        <f>C57-D57</f>
        <v>0</v>
      </c>
      <c r="D58" s="1114"/>
      <c r="E58" s="517"/>
      <c r="F58" s="517"/>
      <c r="G58" s="367"/>
      <c r="H58" s="818" t="s">
        <v>431</v>
      </c>
      <c r="I58" s="817"/>
      <c r="J58" s="817"/>
      <c r="K58" s="588"/>
      <c r="L58" s="588"/>
      <c r="M58" s="103">
        <f ca="1">SUM(M54:M56)</f>
        <v>0</v>
      </c>
      <c r="N58" s="729" t="str">
        <f>AQ55</f>
        <v>Pass</v>
      </c>
      <c r="O58" s="377"/>
      <c r="P58" s="663" t="s">
        <v>400</v>
      </c>
      <c r="Q58" s="664" t="str">
        <f>IF(Z56="","","Expected")</f>
        <v/>
      </c>
      <c r="R58" s="664" t="s">
        <v>398</v>
      </c>
      <c r="S58" s="1236" t="str">
        <f>IF(Z56="","","Diff")</f>
        <v/>
      </c>
      <c r="T58" s="1237"/>
      <c r="U58" s="651"/>
      <c r="V58" s="370"/>
      <c r="W58" s="371"/>
      <c r="X58" s="367"/>
      <c r="Y58" s="367"/>
      <c r="Z58" s="367"/>
      <c r="AA58" s="367"/>
      <c r="AB58" s="367"/>
      <c r="AC58" s="367"/>
      <c r="AD58" s="367"/>
      <c r="AE58" s="367"/>
      <c r="AF58" s="367"/>
      <c r="AG58" s="367"/>
      <c r="AH58" s="367"/>
      <c r="AI58" s="367"/>
      <c r="AJ58" s="367"/>
      <c r="AK58" s="367"/>
      <c r="AL58" s="367"/>
      <c r="AM58" s="367"/>
      <c r="AN58" s="367"/>
      <c r="AO58" s="86"/>
    </row>
    <row r="59" spans="1:92" ht="16.5" thickTop="1" thickBot="1">
      <c r="A59" s="367"/>
      <c r="B59" s="880" t="s">
        <v>382</v>
      </c>
      <c r="C59" s="367"/>
      <c r="D59" s="367"/>
      <c r="E59" s="367"/>
      <c r="F59" s="367"/>
      <c r="G59" s="367"/>
      <c r="H59" s="367"/>
      <c r="I59" s="367"/>
      <c r="J59" s="367"/>
      <c r="K59" s="367"/>
      <c r="L59" s="367"/>
      <c r="M59" s="367"/>
      <c r="N59" s="367"/>
      <c r="O59" s="377"/>
      <c r="P59" s="665" t="s">
        <v>399</v>
      </c>
      <c r="Q59" s="666">
        <f>G!R59+H!R56</f>
        <v>0</v>
      </c>
      <c r="R59" s="667"/>
      <c r="S59" s="1235">
        <f>Q59-R59</f>
        <v>0</v>
      </c>
      <c r="T59" s="1146"/>
      <c r="U59" s="649"/>
      <c r="V59" s="371"/>
      <c r="W59" s="371"/>
      <c r="X59" s="367"/>
      <c r="Y59" s="367"/>
      <c r="Z59" s="367"/>
      <c r="AA59" s="367"/>
      <c r="AB59" s="367"/>
      <c r="AC59" s="367"/>
      <c r="AD59" s="367"/>
      <c r="AE59" s="367"/>
      <c r="AF59" s="367"/>
      <c r="AG59" s="367"/>
      <c r="AH59" s="367"/>
      <c r="AI59" s="367"/>
      <c r="AJ59" s="367"/>
      <c r="AK59" s="367"/>
      <c r="AL59" s="367"/>
      <c r="AM59" s="367"/>
      <c r="AN59" s="367"/>
      <c r="AO59" s="86"/>
    </row>
    <row r="60" spans="1:92" ht="15">
      <c r="A60" s="367"/>
      <c r="B60" s="807" t="s">
        <v>383</v>
      </c>
      <c r="C60" s="367"/>
      <c r="D60" s="882" t="s">
        <v>384</v>
      </c>
      <c r="E60" s="367"/>
      <c r="F60" s="367"/>
      <c r="G60" s="367"/>
      <c r="I60" s="367"/>
      <c r="J60" s="367"/>
      <c r="K60" s="367"/>
      <c r="L60" s="367"/>
      <c r="M60" s="367"/>
      <c r="N60" s="367"/>
      <c r="O60" s="377"/>
      <c r="P60" s="367"/>
      <c r="Q60" s="367"/>
      <c r="R60" s="367"/>
      <c r="S60" s="371"/>
      <c r="T60" s="371"/>
      <c r="U60" s="371"/>
      <c r="V60" s="371"/>
      <c r="W60" s="367"/>
      <c r="X60" s="367"/>
      <c r="Y60" s="367"/>
      <c r="Z60" s="367"/>
      <c r="AA60" s="367"/>
      <c r="AB60" s="367"/>
      <c r="AC60" s="367"/>
      <c r="AD60" s="367"/>
      <c r="AE60" s="367"/>
      <c r="AF60" s="367"/>
      <c r="AG60" s="367"/>
      <c r="AH60" s="367"/>
      <c r="AI60" s="367"/>
      <c r="AJ60" s="367"/>
      <c r="AK60" s="367"/>
      <c r="AL60" s="367"/>
      <c r="AM60" s="367"/>
      <c r="AN60" s="367"/>
      <c r="AO60" s="86"/>
    </row>
    <row r="61" spans="1:92" ht="15.75" collapsed="1" thickBot="1">
      <c r="A61" s="367"/>
      <c r="B61" s="884" t="s">
        <v>385</v>
      </c>
      <c r="C61" s="367"/>
      <c r="D61" s="367"/>
      <c r="E61" s="367"/>
      <c r="F61" s="367"/>
      <c r="G61" s="367"/>
      <c r="I61" s="367"/>
      <c r="K61" s="510"/>
      <c r="L61" s="510"/>
      <c r="M61" s="510"/>
      <c r="N61" s="367"/>
      <c r="O61" s="511"/>
      <c r="Q61" s="367"/>
      <c r="R61" s="367"/>
      <c r="S61" s="371"/>
      <c r="T61" s="371"/>
      <c r="U61" s="371"/>
      <c r="V61" s="371"/>
      <c r="W61" s="367"/>
      <c r="X61" s="367"/>
      <c r="Y61" s="367"/>
      <c r="Z61" s="367"/>
      <c r="AA61" s="367"/>
      <c r="AB61" s="367"/>
      <c r="AC61" s="367"/>
      <c r="AD61" s="367"/>
      <c r="AE61" s="367"/>
      <c r="AF61" s="367"/>
      <c r="AG61" s="367"/>
      <c r="AH61" s="367"/>
      <c r="AI61" s="367"/>
      <c r="AJ61" s="367"/>
      <c r="AK61" s="367"/>
      <c r="AL61" s="367"/>
      <c r="AM61" s="367"/>
      <c r="AN61" s="367"/>
      <c r="AO61" s="86"/>
    </row>
    <row r="62" spans="1:92" ht="15.75" hidden="1" customHeight="1" outlineLevel="1" thickBot="1">
      <c r="A62" s="367"/>
      <c r="B62" s="367"/>
      <c r="C62" s="367"/>
      <c r="D62" s="367"/>
      <c r="E62" s="367"/>
      <c r="F62" s="367"/>
      <c r="G62" s="367"/>
      <c r="H62" s="505"/>
      <c r="I62" s="367"/>
      <c r="J62" s="367"/>
      <c r="K62" s="581"/>
      <c r="L62" s="367"/>
      <c r="M62" s="367"/>
      <c r="N62" s="367"/>
      <c r="O62" s="511"/>
      <c r="P62" s="505"/>
      <c r="Q62" s="367"/>
      <c r="R62" s="367"/>
      <c r="S62" s="371"/>
      <c r="T62" s="371"/>
      <c r="U62" s="371"/>
      <c r="V62" s="631"/>
      <c r="W62" s="367"/>
      <c r="X62" s="367"/>
      <c r="Y62" s="367"/>
      <c r="Z62" s="367"/>
      <c r="AA62" s="367"/>
      <c r="AB62" s="367"/>
      <c r="AC62" s="367"/>
      <c r="AD62" s="367"/>
      <c r="AE62" s="367"/>
      <c r="AF62" s="367"/>
      <c r="AG62" s="367"/>
      <c r="AH62" s="367"/>
      <c r="AI62" s="367"/>
      <c r="AJ62" s="367"/>
      <c r="AK62" s="367"/>
      <c r="AL62" s="367"/>
      <c r="AM62" s="367"/>
      <c r="AN62" s="367"/>
      <c r="AO62" s="86"/>
    </row>
    <row r="63" spans="1:92" s="367" customFormat="1" ht="33.75" hidden="1" customHeight="1" outlineLevel="1">
      <c r="B63" s="1120" t="s">
        <v>388</v>
      </c>
      <c r="C63" s="1122" t="s">
        <v>354</v>
      </c>
      <c r="D63" s="1124" t="s">
        <v>358</v>
      </c>
      <c r="E63" s="1126" t="s">
        <v>380</v>
      </c>
      <c r="F63" s="1127" t="s">
        <v>335</v>
      </c>
      <c r="H63" s="503" t="s">
        <v>356</v>
      </c>
      <c r="I63" s="682" t="s">
        <v>357</v>
      </c>
      <c r="J63" s="812" t="s">
        <v>358</v>
      </c>
      <c r="K63" s="598" t="s">
        <v>380</v>
      </c>
      <c r="L63" s="600" t="s">
        <v>335</v>
      </c>
      <c r="M63" s="504" t="s">
        <v>389</v>
      </c>
      <c r="O63" s="506" t="s">
        <v>356</v>
      </c>
      <c r="P63" s="507" t="s">
        <v>357</v>
      </c>
      <c r="Q63" s="813" t="s">
        <v>358</v>
      </c>
      <c r="R63" s="507" t="s">
        <v>359</v>
      </c>
      <c r="S63" s="814" t="s">
        <v>390</v>
      </c>
      <c r="T63" s="815" t="s">
        <v>391</v>
      </c>
      <c r="U63" s="637" t="s">
        <v>380</v>
      </c>
      <c r="V63" s="616" t="s">
        <v>335</v>
      </c>
      <c r="W63" s="632" t="s">
        <v>389</v>
      </c>
      <c r="AO63" s="86"/>
      <c r="AP63" s="86"/>
      <c r="AQ63" s="86"/>
      <c r="AR63" s="86"/>
      <c r="AS63" s="86"/>
      <c r="AT63" s="86"/>
      <c r="AU63" s="86"/>
      <c r="AV63" s="86"/>
      <c r="AW63" s="86"/>
      <c r="AX63" s="86"/>
      <c r="AY63" s="86"/>
      <c r="CM63" s="86"/>
      <c r="CN63" s="86"/>
    </row>
    <row r="64" spans="1:92" s="367" customFormat="1" ht="15" hidden="1" customHeight="1" outlineLevel="1">
      <c r="B64" s="1121"/>
      <c r="C64" s="1123"/>
      <c r="D64" s="1125"/>
      <c r="E64" s="1126"/>
      <c r="F64" s="1127"/>
      <c r="H64" s="543"/>
      <c r="I64" s="853"/>
      <c r="J64" s="6"/>
      <c r="K64" s="541"/>
      <c r="L64" s="860"/>
      <c r="M64" s="20" t="str">
        <f>IF(J64="","",$M$5-SUM($J$7:J64))</f>
        <v/>
      </c>
      <c r="O64" s="106"/>
      <c r="P64" s="871">
        <f>IF(G!Q64&lt;&gt;G!R64,IF(G!Q64&lt;&gt;0,IF(G!S64&lt;&gt;G!T64,G!P64,),),)</f>
        <v>0</v>
      </c>
      <c r="Q64" s="795">
        <f>IF(G!Q64&lt;&gt;G!R64,IF(G!Q64&lt;&gt;0,IF(G!S64&lt;&gt;G!T64,G!Q64,),),)</f>
        <v>0</v>
      </c>
      <c r="R64" s="628">
        <f>IF(G!Q64&lt;&gt;G!R64,IF(G!Q64&lt;&gt;0,IF(G!S64&lt;&gt;G!T64,0,Q64),Q64),Q64)</f>
        <v>0</v>
      </c>
      <c r="S64" s="796">
        <f>IF(G!Q64&lt;&gt;G!R64,IF(G!Q64&lt;&gt;0,IF(G!S64&lt;&gt;G!T64,G!S64+1,),),)</f>
        <v>0</v>
      </c>
      <c r="T64" s="796">
        <f>IF(G!Q64&lt;&gt;G!R64,IF(G!Q64&lt;&gt;0,IF(G!S64&lt;&gt;G!T64,G!T64,),),)</f>
        <v>0</v>
      </c>
      <c r="U64" s="797">
        <f>IF(G!Q64&lt;&gt;G!R64,IF(G!Q64&lt;&gt;0,IF(G!S64&lt;&gt;G!T64,G!U64,),),)</f>
        <v>0</v>
      </c>
      <c r="V64" s="875">
        <f>IF(G!Q64&lt;&gt;G!R64,IF(G!Q64&lt;&gt;0,IF(G!S64&lt;&gt;G!T64,G!V64,),),)</f>
        <v>0</v>
      </c>
      <c r="W64" s="633">
        <f>IF(Q64="","",$W$5-SUM($Q$7:$Q$45)-SUM($Q$64:Q64))</f>
        <v>0</v>
      </c>
      <c r="AO64" s="86"/>
      <c r="AP64" s="86"/>
      <c r="AQ64" s="86"/>
      <c r="AR64" s="86"/>
      <c r="AS64" s="86"/>
      <c r="AT64" s="86"/>
      <c r="AU64" s="86"/>
      <c r="AV64" s="86"/>
      <c r="AW64" s="86"/>
      <c r="AX64" s="86"/>
      <c r="AY64" s="86"/>
      <c r="CM64" s="86"/>
      <c r="CN64" s="86"/>
    </row>
    <row r="65" spans="2:92" s="367" customFormat="1" ht="15" hidden="1" customHeight="1" outlineLevel="1">
      <c r="B65" s="852">
        <f ca="1">IF(G!B65&lt;&gt;"",G!B65,)</f>
        <v>0</v>
      </c>
      <c r="C65" s="454">
        <f ca="1">G!C65</f>
        <v>0</v>
      </c>
      <c r="D65" s="74"/>
      <c r="E65" s="521"/>
      <c r="F65" s="858"/>
      <c r="H65" s="543"/>
      <c r="I65" s="853"/>
      <c r="J65" s="6"/>
      <c r="K65" s="541"/>
      <c r="L65" s="860"/>
      <c r="M65" s="20" t="str">
        <f>IF(J65="","",$M$5-SUM($J$7:J65))</f>
        <v/>
      </c>
      <c r="O65" s="7"/>
      <c r="P65" s="872">
        <f>IF(G!Q65&lt;&gt;G!R65,IF(G!Q65&lt;&gt;0,IF(G!S65&lt;&gt;G!T65,G!P65,),),)</f>
        <v>0</v>
      </c>
      <c r="Q65" s="795">
        <f>IF(G!Q65&lt;&gt;G!R65,IF(G!Q65&lt;&gt;0,IF(G!S65&lt;&gt;G!T65,G!Q65,),),)</f>
        <v>0</v>
      </c>
      <c r="R65" s="628">
        <f>IF(G!Q65&lt;&gt;G!R65,IF(G!Q65&lt;&gt;0,IF(G!S65&lt;&gt;G!T65,0,Q65),Q65),Q65)</f>
        <v>0</v>
      </c>
      <c r="S65" s="796">
        <f>IF(G!Q65&lt;&gt;G!R65,IF(G!Q65&lt;&gt;0,IF(G!S65&lt;&gt;G!T65,G!S65+1,),),)</f>
        <v>0</v>
      </c>
      <c r="T65" s="796">
        <f>IF(G!Q65&lt;&gt;G!R65,IF(G!Q65&lt;&gt;0,IF(G!S65&lt;&gt;G!T65,G!T65,),),)</f>
        <v>0</v>
      </c>
      <c r="U65" s="797">
        <f>IF(G!Q65&lt;&gt;G!R65,IF(G!Q65&lt;&gt;0,IF(G!S65&lt;&gt;G!T65,G!U65,),),)</f>
        <v>0</v>
      </c>
      <c r="V65" s="875">
        <f>IF(G!Q65&lt;&gt;G!R65,IF(G!Q65&lt;&gt;0,IF(G!S65&lt;&gt;G!T65,G!V65,),),)</f>
        <v>0</v>
      </c>
      <c r="W65" s="633">
        <f>IF(Q65="","",$W$5-SUM($Q$7:$Q$45)-SUM($Q$64:Q65))</f>
        <v>0</v>
      </c>
      <c r="AO65" s="86"/>
      <c r="AP65" s="86"/>
      <c r="AQ65" s="86"/>
      <c r="AR65" s="86"/>
      <c r="AS65" s="86"/>
      <c r="AT65" s="86"/>
      <c r="AU65" s="86"/>
      <c r="AV65" s="86"/>
      <c r="AW65" s="86"/>
      <c r="AX65" s="86"/>
      <c r="AY65" s="86"/>
      <c r="CM65" s="86"/>
      <c r="CN65" s="86"/>
    </row>
    <row r="66" spans="2:92" s="367" customFormat="1" ht="15.75" hidden="1" customHeight="1" outlineLevel="1">
      <c r="B66" s="852">
        <f ca="1">IF(G!B66&lt;&gt;"",G!B66,)</f>
        <v>0</v>
      </c>
      <c r="C66" s="454">
        <f ca="1">G!C66</f>
        <v>0</v>
      </c>
      <c r="D66" s="74"/>
      <c r="E66" s="521"/>
      <c r="F66" s="858"/>
      <c r="H66" s="543"/>
      <c r="I66" s="853"/>
      <c r="J66" s="6"/>
      <c r="K66" s="541"/>
      <c r="L66" s="860"/>
      <c r="M66" s="20" t="str">
        <f>IF(J66="","",$M$5-SUM($J$7:J66))</f>
        <v/>
      </c>
      <c r="O66" s="7"/>
      <c r="P66" s="871">
        <f>IF(G!Q66&lt;&gt;G!R66,IF(G!Q66&lt;&gt;0,IF(G!S66&lt;&gt;G!T66,G!P66,),),)</f>
        <v>0</v>
      </c>
      <c r="Q66" s="795">
        <f>IF(G!Q66&lt;&gt;G!R66,IF(G!Q66&lt;&gt;0,IF(G!S66&lt;&gt;G!T66,G!Q66,),),)</f>
        <v>0</v>
      </c>
      <c r="R66" s="628">
        <f>IF(G!Q66&lt;&gt;G!R66,IF(G!Q66&lt;&gt;0,IF(G!S66&lt;&gt;G!T66,0,Q66),Q66),Q66)</f>
        <v>0</v>
      </c>
      <c r="S66" s="796">
        <f>IF(G!Q66&lt;&gt;G!R66,IF(G!Q66&lt;&gt;0,IF(G!S66&lt;&gt;G!T66,G!S66+1,),),)</f>
        <v>0</v>
      </c>
      <c r="T66" s="796">
        <f>IF(G!Q66&lt;&gt;G!R66,IF(G!Q66&lt;&gt;0,IF(G!S66&lt;&gt;G!T66,G!T66,),),)</f>
        <v>0</v>
      </c>
      <c r="U66" s="797">
        <f>IF(G!Q66&lt;&gt;G!R66,IF(G!Q66&lt;&gt;0,IF(G!S66&lt;&gt;G!T66,G!U66,),),)</f>
        <v>0</v>
      </c>
      <c r="V66" s="875">
        <f>IF(G!Q66&lt;&gt;G!R66,IF(G!Q66&lt;&gt;0,IF(G!S66&lt;&gt;G!T66,G!V66,),),)</f>
        <v>0</v>
      </c>
      <c r="W66" s="633">
        <f>IF(Q66="","",$W$5-SUM($Q$7:$Q$45)-SUM($Q$64:Q66))</f>
        <v>0</v>
      </c>
      <c r="AO66" s="86"/>
      <c r="AP66" s="86"/>
      <c r="AQ66" s="86"/>
      <c r="AR66" s="86"/>
      <c r="AS66" s="86"/>
      <c r="AT66" s="86"/>
      <c r="AU66" s="86"/>
      <c r="AV66" s="86"/>
      <c r="AW66" s="86"/>
      <c r="AX66" s="86"/>
      <c r="AY66" s="86"/>
      <c r="CM66" s="86"/>
      <c r="CN66" s="86"/>
    </row>
    <row r="67" spans="2:92" s="367" customFormat="1" ht="15.75" hidden="1" customHeight="1" outlineLevel="1">
      <c r="B67" s="852">
        <f ca="1">IF(G!B67&lt;&gt;"",G!B67,)</f>
        <v>0</v>
      </c>
      <c r="C67" s="454">
        <f ca="1">G!C67</f>
        <v>0</v>
      </c>
      <c r="D67" s="74"/>
      <c r="E67" s="521"/>
      <c r="F67" s="858"/>
      <c r="H67" s="543"/>
      <c r="I67" s="853"/>
      <c r="J67" s="6"/>
      <c r="K67" s="541"/>
      <c r="L67" s="860"/>
      <c r="M67" s="20" t="str">
        <f>IF(J67="","",$M$5-SUM($J$7:J67))</f>
        <v/>
      </c>
      <c r="O67" s="7"/>
      <c r="P67" s="871">
        <f>IF(G!Q67&lt;&gt;G!R67,IF(G!Q67&lt;&gt;0,IF(G!S67&lt;&gt;G!T67,G!P67,),),)</f>
        <v>0</v>
      </c>
      <c r="Q67" s="798">
        <f>IF(G!Q67&lt;&gt;G!R67,IF(G!Q67&lt;&gt;0,IF(G!S67&lt;&gt;G!T67,G!Q67,),),)</f>
        <v>0</v>
      </c>
      <c r="R67" s="628">
        <f>IF(G!Q67&lt;&gt;G!R67,IF(G!Q67&lt;&gt;0,IF(G!S67&lt;&gt;G!T67,0,Q67),Q67),Q67)</f>
        <v>0</v>
      </c>
      <c r="S67" s="796">
        <f>IF(G!Q67&lt;&gt;G!R67,IF(G!Q67&lt;&gt;0,IF(G!S67&lt;&gt;G!T67,G!S67+1,),),)</f>
        <v>0</v>
      </c>
      <c r="T67" s="796">
        <f>IF(G!Q67&lt;&gt;G!R67,IF(G!Q67&lt;&gt;0,IF(G!S67&lt;&gt;G!T67,G!T67,),),)</f>
        <v>0</v>
      </c>
      <c r="U67" s="797">
        <f>IF(G!Q67&lt;&gt;G!R67,IF(G!Q67&lt;&gt;0,IF(G!S67&lt;&gt;G!T67,G!U67,),),)</f>
        <v>0</v>
      </c>
      <c r="V67" s="875">
        <f>IF(G!Q67&lt;&gt;G!R67,IF(G!Q67&lt;&gt;0,IF(G!S67&lt;&gt;G!T67,G!V67,),),)</f>
        <v>0</v>
      </c>
      <c r="W67" s="633">
        <f>IF(Q67="","",$W$5-SUM($Q$7:$Q$45)-SUM($Q$64:Q67))</f>
        <v>0</v>
      </c>
      <c r="AO67" s="86"/>
      <c r="AP67" s="86"/>
      <c r="AQ67" s="86"/>
      <c r="AR67" s="86"/>
      <c r="AS67" s="86"/>
      <c r="AT67" s="86"/>
      <c r="AU67" s="86"/>
      <c r="AV67" s="86"/>
      <c r="AW67" s="86"/>
      <c r="AX67" s="86"/>
      <c r="AY67" s="86"/>
      <c r="CM67" s="86"/>
      <c r="CN67" s="86"/>
    </row>
    <row r="68" spans="2:92" s="367" customFormat="1" ht="15.75" hidden="1" customHeight="1" outlineLevel="1">
      <c r="B68" s="852">
        <f ca="1">IF(G!B68&lt;&gt;"",G!B68,)</f>
        <v>0</v>
      </c>
      <c r="C68" s="454">
        <f ca="1">G!C68</f>
        <v>0</v>
      </c>
      <c r="D68" s="74"/>
      <c r="E68" s="521"/>
      <c r="F68" s="858"/>
      <c r="H68" s="543"/>
      <c r="I68" s="853"/>
      <c r="J68" s="6"/>
      <c r="K68" s="541"/>
      <c r="L68" s="860"/>
      <c r="M68" s="20" t="str">
        <f>IF(J68="","",$M$5-SUM($J$7:J68))</f>
        <v/>
      </c>
      <c r="O68" s="7"/>
      <c r="P68" s="871">
        <f>IF(G!Q68&lt;&gt;G!R68,IF(G!Q68&lt;&gt;0,IF(G!S68&lt;&gt;G!T68,G!P68,),),)</f>
        <v>0</v>
      </c>
      <c r="Q68" s="795">
        <f>IF(G!Q68&lt;&gt;G!R68,IF(G!Q68&lt;&gt;0,IF(G!S68&lt;&gt;G!T68,G!Q68,),),)</f>
        <v>0</v>
      </c>
      <c r="R68" s="628">
        <f>IF(G!Q68&lt;&gt;G!R68,IF(G!Q68&lt;&gt;0,IF(G!S68&lt;&gt;G!T68,0,Q68),Q68),Q68)</f>
        <v>0</v>
      </c>
      <c r="S68" s="796">
        <f>IF(G!Q68&lt;&gt;G!R68,IF(G!Q68&lt;&gt;0,IF(G!S68&lt;&gt;G!T68,G!S68+1,),),)</f>
        <v>0</v>
      </c>
      <c r="T68" s="796">
        <f>IF(G!Q68&lt;&gt;G!R68,IF(G!Q68&lt;&gt;0,IF(G!S68&lt;&gt;G!T68,G!T68,),),)</f>
        <v>0</v>
      </c>
      <c r="U68" s="797">
        <f>IF(G!Q68&lt;&gt;G!R68,IF(G!Q68&lt;&gt;0,IF(G!S68&lt;&gt;G!T68,G!U68,),),)</f>
        <v>0</v>
      </c>
      <c r="V68" s="875">
        <f>IF(G!Q68&lt;&gt;G!R68,IF(G!Q68&lt;&gt;0,IF(G!S68&lt;&gt;G!T68,G!V68,),),)</f>
        <v>0</v>
      </c>
      <c r="W68" s="633">
        <f>IF(Q68="","",$W$5-SUM($Q$7:$Q$45)-SUM($Q$64:Q68))</f>
        <v>0</v>
      </c>
      <c r="AO68" s="86"/>
      <c r="AP68" s="86"/>
      <c r="AQ68" s="86"/>
      <c r="AR68" s="86"/>
      <c r="AS68" s="86"/>
      <c r="AT68" s="86"/>
      <c r="AU68" s="86"/>
      <c r="AV68" s="86"/>
      <c r="AW68" s="86"/>
      <c r="AX68" s="86"/>
      <c r="AY68" s="86"/>
      <c r="CM68" s="86"/>
      <c r="CN68" s="86"/>
    </row>
    <row r="69" spans="2:92" s="367" customFormat="1" ht="15.75" hidden="1" customHeight="1" outlineLevel="1">
      <c r="B69" s="852">
        <f ca="1">IF(G!B69&lt;&gt;"",G!B69,)</f>
        <v>0</v>
      </c>
      <c r="C69" s="454">
        <f ca="1">G!C69</f>
        <v>0</v>
      </c>
      <c r="D69" s="74"/>
      <c r="E69" s="521"/>
      <c r="F69" s="858"/>
      <c r="H69" s="543"/>
      <c r="I69" s="853"/>
      <c r="J69" s="6"/>
      <c r="K69" s="541"/>
      <c r="L69" s="860"/>
      <c r="M69" s="20" t="str">
        <f>IF(J69="","",$M$5-SUM($J$7:J69))</f>
        <v/>
      </c>
      <c r="O69" s="7"/>
      <c r="P69" s="871">
        <f>IF(G!Q69&lt;&gt;G!R69,IF(G!Q69&lt;&gt;0,IF(G!S69&lt;&gt;G!T69,G!P69,),),)</f>
        <v>0</v>
      </c>
      <c r="Q69" s="795">
        <f>IF(G!Q69&lt;&gt;G!R69,IF(G!Q69&lt;&gt;0,IF(G!S69&lt;&gt;G!T69,G!Q69,),),)</f>
        <v>0</v>
      </c>
      <c r="R69" s="628">
        <f>IF(G!Q69&lt;&gt;G!R69,IF(G!Q69&lt;&gt;0,IF(G!S69&lt;&gt;G!T69,0,Q69),Q69),Q69)</f>
        <v>0</v>
      </c>
      <c r="S69" s="796">
        <f>IF(G!Q69&lt;&gt;G!R69,IF(G!Q69&lt;&gt;0,IF(G!S69&lt;&gt;G!T69,G!S69+1,),),)</f>
        <v>0</v>
      </c>
      <c r="T69" s="796">
        <f>IF(G!Q69&lt;&gt;G!R69,IF(G!Q69&lt;&gt;0,IF(G!S69&lt;&gt;G!T69,G!T69,),),)</f>
        <v>0</v>
      </c>
      <c r="U69" s="797">
        <f>IF(G!Q69&lt;&gt;G!R69,IF(G!Q69&lt;&gt;0,IF(G!S69&lt;&gt;G!T69,G!U69,),),)</f>
        <v>0</v>
      </c>
      <c r="V69" s="875">
        <f>IF(G!Q69&lt;&gt;G!R69,IF(G!Q69&lt;&gt;0,IF(G!S69&lt;&gt;G!T69,G!V69,),),)</f>
        <v>0</v>
      </c>
      <c r="W69" s="633">
        <f>IF(Q69="","",$W$5-SUM($Q$7:$Q$45)-SUM($Q$64:Q69))</f>
        <v>0</v>
      </c>
      <c r="AO69" s="86"/>
      <c r="AP69" s="86"/>
      <c r="AQ69" s="86"/>
      <c r="AR69" s="86"/>
      <c r="AS69" s="86"/>
      <c r="AT69" s="86"/>
      <c r="AU69" s="86"/>
      <c r="AV69" s="86"/>
      <c r="AW69" s="86"/>
      <c r="AX69" s="86"/>
      <c r="AY69" s="86"/>
      <c r="CM69" s="86"/>
      <c r="CN69" s="86"/>
    </row>
    <row r="70" spans="2:92" s="367" customFormat="1" ht="15.75" hidden="1" customHeight="1" outlineLevel="1">
      <c r="B70" s="852">
        <f ca="1">IF(G!B70&lt;&gt;"",G!B70,)</f>
        <v>0</v>
      </c>
      <c r="C70" s="454">
        <f ca="1">G!C70</f>
        <v>0</v>
      </c>
      <c r="D70" s="74"/>
      <c r="E70" s="521"/>
      <c r="F70" s="858"/>
      <c r="H70" s="543"/>
      <c r="I70" s="853"/>
      <c r="J70" s="6"/>
      <c r="K70" s="541"/>
      <c r="L70" s="860"/>
      <c r="M70" s="20" t="str">
        <f>IF(J70="","",$M$5-SUM($J$7:J70))</f>
        <v/>
      </c>
      <c r="O70" s="7"/>
      <c r="P70" s="871">
        <f>IF(G!Q70&lt;&gt;G!R70,IF(G!Q70&lt;&gt;0,IF(G!S70&lt;&gt;G!T70,G!P70,),),)</f>
        <v>0</v>
      </c>
      <c r="Q70" s="795">
        <f>IF(G!Q70&lt;&gt;G!R70,IF(G!Q70&lt;&gt;0,IF(G!S70&lt;&gt;G!T70,G!Q70,),),)</f>
        <v>0</v>
      </c>
      <c r="R70" s="628">
        <f>IF(G!Q70&lt;&gt;G!R70,IF(G!Q70&lt;&gt;0,IF(G!S70&lt;&gt;G!T70,0,Q70),Q70),Q70)</f>
        <v>0</v>
      </c>
      <c r="S70" s="796">
        <f>IF(G!Q70&lt;&gt;G!R70,IF(G!Q70&lt;&gt;0,IF(G!S70&lt;&gt;G!T70,G!S70+1,),),)</f>
        <v>0</v>
      </c>
      <c r="T70" s="796">
        <f>IF(G!Q70&lt;&gt;G!R70,IF(G!Q70&lt;&gt;0,IF(G!S70&lt;&gt;G!T70,G!T70,),),)</f>
        <v>0</v>
      </c>
      <c r="U70" s="797">
        <f>IF(G!Q70&lt;&gt;G!R70,IF(G!Q70&lt;&gt;0,IF(G!S70&lt;&gt;G!T70,G!U70,),),)</f>
        <v>0</v>
      </c>
      <c r="V70" s="875">
        <f>IF(G!Q70&lt;&gt;G!R70,IF(G!Q70&lt;&gt;0,IF(G!S70&lt;&gt;G!T70,G!V70,),),)</f>
        <v>0</v>
      </c>
      <c r="W70" s="633">
        <f>IF(Q70="","",$W$5-SUM($Q$7:$Q$45)-SUM($Q$64:Q70))</f>
        <v>0</v>
      </c>
      <c r="AO70" s="86"/>
      <c r="AP70" s="86"/>
      <c r="AQ70" s="86"/>
      <c r="AR70" s="86"/>
      <c r="AS70" s="86"/>
      <c r="AT70" s="86"/>
      <c r="AU70" s="86"/>
      <c r="AV70" s="86"/>
      <c r="AW70" s="86"/>
      <c r="AX70" s="86"/>
      <c r="AY70" s="86"/>
      <c r="CM70" s="86"/>
      <c r="CN70" s="86"/>
    </row>
    <row r="71" spans="2:92" s="367" customFormat="1" ht="15.75" hidden="1" customHeight="1" outlineLevel="1">
      <c r="B71" s="852">
        <f ca="1">IF(G!B71&lt;&gt;"",G!B71,)</f>
        <v>0</v>
      </c>
      <c r="C71" s="454">
        <f ca="1">G!C71</f>
        <v>0</v>
      </c>
      <c r="D71" s="74"/>
      <c r="E71" s="521"/>
      <c r="F71" s="858"/>
      <c r="H71" s="543"/>
      <c r="I71" s="853"/>
      <c r="J71" s="6"/>
      <c r="K71" s="541"/>
      <c r="L71" s="860"/>
      <c r="M71" s="20" t="str">
        <f>IF(J71="","",$M$5-SUM($J$7:J71))</f>
        <v/>
      </c>
      <c r="O71" s="7"/>
      <c r="P71" s="871">
        <f>IF(G!Q71&lt;&gt;G!R71,IF(G!Q71&lt;&gt;0,IF(G!S71&lt;&gt;G!T71,G!P71,),),)</f>
        <v>0</v>
      </c>
      <c r="Q71" s="795">
        <f>IF(G!Q71&lt;&gt;G!R71,IF(G!Q71&lt;&gt;0,IF(G!S71&lt;&gt;G!T71,G!Q71,),),)</f>
        <v>0</v>
      </c>
      <c r="R71" s="628">
        <f>IF(G!Q71&lt;&gt;G!R71,IF(G!Q71&lt;&gt;0,IF(G!S71&lt;&gt;G!T71,0,Q71),Q71),Q71)</f>
        <v>0</v>
      </c>
      <c r="S71" s="796">
        <f>IF(G!Q71&lt;&gt;G!R71,IF(G!Q71&lt;&gt;0,IF(G!S71&lt;&gt;G!T71,G!S71+1,),),)</f>
        <v>0</v>
      </c>
      <c r="T71" s="796">
        <f>IF(G!Q71&lt;&gt;G!R71,IF(G!Q71&lt;&gt;0,IF(G!S71&lt;&gt;G!T71,G!T71,),),)</f>
        <v>0</v>
      </c>
      <c r="U71" s="797">
        <f>IF(G!Q71&lt;&gt;G!R71,IF(G!Q71&lt;&gt;0,IF(G!S71&lt;&gt;G!T71,G!U71,),),)</f>
        <v>0</v>
      </c>
      <c r="V71" s="875">
        <f>IF(G!Q71&lt;&gt;G!R71,IF(G!Q71&lt;&gt;0,IF(G!S71&lt;&gt;G!T71,G!V71,),),)</f>
        <v>0</v>
      </c>
      <c r="W71" s="633">
        <f>IF(Q71="","",$W$5-SUM($Q$7:$Q$45)-SUM($Q$64:Q71))</f>
        <v>0</v>
      </c>
      <c r="AO71" s="86"/>
      <c r="AP71" s="86"/>
      <c r="AQ71" s="86"/>
      <c r="AR71" s="86"/>
      <c r="AS71" s="86"/>
      <c r="AT71" s="86"/>
      <c r="AU71" s="86"/>
      <c r="AV71" s="86"/>
      <c r="AW71" s="86"/>
      <c r="AX71" s="86"/>
      <c r="AY71" s="86"/>
      <c r="CM71" s="86"/>
      <c r="CN71" s="86"/>
    </row>
    <row r="72" spans="2:92" s="367" customFormat="1" ht="15.75" hidden="1" customHeight="1" outlineLevel="1">
      <c r="B72" s="852">
        <f ca="1">IF(G!B72&lt;&gt;"",G!B72,)</f>
        <v>0</v>
      </c>
      <c r="C72" s="454">
        <f ca="1">G!C72</f>
        <v>0</v>
      </c>
      <c r="D72" s="74"/>
      <c r="E72" s="521"/>
      <c r="F72" s="858"/>
      <c r="H72" s="543"/>
      <c r="I72" s="853"/>
      <c r="J72" s="6"/>
      <c r="K72" s="541"/>
      <c r="L72" s="860"/>
      <c r="M72" s="20" t="str">
        <f>IF(J72="","",$M$5-SUM($J$7:J72))</f>
        <v/>
      </c>
      <c r="O72" s="7"/>
      <c r="P72" s="871">
        <f>IF(G!Q72&lt;&gt;G!R72,IF(G!Q72&lt;&gt;0,IF(G!S72&lt;&gt;G!T72,G!P72,),),)</f>
        <v>0</v>
      </c>
      <c r="Q72" s="795">
        <f>IF(G!Q72&lt;&gt;G!R72,IF(G!Q72&lt;&gt;0,IF(G!S72&lt;&gt;G!T72,G!Q72,),),)</f>
        <v>0</v>
      </c>
      <c r="R72" s="628">
        <f>IF(G!Q72&lt;&gt;G!R72,IF(G!Q72&lt;&gt;0,IF(G!S72&lt;&gt;G!T72,0,Q72),Q72),Q72)</f>
        <v>0</v>
      </c>
      <c r="S72" s="796">
        <f>IF(G!Q72&lt;&gt;G!R72,IF(G!Q72&lt;&gt;0,IF(G!S72&lt;&gt;G!T72,G!S72+1,),),)</f>
        <v>0</v>
      </c>
      <c r="T72" s="796">
        <f>IF(G!Q72&lt;&gt;G!R72,IF(G!Q72&lt;&gt;0,IF(G!S72&lt;&gt;G!T72,G!T72,),),)</f>
        <v>0</v>
      </c>
      <c r="U72" s="797">
        <f>IF(G!Q72&lt;&gt;G!R72,IF(G!Q72&lt;&gt;0,IF(G!S72&lt;&gt;G!T72,G!U72,),),)</f>
        <v>0</v>
      </c>
      <c r="V72" s="875">
        <f>IF(G!Q72&lt;&gt;G!R72,IF(G!Q72&lt;&gt;0,IF(G!S72&lt;&gt;G!T72,G!V72,),),)</f>
        <v>0</v>
      </c>
      <c r="W72" s="633">
        <f>IF(Q72="","",$W$5-SUM($Q$7:$Q$45)-SUM($Q$64:Q72))</f>
        <v>0</v>
      </c>
      <c r="AO72" s="86"/>
      <c r="AP72" s="86"/>
      <c r="AQ72" s="86"/>
      <c r="AR72" s="86"/>
      <c r="AS72" s="86"/>
      <c r="AT72" s="86"/>
      <c r="AU72" s="86"/>
      <c r="AV72" s="86"/>
      <c r="AW72" s="86"/>
      <c r="AX72" s="86"/>
      <c r="AY72" s="86"/>
      <c r="CM72" s="86"/>
      <c r="CN72" s="86"/>
    </row>
    <row r="73" spans="2:92" s="367" customFormat="1" ht="15.75" hidden="1" customHeight="1" outlineLevel="1">
      <c r="B73" s="852">
        <f ca="1">IF(G!B73&lt;&gt;"",G!B73,)</f>
        <v>0</v>
      </c>
      <c r="C73" s="454">
        <f ca="1">G!C73</f>
        <v>0</v>
      </c>
      <c r="D73" s="74"/>
      <c r="E73" s="521"/>
      <c r="F73" s="858"/>
      <c r="H73" s="543"/>
      <c r="I73" s="853"/>
      <c r="J73" s="6"/>
      <c r="K73" s="541"/>
      <c r="L73" s="860"/>
      <c r="M73" s="20" t="str">
        <f>IF(J73="","",$M$5-SUM($J$7:J73))</f>
        <v/>
      </c>
      <c r="O73" s="7"/>
      <c r="P73" s="873">
        <f>IF(G!Q73&lt;&gt;G!R73,IF(G!Q73&lt;&gt;0,IF(G!S73&lt;&gt;G!T73,G!P73,),),)</f>
        <v>0</v>
      </c>
      <c r="Q73" s="795">
        <f>IF(G!Q73&lt;&gt;G!R73,IF(G!Q73&lt;&gt;0,IF(G!S73&lt;&gt;G!T73,G!Q73,),),)</f>
        <v>0</v>
      </c>
      <c r="R73" s="628">
        <f>IF(G!Q73&lt;&gt;G!R73,IF(G!Q73&lt;&gt;0,IF(G!S73&lt;&gt;G!T73,0,Q73),Q73),Q73)</f>
        <v>0</v>
      </c>
      <c r="S73" s="796">
        <f>IF(G!Q73&lt;&gt;G!R73,IF(G!Q73&lt;&gt;0,IF(G!S73&lt;&gt;G!T73,G!S73+1,),),)</f>
        <v>0</v>
      </c>
      <c r="T73" s="796">
        <f>IF(G!Q73&lt;&gt;G!R73,IF(G!Q73&lt;&gt;0,IF(G!S73&lt;&gt;G!T73,G!T73,),),)</f>
        <v>0</v>
      </c>
      <c r="U73" s="797">
        <f>IF(G!Q73&lt;&gt;G!R73,IF(G!Q73&lt;&gt;0,IF(G!S73&lt;&gt;G!T73,G!U73,),),)</f>
        <v>0</v>
      </c>
      <c r="V73" s="875">
        <f>IF(G!Q73&lt;&gt;G!R73,IF(G!Q73&lt;&gt;0,IF(G!S73&lt;&gt;G!T73,G!V73,),),)</f>
        <v>0</v>
      </c>
      <c r="W73" s="633">
        <f>IF(Q73="","",$W$5-SUM($Q$7:$Q$45)-SUM($Q$64:Q73))</f>
        <v>0</v>
      </c>
      <c r="AO73" s="86"/>
      <c r="AP73" s="86"/>
      <c r="AQ73" s="86"/>
      <c r="AR73" s="86"/>
      <c r="AS73" s="86"/>
      <c r="AT73" s="86"/>
      <c r="AU73" s="86"/>
      <c r="AV73" s="86"/>
      <c r="AW73" s="86"/>
      <c r="AX73" s="86"/>
      <c r="AY73" s="86"/>
      <c r="CM73" s="86"/>
      <c r="CN73" s="86"/>
    </row>
    <row r="74" spans="2:92" s="367" customFormat="1" ht="15.75" hidden="1" customHeight="1" outlineLevel="1">
      <c r="B74" s="852">
        <f ca="1">IF(G!B74&lt;&gt;"",G!B74,)</f>
        <v>0</v>
      </c>
      <c r="C74" s="454">
        <f ca="1">G!C74</f>
        <v>0</v>
      </c>
      <c r="D74" s="74"/>
      <c r="E74" s="521"/>
      <c r="F74" s="858"/>
      <c r="H74" s="543"/>
      <c r="I74" s="853"/>
      <c r="J74" s="6"/>
      <c r="K74" s="541"/>
      <c r="L74" s="860"/>
      <c r="M74" s="20" t="str">
        <f>IF(J74="","",$M$5-SUM($J$7:J74))</f>
        <v/>
      </c>
      <c r="O74" s="7"/>
      <c r="P74" s="871">
        <f>IF(G!Q74&lt;&gt;G!R74,IF(G!Q74&lt;&gt;0,IF(G!S74&lt;&gt;G!T74,G!P74,),),)</f>
        <v>0</v>
      </c>
      <c r="Q74" s="795">
        <f>IF(G!Q74&lt;&gt;G!R74,IF(G!Q74&lt;&gt;0,IF(G!S74&lt;&gt;G!T74,G!Q74,),),)</f>
        <v>0</v>
      </c>
      <c r="R74" s="628">
        <f>IF(G!Q74&lt;&gt;G!R74,IF(G!Q74&lt;&gt;0,IF(G!S74&lt;&gt;G!T74,0,Q74),Q74),Q74)</f>
        <v>0</v>
      </c>
      <c r="S74" s="796">
        <f>IF(G!Q74&lt;&gt;G!R74,IF(G!Q74&lt;&gt;0,IF(G!S74&lt;&gt;G!T74,G!S74+1,),),)</f>
        <v>0</v>
      </c>
      <c r="T74" s="796">
        <f>IF(G!Q74&lt;&gt;G!R74,IF(G!Q74&lt;&gt;0,IF(G!S74&lt;&gt;G!T74,G!T74,),),)</f>
        <v>0</v>
      </c>
      <c r="U74" s="797">
        <f>IF(G!Q74&lt;&gt;G!R74,IF(G!Q74&lt;&gt;0,IF(G!S74&lt;&gt;G!T74,G!U74,),),)</f>
        <v>0</v>
      </c>
      <c r="V74" s="875">
        <f>IF(G!Q74&lt;&gt;G!R74,IF(G!Q74&lt;&gt;0,IF(G!S74&lt;&gt;G!T74,G!V74,),),)</f>
        <v>0</v>
      </c>
      <c r="W74" s="633">
        <f>IF(Q74="","",$W$5-SUM($Q$7:$Q$45)-SUM($Q$64:Q74))</f>
        <v>0</v>
      </c>
      <c r="AO74" s="86"/>
      <c r="AP74" s="86"/>
      <c r="AQ74" s="86"/>
      <c r="AR74" s="86"/>
      <c r="AS74" s="86"/>
      <c r="AT74" s="86"/>
      <c r="AU74" s="86"/>
      <c r="AV74" s="86"/>
      <c r="AW74" s="86"/>
      <c r="AX74" s="86"/>
      <c r="AY74" s="86"/>
      <c r="CM74" s="86"/>
      <c r="CN74" s="86"/>
    </row>
    <row r="75" spans="2:92" s="367" customFormat="1" ht="15.75" hidden="1" customHeight="1" outlineLevel="1">
      <c r="B75" s="852">
        <f ca="1">IF(G!B75&lt;&gt;"",G!B75,)</f>
        <v>0</v>
      </c>
      <c r="C75" s="454">
        <f ca="1">G!C75</f>
        <v>0</v>
      </c>
      <c r="D75" s="74"/>
      <c r="E75" s="521"/>
      <c r="F75" s="858"/>
      <c r="H75" s="543"/>
      <c r="I75" s="853"/>
      <c r="J75" s="6"/>
      <c r="K75" s="541"/>
      <c r="L75" s="860"/>
      <c r="M75" s="20" t="str">
        <f>IF(J75="","",$M$5-SUM($J$7:J75))</f>
        <v/>
      </c>
      <c r="O75" s="7"/>
      <c r="P75" s="873">
        <f>IF(G!Q75&lt;&gt;G!R75,IF(G!Q75&lt;&gt;0,IF(G!S75&lt;&gt;G!T75,G!P75,),),)</f>
        <v>0</v>
      </c>
      <c r="Q75" s="795">
        <f>IF(G!Q75&lt;&gt;G!R75,IF(G!Q75&lt;&gt;0,IF(G!S75&lt;&gt;G!T75,G!Q75,),),)</f>
        <v>0</v>
      </c>
      <c r="R75" s="628">
        <f>IF(G!Q75&lt;&gt;G!R75,IF(G!Q75&lt;&gt;0,IF(G!S75&lt;&gt;G!T75,0,Q75),Q75),Q75)</f>
        <v>0</v>
      </c>
      <c r="S75" s="796">
        <f>IF(G!Q75&lt;&gt;G!R75,IF(G!Q75&lt;&gt;0,IF(G!S75&lt;&gt;G!T75,G!S75+1,),),)</f>
        <v>0</v>
      </c>
      <c r="T75" s="796">
        <f>IF(G!Q75&lt;&gt;G!R75,IF(G!Q75&lt;&gt;0,IF(G!S75&lt;&gt;G!T75,G!T75,),),)</f>
        <v>0</v>
      </c>
      <c r="U75" s="797">
        <f>IF(G!Q75&lt;&gt;G!R75,IF(G!Q75&lt;&gt;0,IF(G!S75&lt;&gt;G!T75,G!U75,),),)</f>
        <v>0</v>
      </c>
      <c r="V75" s="875">
        <f>IF(G!Q75&lt;&gt;G!R75,IF(G!Q75&lt;&gt;0,IF(G!S75&lt;&gt;G!T75,G!V75,),),)</f>
        <v>0</v>
      </c>
      <c r="W75" s="633">
        <f>IF(Q75="","",$W$5-SUM($Q$7:$Q$45)-SUM($Q$64:Q75))</f>
        <v>0</v>
      </c>
      <c r="AO75" s="86"/>
      <c r="AP75" s="86"/>
      <c r="AQ75" s="86"/>
      <c r="AR75" s="86"/>
      <c r="AS75" s="86"/>
      <c r="AT75" s="86"/>
      <c r="AU75" s="86"/>
      <c r="AV75" s="86"/>
      <c r="AW75" s="86"/>
      <c r="AX75" s="86"/>
      <c r="AY75" s="86"/>
      <c r="CM75" s="86"/>
      <c r="CN75" s="86"/>
    </row>
    <row r="76" spans="2:92" s="367" customFormat="1" ht="15.75" hidden="1" customHeight="1" outlineLevel="1">
      <c r="B76" s="852">
        <f ca="1">IF(G!B76&lt;&gt;"",G!B76,)</f>
        <v>0</v>
      </c>
      <c r="C76" s="454">
        <f ca="1">G!C76</f>
        <v>0</v>
      </c>
      <c r="D76" s="74"/>
      <c r="E76" s="521"/>
      <c r="F76" s="858"/>
      <c r="H76" s="543"/>
      <c r="I76" s="853"/>
      <c r="J76" s="6"/>
      <c r="K76" s="541"/>
      <c r="L76" s="860"/>
      <c r="M76" s="20" t="str">
        <f>IF(J76="","",$M$5-SUM($J$7:J76))</f>
        <v/>
      </c>
      <c r="O76" s="7"/>
      <c r="P76" s="871">
        <f>IF(G!Q76&lt;&gt;G!R76,IF(G!Q76&lt;&gt;0,IF(G!S76&lt;&gt;G!T76,G!P76,),),)</f>
        <v>0</v>
      </c>
      <c r="Q76" s="795">
        <f>IF(G!Q76&lt;&gt;G!R76,IF(G!Q76&lt;&gt;0,IF(G!S76&lt;&gt;G!T76,G!Q76,),),)</f>
        <v>0</v>
      </c>
      <c r="R76" s="628">
        <f>IF(G!Q76&lt;&gt;G!R76,IF(G!Q76&lt;&gt;0,IF(G!S76&lt;&gt;G!T76,0,Q76),Q76),Q76)</f>
        <v>0</v>
      </c>
      <c r="S76" s="796">
        <f>IF(G!Q76&lt;&gt;G!R76,IF(G!Q76&lt;&gt;0,IF(G!S76&lt;&gt;G!T76,G!S76+1,),),)</f>
        <v>0</v>
      </c>
      <c r="T76" s="796">
        <f>IF(G!Q76&lt;&gt;G!R76,IF(G!Q76&lt;&gt;0,IF(G!S76&lt;&gt;G!T76,G!T76,),),)</f>
        <v>0</v>
      </c>
      <c r="U76" s="797">
        <f>IF(G!Q76&lt;&gt;G!R76,IF(G!Q76&lt;&gt;0,IF(G!S76&lt;&gt;G!T76,G!U76,),),)</f>
        <v>0</v>
      </c>
      <c r="V76" s="875">
        <f>IF(G!Q76&lt;&gt;G!R76,IF(G!Q76&lt;&gt;0,IF(G!S76&lt;&gt;G!T76,G!V76,),),)</f>
        <v>0</v>
      </c>
      <c r="W76" s="633">
        <f>IF(Q76="","",$W$5-SUM($Q$7:$Q$45)-SUM($Q$64:Q76))</f>
        <v>0</v>
      </c>
      <c r="AO76" s="86"/>
      <c r="AP76" s="86"/>
      <c r="AQ76" s="86"/>
      <c r="AR76" s="86"/>
      <c r="AS76" s="86"/>
      <c r="AT76" s="86"/>
      <c r="AU76" s="86"/>
      <c r="AV76" s="86"/>
      <c r="AW76" s="86"/>
      <c r="AX76" s="86"/>
      <c r="AY76" s="86"/>
      <c r="CM76" s="86"/>
      <c r="CN76" s="86"/>
    </row>
    <row r="77" spans="2:92" s="367" customFormat="1" ht="15.75" hidden="1" customHeight="1" outlineLevel="1">
      <c r="B77" s="852">
        <f ca="1">IF(G!B77&lt;&gt;"",G!B77,)</f>
        <v>0</v>
      </c>
      <c r="C77" s="454">
        <f ca="1">G!C77</f>
        <v>0</v>
      </c>
      <c r="D77" s="74"/>
      <c r="E77" s="521"/>
      <c r="F77" s="858"/>
      <c r="H77" s="543"/>
      <c r="I77" s="853"/>
      <c r="J77" s="6"/>
      <c r="K77" s="541"/>
      <c r="L77" s="860"/>
      <c r="M77" s="20" t="str">
        <f>IF(J77="","",$M$5-SUM($J$7:J77))</f>
        <v/>
      </c>
      <c r="O77" s="7"/>
      <c r="P77" s="871">
        <f>IF(G!Q77&lt;&gt;G!R77,IF(G!Q77&lt;&gt;0,IF(G!S77&lt;&gt;G!T77,G!P77,),),)</f>
        <v>0</v>
      </c>
      <c r="Q77" s="795">
        <f>IF(G!Q77&lt;&gt;G!R77,IF(G!Q77&lt;&gt;0,IF(G!S77&lt;&gt;G!T77,G!Q77,),),)</f>
        <v>0</v>
      </c>
      <c r="R77" s="628">
        <f>IF(G!Q77&lt;&gt;G!R77,IF(G!Q77&lt;&gt;0,IF(G!S77&lt;&gt;G!T77,0,Q77),Q77),Q77)</f>
        <v>0</v>
      </c>
      <c r="S77" s="796">
        <f>IF(G!Q77&lt;&gt;G!R77,IF(G!Q77&lt;&gt;0,IF(G!S77&lt;&gt;G!T77,G!S77+1,),),)</f>
        <v>0</v>
      </c>
      <c r="T77" s="796">
        <f>IF(G!Q77&lt;&gt;G!R77,IF(G!Q77&lt;&gt;0,IF(G!S77&lt;&gt;G!T77,G!T77,),),)</f>
        <v>0</v>
      </c>
      <c r="U77" s="797">
        <f>IF(G!Q77&lt;&gt;G!R77,IF(G!Q77&lt;&gt;0,IF(G!S77&lt;&gt;G!T77,G!U77,),),)</f>
        <v>0</v>
      </c>
      <c r="V77" s="875">
        <f>IF(G!Q77&lt;&gt;G!R77,IF(G!Q77&lt;&gt;0,IF(G!S77&lt;&gt;G!T77,G!V77,),),)</f>
        <v>0</v>
      </c>
      <c r="W77" s="633">
        <f>IF(Q77="","",$W$5-SUM($Q$7:$Q$45)-SUM($Q$64:Q77))</f>
        <v>0</v>
      </c>
      <c r="AO77" s="86"/>
      <c r="AP77" s="86"/>
      <c r="AQ77" s="86"/>
      <c r="AR77" s="86"/>
      <c r="AS77" s="86"/>
      <c r="AT77" s="86"/>
      <c r="AU77" s="86"/>
      <c r="AV77" s="86"/>
      <c r="AW77" s="86"/>
      <c r="AX77" s="86"/>
      <c r="AY77" s="86"/>
      <c r="CM77" s="86"/>
      <c r="CN77" s="86"/>
    </row>
    <row r="78" spans="2:92" s="367" customFormat="1" ht="15.75" hidden="1" customHeight="1" outlineLevel="1">
      <c r="B78" s="852">
        <f ca="1">IF(G!B78&lt;&gt;"",G!B78,)</f>
        <v>0</v>
      </c>
      <c r="C78" s="454">
        <f ca="1">G!C78</f>
        <v>0</v>
      </c>
      <c r="D78" s="74"/>
      <c r="E78" s="521"/>
      <c r="F78" s="858"/>
      <c r="H78" s="543"/>
      <c r="I78" s="853"/>
      <c r="J78" s="6"/>
      <c r="K78" s="541"/>
      <c r="L78" s="860"/>
      <c r="M78" s="20" t="str">
        <f>IF(J78="","",$M$5-SUM($J$7:J78))</f>
        <v/>
      </c>
      <c r="O78" s="7"/>
      <c r="P78" s="873">
        <f>IF(G!Q78&lt;&gt;G!R78,IF(G!Q78&lt;&gt;0,IF(G!S78&lt;&gt;G!T78,G!P78,),),)</f>
        <v>0</v>
      </c>
      <c r="Q78" s="795">
        <f>IF(G!Q78&lt;&gt;G!R78,IF(G!Q78&lt;&gt;0,IF(G!S78&lt;&gt;G!T78,G!Q78,),),)</f>
        <v>0</v>
      </c>
      <c r="R78" s="628">
        <f>IF(G!Q78&lt;&gt;G!R78,IF(G!Q78&lt;&gt;0,IF(G!S78&lt;&gt;G!T78,0,Q78),Q78),Q78)</f>
        <v>0</v>
      </c>
      <c r="S78" s="796">
        <f>IF(G!Q78&lt;&gt;G!R78,IF(G!Q78&lt;&gt;0,IF(G!S78&lt;&gt;G!T78,G!S78+1,),),)</f>
        <v>0</v>
      </c>
      <c r="T78" s="796">
        <f>IF(G!Q78&lt;&gt;G!R78,IF(G!Q78&lt;&gt;0,IF(G!S78&lt;&gt;G!T78,G!T78,),),)</f>
        <v>0</v>
      </c>
      <c r="U78" s="797">
        <f>IF(G!Q78&lt;&gt;G!R78,IF(G!Q78&lt;&gt;0,IF(G!S78&lt;&gt;G!T78,G!U78,),),)</f>
        <v>0</v>
      </c>
      <c r="V78" s="875">
        <f>IF(G!Q78&lt;&gt;G!R78,IF(G!Q78&lt;&gt;0,IF(G!S78&lt;&gt;G!T78,G!V78,),),)</f>
        <v>0</v>
      </c>
      <c r="W78" s="633">
        <f>IF(Q78="","",$W$5-SUM($Q$7:$Q$45)-SUM($Q$64:Q78))</f>
        <v>0</v>
      </c>
      <c r="AO78" s="86"/>
      <c r="AP78" s="86"/>
      <c r="AQ78" s="86"/>
      <c r="AR78" s="86"/>
      <c r="AS78" s="86"/>
      <c r="AT78" s="86"/>
      <c r="AU78" s="86"/>
      <c r="AV78" s="86"/>
      <c r="AW78" s="86"/>
      <c r="AX78" s="86"/>
      <c r="AY78" s="86"/>
      <c r="CM78" s="86"/>
      <c r="CN78" s="86"/>
    </row>
    <row r="79" spans="2:92" s="367" customFormat="1" ht="15.75" hidden="1" customHeight="1" outlineLevel="1">
      <c r="B79" s="852">
        <f ca="1">IF(G!B79&lt;&gt;"",G!B79,)</f>
        <v>0</v>
      </c>
      <c r="C79" s="454">
        <f ca="1">G!C79</f>
        <v>0</v>
      </c>
      <c r="D79" s="74"/>
      <c r="E79" s="521"/>
      <c r="F79" s="858"/>
      <c r="H79" s="543"/>
      <c r="I79" s="853"/>
      <c r="J79" s="6"/>
      <c r="K79" s="541"/>
      <c r="L79" s="860"/>
      <c r="M79" s="20" t="str">
        <f>IF(J79="","",$M$5-SUM($J$7:J79))</f>
        <v/>
      </c>
      <c r="O79" s="7"/>
      <c r="P79" s="871">
        <f>IF(G!Q79&lt;&gt;G!R79,IF(G!Q79&lt;&gt;0,IF(G!S79&lt;&gt;G!T79,G!P79,),),)</f>
        <v>0</v>
      </c>
      <c r="Q79" s="795">
        <f>IF(G!Q79&lt;&gt;G!R79,IF(G!Q79&lt;&gt;0,IF(G!S79&lt;&gt;G!T79,G!Q79,),),)</f>
        <v>0</v>
      </c>
      <c r="R79" s="628">
        <f>IF(G!Q79&lt;&gt;G!R79,IF(G!Q79&lt;&gt;0,IF(G!S79&lt;&gt;G!T79,0,Q79),Q79),Q79)</f>
        <v>0</v>
      </c>
      <c r="S79" s="796">
        <f>IF(G!Q79&lt;&gt;G!R79,IF(G!Q79&lt;&gt;0,IF(G!S79&lt;&gt;G!T79,G!S79+1,),),)</f>
        <v>0</v>
      </c>
      <c r="T79" s="796">
        <f>IF(G!Q79&lt;&gt;G!R79,IF(G!Q79&lt;&gt;0,IF(G!S79&lt;&gt;G!T79,G!T79,),),)</f>
        <v>0</v>
      </c>
      <c r="U79" s="797">
        <f>IF(G!Q79&lt;&gt;G!R79,IF(G!Q79&lt;&gt;0,IF(G!S79&lt;&gt;G!T79,G!U79,),),)</f>
        <v>0</v>
      </c>
      <c r="V79" s="875">
        <f>IF(G!Q79&lt;&gt;G!R79,IF(G!Q79&lt;&gt;0,IF(G!S79&lt;&gt;G!T79,G!V79,),),)</f>
        <v>0</v>
      </c>
      <c r="W79" s="633">
        <f>IF(Q79="","",$W$5-SUM($Q$7:$Q$45)-SUM($Q$64:Q79))</f>
        <v>0</v>
      </c>
      <c r="AO79" s="86"/>
      <c r="AP79" s="86"/>
      <c r="AQ79" s="86"/>
      <c r="AR79" s="86"/>
      <c r="AS79" s="86"/>
      <c r="AT79" s="86"/>
      <c r="AU79" s="86"/>
      <c r="AV79" s="86"/>
      <c r="AW79" s="86"/>
      <c r="AX79" s="86"/>
      <c r="AY79" s="86"/>
      <c r="CM79" s="86"/>
      <c r="CN79" s="86"/>
    </row>
    <row r="80" spans="2:92" s="367" customFormat="1" ht="15.75" hidden="1" customHeight="1" outlineLevel="1">
      <c r="B80" s="852">
        <f ca="1">IF(G!B80&lt;&gt;"",G!B80,)</f>
        <v>0</v>
      </c>
      <c r="C80" s="454">
        <f ca="1">G!C80</f>
        <v>0</v>
      </c>
      <c r="D80" s="74"/>
      <c r="E80" s="521"/>
      <c r="F80" s="858"/>
      <c r="H80" s="543"/>
      <c r="I80" s="853"/>
      <c r="J80" s="6"/>
      <c r="K80" s="541"/>
      <c r="L80" s="860"/>
      <c r="M80" s="20" t="str">
        <f>IF(J80="","",$M$5-SUM($J$7:J80))</f>
        <v/>
      </c>
      <c r="O80" s="7"/>
      <c r="P80" s="873">
        <f>IF(G!Q80&lt;&gt;G!R80,IF(G!Q80&lt;&gt;0,IF(G!S80&lt;&gt;G!T80,G!P80,),),)</f>
        <v>0</v>
      </c>
      <c r="Q80" s="795">
        <f>IF(G!Q80&lt;&gt;G!R80,IF(G!Q80&lt;&gt;0,IF(G!S80&lt;&gt;G!T80,G!Q80,),),)</f>
        <v>0</v>
      </c>
      <c r="R80" s="628">
        <f>IF(G!Q80&lt;&gt;G!R80,IF(G!Q80&lt;&gt;0,IF(G!S80&lt;&gt;G!T80,0,Q80),Q80),Q80)</f>
        <v>0</v>
      </c>
      <c r="S80" s="796">
        <f>IF(G!Q80&lt;&gt;G!R80,IF(G!Q80&lt;&gt;0,IF(G!S80&lt;&gt;G!T80,G!S80+1,),),)</f>
        <v>0</v>
      </c>
      <c r="T80" s="796">
        <f>IF(G!Q80&lt;&gt;G!R80,IF(G!Q80&lt;&gt;0,IF(G!S80&lt;&gt;G!T80,G!T80,),),)</f>
        <v>0</v>
      </c>
      <c r="U80" s="797">
        <f>IF(G!Q80&lt;&gt;G!R80,IF(G!Q80&lt;&gt;0,IF(G!S80&lt;&gt;G!T80,G!U80,),),)</f>
        <v>0</v>
      </c>
      <c r="V80" s="875">
        <f>IF(G!Q80&lt;&gt;G!R80,IF(G!Q80&lt;&gt;0,IF(G!S80&lt;&gt;G!T80,G!V80,),),)</f>
        <v>0</v>
      </c>
      <c r="W80" s="633">
        <f>IF(Q80="","",$W$5-SUM($Q$7:$Q$45)-SUM($Q$64:Q80))</f>
        <v>0</v>
      </c>
      <c r="AO80" s="86"/>
      <c r="AP80" s="86"/>
      <c r="AQ80" s="86"/>
      <c r="AR80" s="86"/>
      <c r="AS80" s="86"/>
      <c r="AT80" s="86"/>
      <c r="AU80" s="86"/>
      <c r="AV80" s="86"/>
      <c r="AW80" s="86"/>
      <c r="AX80" s="86"/>
      <c r="AY80" s="86"/>
      <c r="CM80" s="86"/>
      <c r="CN80" s="86"/>
    </row>
    <row r="81" spans="2:92" s="367" customFormat="1" ht="15.75" hidden="1" customHeight="1" outlineLevel="1">
      <c r="B81" s="852">
        <f ca="1">IF(G!B81&lt;&gt;"",G!B81,)</f>
        <v>0</v>
      </c>
      <c r="C81" s="454">
        <f ca="1">G!C81</f>
        <v>0</v>
      </c>
      <c r="D81" s="74"/>
      <c r="E81" s="521"/>
      <c r="F81" s="858"/>
      <c r="H81" s="543"/>
      <c r="I81" s="853"/>
      <c r="J81" s="6"/>
      <c r="K81" s="541"/>
      <c r="L81" s="860"/>
      <c r="M81" s="20" t="str">
        <f>IF(J81="","",$M$5-SUM($J$7:J81))</f>
        <v/>
      </c>
      <c r="O81" s="7"/>
      <c r="P81" s="873">
        <f>IF(G!Q81&lt;&gt;G!R81,IF(G!Q81&lt;&gt;0,IF(G!S81&lt;&gt;G!T81,G!P81,),),)</f>
        <v>0</v>
      </c>
      <c r="Q81" s="795">
        <f>IF(G!Q81&lt;&gt;G!R81,IF(G!Q81&lt;&gt;0,IF(G!S81&lt;&gt;G!T81,G!Q81,),),)</f>
        <v>0</v>
      </c>
      <c r="R81" s="628">
        <f>IF(G!Q81&lt;&gt;G!R81,IF(G!Q81&lt;&gt;0,IF(G!S81&lt;&gt;G!T81,0,Q81),Q81),Q81)</f>
        <v>0</v>
      </c>
      <c r="S81" s="796">
        <f>IF(G!Q81&lt;&gt;G!R81,IF(G!Q81&lt;&gt;0,IF(G!S81&lt;&gt;G!T81,G!S81+1,),),)</f>
        <v>0</v>
      </c>
      <c r="T81" s="796">
        <f>IF(G!Q81&lt;&gt;G!R81,IF(G!Q81&lt;&gt;0,IF(G!S81&lt;&gt;G!T81,G!T81,),),)</f>
        <v>0</v>
      </c>
      <c r="U81" s="797">
        <f>IF(G!Q81&lt;&gt;G!R81,IF(G!Q81&lt;&gt;0,IF(G!S81&lt;&gt;G!T81,G!U81,),),)</f>
        <v>0</v>
      </c>
      <c r="V81" s="875">
        <f>IF(G!Q81&lt;&gt;G!R81,IF(G!Q81&lt;&gt;0,IF(G!S81&lt;&gt;G!T81,G!V81,),),)</f>
        <v>0</v>
      </c>
      <c r="W81" s="633">
        <f>IF(Q81="","",$W$5-SUM($Q$7:$Q$45)-SUM($Q$64:Q81))</f>
        <v>0</v>
      </c>
      <c r="AO81" s="86"/>
      <c r="AP81" s="86"/>
      <c r="AQ81" s="86"/>
      <c r="AR81" s="86"/>
      <c r="AS81" s="86"/>
      <c r="AT81" s="86"/>
      <c r="AU81" s="86"/>
      <c r="AV81" s="86"/>
      <c r="AW81" s="86"/>
      <c r="AX81" s="86"/>
      <c r="AY81" s="86"/>
      <c r="CM81" s="86"/>
      <c r="CN81" s="86"/>
    </row>
    <row r="82" spans="2:92" s="367" customFormat="1" ht="15.75" hidden="1" customHeight="1" outlineLevel="1">
      <c r="B82" s="852">
        <f ca="1">IF(G!B82&lt;&gt;"",G!B82,)</f>
        <v>0</v>
      </c>
      <c r="C82" s="454">
        <f ca="1">G!C82</f>
        <v>0</v>
      </c>
      <c r="D82" s="74"/>
      <c r="E82" s="521"/>
      <c r="F82" s="858"/>
      <c r="H82" s="543"/>
      <c r="I82" s="853"/>
      <c r="J82" s="6"/>
      <c r="K82" s="541"/>
      <c r="L82" s="860"/>
      <c r="M82" s="20" t="str">
        <f>IF(J82="","",$M$5-SUM($J$7:J82))</f>
        <v/>
      </c>
      <c r="O82" s="7"/>
      <c r="P82" s="873">
        <f>IF(G!Q82&lt;&gt;G!R82,IF(G!Q82&lt;&gt;0,IF(G!S82&lt;&gt;G!T82,G!P82,),),)</f>
        <v>0</v>
      </c>
      <c r="Q82" s="795">
        <f>IF(G!Q82&lt;&gt;G!R82,IF(G!Q82&lt;&gt;0,IF(G!S82&lt;&gt;G!T82,G!Q82,),),)</f>
        <v>0</v>
      </c>
      <c r="R82" s="628">
        <f>IF(G!Q82&lt;&gt;G!R82,IF(G!Q82&lt;&gt;0,IF(G!S82&lt;&gt;G!T82,0,Q82),Q82),Q82)</f>
        <v>0</v>
      </c>
      <c r="S82" s="796">
        <f>IF(G!Q82&lt;&gt;G!R82,IF(G!Q82&lt;&gt;0,IF(G!S82&lt;&gt;G!T82,G!S82+1,),),)</f>
        <v>0</v>
      </c>
      <c r="T82" s="796">
        <f>IF(G!Q82&lt;&gt;G!R82,IF(G!Q82&lt;&gt;0,IF(G!S82&lt;&gt;G!T82,G!T82,),),)</f>
        <v>0</v>
      </c>
      <c r="U82" s="797">
        <f>IF(G!Q82&lt;&gt;G!R82,IF(G!Q82&lt;&gt;0,IF(G!S82&lt;&gt;G!T82,G!U82,),),)</f>
        <v>0</v>
      </c>
      <c r="V82" s="875">
        <f>IF(G!Q82&lt;&gt;G!R82,IF(G!Q82&lt;&gt;0,IF(G!S82&lt;&gt;G!T82,G!V82,),),)</f>
        <v>0</v>
      </c>
      <c r="W82" s="633">
        <f>IF(Q82="","",$W$5-SUM($Q$7:$Q$45)-SUM($Q$64:Q82))</f>
        <v>0</v>
      </c>
      <c r="AO82" s="86"/>
      <c r="AP82" s="86"/>
      <c r="AQ82" s="86"/>
      <c r="AR82" s="86"/>
      <c r="AS82" s="86"/>
      <c r="AT82" s="86"/>
      <c r="AU82" s="86"/>
      <c r="AV82" s="86"/>
      <c r="AW82" s="86"/>
      <c r="AX82" s="86"/>
      <c r="AY82" s="86"/>
      <c r="CM82" s="86"/>
      <c r="CN82" s="86"/>
    </row>
    <row r="83" spans="2:92" s="367" customFormat="1" ht="15.75" hidden="1" customHeight="1" outlineLevel="1">
      <c r="B83" s="852">
        <f ca="1">IF(G!B83&lt;&gt;"",G!B83,)</f>
        <v>0</v>
      </c>
      <c r="C83" s="454">
        <f ca="1">G!C83</f>
        <v>0</v>
      </c>
      <c r="D83" s="74"/>
      <c r="E83" s="521"/>
      <c r="F83" s="858"/>
      <c r="H83" s="543"/>
      <c r="I83" s="853"/>
      <c r="J83" s="6"/>
      <c r="K83" s="541"/>
      <c r="L83" s="860"/>
      <c r="M83" s="20" t="str">
        <f>IF(J83="","",$M$5-SUM($J$7:J83))</f>
        <v/>
      </c>
      <c r="O83" s="7"/>
      <c r="P83" s="873">
        <f>IF(G!Q83&lt;&gt;G!R83,IF(G!Q83&lt;&gt;0,IF(G!S83&lt;&gt;G!T83,G!P83,),),)</f>
        <v>0</v>
      </c>
      <c r="Q83" s="795">
        <f>IF(G!Q83&lt;&gt;G!R83,IF(G!Q83&lt;&gt;0,IF(G!S83&lt;&gt;G!T83,G!Q83,),),)</f>
        <v>0</v>
      </c>
      <c r="R83" s="628">
        <f>IF(G!Q83&lt;&gt;G!R83,IF(G!Q83&lt;&gt;0,IF(G!S83&lt;&gt;G!T83,0,Q83),Q83),Q83)</f>
        <v>0</v>
      </c>
      <c r="S83" s="796">
        <f>IF(G!Q83&lt;&gt;G!R83,IF(G!Q83&lt;&gt;0,IF(G!S83&lt;&gt;G!T83,G!S83+1,),),)</f>
        <v>0</v>
      </c>
      <c r="T83" s="796">
        <f>IF(G!Q83&lt;&gt;G!R83,IF(G!Q83&lt;&gt;0,IF(G!S83&lt;&gt;G!T83,G!T83,),),)</f>
        <v>0</v>
      </c>
      <c r="U83" s="797">
        <f>IF(G!Q83&lt;&gt;G!R83,IF(G!Q83&lt;&gt;0,IF(G!S83&lt;&gt;G!T83,G!U83,),),)</f>
        <v>0</v>
      </c>
      <c r="V83" s="875">
        <f>IF(G!Q83&lt;&gt;G!R83,IF(G!Q83&lt;&gt;0,IF(G!S83&lt;&gt;G!T83,G!V83,),),)</f>
        <v>0</v>
      </c>
      <c r="W83" s="633">
        <f>IF(Q83="","",$W$5-SUM($Q$7:$Q$45)-SUM($Q$64:Q83))</f>
        <v>0</v>
      </c>
      <c r="AO83" s="86"/>
      <c r="AP83" s="86"/>
      <c r="AQ83" s="86"/>
      <c r="AR83" s="86"/>
      <c r="AS83" s="86"/>
      <c r="AT83" s="86"/>
      <c r="AU83" s="86"/>
      <c r="AV83" s="86"/>
      <c r="AW83" s="86"/>
      <c r="AX83" s="86"/>
      <c r="AY83" s="86"/>
      <c r="CM83" s="86"/>
      <c r="CN83" s="86"/>
    </row>
    <row r="84" spans="2:92" s="367" customFormat="1" ht="15.75" hidden="1" customHeight="1" outlineLevel="1">
      <c r="B84" s="852">
        <f ca="1">IF(G!B84&lt;&gt;"",G!B84,)</f>
        <v>0</v>
      </c>
      <c r="C84" s="454">
        <f ca="1">G!C84</f>
        <v>0</v>
      </c>
      <c r="D84" s="74"/>
      <c r="E84" s="521"/>
      <c r="F84" s="858"/>
      <c r="H84" s="543"/>
      <c r="I84" s="853"/>
      <c r="J84" s="6"/>
      <c r="K84" s="541"/>
      <c r="L84" s="860"/>
      <c r="M84" s="20" t="str">
        <f>IF(J84="","",$M$5-SUM($J$7:J84))</f>
        <v/>
      </c>
      <c r="O84" s="7"/>
      <c r="P84" s="873">
        <f>IF(G!Q84&lt;&gt;G!R84,IF(G!Q84&lt;&gt;0,IF(G!S84&lt;&gt;G!T84,G!P84,),),)</f>
        <v>0</v>
      </c>
      <c r="Q84" s="795">
        <f>IF(G!Q84&lt;&gt;G!R84,IF(G!Q84&lt;&gt;0,IF(G!S84&lt;&gt;G!T84,G!Q84,),),)</f>
        <v>0</v>
      </c>
      <c r="R84" s="628">
        <f>IF(G!Q84&lt;&gt;G!R84,IF(G!Q84&lt;&gt;0,IF(G!S84&lt;&gt;G!T84,0,Q84),Q84),Q84)</f>
        <v>0</v>
      </c>
      <c r="S84" s="796">
        <f>IF(G!Q84&lt;&gt;G!R84,IF(G!Q84&lt;&gt;0,IF(G!S84&lt;&gt;G!T84,G!S84+1,),),)</f>
        <v>0</v>
      </c>
      <c r="T84" s="796">
        <f>IF(G!Q84&lt;&gt;G!R84,IF(G!Q84&lt;&gt;0,IF(G!S84&lt;&gt;G!T84,G!T84,),),)</f>
        <v>0</v>
      </c>
      <c r="U84" s="797">
        <f>IF(G!Q84&lt;&gt;G!R84,IF(G!Q84&lt;&gt;0,IF(G!S84&lt;&gt;G!T84,G!U84,),),)</f>
        <v>0</v>
      </c>
      <c r="V84" s="875">
        <f>IF(G!Q84&lt;&gt;G!R84,IF(G!Q84&lt;&gt;0,IF(G!S84&lt;&gt;G!T84,G!V84,),),)</f>
        <v>0</v>
      </c>
      <c r="W84" s="633">
        <f>IF(Q84="","",$W$5-SUM($Q$7:$Q$45)-SUM($Q$64:Q84))</f>
        <v>0</v>
      </c>
      <c r="AO84" s="86"/>
      <c r="AP84" s="86"/>
      <c r="AQ84" s="86"/>
      <c r="AR84" s="86"/>
      <c r="AS84" s="86"/>
      <c r="AT84" s="86"/>
      <c r="AU84" s="86"/>
      <c r="AV84" s="86"/>
      <c r="AW84" s="86"/>
      <c r="AX84" s="86"/>
      <c r="AY84" s="86"/>
      <c r="CM84" s="86"/>
      <c r="CN84" s="86"/>
    </row>
    <row r="85" spans="2:92" s="367" customFormat="1" ht="15.75" hidden="1" customHeight="1" outlineLevel="1">
      <c r="B85" s="852">
        <f ca="1">IF(G!B85&lt;&gt;"",G!B85,)</f>
        <v>0</v>
      </c>
      <c r="C85" s="454">
        <f ca="1">G!C85</f>
        <v>0</v>
      </c>
      <c r="D85" s="74"/>
      <c r="E85" s="521"/>
      <c r="F85" s="858"/>
      <c r="H85" s="543"/>
      <c r="I85" s="853"/>
      <c r="J85" s="6"/>
      <c r="K85" s="541"/>
      <c r="L85" s="860"/>
      <c r="M85" s="20" t="str">
        <f>IF(J85="","",$M$5-SUM($J$7:J85))</f>
        <v/>
      </c>
      <c r="O85" s="7"/>
      <c r="P85" s="873">
        <f>IF(G!Q85&lt;&gt;G!R85,IF(G!Q85&lt;&gt;0,IF(G!S85&lt;&gt;G!T85,G!P85,),),)</f>
        <v>0</v>
      </c>
      <c r="Q85" s="795">
        <f>IF(G!Q85&lt;&gt;G!R85,IF(G!Q85&lt;&gt;0,IF(G!S85&lt;&gt;G!T85,G!Q85,),),)</f>
        <v>0</v>
      </c>
      <c r="R85" s="628">
        <f>IF(G!Q85&lt;&gt;G!R85,IF(G!Q85&lt;&gt;0,IF(G!S85&lt;&gt;G!T85,0,Q85),Q85),Q85)</f>
        <v>0</v>
      </c>
      <c r="S85" s="796">
        <f>IF(G!Q85&lt;&gt;G!R85,IF(G!Q85&lt;&gt;0,IF(G!S85&lt;&gt;G!T85,G!S85+1,),),)</f>
        <v>0</v>
      </c>
      <c r="T85" s="796">
        <f>IF(G!Q85&lt;&gt;G!R85,IF(G!Q85&lt;&gt;0,IF(G!S85&lt;&gt;G!T85,G!T85,),),)</f>
        <v>0</v>
      </c>
      <c r="U85" s="797">
        <f>IF(G!Q85&lt;&gt;G!R85,IF(G!Q85&lt;&gt;0,IF(G!S85&lt;&gt;G!T85,G!U85,),),)</f>
        <v>0</v>
      </c>
      <c r="V85" s="875">
        <f>IF(G!Q85&lt;&gt;G!R85,IF(G!Q85&lt;&gt;0,IF(G!S85&lt;&gt;G!T85,G!V85,),),)</f>
        <v>0</v>
      </c>
      <c r="W85" s="633">
        <f>IF(Q85="","",$W$5-SUM($Q$7:$Q$45)-SUM($Q$64:Q85))</f>
        <v>0</v>
      </c>
      <c r="AO85" s="86"/>
      <c r="AP85" s="86"/>
      <c r="AQ85" s="86"/>
      <c r="AR85" s="86"/>
      <c r="AS85" s="86"/>
      <c r="AT85" s="86"/>
      <c r="AU85" s="86"/>
      <c r="AV85" s="86"/>
      <c r="AW85" s="86"/>
      <c r="AX85" s="86"/>
      <c r="AY85" s="86"/>
      <c r="CM85" s="86"/>
      <c r="CN85" s="86"/>
    </row>
    <row r="86" spans="2:92" s="367" customFormat="1" ht="15.75" hidden="1" customHeight="1" outlineLevel="1">
      <c r="B86" s="852">
        <f ca="1">IF(G!B86&lt;&gt;"",G!B86,)</f>
        <v>0</v>
      </c>
      <c r="C86" s="454">
        <f ca="1">G!C86</f>
        <v>0</v>
      </c>
      <c r="D86" s="74"/>
      <c r="E86" s="521"/>
      <c r="F86" s="858"/>
      <c r="H86" s="543"/>
      <c r="I86" s="854"/>
      <c r="J86" s="6"/>
      <c r="K86" s="541"/>
      <c r="L86" s="860"/>
      <c r="M86" s="20" t="str">
        <f>IF(J86="","",$M$5-SUM($J$7:J86))</f>
        <v/>
      </c>
      <c r="O86" s="7"/>
      <c r="P86" s="873">
        <f>IF(G!Q86&lt;&gt;G!R86,IF(G!Q86&lt;&gt;0,IF(G!S86&lt;&gt;G!T86,G!P86,),),)</f>
        <v>0</v>
      </c>
      <c r="Q86" s="795">
        <f>IF(G!Q86&lt;&gt;G!R86,IF(G!Q86&lt;&gt;0,IF(G!S86&lt;&gt;G!T86,G!Q86,),),)</f>
        <v>0</v>
      </c>
      <c r="R86" s="628">
        <f>IF(G!Q86&lt;&gt;G!R86,IF(G!Q86&lt;&gt;0,IF(G!S86&lt;&gt;G!T86,0,Q86),Q86),Q86)</f>
        <v>0</v>
      </c>
      <c r="S86" s="796">
        <f>IF(G!Q86&lt;&gt;G!R86,IF(G!Q86&lt;&gt;0,IF(G!S86&lt;&gt;G!T86,G!S86+1,),),)</f>
        <v>0</v>
      </c>
      <c r="T86" s="796">
        <f>IF(G!Q86&lt;&gt;G!R86,IF(G!Q86&lt;&gt;0,IF(G!S86&lt;&gt;G!T86,G!T86,),),)</f>
        <v>0</v>
      </c>
      <c r="U86" s="797">
        <f>IF(G!Q86&lt;&gt;G!R86,IF(G!Q86&lt;&gt;0,IF(G!S86&lt;&gt;G!T86,G!U86,),),)</f>
        <v>0</v>
      </c>
      <c r="V86" s="875">
        <f>IF(G!Q86&lt;&gt;G!R86,IF(G!Q86&lt;&gt;0,IF(G!S86&lt;&gt;G!T86,G!V86,),),)</f>
        <v>0</v>
      </c>
      <c r="W86" s="633">
        <f>IF(Q86="","",$W$5-SUM($Q$7:$Q$45)-SUM($Q$64:Q86))</f>
        <v>0</v>
      </c>
      <c r="AO86" s="86"/>
      <c r="AP86" s="86"/>
      <c r="AQ86" s="86"/>
      <c r="AR86" s="86"/>
      <c r="AS86" s="86"/>
      <c r="AT86" s="86"/>
      <c r="AU86" s="86"/>
      <c r="AV86" s="86"/>
      <c r="AW86" s="86"/>
      <c r="AX86" s="86"/>
      <c r="AY86" s="86"/>
      <c r="CM86" s="86"/>
      <c r="CN86" s="86"/>
    </row>
    <row r="87" spans="2:92" s="367" customFormat="1" ht="15.75" hidden="1" customHeight="1" outlineLevel="1">
      <c r="H87" s="543"/>
      <c r="I87" s="853"/>
      <c r="J87" s="6"/>
      <c r="K87" s="541"/>
      <c r="L87" s="860"/>
      <c r="M87" s="20" t="str">
        <f>IF(J87="","",$M$5-SUM($J$7:J87))</f>
        <v/>
      </c>
      <c r="O87" s="7"/>
      <c r="P87" s="873">
        <f>IF(G!Q87&lt;&gt;G!R87,IF(G!Q87&lt;&gt;0,IF(G!S87&lt;&gt;G!T87,G!P87,),),)</f>
        <v>0</v>
      </c>
      <c r="Q87" s="795">
        <f>IF(G!Q87&lt;&gt;G!R87,IF(G!Q87&lt;&gt;0,IF(G!S87&lt;&gt;G!T87,G!Q87,),),)</f>
        <v>0</v>
      </c>
      <c r="R87" s="628">
        <f>IF(G!Q87&lt;&gt;G!R87,IF(G!Q87&lt;&gt;0,IF(G!S87&lt;&gt;G!T87,0,Q87),Q87),Q87)</f>
        <v>0</v>
      </c>
      <c r="S87" s="796">
        <f>IF(G!Q87&lt;&gt;G!R87,IF(G!Q87&lt;&gt;0,IF(G!S87&lt;&gt;G!T87,G!S87+1,),),)</f>
        <v>0</v>
      </c>
      <c r="T87" s="796">
        <f>IF(G!Q87&lt;&gt;G!R87,IF(G!Q87&lt;&gt;0,IF(G!S87&lt;&gt;G!T87,G!T87,),),)</f>
        <v>0</v>
      </c>
      <c r="U87" s="797">
        <f>IF(G!Q87&lt;&gt;G!R87,IF(G!Q87&lt;&gt;0,IF(G!S87&lt;&gt;G!T87,G!U87,),),)</f>
        <v>0</v>
      </c>
      <c r="V87" s="875">
        <f>IF(G!Q87&lt;&gt;G!R87,IF(G!Q87&lt;&gt;0,IF(G!S87&lt;&gt;G!T87,G!V87,),),)</f>
        <v>0</v>
      </c>
      <c r="W87" s="633">
        <f>IF(Q87="","",$W$5-SUM($Q$7:$Q$45)-SUM($Q$64:Q87))</f>
        <v>0</v>
      </c>
      <c r="AO87" s="86"/>
      <c r="AP87" s="86"/>
      <c r="AQ87" s="86"/>
      <c r="AR87" s="86"/>
      <c r="AS87" s="86"/>
      <c r="AT87" s="86"/>
      <c r="AU87" s="86"/>
      <c r="AV87" s="86"/>
      <c r="AW87" s="86"/>
      <c r="AX87" s="86"/>
      <c r="AY87" s="86"/>
      <c r="CM87" s="86"/>
      <c r="CN87" s="86"/>
    </row>
    <row r="88" spans="2:92" s="367" customFormat="1" ht="15.75" hidden="1" customHeight="1" outlineLevel="1">
      <c r="H88" s="543"/>
      <c r="I88" s="853"/>
      <c r="J88" s="6"/>
      <c r="K88" s="541"/>
      <c r="L88" s="860"/>
      <c r="M88" s="20" t="str">
        <f>IF(J88="","",$M$5-SUM($J$7:J88))</f>
        <v/>
      </c>
      <c r="O88" s="7"/>
      <c r="P88" s="871">
        <f>IF(G!Q88&lt;&gt;G!R88,IF(G!Q88&lt;&gt;0,IF(G!S88&lt;&gt;G!T88,G!P88,),),)</f>
        <v>0</v>
      </c>
      <c r="Q88" s="795">
        <f>IF(G!Q88&lt;&gt;G!R88,IF(G!Q88&lt;&gt;0,IF(G!S88&lt;&gt;G!T88,G!Q88,),),)</f>
        <v>0</v>
      </c>
      <c r="R88" s="628">
        <f>IF(G!Q88&lt;&gt;G!R88,IF(G!Q88&lt;&gt;0,IF(G!S88&lt;&gt;G!T88,0,Q88),Q88),Q88)</f>
        <v>0</v>
      </c>
      <c r="S88" s="796">
        <f>IF(G!Q88&lt;&gt;G!R88,IF(G!Q88&lt;&gt;0,IF(G!S88&lt;&gt;G!T88,G!S88+1,),),)</f>
        <v>0</v>
      </c>
      <c r="T88" s="796">
        <f>IF(G!Q88&lt;&gt;G!R88,IF(G!Q88&lt;&gt;0,IF(G!S88&lt;&gt;G!T88,G!T88,),),)</f>
        <v>0</v>
      </c>
      <c r="U88" s="797">
        <f>IF(G!Q88&lt;&gt;G!R88,IF(G!Q88&lt;&gt;0,IF(G!S88&lt;&gt;G!T88,G!U88,),),)</f>
        <v>0</v>
      </c>
      <c r="V88" s="875">
        <f>IF(G!Q88&lt;&gt;G!R88,IF(G!Q88&lt;&gt;0,IF(G!S88&lt;&gt;G!T88,G!V88,),),)</f>
        <v>0</v>
      </c>
      <c r="W88" s="633">
        <f>IF(Q88="","",$W$5-SUM($Q$7:$Q$45)-SUM($Q$64:Q88))</f>
        <v>0</v>
      </c>
      <c r="AO88" s="86"/>
      <c r="AP88" s="86"/>
      <c r="AQ88" s="86"/>
      <c r="AR88" s="86"/>
      <c r="AS88" s="86"/>
      <c r="AT88" s="86"/>
      <c r="AU88" s="86"/>
      <c r="AV88" s="86"/>
      <c r="AW88" s="86"/>
      <c r="AX88" s="86"/>
      <c r="AY88" s="86"/>
      <c r="CM88" s="86"/>
      <c r="CN88" s="86"/>
    </row>
    <row r="89" spans="2:92" s="367" customFormat="1" ht="15.75" hidden="1" customHeight="1" outlineLevel="1">
      <c r="H89" s="543"/>
      <c r="I89" s="853"/>
      <c r="J89" s="6"/>
      <c r="K89" s="541"/>
      <c r="L89" s="860"/>
      <c r="M89" s="20" t="str">
        <f>IF(J89="","",$M$5-SUM($J$7:J89))</f>
        <v/>
      </c>
      <c r="O89" s="7"/>
      <c r="P89" s="873">
        <f>IF(G!Q89&lt;&gt;G!R89,IF(G!Q89&lt;&gt;0,IF(G!S89&lt;&gt;G!T89,G!P89,),),)</f>
        <v>0</v>
      </c>
      <c r="Q89" s="795">
        <f>IF(G!Q89&lt;&gt;G!R89,IF(G!Q89&lt;&gt;0,IF(G!S89&lt;&gt;G!T89,G!Q89,),),)</f>
        <v>0</v>
      </c>
      <c r="R89" s="628">
        <f>IF(G!Q89&lt;&gt;G!R89,IF(G!Q89&lt;&gt;0,IF(G!S89&lt;&gt;G!T89,0,Q89),Q89),Q89)</f>
        <v>0</v>
      </c>
      <c r="S89" s="796">
        <f>IF(G!Q89&lt;&gt;G!R89,IF(G!Q89&lt;&gt;0,IF(G!S89&lt;&gt;G!T89,G!S89+1,),),)</f>
        <v>0</v>
      </c>
      <c r="T89" s="796">
        <f>IF(G!Q89&lt;&gt;G!R89,IF(G!Q89&lt;&gt;0,IF(G!S89&lt;&gt;G!T89,G!T89,),),)</f>
        <v>0</v>
      </c>
      <c r="U89" s="797">
        <f>IF(G!Q89&lt;&gt;G!R89,IF(G!Q89&lt;&gt;0,IF(G!S89&lt;&gt;G!T89,G!U89,),),)</f>
        <v>0</v>
      </c>
      <c r="V89" s="875">
        <f>IF(G!Q89&lt;&gt;G!R89,IF(G!Q89&lt;&gt;0,IF(G!S89&lt;&gt;G!T89,G!V89,),),)</f>
        <v>0</v>
      </c>
      <c r="W89" s="633">
        <f>IF(Q89="","",$W$5-SUM($Q$7:$Q$45)-SUM($Q$64:Q89))</f>
        <v>0</v>
      </c>
      <c r="AO89" s="86"/>
      <c r="AP89" s="86"/>
      <c r="AQ89" s="86"/>
      <c r="AR89" s="86"/>
      <c r="AS89" s="86"/>
      <c r="AT89" s="86"/>
      <c r="AU89" s="86"/>
      <c r="AV89" s="86"/>
      <c r="AW89" s="86"/>
      <c r="AX89" s="86"/>
      <c r="AY89" s="86"/>
      <c r="CM89" s="86"/>
      <c r="CN89" s="86"/>
    </row>
    <row r="90" spans="2:92" s="367" customFormat="1" ht="15.75" hidden="1" customHeight="1" outlineLevel="1">
      <c r="H90" s="543"/>
      <c r="I90" s="853"/>
      <c r="J90" s="6"/>
      <c r="K90" s="541"/>
      <c r="L90" s="860"/>
      <c r="M90" s="20" t="str">
        <f>IF(J90="","",$M$5-SUM($J$7:J90))</f>
        <v/>
      </c>
      <c r="O90" s="7"/>
      <c r="P90" s="871">
        <f>IF(G!Q90&lt;&gt;G!R90,IF(G!Q90&lt;&gt;0,IF(G!S90&lt;&gt;G!T90,G!P90,),),)</f>
        <v>0</v>
      </c>
      <c r="Q90" s="795">
        <f>IF(G!Q90&lt;&gt;G!R90,IF(G!Q90&lt;&gt;0,IF(G!S90&lt;&gt;G!T90,G!Q90,),),)</f>
        <v>0</v>
      </c>
      <c r="R90" s="628">
        <f>IF(G!Q90&lt;&gt;G!R90,IF(G!Q90&lt;&gt;0,IF(G!S90&lt;&gt;G!T90,0,Q90),Q90),Q90)</f>
        <v>0</v>
      </c>
      <c r="S90" s="796">
        <f>IF(G!Q90&lt;&gt;G!R90,IF(G!Q90&lt;&gt;0,IF(G!S90&lt;&gt;G!T90,G!S90+1,),),)</f>
        <v>0</v>
      </c>
      <c r="T90" s="796">
        <f>IF(G!Q90&lt;&gt;G!R90,IF(G!Q90&lt;&gt;0,IF(G!S90&lt;&gt;G!T90,G!T90,),),)</f>
        <v>0</v>
      </c>
      <c r="U90" s="797">
        <f>IF(G!Q90&lt;&gt;G!R90,IF(G!Q90&lt;&gt;0,IF(G!S90&lt;&gt;G!T90,G!U90,),),)</f>
        <v>0</v>
      </c>
      <c r="V90" s="875">
        <f>IF(G!Q90&lt;&gt;G!R90,IF(G!Q90&lt;&gt;0,IF(G!S90&lt;&gt;G!T90,G!V90,),),)</f>
        <v>0</v>
      </c>
      <c r="W90" s="633">
        <f>IF(Q90="","",$W$5-SUM($Q$7:$Q$45)-SUM($Q$64:Q90))</f>
        <v>0</v>
      </c>
      <c r="AO90" s="86"/>
      <c r="AP90" s="86"/>
      <c r="AQ90" s="86"/>
      <c r="AR90" s="86"/>
      <c r="AS90" s="86"/>
      <c r="AT90" s="86"/>
      <c r="AU90" s="86"/>
      <c r="AV90" s="86"/>
      <c r="AW90" s="86"/>
      <c r="AX90" s="86"/>
      <c r="AY90" s="86"/>
      <c r="CM90" s="86"/>
      <c r="CN90" s="86"/>
    </row>
    <row r="91" spans="2:92" s="367" customFormat="1" ht="15.75" hidden="1" customHeight="1" outlineLevel="1">
      <c r="H91" s="543"/>
      <c r="I91" s="853"/>
      <c r="J91" s="6"/>
      <c r="K91" s="541"/>
      <c r="L91" s="860"/>
      <c r="M91" s="20" t="str">
        <f>IF(J91="","",$M$5-SUM($J$7:J91))</f>
        <v/>
      </c>
      <c r="O91" s="7"/>
      <c r="P91" s="873">
        <f>IF(G!Q91&lt;&gt;G!R91,IF(G!Q91&lt;&gt;0,IF(G!S91&lt;&gt;G!T91,G!P91,),),)</f>
        <v>0</v>
      </c>
      <c r="Q91" s="795">
        <f>IF(G!Q91&lt;&gt;G!R91,IF(G!Q91&lt;&gt;0,IF(G!S91&lt;&gt;G!T91,G!Q91,),),)</f>
        <v>0</v>
      </c>
      <c r="R91" s="628">
        <f>IF(G!Q91&lt;&gt;G!R91,IF(G!Q91&lt;&gt;0,IF(G!S91&lt;&gt;G!T91,0,Q91),Q91),Q91)</f>
        <v>0</v>
      </c>
      <c r="S91" s="796">
        <f>IF(G!Q91&lt;&gt;G!R91,IF(G!Q91&lt;&gt;0,IF(G!S91&lt;&gt;G!T91,G!S91+1,),),)</f>
        <v>0</v>
      </c>
      <c r="T91" s="796">
        <f>IF(G!Q91&lt;&gt;G!R91,IF(G!Q91&lt;&gt;0,IF(G!S91&lt;&gt;G!T91,G!T91,),),)</f>
        <v>0</v>
      </c>
      <c r="U91" s="797">
        <f>IF(G!Q91&lt;&gt;G!R91,IF(G!Q91&lt;&gt;0,IF(G!S91&lt;&gt;G!T91,G!U91,),),)</f>
        <v>0</v>
      </c>
      <c r="V91" s="875">
        <f>IF(G!Q91&lt;&gt;G!R91,IF(G!Q91&lt;&gt;0,IF(G!S91&lt;&gt;G!T91,G!V91,),),)</f>
        <v>0</v>
      </c>
      <c r="W91" s="633">
        <f>IF(Q91="","",$W$5-SUM($Q$7:$Q$45)-SUM($Q$64:Q91))</f>
        <v>0</v>
      </c>
      <c r="AO91" s="86"/>
      <c r="AP91" s="86"/>
      <c r="AQ91" s="86"/>
      <c r="AR91" s="86"/>
      <c r="AS91" s="86"/>
      <c r="AT91" s="86"/>
      <c r="AU91" s="86"/>
      <c r="AV91" s="86"/>
      <c r="AW91" s="86"/>
      <c r="AX91" s="86"/>
      <c r="AY91" s="86"/>
      <c r="CM91" s="86"/>
      <c r="CN91" s="86"/>
    </row>
    <row r="92" spans="2:92" s="367" customFormat="1" ht="15.75" hidden="1" customHeight="1" outlineLevel="1">
      <c r="H92" s="543"/>
      <c r="I92" s="853"/>
      <c r="J92" s="6"/>
      <c r="K92" s="541"/>
      <c r="L92" s="860"/>
      <c r="M92" s="20" t="str">
        <f>IF(J92="","",$M$5-SUM($J$7:J92))</f>
        <v/>
      </c>
      <c r="O92" s="7"/>
      <c r="P92" s="871">
        <f>IF(G!Q92&lt;&gt;G!R92,IF(G!Q92&lt;&gt;0,IF(G!S92&lt;&gt;G!T92,G!P92,),),)</f>
        <v>0</v>
      </c>
      <c r="Q92" s="799">
        <f>IF(G!Q92&lt;&gt;G!R92,IF(G!Q92&lt;&gt;0,IF(G!S92&lt;&gt;G!T92,G!Q92,),),)</f>
        <v>0</v>
      </c>
      <c r="R92" s="628">
        <f>IF(G!Q92&lt;&gt;G!R92,IF(G!Q92&lt;&gt;0,IF(G!S92&lt;&gt;G!T92,0,Q92),Q92),Q92)</f>
        <v>0</v>
      </c>
      <c r="S92" s="796">
        <f>IF(G!Q92&lt;&gt;G!R92,IF(G!Q92&lt;&gt;0,IF(G!S92&lt;&gt;G!T92,G!S92+1,),),)</f>
        <v>0</v>
      </c>
      <c r="T92" s="796">
        <f>IF(G!Q92&lt;&gt;G!R92,IF(G!Q92&lt;&gt;0,IF(G!S92&lt;&gt;G!T92,G!T92,),),)</f>
        <v>0</v>
      </c>
      <c r="U92" s="797">
        <f>IF(G!Q92&lt;&gt;G!R92,IF(G!Q92&lt;&gt;0,IF(G!S92&lt;&gt;G!T92,G!U92,),),)</f>
        <v>0</v>
      </c>
      <c r="V92" s="875">
        <f>IF(G!Q92&lt;&gt;G!R92,IF(G!Q92&lt;&gt;0,IF(G!S92&lt;&gt;G!T92,G!V92,),),)</f>
        <v>0</v>
      </c>
      <c r="W92" s="634">
        <f>IF(Q92="","",$W$5-SUM($Q$7:$Q$45)-SUM($Q$64:Q92))</f>
        <v>0</v>
      </c>
      <c r="AO92" s="86"/>
      <c r="AP92" s="86"/>
      <c r="AQ92" s="86"/>
      <c r="AR92" s="86"/>
      <c r="AS92" s="86"/>
      <c r="AT92" s="86"/>
      <c r="AU92" s="86"/>
      <c r="AV92" s="86"/>
      <c r="AW92" s="86"/>
      <c r="AX92" s="86"/>
      <c r="AY92" s="86"/>
      <c r="CM92" s="86"/>
      <c r="CN92" s="86"/>
    </row>
    <row r="93" spans="2:92" s="367" customFormat="1" ht="15.75" hidden="1" customHeight="1" outlineLevel="1">
      <c r="H93" s="543"/>
      <c r="I93" s="853"/>
      <c r="J93" s="6"/>
      <c r="K93" s="541"/>
      <c r="L93" s="860"/>
      <c r="M93" s="20" t="str">
        <f>IF(J93="","",$M$5-SUM($J$7:J93))</f>
        <v/>
      </c>
      <c r="O93" s="7"/>
      <c r="P93" s="873">
        <f>IF(G!Q93&lt;&gt;G!R93,IF(G!Q93&lt;&gt;0,IF(G!S93&lt;&gt;G!T93,G!P93,),),)</f>
        <v>0</v>
      </c>
      <c r="Q93" s="795">
        <f>IF(G!Q93&lt;&gt;G!R93,IF(G!Q93&lt;&gt;0,IF(G!S93&lt;&gt;G!T93,G!Q93,),),)</f>
        <v>0</v>
      </c>
      <c r="R93" s="628">
        <f>IF(G!Q93&lt;&gt;G!R93,IF(G!Q93&lt;&gt;0,IF(G!S93&lt;&gt;G!T93,0,Q93),Q93),Q93)</f>
        <v>0</v>
      </c>
      <c r="S93" s="796">
        <f>IF(G!Q93&lt;&gt;G!R93,IF(G!Q93&lt;&gt;0,IF(G!S93&lt;&gt;G!T93,G!S93+1,),),)</f>
        <v>0</v>
      </c>
      <c r="T93" s="796">
        <f>IF(G!Q93&lt;&gt;G!R93,IF(G!Q93&lt;&gt;0,IF(G!S93&lt;&gt;G!T93,G!T93,),),)</f>
        <v>0</v>
      </c>
      <c r="U93" s="797">
        <f>IF(G!Q93&lt;&gt;G!R93,IF(G!Q93&lt;&gt;0,IF(G!S93&lt;&gt;G!T93,G!U93,),),)</f>
        <v>0</v>
      </c>
      <c r="V93" s="875">
        <f>IF(G!Q93&lt;&gt;G!R93,IF(G!Q93&lt;&gt;0,IF(G!S93&lt;&gt;G!T93,G!V93,),),)</f>
        <v>0</v>
      </c>
      <c r="W93" s="633">
        <f>IF(Q93="","",$W$5-SUM($Q$7:$Q$45)-SUM($Q$64:Q93))</f>
        <v>0</v>
      </c>
      <c r="AO93" s="86"/>
      <c r="AP93" s="86"/>
      <c r="AQ93" s="86"/>
      <c r="AR93" s="86"/>
      <c r="AS93" s="86"/>
      <c r="AT93" s="86"/>
      <c r="AU93" s="86"/>
      <c r="AV93" s="86"/>
      <c r="AW93" s="86"/>
      <c r="AX93" s="86"/>
      <c r="AY93" s="86"/>
      <c r="CM93" s="86"/>
      <c r="CN93" s="86"/>
    </row>
    <row r="94" spans="2:92" s="367" customFormat="1" ht="15.75" hidden="1" customHeight="1" outlineLevel="1">
      <c r="H94" s="543"/>
      <c r="I94" s="853"/>
      <c r="J94" s="6"/>
      <c r="K94" s="541"/>
      <c r="L94" s="860"/>
      <c r="M94" s="20" t="str">
        <f>IF(J94="","",$M$5-SUM($J$7:J94))</f>
        <v/>
      </c>
      <c r="O94" s="7"/>
      <c r="P94" s="871">
        <f>IF(G!Q94&lt;&gt;G!R94,IF(G!Q94&lt;&gt;0,IF(G!S94&lt;&gt;G!T94,G!P94,),),)</f>
        <v>0</v>
      </c>
      <c r="Q94" s="795">
        <f>IF(G!Q94&lt;&gt;G!R94,IF(G!Q94&lt;&gt;0,IF(G!S94&lt;&gt;G!T94,G!Q94,),),)</f>
        <v>0</v>
      </c>
      <c r="R94" s="628">
        <f>IF(G!Q94&lt;&gt;G!R94,IF(G!Q94&lt;&gt;0,IF(G!S94&lt;&gt;G!T94,0,Q94),Q94),Q94)</f>
        <v>0</v>
      </c>
      <c r="S94" s="796">
        <f>IF(G!Q94&lt;&gt;G!R94,IF(G!Q94&lt;&gt;0,IF(G!S94&lt;&gt;G!T94,G!S94+1,),),)</f>
        <v>0</v>
      </c>
      <c r="T94" s="796">
        <f>IF(G!Q94&lt;&gt;G!R94,IF(G!Q94&lt;&gt;0,IF(G!S94&lt;&gt;G!T94,G!T94,),),)</f>
        <v>0</v>
      </c>
      <c r="U94" s="797">
        <f>IF(G!Q94&lt;&gt;G!R94,IF(G!Q94&lt;&gt;0,IF(G!S94&lt;&gt;G!T94,G!U94,),),)</f>
        <v>0</v>
      </c>
      <c r="V94" s="875">
        <f>IF(G!Q94&lt;&gt;G!R94,IF(G!Q94&lt;&gt;0,IF(G!S94&lt;&gt;G!T94,G!V94,),),)</f>
        <v>0</v>
      </c>
      <c r="W94" s="633">
        <f>IF(Q94="","",$W$5-SUM($Q$7:$Q$45)-SUM($Q$64:Q94))</f>
        <v>0</v>
      </c>
      <c r="AO94" s="86"/>
      <c r="AP94" s="86"/>
      <c r="AQ94" s="86"/>
      <c r="AR94" s="86"/>
      <c r="AS94" s="86"/>
      <c r="AT94" s="86"/>
      <c r="AU94" s="86"/>
      <c r="AV94" s="86"/>
      <c r="AW94" s="86"/>
      <c r="AX94" s="86"/>
      <c r="AY94" s="86"/>
      <c r="CM94" s="86"/>
      <c r="CN94" s="86"/>
    </row>
    <row r="95" spans="2:92" s="367" customFormat="1" ht="15.75" hidden="1" customHeight="1" outlineLevel="1">
      <c r="H95" s="543"/>
      <c r="I95" s="853"/>
      <c r="J95" s="6"/>
      <c r="K95" s="541"/>
      <c r="L95" s="860"/>
      <c r="M95" s="20" t="str">
        <f>IF(J95="","",$M$5-SUM($J$7:J95))</f>
        <v/>
      </c>
      <c r="O95" s="7"/>
      <c r="P95" s="873">
        <f>IF(G!Q95&lt;&gt;G!R95,IF(G!Q95&lt;&gt;0,IF(G!S95&lt;&gt;G!T95,G!P95,),),)</f>
        <v>0</v>
      </c>
      <c r="Q95" s="795">
        <f>IF(G!Q95&lt;&gt;G!R95,IF(G!Q95&lt;&gt;0,IF(G!S95&lt;&gt;G!T95,G!Q95,),),)</f>
        <v>0</v>
      </c>
      <c r="R95" s="628">
        <f>IF(G!Q95&lt;&gt;G!R95,IF(G!Q95&lt;&gt;0,IF(G!S95&lt;&gt;G!T95,0,Q95),Q95),Q95)</f>
        <v>0</v>
      </c>
      <c r="S95" s="796">
        <f>IF(G!Q95&lt;&gt;G!R95,IF(G!Q95&lt;&gt;0,IF(G!S95&lt;&gt;G!T95,G!S95+1,),),)</f>
        <v>0</v>
      </c>
      <c r="T95" s="796">
        <f>IF(G!Q95&lt;&gt;G!R95,IF(G!Q95&lt;&gt;0,IF(G!S95&lt;&gt;G!T95,G!T95,),),)</f>
        <v>0</v>
      </c>
      <c r="U95" s="797">
        <f>IF(G!Q95&lt;&gt;G!R95,IF(G!Q95&lt;&gt;0,IF(G!S95&lt;&gt;G!T95,G!U95,),),)</f>
        <v>0</v>
      </c>
      <c r="V95" s="875">
        <f>IF(G!Q95&lt;&gt;G!R95,IF(G!Q95&lt;&gt;0,IF(G!S95&lt;&gt;G!T95,G!V95,),),)</f>
        <v>0</v>
      </c>
      <c r="W95" s="633">
        <f>IF(Q95="","",$W$5-SUM($Q$7:$Q$45)-SUM($Q$64:Q95))</f>
        <v>0</v>
      </c>
      <c r="AO95" s="86"/>
      <c r="AP95" s="86"/>
      <c r="AQ95" s="86"/>
      <c r="AR95" s="86"/>
      <c r="AS95" s="86"/>
      <c r="AT95" s="86"/>
      <c r="AU95" s="86"/>
      <c r="AV95" s="86"/>
      <c r="AW95" s="86"/>
      <c r="AX95" s="86"/>
      <c r="AY95" s="86"/>
      <c r="CM95" s="86"/>
      <c r="CN95" s="86"/>
    </row>
    <row r="96" spans="2:92" s="367" customFormat="1" ht="15.75" hidden="1" customHeight="1" outlineLevel="1">
      <c r="H96" s="543"/>
      <c r="I96" s="853"/>
      <c r="J96" s="6"/>
      <c r="K96" s="541"/>
      <c r="L96" s="860"/>
      <c r="M96" s="20" t="str">
        <f>IF(J96="","",$M$5-SUM($J$7:J96))</f>
        <v/>
      </c>
      <c r="O96" s="7"/>
      <c r="P96" s="872">
        <f>IF(G!Q96&lt;&gt;G!R96,IF(G!Q96&lt;&gt;0,IF(G!S96&lt;&gt;G!T96,G!P96,),),)</f>
        <v>0</v>
      </c>
      <c r="Q96" s="795">
        <f>IF(G!Q96&lt;&gt;G!R96,IF(G!Q96&lt;&gt;0,IF(G!S96&lt;&gt;G!T96,G!Q96,),),)</f>
        <v>0</v>
      </c>
      <c r="R96" s="628">
        <f>IF(G!Q96&lt;&gt;G!R96,IF(G!Q96&lt;&gt;0,IF(G!S96&lt;&gt;G!T96,0,Q96),Q96),Q96)</f>
        <v>0</v>
      </c>
      <c r="S96" s="796">
        <f>IF(G!Q96&lt;&gt;G!R96,IF(G!Q96&lt;&gt;0,IF(G!S96&lt;&gt;G!T96,G!S96+1,),),)</f>
        <v>0</v>
      </c>
      <c r="T96" s="796">
        <f>IF(G!Q96&lt;&gt;G!R96,IF(G!Q96&lt;&gt;0,IF(G!S96&lt;&gt;G!T96,G!T96,),),)</f>
        <v>0</v>
      </c>
      <c r="U96" s="797">
        <f>IF(G!Q96&lt;&gt;G!R96,IF(G!Q96&lt;&gt;0,IF(G!S96&lt;&gt;G!T96,G!U96,),),)</f>
        <v>0</v>
      </c>
      <c r="V96" s="875">
        <f>IF(G!Q96&lt;&gt;G!R96,IF(G!Q96&lt;&gt;0,IF(G!S96&lt;&gt;G!T96,G!V96,),),)</f>
        <v>0</v>
      </c>
      <c r="W96" s="633">
        <f>IF(Q96="","",$W$5-SUM($Q$7:$Q$45)-SUM($Q$64:Q96))</f>
        <v>0</v>
      </c>
      <c r="AO96" s="86"/>
      <c r="AP96" s="86"/>
      <c r="AQ96" s="86"/>
      <c r="AR96" s="86"/>
      <c r="AS96" s="86"/>
      <c r="AT96" s="86"/>
      <c r="AU96" s="86"/>
      <c r="AV96" s="86"/>
      <c r="AW96" s="86"/>
      <c r="AX96" s="86"/>
      <c r="AY96" s="86"/>
      <c r="CM96" s="86"/>
      <c r="CN96" s="86"/>
    </row>
    <row r="97" spans="8:92" s="367" customFormat="1" ht="15.75" hidden="1" customHeight="1" outlineLevel="1">
      <c r="H97" s="543"/>
      <c r="I97" s="853"/>
      <c r="J97" s="6"/>
      <c r="K97" s="541"/>
      <c r="L97" s="860"/>
      <c r="M97" s="20" t="str">
        <f>IF(J97="","",$M$5-SUM($J$7:J97))</f>
        <v/>
      </c>
      <c r="O97" s="7"/>
      <c r="P97" s="871">
        <f>IF(G!Q97&lt;&gt;G!R97,IF(G!Q97&lt;&gt;0,IF(G!S97&lt;&gt;G!T97,G!P97,),),)</f>
        <v>0</v>
      </c>
      <c r="Q97" s="795">
        <f>IF(G!Q97&lt;&gt;G!R97,IF(G!Q97&lt;&gt;0,IF(G!S97&lt;&gt;G!T97,G!Q97,),),)</f>
        <v>0</v>
      </c>
      <c r="R97" s="628">
        <f>IF(G!Q97&lt;&gt;G!R97,IF(G!Q97&lt;&gt;0,IF(G!S97&lt;&gt;G!T97,0,Q97),Q97),Q97)</f>
        <v>0</v>
      </c>
      <c r="S97" s="796">
        <f>IF(G!Q97&lt;&gt;G!R97,IF(G!Q97&lt;&gt;0,IF(G!S97&lt;&gt;G!T97,G!S97+1,),),)</f>
        <v>0</v>
      </c>
      <c r="T97" s="796">
        <f>IF(G!Q97&lt;&gt;G!R97,IF(G!Q97&lt;&gt;0,IF(G!S97&lt;&gt;G!T97,G!T97,),),)</f>
        <v>0</v>
      </c>
      <c r="U97" s="797">
        <f>IF(G!Q97&lt;&gt;G!R97,IF(G!Q97&lt;&gt;0,IF(G!S97&lt;&gt;G!T97,G!U97,),),)</f>
        <v>0</v>
      </c>
      <c r="V97" s="875">
        <f>IF(G!Q97&lt;&gt;G!R97,IF(G!Q97&lt;&gt;0,IF(G!S97&lt;&gt;G!T97,G!V97,),),)</f>
        <v>0</v>
      </c>
      <c r="W97" s="633">
        <f>IF(Q97="","",$W$5-SUM($Q$7:$Q$45)-SUM($Q$64:Q97))</f>
        <v>0</v>
      </c>
      <c r="AO97" s="86"/>
      <c r="AP97" s="86"/>
      <c r="AQ97" s="86"/>
      <c r="AR97" s="86"/>
      <c r="AS97" s="86"/>
      <c r="AT97" s="86"/>
      <c r="AU97" s="86"/>
      <c r="AV97" s="86"/>
      <c r="AW97" s="86"/>
      <c r="AX97" s="86"/>
      <c r="AY97" s="86"/>
      <c r="CM97" s="86"/>
      <c r="CN97" s="86"/>
    </row>
    <row r="98" spans="8:92" s="367" customFormat="1" ht="15.75" hidden="1" customHeight="1" outlineLevel="1">
      <c r="H98" s="543"/>
      <c r="I98" s="853"/>
      <c r="J98" s="6"/>
      <c r="K98" s="541"/>
      <c r="L98" s="860"/>
      <c r="M98" s="20" t="str">
        <f>IF(J98="","",$M$5-SUM($J$7:J98))</f>
        <v/>
      </c>
      <c r="O98" s="7"/>
      <c r="P98" s="871">
        <f>IF(G!Q98&lt;&gt;G!R98,IF(G!Q98&lt;&gt;0,IF(G!S98&lt;&gt;G!T98,G!P98,),),)</f>
        <v>0</v>
      </c>
      <c r="Q98" s="795">
        <f>IF(G!Q98&lt;&gt;G!R98,IF(G!Q98&lt;&gt;0,IF(G!S98&lt;&gt;G!T98,G!Q98,),),)</f>
        <v>0</v>
      </c>
      <c r="R98" s="628">
        <f>IF(G!Q98&lt;&gt;G!R98,IF(G!Q98&lt;&gt;0,IF(G!S98&lt;&gt;G!T98,0,Q98),Q98),Q98)</f>
        <v>0</v>
      </c>
      <c r="S98" s="796">
        <f>IF(G!Q98&lt;&gt;G!R98,IF(G!Q98&lt;&gt;0,IF(G!S98&lt;&gt;G!T98,G!S98+1,),),)</f>
        <v>0</v>
      </c>
      <c r="T98" s="796">
        <f>IF(G!Q98&lt;&gt;G!R98,IF(G!Q98&lt;&gt;0,IF(G!S98&lt;&gt;G!T98,G!T98,),),)</f>
        <v>0</v>
      </c>
      <c r="U98" s="797">
        <f>IF(G!Q98&lt;&gt;G!R98,IF(G!Q98&lt;&gt;0,IF(G!S98&lt;&gt;G!T98,G!U98,),),)</f>
        <v>0</v>
      </c>
      <c r="V98" s="875">
        <f>IF(G!Q98&lt;&gt;G!R98,IF(G!Q98&lt;&gt;0,IF(G!S98&lt;&gt;G!T98,G!V98,),),)</f>
        <v>0</v>
      </c>
      <c r="W98" s="633">
        <f>IF(Q98="","",$W$5-SUM($Q$7:$Q$45)-SUM($Q$64:Q98))</f>
        <v>0</v>
      </c>
      <c r="AO98" s="86"/>
      <c r="AP98" s="86"/>
      <c r="AQ98" s="86"/>
      <c r="AR98" s="86"/>
      <c r="AS98" s="86"/>
      <c r="AT98" s="86"/>
      <c r="AU98" s="86"/>
      <c r="AV98" s="86"/>
      <c r="AW98" s="86"/>
      <c r="AX98" s="86"/>
      <c r="AY98" s="86"/>
      <c r="CM98" s="86"/>
      <c r="CN98" s="86"/>
    </row>
    <row r="99" spans="8:92" s="367" customFormat="1" ht="15.75" hidden="1" customHeight="1" outlineLevel="1">
      <c r="H99" s="543"/>
      <c r="I99" s="853"/>
      <c r="J99" s="6"/>
      <c r="K99" s="541"/>
      <c r="L99" s="860"/>
      <c r="M99" s="20" t="str">
        <f>IF(J99="","",$M$5-SUM($J$7:J99))</f>
        <v/>
      </c>
      <c r="O99" s="7"/>
      <c r="P99" s="873">
        <f>IF(G!Q99&lt;&gt;G!R99,IF(G!Q99&lt;&gt;0,IF(G!S99&lt;&gt;G!T99,G!P99,),),)</f>
        <v>0</v>
      </c>
      <c r="Q99" s="795">
        <f>IF(G!Q99&lt;&gt;G!R99,IF(G!Q99&lt;&gt;0,IF(G!S99&lt;&gt;G!T99,G!Q99,),),)</f>
        <v>0</v>
      </c>
      <c r="R99" s="628">
        <f>IF(G!Q99&lt;&gt;G!R99,IF(G!Q99&lt;&gt;0,IF(G!S99&lt;&gt;G!T99,0,Q99),Q99),Q99)</f>
        <v>0</v>
      </c>
      <c r="S99" s="796">
        <f>IF(G!Q99&lt;&gt;G!R99,IF(G!Q99&lt;&gt;0,IF(G!S99&lt;&gt;G!T99,G!S99+1,),),)</f>
        <v>0</v>
      </c>
      <c r="T99" s="796">
        <f>IF(G!Q99&lt;&gt;G!R99,IF(G!Q99&lt;&gt;0,IF(G!S99&lt;&gt;G!T99,G!T99,),),)</f>
        <v>0</v>
      </c>
      <c r="U99" s="797">
        <f>IF(G!Q99&lt;&gt;G!R99,IF(G!Q99&lt;&gt;0,IF(G!S99&lt;&gt;G!T99,G!U99,),),)</f>
        <v>0</v>
      </c>
      <c r="V99" s="875">
        <f>IF(G!Q99&lt;&gt;G!R99,IF(G!Q99&lt;&gt;0,IF(G!S99&lt;&gt;G!T99,G!V99,),),)</f>
        <v>0</v>
      </c>
      <c r="W99" s="633">
        <f>IF(Q99="","",$W$5-SUM($Q$7:$Q$45)-SUM($Q$64:Q99))</f>
        <v>0</v>
      </c>
      <c r="AO99" s="86"/>
      <c r="AP99" s="86"/>
      <c r="AQ99" s="86"/>
      <c r="AR99" s="86"/>
      <c r="AS99" s="86"/>
      <c r="AT99" s="86"/>
      <c r="AU99" s="86"/>
      <c r="AV99" s="86"/>
      <c r="AW99" s="86"/>
      <c r="AX99" s="86"/>
      <c r="AY99" s="86"/>
      <c r="CM99" s="86"/>
      <c r="CN99" s="86"/>
    </row>
    <row r="100" spans="8:92" s="367" customFormat="1" ht="15.75" hidden="1" customHeight="1" outlineLevel="1">
      <c r="H100" s="543"/>
      <c r="I100" s="854"/>
      <c r="J100" s="6"/>
      <c r="K100" s="541"/>
      <c r="L100" s="860"/>
      <c r="M100" s="20" t="str">
        <f>IF(J100="","",$M$5-SUM($J$7:J100))</f>
        <v/>
      </c>
      <c r="O100" s="7"/>
      <c r="P100" s="871">
        <f>IF(G!Q100&lt;&gt;G!R100,IF(G!Q100&lt;&gt;0,IF(G!S100&lt;&gt;G!T100,G!P100,),),)</f>
        <v>0</v>
      </c>
      <c r="Q100" s="795">
        <f>IF(G!Q100&lt;&gt;G!R100,IF(G!Q100&lt;&gt;0,IF(G!S100&lt;&gt;G!T100,G!Q100,),),)</f>
        <v>0</v>
      </c>
      <c r="R100" s="628">
        <f>IF(G!Q100&lt;&gt;G!R100,IF(G!Q100&lt;&gt;0,IF(G!S100&lt;&gt;G!T100,0,Q100),Q100),Q100)</f>
        <v>0</v>
      </c>
      <c r="S100" s="796">
        <f>IF(G!Q100&lt;&gt;G!R100,IF(G!Q100&lt;&gt;0,IF(G!S100&lt;&gt;G!T100,G!S100+1,),),)</f>
        <v>0</v>
      </c>
      <c r="T100" s="796">
        <f>IF(G!Q100&lt;&gt;G!R100,IF(G!Q100&lt;&gt;0,IF(G!S100&lt;&gt;G!T100,G!T100,),),)</f>
        <v>0</v>
      </c>
      <c r="U100" s="797">
        <f>IF(G!Q100&lt;&gt;G!R100,IF(G!Q100&lt;&gt;0,IF(G!S100&lt;&gt;G!T100,G!U100,),),)</f>
        <v>0</v>
      </c>
      <c r="V100" s="875">
        <f>IF(G!Q100&lt;&gt;G!R100,IF(G!Q100&lt;&gt;0,IF(G!S100&lt;&gt;G!T100,G!V100,),),)</f>
        <v>0</v>
      </c>
      <c r="W100" s="633">
        <f>IF(Q100="","",$W$5-SUM($Q$7:$Q$45)-SUM($Q$64:Q100))</f>
        <v>0</v>
      </c>
      <c r="AO100" s="86"/>
      <c r="AP100" s="86"/>
      <c r="AQ100" s="86"/>
      <c r="AR100" s="86"/>
      <c r="AS100" s="86"/>
      <c r="AT100" s="86"/>
      <c r="AU100" s="86"/>
      <c r="AV100" s="86"/>
      <c r="AW100" s="86"/>
      <c r="AX100" s="86"/>
      <c r="AY100" s="86"/>
      <c r="CM100" s="86"/>
      <c r="CN100" s="86"/>
    </row>
    <row r="101" spans="8:92" s="367" customFormat="1" ht="15.75" hidden="1" customHeight="1" outlineLevel="1">
      <c r="H101" s="543"/>
      <c r="I101" s="853"/>
      <c r="J101" s="6"/>
      <c r="K101" s="541"/>
      <c r="L101" s="860"/>
      <c r="M101" s="20" t="str">
        <f>IF(J101="","",$M$5-SUM($J$7:J101))</f>
        <v/>
      </c>
      <c r="O101" s="7"/>
      <c r="P101" s="871">
        <f>IF(G!Q101&lt;&gt;G!R101,IF(G!Q101&lt;&gt;0,IF(G!S101&lt;&gt;G!T101,G!P101,),),)</f>
        <v>0</v>
      </c>
      <c r="Q101" s="795">
        <f>IF(G!Q101&lt;&gt;G!R101,IF(G!Q101&lt;&gt;0,IF(G!S101&lt;&gt;G!T101,G!Q101,),),)</f>
        <v>0</v>
      </c>
      <c r="R101" s="628">
        <f>IF(G!Q101&lt;&gt;G!R101,IF(G!Q101&lt;&gt;0,IF(G!S101&lt;&gt;G!T101,0,Q101),Q101),Q101)</f>
        <v>0</v>
      </c>
      <c r="S101" s="796">
        <f>IF(G!Q101&lt;&gt;G!R101,IF(G!Q101&lt;&gt;0,IF(G!S101&lt;&gt;G!T101,G!S101+1,),),)</f>
        <v>0</v>
      </c>
      <c r="T101" s="796">
        <f>IF(G!Q101&lt;&gt;G!R101,IF(G!Q101&lt;&gt;0,IF(G!S101&lt;&gt;G!T101,G!T101,),),)</f>
        <v>0</v>
      </c>
      <c r="U101" s="797">
        <f>IF(G!Q101&lt;&gt;G!R101,IF(G!Q101&lt;&gt;0,IF(G!S101&lt;&gt;G!T101,G!U101,),),)</f>
        <v>0</v>
      </c>
      <c r="V101" s="875">
        <f>IF(G!Q101&lt;&gt;G!R101,IF(G!Q101&lt;&gt;0,IF(G!S101&lt;&gt;G!T101,G!V101,),),)</f>
        <v>0</v>
      </c>
      <c r="W101" s="633">
        <f>IF(Q101="","",$W$5-SUM($Q$7:$Q$45)-SUM($Q$64:Q101))</f>
        <v>0</v>
      </c>
      <c r="AO101" s="86"/>
      <c r="AP101" s="86"/>
      <c r="AQ101" s="86"/>
      <c r="AR101" s="86"/>
      <c r="AS101" s="86"/>
      <c r="AT101" s="86"/>
      <c r="AU101" s="86"/>
      <c r="AV101" s="86"/>
      <c r="AW101" s="86"/>
      <c r="AX101" s="86"/>
      <c r="AY101" s="86"/>
      <c r="CM101" s="86"/>
      <c r="CN101" s="86"/>
    </row>
    <row r="102" spans="8:92" s="367" customFormat="1" ht="15.75" hidden="1" customHeight="1" outlineLevel="1">
      <c r="H102" s="543"/>
      <c r="I102" s="853"/>
      <c r="J102" s="6"/>
      <c r="K102" s="541"/>
      <c r="L102" s="860"/>
      <c r="M102" s="20" t="str">
        <f>IF(J102="","",$M$5-SUM($J$7:J102))</f>
        <v/>
      </c>
      <c r="O102" s="7"/>
      <c r="P102" s="873">
        <f>IF(G!Q102&lt;&gt;G!R102,IF(G!Q102&lt;&gt;0,IF(G!S102&lt;&gt;G!T102,G!P102,),),)</f>
        <v>0</v>
      </c>
      <c r="Q102" s="795">
        <f>IF(G!Q102&lt;&gt;G!R102,IF(G!Q102&lt;&gt;0,IF(G!S102&lt;&gt;G!T102,G!Q102,),),)</f>
        <v>0</v>
      </c>
      <c r="R102" s="628">
        <f>IF(G!Q102&lt;&gt;G!R102,IF(G!Q102&lt;&gt;0,IF(G!S102&lt;&gt;G!T102,0,Q102),Q102),Q102)</f>
        <v>0</v>
      </c>
      <c r="S102" s="796">
        <f>IF(G!Q102&lt;&gt;G!R102,IF(G!Q102&lt;&gt;0,IF(G!S102&lt;&gt;G!T102,G!S102+1,),),)</f>
        <v>0</v>
      </c>
      <c r="T102" s="796">
        <f>IF(G!Q102&lt;&gt;G!R102,IF(G!Q102&lt;&gt;0,IF(G!S102&lt;&gt;G!T102,G!T102,),),)</f>
        <v>0</v>
      </c>
      <c r="U102" s="797">
        <f>IF(G!Q102&lt;&gt;G!R102,IF(G!Q102&lt;&gt;0,IF(G!S102&lt;&gt;G!T102,G!U102,),),)</f>
        <v>0</v>
      </c>
      <c r="V102" s="875">
        <f>IF(G!Q102&lt;&gt;G!R102,IF(G!Q102&lt;&gt;0,IF(G!S102&lt;&gt;G!T102,G!V102,),),)</f>
        <v>0</v>
      </c>
      <c r="W102" s="633">
        <f>IF(Q102="","",$W$5-SUM($Q$7:$Q$45)-SUM($Q$64:Q102))</f>
        <v>0</v>
      </c>
      <c r="AO102" s="86"/>
      <c r="AP102" s="86"/>
      <c r="AQ102" s="86"/>
      <c r="AR102" s="86"/>
      <c r="AS102" s="86"/>
      <c r="AT102" s="86"/>
      <c r="AU102" s="86"/>
      <c r="AV102" s="86"/>
      <c r="AW102" s="86"/>
      <c r="AX102" s="86"/>
      <c r="AY102" s="86"/>
      <c r="CM102" s="86"/>
      <c r="CN102" s="86"/>
    </row>
    <row r="103" spans="8:92" s="367" customFormat="1" ht="15.75" hidden="1" customHeight="1" outlineLevel="1">
      <c r="H103" s="543"/>
      <c r="I103" s="853"/>
      <c r="J103" s="6"/>
      <c r="K103" s="541"/>
      <c r="L103" s="860"/>
      <c r="M103" s="20" t="str">
        <f>IF(J103="","",$M$5-SUM($J$7:J103))</f>
        <v/>
      </c>
      <c r="O103" s="7"/>
      <c r="P103" s="871">
        <f>IF(G!Q103&lt;&gt;G!R103,IF(G!Q103&lt;&gt;0,IF(G!S103&lt;&gt;G!T103,G!P103,),),)</f>
        <v>0</v>
      </c>
      <c r="Q103" s="795">
        <f>IF(G!Q103&lt;&gt;G!R103,IF(G!Q103&lt;&gt;0,IF(G!S103&lt;&gt;G!T103,G!Q103,),),)</f>
        <v>0</v>
      </c>
      <c r="R103" s="628">
        <f>IF(G!Q103&lt;&gt;G!R103,IF(G!Q103&lt;&gt;0,IF(G!S103&lt;&gt;G!T103,0,Q103),Q103),Q103)</f>
        <v>0</v>
      </c>
      <c r="S103" s="796">
        <f>IF(G!Q103&lt;&gt;G!R103,IF(G!Q103&lt;&gt;0,IF(G!S103&lt;&gt;G!T103,G!S103+1,),),)</f>
        <v>0</v>
      </c>
      <c r="T103" s="796">
        <f>IF(G!Q103&lt;&gt;G!R103,IF(G!Q103&lt;&gt;0,IF(G!S103&lt;&gt;G!T103,G!T103,),),)</f>
        <v>0</v>
      </c>
      <c r="U103" s="797">
        <f>IF(G!Q103&lt;&gt;G!R103,IF(G!Q103&lt;&gt;0,IF(G!S103&lt;&gt;G!T103,G!U103,),),)</f>
        <v>0</v>
      </c>
      <c r="V103" s="875">
        <f>IF(G!Q103&lt;&gt;G!R103,IF(G!Q103&lt;&gt;0,IF(G!S103&lt;&gt;G!T103,G!V103,),),)</f>
        <v>0</v>
      </c>
      <c r="W103" s="633">
        <f>IF(Q103="","",$W$5-SUM($Q$7:$Q$45)-SUM($Q$64:Q103))</f>
        <v>0</v>
      </c>
      <c r="AO103" s="86"/>
      <c r="AP103" s="86"/>
      <c r="AQ103" s="86"/>
      <c r="AR103" s="86"/>
      <c r="AS103" s="86"/>
      <c r="AT103" s="86"/>
      <c r="AU103" s="86"/>
      <c r="AV103" s="86"/>
      <c r="AW103" s="86"/>
      <c r="AX103" s="86"/>
      <c r="AY103" s="86"/>
      <c r="CM103" s="86"/>
      <c r="CN103" s="86"/>
    </row>
    <row r="104" spans="8:92" s="367" customFormat="1" ht="15.75" hidden="1" customHeight="1" outlineLevel="1">
      <c r="H104" s="543"/>
      <c r="I104" s="853"/>
      <c r="J104" s="6"/>
      <c r="K104" s="541"/>
      <c r="L104" s="860"/>
      <c r="M104" s="20" t="str">
        <f>IF(J104="","",$M$5-SUM($J$7:J104))</f>
        <v/>
      </c>
      <c r="O104" s="7"/>
      <c r="P104" s="873">
        <f>IF(G!Q104&lt;&gt;G!R104,IF(G!Q104&lt;&gt;0,IF(G!S104&lt;&gt;G!T104,G!P104,),),)</f>
        <v>0</v>
      </c>
      <c r="Q104" s="795">
        <f>IF(G!Q104&lt;&gt;G!R104,IF(G!Q104&lt;&gt;0,IF(G!S104&lt;&gt;G!T104,G!Q104,),),)</f>
        <v>0</v>
      </c>
      <c r="R104" s="628">
        <f>IF(G!Q104&lt;&gt;G!R104,IF(G!Q104&lt;&gt;0,IF(G!S104&lt;&gt;G!T104,0,Q104),Q104),Q104)</f>
        <v>0</v>
      </c>
      <c r="S104" s="796">
        <f>IF(G!Q104&lt;&gt;G!R104,IF(G!Q104&lt;&gt;0,IF(G!S104&lt;&gt;G!T104,G!S104+1,),),)</f>
        <v>0</v>
      </c>
      <c r="T104" s="796">
        <f>IF(G!Q104&lt;&gt;G!R104,IF(G!Q104&lt;&gt;0,IF(G!S104&lt;&gt;G!T104,G!T104,),),)</f>
        <v>0</v>
      </c>
      <c r="U104" s="797">
        <f>IF(G!Q104&lt;&gt;G!R104,IF(G!Q104&lt;&gt;0,IF(G!S104&lt;&gt;G!T104,G!U104,),),)</f>
        <v>0</v>
      </c>
      <c r="V104" s="875">
        <f>IF(G!Q104&lt;&gt;G!R104,IF(G!Q104&lt;&gt;0,IF(G!S104&lt;&gt;G!T104,G!V104,),),)</f>
        <v>0</v>
      </c>
      <c r="W104" s="633">
        <f>IF(Q104="","",$W$5-SUM($Q$7:$Q$45)-SUM($Q$64:Q104))</f>
        <v>0</v>
      </c>
      <c r="AO104" s="86"/>
      <c r="AP104" s="86"/>
      <c r="AQ104" s="86"/>
      <c r="AR104" s="86"/>
      <c r="AS104" s="86"/>
      <c r="AT104" s="86"/>
      <c r="AU104" s="86"/>
      <c r="AV104" s="86"/>
      <c r="AW104" s="86"/>
      <c r="AX104" s="86"/>
      <c r="AY104" s="86"/>
      <c r="CM104" s="86"/>
      <c r="CN104" s="86"/>
    </row>
    <row r="105" spans="8:92" s="367" customFormat="1" ht="15.75" hidden="1" customHeight="1" outlineLevel="1">
      <c r="H105" s="543"/>
      <c r="I105" s="853"/>
      <c r="J105" s="6"/>
      <c r="K105" s="541"/>
      <c r="L105" s="860"/>
      <c r="M105" s="20" t="str">
        <f>IF(J105="","",$M$5-SUM($J$7:J105))</f>
        <v/>
      </c>
      <c r="O105" s="7"/>
      <c r="P105" s="872">
        <f>IF(G!Q105&lt;&gt;G!R105,IF(G!Q105&lt;&gt;0,IF(G!S105&lt;&gt;G!T105,G!P105,),),)</f>
        <v>0</v>
      </c>
      <c r="Q105" s="795">
        <f>IF(G!Q105&lt;&gt;G!R105,IF(G!Q105&lt;&gt;0,IF(G!S105&lt;&gt;G!T105,G!Q105,),),)</f>
        <v>0</v>
      </c>
      <c r="R105" s="628">
        <f>IF(G!Q105&lt;&gt;G!R105,IF(G!Q105&lt;&gt;0,IF(G!S105&lt;&gt;G!T105,0,Q105),Q105),Q105)</f>
        <v>0</v>
      </c>
      <c r="S105" s="796">
        <f>IF(G!Q105&lt;&gt;G!R105,IF(G!Q105&lt;&gt;0,IF(G!S105&lt;&gt;G!T105,G!S105+1,),),)</f>
        <v>0</v>
      </c>
      <c r="T105" s="796">
        <f>IF(G!Q105&lt;&gt;G!R105,IF(G!Q105&lt;&gt;0,IF(G!S105&lt;&gt;G!T105,G!T105,),),)</f>
        <v>0</v>
      </c>
      <c r="U105" s="797">
        <f>IF(G!Q105&lt;&gt;G!R105,IF(G!Q105&lt;&gt;0,IF(G!S105&lt;&gt;G!T105,G!U105,),),)</f>
        <v>0</v>
      </c>
      <c r="V105" s="875">
        <f>IF(G!Q105&lt;&gt;G!R105,IF(G!Q105&lt;&gt;0,IF(G!S105&lt;&gt;G!T105,G!V105,),),)</f>
        <v>0</v>
      </c>
      <c r="W105" s="633">
        <f>IF(Q105="","",$W$5-SUM($Q$7:$Q$45)-SUM($Q$64:Q105))</f>
        <v>0</v>
      </c>
      <c r="AO105" s="86"/>
      <c r="AP105" s="86"/>
      <c r="AQ105" s="86"/>
      <c r="AR105" s="86"/>
      <c r="AS105" s="86"/>
      <c r="AT105" s="86"/>
      <c r="AU105" s="86"/>
      <c r="AV105" s="86"/>
      <c r="AW105" s="86"/>
      <c r="AX105" s="86"/>
      <c r="AY105" s="86"/>
      <c r="CM105" s="86"/>
      <c r="CN105" s="86"/>
    </row>
    <row r="106" spans="8:92" s="367" customFormat="1" ht="15.75" hidden="1" customHeight="1" outlineLevel="1">
      <c r="H106" s="543"/>
      <c r="I106" s="853"/>
      <c r="J106" s="6"/>
      <c r="K106" s="541"/>
      <c r="L106" s="860"/>
      <c r="M106" s="20" t="str">
        <f>IF(J106="","",$M$5-SUM($J$7:J106))</f>
        <v/>
      </c>
      <c r="O106" s="7"/>
      <c r="P106" s="871">
        <f>IF(G!Q106&lt;&gt;G!R106,IF(G!Q106&lt;&gt;0,IF(G!S106&lt;&gt;G!T106,G!P106,),),)</f>
        <v>0</v>
      </c>
      <c r="Q106" s="795">
        <f>IF(G!Q106&lt;&gt;G!R106,IF(G!Q106&lt;&gt;0,IF(G!S106&lt;&gt;G!T106,G!Q106,),),)</f>
        <v>0</v>
      </c>
      <c r="R106" s="628">
        <f>IF(G!Q106&lt;&gt;G!R106,IF(G!Q106&lt;&gt;0,IF(G!S106&lt;&gt;G!T106,0,Q106),Q106),Q106)</f>
        <v>0</v>
      </c>
      <c r="S106" s="796">
        <f>IF(G!Q106&lt;&gt;G!R106,IF(G!Q106&lt;&gt;0,IF(G!S106&lt;&gt;G!T106,G!S106+1,),),)</f>
        <v>0</v>
      </c>
      <c r="T106" s="796">
        <f>IF(G!Q106&lt;&gt;G!R106,IF(G!Q106&lt;&gt;0,IF(G!S106&lt;&gt;G!T106,G!T106,),),)</f>
        <v>0</v>
      </c>
      <c r="U106" s="797">
        <f>IF(G!Q106&lt;&gt;G!R106,IF(G!Q106&lt;&gt;0,IF(G!S106&lt;&gt;G!T106,G!U106,),),)</f>
        <v>0</v>
      </c>
      <c r="V106" s="875">
        <f>IF(G!Q106&lt;&gt;G!R106,IF(G!Q106&lt;&gt;0,IF(G!S106&lt;&gt;G!T106,G!V106,),),)</f>
        <v>0</v>
      </c>
      <c r="W106" s="633">
        <f>IF(Q106="","",$W$5-SUM($Q$7:$Q$45)-SUM($Q$64:Q106))</f>
        <v>0</v>
      </c>
      <c r="AO106" s="86"/>
      <c r="AP106" s="86"/>
      <c r="AQ106" s="86"/>
      <c r="AR106" s="86"/>
      <c r="AS106" s="86"/>
      <c r="AT106" s="86"/>
      <c r="AU106" s="86"/>
      <c r="AV106" s="86"/>
      <c r="AW106" s="86"/>
      <c r="AX106" s="86"/>
      <c r="AY106" s="86"/>
      <c r="CM106" s="86"/>
      <c r="CN106" s="86"/>
    </row>
    <row r="107" spans="8:92" s="367" customFormat="1" ht="15.75" hidden="1" customHeight="1" outlineLevel="1">
      <c r="H107" s="543"/>
      <c r="I107" s="853"/>
      <c r="J107" s="6"/>
      <c r="K107" s="541"/>
      <c r="L107" s="860"/>
      <c r="M107" s="20" t="str">
        <f>IF(J107="","",$M$5-SUM($J$7:J107))</f>
        <v/>
      </c>
      <c r="O107" s="7"/>
      <c r="P107" s="871">
        <f>IF(G!Q107&lt;&gt;G!R107,IF(G!Q107&lt;&gt;0,IF(G!S107&lt;&gt;G!T107,G!P107,),),)</f>
        <v>0</v>
      </c>
      <c r="Q107" s="795">
        <f>IF(G!Q107&lt;&gt;G!R107,IF(G!Q107&lt;&gt;0,IF(G!S107&lt;&gt;G!T107,G!Q107,),),)</f>
        <v>0</v>
      </c>
      <c r="R107" s="628">
        <f>IF(G!Q107&lt;&gt;G!R107,IF(G!Q107&lt;&gt;0,IF(G!S107&lt;&gt;G!T107,0,Q107),Q107),Q107)</f>
        <v>0</v>
      </c>
      <c r="S107" s="796">
        <f>IF(G!Q107&lt;&gt;G!R107,IF(G!Q107&lt;&gt;0,IF(G!S107&lt;&gt;G!T107,G!S107+1,),),)</f>
        <v>0</v>
      </c>
      <c r="T107" s="796">
        <f>IF(G!Q107&lt;&gt;G!R107,IF(G!Q107&lt;&gt;0,IF(G!S107&lt;&gt;G!T107,G!T107,),),)</f>
        <v>0</v>
      </c>
      <c r="U107" s="797">
        <f>IF(G!Q107&lt;&gt;G!R107,IF(G!Q107&lt;&gt;0,IF(G!S107&lt;&gt;G!T107,G!U107,),),)</f>
        <v>0</v>
      </c>
      <c r="V107" s="875">
        <f>IF(G!Q107&lt;&gt;G!R107,IF(G!Q107&lt;&gt;0,IF(G!S107&lt;&gt;G!T107,G!V107,),),)</f>
        <v>0</v>
      </c>
      <c r="W107" s="633">
        <f>IF(Q107="","",$W$5-SUM($Q$7:$Q$45)-SUM($Q$64:Q107))</f>
        <v>0</v>
      </c>
      <c r="AO107" s="86"/>
      <c r="AP107" s="86"/>
      <c r="AQ107" s="86"/>
      <c r="AR107" s="86"/>
      <c r="AS107" s="86"/>
      <c r="AT107" s="86"/>
      <c r="AU107" s="86"/>
      <c r="AV107" s="86"/>
      <c r="AW107" s="86"/>
      <c r="AX107" s="86"/>
      <c r="AY107" s="86"/>
      <c r="CM107" s="86"/>
      <c r="CN107" s="86"/>
    </row>
    <row r="108" spans="8:92" s="367" customFormat="1" ht="15.75" hidden="1" customHeight="1" outlineLevel="1">
      <c r="H108" s="543"/>
      <c r="I108" s="853"/>
      <c r="J108" s="6"/>
      <c r="K108" s="541"/>
      <c r="L108" s="860"/>
      <c r="M108" s="20" t="str">
        <f>IF(J108="","",$M$5-SUM($J$7:J108))</f>
        <v/>
      </c>
      <c r="O108" s="7"/>
      <c r="P108" s="873">
        <f>IF(G!Q108&lt;&gt;G!R108,IF(G!Q108&lt;&gt;0,IF(G!S108&lt;&gt;G!T108,G!P108,),),)</f>
        <v>0</v>
      </c>
      <c r="Q108" s="795">
        <f>IF(G!Q108&lt;&gt;G!R108,IF(G!Q108&lt;&gt;0,IF(G!S108&lt;&gt;G!T108,G!Q108,),),)</f>
        <v>0</v>
      </c>
      <c r="R108" s="628">
        <f>IF(G!Q108&lt;&gt;G!R108,IF(G!Q108&lt;&gt;0,IF(G!S108&lt;&gt;G!T108,0,Q108),Q108),Q108)</f>
        <v>0</v>
      </c>
      <c r="S108" s="796">
        <f>IF(G!Q108&lt;&gt;G!R108,IF(G!Q108&lt;&gt;0,IF(G!S108&lt;&gt;G!T108,G!S108+1,),),)</f>
        <v>0</v>
      </c>
      <c r="T108" s="796">
        <f>IF(G!Q108&lt;&gt;G!R108,IF(G!Q108&lt;&gt;0,IF(G!S108&lt;&gt;G!T108,G!T108,),),)</f>
        <v>0</v>
      </c>
      <c r="U108" s="797">
        <f>IF(G!Q108&lt;&gt;G!R108,IF(G!Q108&lt;&gt;0,IF(G!S108&lt;&gt;G!T108,G!U108,),),)</f>
        <v>0</v>
      </c>
      <c r="V108" s="875">
        <f>IF(G!Q108&lt;&gt;G!R108,IF(G!Q108&lt;&gt;0,IF(G!S108&lt;&gt;G!T108,G!V108,),),)</f>
        <v>0</v>
      </c>
      <c r="W108" s="633">
        <f>IF(Q108="","",$W$5-SUM($Q$7:$Q$45)-SUM($Q$64:Q108))</f>
        <v>0</v>
      </c>
      <c r="AO108" s="86"/>
      <c r="AP108" s="86"/>
      <c r="AQ108" s="86"/>
      <c r="AR108" s="86"/>
      <c r="AS108" s="86"/>
      <c r="AT108" s="86"/>
      <c r="AU108" s="86"/>
      <c r="AV108" s="86"/>
      <c r="AW108" s="86"/>
      <c r="AX108" s="86"/>
      <c r="AY108" s="86"/>
      <c r="CM108" s="86"/>
      <c r="CN108" s="86"/>
    </row>
    <row r="109" spans="8:92" s="367" customFormat="1" ht="15.75" hidden="1" customHeight="1" outlineLevel="1">
      <c r="H109" s="543"/>
      <c r="I109" s="853"/>
      <c r="J109" s="6"/>
      <c r="K109" s="541"/>
      <c r="L109" s="860"/>
      <c r="M109" s="20" t="str">
        <f>IF(J109="","",$M$5-SUM($J$7:J109))</f>
        <v/>
      </c>
      <c r="O109" s="7"/>
      <c r="P109" s="871">
        <f>IF(G!Q109&lt;&gt;G!R109,IF(G!Q109&lt;&gt;0,IF(G!S109&lt;&gt;G!T109,G!P109,),),)</f>
        <v>0</v>
      </c>
      <c r="Q109" s="795">
        <f>IF(G!Q109&lt;&gt;G!R109,IF(G!Q109&lt;&gt;0,IF(G!S109&lt;&gt;G!T109,G!Q109,),),)</f>
        <v>0</v>
      </c>
      <c r="R109" s="628">
        <f>IF(G!Q109&lt;&gt;G!R109,IF(G!Q109&lt;&gt;0,IF(G!S109&lt;&gt;G!T109,0,Q109),Q109),Q109)</f>
        <v>0</v>
      </c>
      <c r="S109" s="796">
        <f>IF(G!Q109&lt;&gt;G!R109,IF(G!Q109&lt;&gt;0,IF(G!S109&lt;&gt;G!T109,G!S109+1,),),)</f>
        <v>0</v>
      </c>
      <c r="T109" s="796">
        <f>IF(G!Q109&lt;&gt;G!R109,IF(G!Q109&lt;&gt;0,IF(G!S109&lt;&gt;G!T109,G!T109,),),)</f>
        <v>0</v>
      </c>
      <c r="U109" s="797">
        <f>IF(G!Q109&lt;&gt;G!R109,IF(G!Q109&lt;&gt;0,IF(G!S109&lt;&gt;G!T109,G!U109,),),)</f>
        <v>0</v>
      </c>
      <c r="V109" s="875">
        <f>IF(G!Q109&lt;&gt;G!R109,IF(G!Q109&lt;&gt;0,IF(G!S109&lt;&gt;G!T109,G!V109,),),)</f>
        <v>0</v>
      </c>
      <c r="W109" s="633">
        <f>IF(Q109="","",$W$5-SUM($Q$7:$Q$45)-SUM($Q$64:Q109))</f>
        <v>0</v>
      </c>
      <c r="AO109" s="86"/>
      <c r="AP109" s="86"/>
      <c r="AQ109" s="86"/>
      <c r="AR109" s="86"/>
      <c r="AS109" s="86"/>
      <c r="AT109" s="86"/>
      <c r="AU109" s="86"/>
      <c r="AV109" s="86"/>
      <c r="AW109" s="86"/>
      <c r="AX109" s="86"/>
      <c r="AY109" s="86"/>
      <c r="CM109" s="86"/>
      <c r="CN109" s="86"/>
    </row>
    <row r="110" spans="8:92" s="367" customFormat="1" ht="16.5" hidden="1" customHeight="1" outlineLevel="1" thickBot="1">
      <c r="H110" s="544"/>
      <c r="I110" s="857"/>
      <c r="J110" s="545"/>
      <c r="K110" s="601"/>
      <c r="L110" s="861"/>
      <c r="M110" s="546" t="str">
        <f>IF(J110="","",$M$5-SUM($J$7:J110))</f>
        <v/>
      </c>
      <c r="O110" s="523"/>
      <c r="P110" s="874">
        <f>IF(G!Q110&lt;&gt;G!R110,IF(G!Q110&lt;&gt;0,IF(G!S110&lt;&gt;G!T110,G!P110,),),)</f>
        <v>0</v>
      </c>
      <c r="Q110" s="800">
        <f>IF(G!Q110&lt;&gt;G!R110,IF(G!Q110&lt;&gt;0,IF(G!S110&lt;&gt;G!T110,G!Q110,),),)</f>
        <v>0</v>
      </c>
      <c r="R110" s="630">
        <f>IF(G!Q110&lt;&gt;G!R110,IF(G!Q110&lt;&gt;0,IF(G!S110&lt;&gt;G!T110,0,Q110),Q110),Q110)</f>
        <v>0</v>
      </c>
      <c r="S110" s="801">
        <f>IF(G!Q110&lt;&gt;G!R110,IF(G!Q110&lt;&gt;0,IF(G!S110&lt;&gt;G!T110,G!S110+1,),),)</f>
        <v>0</v>
      </c>
      <c r="T110" s="801">
        <f>IF(G!Q110&lt;&gt;G!R110,IF(G!Q110&lt;&gt;0,IF(G!S110&lt;&gt;G!T110,G!T110,),),)</f>
        <v>0</v>
      </c>
      <c r="U110" s="802">
        <f>IF(G!Q110&lt;&gt;G!R110,IF(G!Q110&lt;&gt;0,IF(G!S110&lt;&gt;G!T110,G!U110,),),)</f>
        <v>0</v>
      </c>
      <c r="V110" s="876">
        <f>IF(G!Q110&lt;&gt;G!R110,IF(G!Q110&lt;&gt;0,IF(G!S110&lt;&gt;G!T110,G!V110,),),)</f>
        <v>0</v>
      </c>
      <c r="W110" s="635">
        <f>IF(Q110="","",$W$5-SUM($Q$7:$Q$45)-SUM($Q$64:Q110))</f>
        <v>0</v>
      </c>
      <c r="AO110" s="86"/>
      <c r="AP110" s="86"/>
      <c r="AQ110" s="86"/>
      <c r="AR110" s="86"/>
      <c r="AS110" s="86"/>
      <c r="AT110" s="86"/>
      <c r="AU110" s="86"/>
      <c r="AV110" s="86"/>
      <c r="AW110" s="86"/>
      <c r="AX110" s="86"/>
      <c r="AY110" s="86"/>
      <c r="CM110" s="86"/>
      <c r="CN110" s="86"/>
    </row>
    <row r="111" spans="8:92" s="367" customFormat="1">
      <c r="K111" s="593"/>
      <c r="L111" s="593"/>
      <c r="O111" s="511"/>
      <c r="S111" s="371"/>
      <c r="T111" s="371"/>
      <c r="U111" s="371"/>
      <c r="V111" s="371"/>
      <c r="AO111" s="86"/>
      <c r="AP111" s="86"/>
      <c r="AQ111" s="86"/>
      <c r="AR111" s="86"/>
      <c r="AS111" s="86"/>
      <c r="AT111" s="86"/>
      <c r="AU111" s="86"/>
      <c r="AV111" s="86"/>
      <c r="AW111" s="86"/>
      <c r="AX111" s="86"/>
      <c r="AY111" s="86"/>
      <c r="CM111" s="86"/>
      <c r="CN111" s="86"/>
    </row>
    <row r="112" spans="8:92" s="367" customFormat="1">
      <c r="O112" s="511"/>
      <c r="S112" s="371"/>
      <c r="T112" s="371"/>
      <c r="U112" s="371"/>
      <c r="V112" s="371"/>
      <c r="AO112" s="86"/>
      <c r="AP112" s="86"/>
      <c r="AQ112" s="86"/>
      <c r="AR112" s="86"/>
      <c r="AS112" s="86"/>
      <c r="AT112" s="86"/>
      <c r="AU112" s="86"/>
      <c r="AV112" s="86"/>
      <c r="AW112" s="86"/>
      <c r="AX112" s="86"/>
      <c r="AY112" s="86"/>
      <c r="CM112" s="86"/>
      <c r="CN112" s="86"/>
    </row>
    <row r="113" spans="15:92" s="367" customFormat="1">
      <c r="O113" s="511"/>
      <c r="S113" s="371"/>
      <c r="T113" s="371"/>
      <c r="U113" s="371"/>
      <c r="V113" s="371"/>
      <c r="AO113" s="86"/>
      <c r="AP113" s="86"/>
      <c r="AQ113" s="86"/>
      <c r="AR113" s="86"/>
      <c r="AS113" s="86"/>
      <c r="AT113" s="86"/>
      <c r="AU113" s="86"/>
      <c r="AV113" s="86"/>
      <c r="AW113" s="86"/>
      <c r="AX113" s="86"/>
      <c r="AY113" s="86"/>
      <c r="CM113" s="86"/>
      <c r="CN113" s="86"/>
    </row>
    <row r="114" spans="15:92" s="367" customFormat="1">
      <c r="O114" s="511"/>
      <c r="S114" s="371"/>
      <c r="T114" s="371"/>
      <c r="U114" s="371"/>
      <c r="V114" s="371"/>
      <c r="AO114" s="86"/>
      <c r="AP114" s="86"/>
      <c r="AQ114" s="86"/>
      <c r="AR114" s="86"/>
      <c r="AS114" s="86"/>
      <c r="AT114" s="86"/>
      <c r="AU114" s="86"/>
      <c r="AV114" s="86"/>
      <c r="AW114" s="86"/>
      <c r="AX114" s="86"/>
      <c r="AY114" s="86"/>
      <c r="CM114" s="86"/>
      <c r="CN114" s="86"/>
    </row>
    <row r="115" spans="15:92" s="367" customFormat="1">
      <c r="O115" s="511"/>
      <c r="S115" s="371"/>
      <c r="T115" s="371"/>
      <c r="U115" s="371"/>
      <c r="V115" s="371"/>
      <c r="AO115" s="86"/>
      <c r="AP115" s="86"/>
      <c r="AQ115" s="86"/>
      <c r="AR115" s="86"/>
      <c r="AS115" s="86"/>
      <c r="AT115" s="86"/>
      <c r="AU115" s="86"/>
      <c r="AV115" s="86"/>
      <c r="AW115" s="86"/>
      <c r="AX115" s="86"/>
      <c r="AY115" s="86"/>
      <c r="CM115" s="86"/>
      <c r="CN115" s="86"/>
    </row>
    <row r="116" spans="15:92" s="367" customFormat="1">
      <c r="O116" s="511"/>
      <c r="S116" s="371"/>
      <c r="T116" s="371"/>
      <c r="U116" s="371"/>
      <c r="V116" s="371"/>
      <c r="AO116" s="86"/>
      <c r="AP116" s="86"/>
      <c r="AQ116" s="86"/>
      <c r="AR116" s="86"/>
      <c r="AS116" s="86"/>
      <c r="AT116" s="86"/>
      <c r="AU116" s="86"/>
      <c r="AV116" s="86"/>
      <c r="AW116" s="86"/>
      <c r="AX116" s="86"/>
      <c r="AY116" s="86"/>
      <c r="CM116" s="86"/>
      <c r="CN116" s="86"/>
    </row>
    <row r="117" spans="15:92" s="367" customFormat="1">
      <c r="O117" s="511"/>
      <c r="S117" s="371"/>
      <c r="T117" s="371"/>
      <c r="U117" s="371"/>
      <c r="V117" s="371"/>
      <c r="AO117" s="86"/>
      <c r="AP117" s="86"/>
      <c r="AQ117" s="86"/>
      <c r="AR117" s="86"/>
      <c r="AS117" s="86"/>
      <c r="AT117" s="86"/>
      <c r="AU117" s="86"/>
      <c r="AV117" s="86"/>
      <c r="AW117" s="86"/>
      <c r="AX117" s="86"/>
      <c r="AY117" s="86"/>
      <c r="CM117" s="86"/>
      <c r="CN117" s="86"/>
    </row>
    <row r="118" spans="15:92" s="367" customFormat="1">
      <c r="O118" s="511"/>
      <c r="S118" s="371"/>
      <c r="T118" s="371"/>
      <c r="U118" s="371"/>
      <c r="V118" s="371"/>
      <c r="AO118" s="86"/>
      <c r="AP118" s="86"/>
      <c r="AQ118" s="86"/>
      <c r="AR118" s="86"/>
      <c r="AS118" s="86"/>
      <c r="AT118" s="86"/>
      <c r="AU118" s="86"/>
      <c r="AV118" s="86"/>
      <c r="AW118" s="86"/>
      <c r="AX118" s="86"/>
      <c r="AY118" s="86"/>
      <c r="CM118" s="86"/>
      <c r="CN118" s="86"/>
    </row>
    <row r="119" spans="15:92" s="367" customFormat="1">
      <c r="O119" s="511"/>
      <c r="S119" s="371"/>
      <c r="T119" s="371"/>
      <c r="U119" s="371"/>
      <c r="V119" s="371"/>
      <c r="AO119" s="86"/>
      <c r="AP119" s="86"/>
      <c r="AQ119" s="86"/>
      <c r="AR119" s="86"/>
      <c r="AS119" s="86"/>
      <c r="AT119" s="86"/>
      <c r="AU119" s="86"/>
      <c r="AV119" s="86"/>
      <c r="AW119" s="86"/>
      <c r="AX119" s="86"/>
      <c r="AY119" s="86"/>
      <c r="CM119" s="86"/>
      <c r="CN119" s="86"/>
    </row>
    <row r="120" spans="15:92" s="367" customFormat="1">
      <c r="O120" s="511"/>
      <c r="S120" s="371"/>
      <c r="T120" s="371"/>
      <c r="U120" s="371"/>
      <c r="V120" s="371"/>
      <c r="AO120" s="86"/>
      <c r="AP120" s="86"/>
      <c r="AQ120" s="86"/>
      <c r="AR120" s="86"/>
      <c r="AS120" s="86"/>
      <c r="AT120" s="86"/>
      <c r="AU120" s="86"/>
      <c r="AV120" s="86"/>
      <c r="AW120" s="86"/>
      <c r="AX120" s="86"/>
      <c r="AY120" s="86"/>
      <c r="CM120" s="86"/>
      <c r="CN120" s="86"/>
    </row>
    <row r="121" spans="15:92" s="367" customFormat="1">
      <c r="O121" s="511"/>
      <c r="S121" s="371"/>
      <c r="T121" s="371"/>
      <c r="U121" s="371"/>
      <c r="V121" s="371"/>
      <c r="AO121" s="86"/>
      <c r="AP121" s="86"/>
      <c r="AQ121" s="86"/>
      <c r="AR121" s="86"/>
      <c r="AS121" s="86"/>
      <c r="AT121" s="86"/>
      <c r="AU121" s="86"/>
      <c r="AV121" s="86"/>
      <c r="AW121" s="86"/>
      <c r="AX121" s="86"/>
      <c r="AY121" s="86"/>
      <c r="CM121" s="86"/>
      <c r="CN121" s="86"/>
    </row>
    <row r="122" spans="15:92" s="367" customFormat="1">
      <c r="O122" s="511"/>
      <c r="S122" s="371"/>
      <c r="T122" s="371"/>
      <c r="U122" s="371"/>
      <c r="V122" s="371"/>
      <c r="AO122" s="86"/>
      <c r="AP122" s="86"/>
      <c r="AQ122" s="86"/>
      <c r="AR122" s="86"/>
      <c r="AS122" s="86"/>
      <c r="AT122" s="86"/>
      <c r="AU122" s="86"/>
      <c r="AV122" s="86"/>
      <c r="AW122" s="86"/>
      <c r="AX122" s="86"/>
      <c r="AY122" s="86"/>
      <c r="CM122" s="86"/>
      <c r="CN122" s="86"/>
    </row>
    <row r="123" spans="15:92" s="367" customFormat="1">
      <c r="O123" s="511"/>
      <c r="S123" s="371"/>
      <c r="T123" s="371"/>
      <c r="U123" s="371"/>
      <c r="V123" s="371"/>
      <c r="AO123" s="86"/>
      <c r="AP123" s="86"/>
      <c r="AQ123" s="86"/>
      <c r="AR123" s="86"/>
      <c r="AS123" s="86"/>
      <c r="AT123" s="86"/>
      <c r="AU123" s="86"/>
      <c r="AV123" s="86"/>
      <c r="AW123" s="86"/>
      <c r="AX123" s="86"/>
      <c r="AY123" s="86"/>
      <c r="CM123" s="86"/>
      <c r="CN123" s="86"/>
    </row>
    <row r="124" spans="15:92" s="367" customFormat="1">
      <c r="O124" s="511"/>
      <c r="S124" s="371"/>
      <c r="T124" s="371"/>
      <c r="U124" s="371"/>
      <c r="V124" s="371"/>
      <c r="AO124" s="86"/>
      <c r="AP124" s="86"/>
      <c r="AQ124" s="86"/>
      <c r="AR124" s="86"/>
      <c r="AS124" s="86"/>
      <c r="AT124" s="86"/>
      <c r="AU124" s="86"/>
      <c r="AV124" s="86"/>
      <c r="AW124" s="86"/>
      <c r="AX124" s="86"/>
      <c r="AY124" s="86"/>
      <c r="CM124" s="86"/>
      <c r="CN124" s="86"/>
    </row>
    <row r="125" spans="15:92" s="367" customFormat="1">
      <c r="O125" s="511"/>
      <c r="S125" s="371"/>
      <c r="T125" s="371"/>
      <c r="U125" s="371"/>
      <c r="V125" s="371"/>
      <c r="AO125" s="86"/>
      <c r="AP125" s="86"/>
      <c r="AQ125" s="86"/>
      <c r="AR125" s="86"/>
      <c r="AS125" s="86"/>
      <c r="AT125" s="86"/>
      <c r="AU125" s="86"/>
      <c r="AV125" s="86"/>
      <c r="AW125" s="86"/>
      <c r="AX125" s="86"/>
      <c r="AY125" s="86"/>
      <c r="CM125" s="86"/>
      <c r="CN125" s="86"/>
    </row>
    <row r="126" spans="15:92" s="367" customFormat="1">
      <c r="O126" s="511"/>
      <c r="S126" s="371"/>
      <c r="T126" s="371"/>
      <c r="U126" s="371"/>
      <c r="V126" s="371"/>
      <c r="AO126" s="86"/>
      <c r="AP126" s="86"/>
      <c r="AQ126" s="86"/>
      <c r="AR126" s="86"/>
      <c r="AS126" s="86"/>
      <c r="AT126" s="86"/>
      <c r="AU126" s="86"/>
      <c r="AV126" s="86"/>
      <c r="AW126" s="86"/>
      <c r="AX126" s="86"/>
      <c r="AY126" s="86"/>
      <c r="CM126" s="86"/>
      <c r="CN126" s="86"/>
    </row>
    <row r="127" spans="15:92" s="367" customFormat="1">
      <c r="O127" s="511"/>
      <c r="S127" s="371"/>
      <c r="T127" s="371"/>
      <c r="U127" s="371"/>
      <c r="V127" s="371"/>
      <c r="AO127" s="86"/>
      <c r="AP127" s="86"/>
      <c r="AQ127" s="86"/>
      <c r="AR127" s="86"/>
      <c r="AS127" s="86"/>
      <c r="AT127" s="86"/>
      <c r="AU127" s="86"/>
      <c r="AV127" s="86"/>
      <c r="AW127" s="86"/>
      <c r="AX127" s="86"/>
      <c r="AY127" s="86"/>
      <c r="CM127" s="86"/>
      <c r="CN127" s="86"/>
    </row>
    <row r="128" spans="15:92" s="367" customFormat="1">
      <c r="O128" s="511"/>
      <c r="S128" s="371"/>
      <c r="T128" s="371"/>
      <c r="U128" s="371"/>
      <c r="V128" s="371"/>
      <c r="AO128" s="86"/>
      <c r="AP128" s="86"/>
      <c r="AQ128" s="86"/>
      <c r="AR128" s="86"/>
      <c r="AS128" s="86"/>
      <c r="AT128" s="86"/>
      <c r="AU128" s="86"/>
      <c r="AV128" s="86"/>
      <c r="AW128" s="86"/>
      <c r="AX128" s="86"/>
      <c r="AY128" s="86"/>
      <c r="CM128" s="86"/>
      <c r="CN128" s="86"/>
    </row>
    <row r="129" spans="15:92" s="367" customFormat="1">
      <c r="O129" s="511"/>
      <c r="S129" s="371"/>
      <c r="T129" s="371"/>
      <c r="U129" s="371"/>
      <c r="V129" s="371"/>
      <c r="AO129" s="86"/>
      <c r="AP129" s="86"/>
      <c r="AQ129" s="86"/>
      <c r="AR129" s="86"/>
      <c r="AS129" s="86"/>
      <c r="AT129" s="86"/>
      <c r="AU129" s="86"/>
      <c r="AV129" s="86"/>
      <c r="AW129" s="86"/>
      <c r="AX129" s="86"/>
      <c r="AY129" s="86"/>
      <c r="CM129" s="86"/>
      <c r="CN129" s="86"/>
    </row>
    <row r="130" spans="15:92" s="367" customFormat="1">
      <c r="O130" s="511"/>
      <c r="S130" s="371"/>
      <c r="T130" s="371"/>
      <c r="U130" s="371"/>
      <c r="V130" s="371"/>
      <c r="AO130" s="86"/>
      <c r="AP130" s="86"/>
      <c r="AQ130" s="86"/>
      <c r="AR130" s="86"/>
      <c r="AS130" s="86"/>
      <c r="AT130" s="86"/>
      <c r="AU130" s="86"/>
      <c r="AV130" s="86"/>
      <c r="AW130" s="86"/>
      <c r="AX130" s="86"/>
      <c r="AY130" s="86"/>
      <c r="CM130" s="86"/>
      <c r="CN130" s="86"/>
    </row>
    <row r="131" spans="15:92" s="367" customFormat="1">
      <c r="O131" s="511"/>
      <c r="S131" s="371"/>
      <c r="T131" s="371"/>
      <c r="U131" s="371"/>
      <c r="V131" s="371"/>
      <c r="AO131" s="86"/>
      <c r="AP131" s="86"/>
      <c r="AQ131" s="86"/>
      <c r="AR131" s="86"/>
      <c r="AS131" s="86"/>
      <c r="AT131" s="86"/>
      <c r="AU131" s="86"/>
      <c r="AV131" s="86"/>
      <c r="AW131" s="86"/>
      <c r="AX131" s="86"/>
      <c r="AY131" s="86"/>
      <c r="CM131" s="86"/>
      <c r="CN131" s="86"/>
    </row>
    <row r="132" spans="15:92" s="367" customFormat="1">
      <c r="O132" s="511"/>
      <c r="S132" s="371"/>
      <c r="T132" s="371"/>
      <c r="U132" s="371"/>
      <c r="V132" s="371"/>
      <c r="AO132" s="86"/>
      <c r="AP132" s="86"/>
      <c r="AQ132" s="86"/>
      <c r="AR132" s="86"/>
      <c r="AS132" s="86"/>
      <c r="AT132" s="86"/>
      <c r="AU132" s="86"/>
      <c r="AV132" s="86"/>
      <c r="AW132" s="86"/>
      <c r="AX132" s="86"/>
      <c r="AY132" s="86"/>
      <c r="CM132" s="86"/>
      <c r="CN132" s="86"/>
    </row>
    <row r="133" spans="15:92" s="367" customFormat="1">
      <c r="O133" s="511"/>
      <c r="S133" s="371"/>
      <c r="T133" s="371"/>
      <c r="U133" s="371"/>
      <c r="V133" s="371"/>
      <c r="AO133" s="86"/>
      <c r="AP133" s="86"/>
      <c r="AQ133" s="86"/>
      <c r="AR133" s="86"/>
      <c r="AS133" s="86"/>
      <c r="AT133" s="86"/>
      <c r="AU133" s="86"/>
      <c r="AV133" s="86"/>
      <c r="AW133" s="86"/>
      <c r="AX133" s="86"/>
      <c r="AY133" s="86"/>
      <c r="CM133" s="86"/>
      <c r="CN133" s="86"/>
    </row>
    <row r="134" spans="15:92" s="367" customFormat="1">
      <c r="O134" s="511"/>
      <c r="S134" s="371"/>
      <c r="T134" s="371"/>
      <c r="U134" s="371"/>
      <c r="V134" s="371"/>
      <c r="AO134" s="86"/>
      <c r="AP134" s="86"/>
      <c r="AQ134" s="86"/>
      <c r="AR134" s="86"/>
      <c r="AS134" s="86"/>
      <c r="AT134" s="86"/>
      <c r="AU134" s="86"/>
      <c r="AV134" s="86"/>
      <c r="AW134" s="86"/>
      <c r="AX134" s="86"/>
      <c r="AY134" s="86"/>
      <c r="CM134" s="86"/>
      <c r="CN134" s="86"/>
    </row>
    <row r="135" spans="15:92" s="367" customFormat="1">
      <c r="O135" s="511"/>
      <c r="S135" s="371"/>
      <c r="T135" s="371"/>
      <c r="U135" s="371"/>
      <c r="V135" s="371"/>
      <c r="AO135" s="86"/>
      <c r="AP135" s="86"/>
      <c r="AQ135" s="86"/>
      <c r="AR135" s="86"/>
      <c r="AS135" s="86"/>
      <c r="AT135" s="86"/>
      <c r="AU135" s="86"/>
      <c r="AV135" s="86"/>
      <c r="AW135" s="86"/>
      <c r="AX135" s="86"/>
      <c r="AY135" s="86"/>
      <c r="CM135" s="86"/>
      <c r="CN135" s="86"/>
    </row>
    <row r="136" spans="15:92" s="367" customFormat="1">
      <c r="O136" s="511"/>
      <c r="S136" s="371"/>
      <c r="T136" s="371"/>
      <c r="U136" s="371"/>
      <c r="V136" s="371"/>
      <c r="AO136" s="86"/>
      <c r="AP136" s="86"/>
      <c r="AQ136" s="86"/>
      <c r="AR136" s="86"/>
      <c r="AS136" s="86"/>
      <c r="AT136" s="86"/>
      <c r="AU136" s="86"/>
      <c r="AV136" s="86"/>
      <c r="AW136" s="86"/>
      <c r="AX136" s="86"/>
      <c r="AY136" s="86"/>
      <c r="CM136" s="86"/>
      <c r="CN136" s="86"/>
    </row>
    <row r="137" spans="15:92" s="367" customFormat="1">
      <c r="O137" s="511"/>
      <c r="S137" s="371"/>
      <c r="T137" s="371"/>
      <c r="U137" s="371"/>
      <c r="V137" s="371"/>
      <c r="AO137" s="86"/>
      <c r="AP137" s="86"/>
      <c r="AQ137" s="86"/>
      <c r="AR137" s="86"/>
      <c r="AS137" s="86"/>
      <c r="AT137" s="86"/>
      <c r="AU137" s="86"/>
      <c r="AV137" s="86"/>
      <c r="AW137" s="86"/>
      <c r="AX137" s="86"/>
      <c r="AY137" s="86"/>
      <c r="CM137" s="86"/>
      <c r="CN137" s="86"/>
    </row>
    <row r="138" spans="15:92" s="367" customFormat="1">
      <c r="O138" s="511"/>
      <c r="S138" s="371"/>
      <c r="T138" s="371"/>
      <c r="U138" s="371"/>
      <c r="V138" s="371"/>
      <c r="AO138" s="86"/>
      <c r="AP138" s="86"/>
      <c r="AQ138" s="86"/>
      <c r="AR138" s="86"/>
      <c r="AS138" s="86"/>
      <c r="AT138" s="86"/>
      <c r="AU138" s="86"/>
      <c r="AV138" s="86"/>
      <c r="AW138" s="86"/>
      <c r="AX138" s="86"/>
      <c r="AY138" s="86"/>
      <c r="CM138" s="86"/>
      <c r="CN138" s="86"/>
    </row>
    <row r="139" spans="15:92" s="367" customFormat="1">
      <c r="O139" s="511"/>
      <c r="S139" s="371"/>
      <c r="T139" s="371"/>
      <c r="U139" s="371"/>
      <c r="V139" s="371"/>
      <c r="AO139" s="86"/>
      <c r="AP139" s="86"/>
      <c r="AQ139" s="86"/>
      <c r="AR139" s="86"/>
      <c r="AS139" s="86"/>
      <c r="AT139" s="86"/>
      <c r="AU139" s="86"/>
      <c r="AV139" s="86"/>
      <c r="AW139" s="86"/>
      <c r="AX139" s="86"/>
      <c r="AY139" s="86"/>
      <c r="CM139" s="86"/>
      <c r="CN139" s="86"/>
    </row>
    <row r="140" spans="15:92" s="367" customFormat="1">
      <c r="O140" s="511"/>
      <c r="S140" s="371"/>
      <c r="T140" s="371"/>
      <c r="U140" s="371"/>
      <c r="V140" s="371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CM140" s="86"/>
      <c r="CN140" s="86"/>
    </row>
    <row r="141" spans="15:92" s="367" customFormat="1">
      <c r="O141" s="511"/>
      <c r="S141" s="371"/>
      <c r="T141" s="371"/>
      <c r="U141" s="371"/>
      <c r="V141" s="371"/>
      <c r="AO141" s="86"/>
      <c r="AP141" s="86"/>
      <c r="AQ141" s="86"/>
      <c r="AR141" s="86"/>
      <c r="AS141" s="86"/>
      <c r="AT141" s="86"/>
      <c r="AU141" s="86"/>
      <c r="AV141" s="86"/>
      <c r="AW141" s="86"/>
      <c r="AX141" s="86"/>
      <c r="AY141" s="86"/>
      <c r="CM141" s="86"/>
      <c r="CN141" s="86"/>
    </row>
    <row r="142" spans="15:92" s="367" customFormat="1">
      <c r="O142" s="511"/>
      <c r="S142" s="371"/>
      <c r="T142" s="371"/>
      <c r="U142" s="371"/>
      <c r="V142" s="371"/>
      <c r="AO142" s="86"/>
      <c r="AP142" s="86"/>
      <c r="AQ142" s="86"/>
      <c r="AR142" s="86"/>
      <c r="AS142" s="86"/>
      <c r="AT142" s="86"/>
      <c r="AU142" s="86"/>
      <c r="AV142" s="86"/>
      <c r="AW142" s="86"/>
      <c r="AX142" s="86"/>
      <c r="AY142" s="86"/>
      <c r="CM142" s="86"/>
      <c r="CN142" s="86"/>
    </row>
    <row r="143" spans="15:92" s="367" customFormat="1">
      <c r="O143" s="511"/>
      <c r="S143" s="371"/>
      <c r="T143" s="371"/>
      <c r="U143" s="371"/>
      <c r="V143" s="371"/>
      <c r="AO143" s="86"/>
      <c r="AP143" s="86"/>
      <c r="AQ143" s="86"/>
      <c r="AR143" s="86"/>
      <c r="AS143" s="86"/>
      <c r="AT143" s="86"/>
      <c r="AU143" s="86"/>
      <c r="AV143" s="86"/>
      <c r="AW143" s="86"/>
      <c r="AX143" s="86"/>
      <c r="AY143" s="86"/>
      <c r="CM143" s="86"/>
      <c r="CN143" s="86"/>
    </row>
    <row r="144" spans="15:92" s="367" customFormat="1">
      <c r="O144" s="511"/>
      <c r="S144" s="371"/>
      <c r="T144" s="371"/>
      <c r="U144" s="371"/>
      <c r="V144" s="371"/>
      <c r="AO144" s="86"/>
      <c r="AP144" s="86"/>
      <c r="AQ144" s="86"/>
      <c r="AR144" s="86"/>
      <c r="AS144" s="86"/>
      <c r="AT144" s="86"/>
      <c r="AU144" s="86"/>
      <c r="AV144" s="86"/>
      <c r="AW144" s="86"/>
      <c r="AX144" s="86"/>
      <c r="AY144" s="86"/>
      <c r="CM144" s="86"/>
      <c r="CN144" s="86"/>
    </row>
    <row r="145" spans="1:92" s="367" customFormat="1">
      <c r="O145" s="511"/>
      <c r="S145" s="371"/>
      <c r="T145" s="371"/>
      <c r="U145" s="371"/>
      <c r="V145" s="371"/>
      <c r="AO145" s="86"/>
      <c r="AP145" s="86"/>
      <c r="AQ145" s="86"/>
      <c r="AR145" s="86"/>
      <c r="AS145" s="86"/>
      <c r="AT145" s="86"/>
      <c r="AU145" s="86"/>
      <c r="AV145" s="86"/>
      <c r="AW145" s="86"/>
      <c r="AX145" s="86"/>
      <c r="AY145" s="86"/>
      <c r="CM145" s="86"/>
      <c r="CN145" s="86"/>
    </row>
    <row r="146" spans="1:92" s="367" customFormat="1">
      <c r="O146" s="511"/>
      <c r="S146" s="371"/>
      <c r="T146" s="371"/>
      <c r="U146" s="371"/>
      <c r="V146" s="371"/>
      <c r="AO146" s="86"/>
      <c r="AP146" s="86"/>
      <c r="AQ146" s="86"/>
      <c r="AR146" s="86"/>
      <c r="AS146" s="86"/>
      <c r="AT146" s="86"/>
      <c r="AU146" s="86"/>
      <c r="AV146" s="86"/>
      <c r="AW146" s="86"/>
      <c r="AX146" s="86"/>
      <c r="AY146" s="86"/>
      <c r="CM146" s="86"/>
      <c r="CN146" s="86"/>
    </row>
    <row r="147" spans="1:92" s="367" customFormat="1">
      <c r="O147" s="511"/>
      <c r="S147" s="371"/>
      <c r="T147" s="371"/>
      <c r="U147" s="371"/>
      <c r="V147" s="371"/>
      <c r="AO147" s="86"/>
      <c r="AP147" s="86"/>
      <c r="AQ147" s="86"/>
      <c r="AR147" s="86"/>
      <c r="AS147" s="86"/>
      <c r="AT147" s="86"/>
      <c r="AU147" s="86"/>
      <c r="AV147" s="86"/>
      <c r="AW147" s="86"/>
      <c r="AX147" s="86"/>
      <c r="AY147" s="86"/>
      <c r="CM147" s="86"/>
      <c r="CN147" s="86"/>
    </row>
    <row r="148" spans="1:92" s="367" customFormat="1">
      <c r="O148" s="511"/>
      <c r="S148" s="371"/>
      <c r="T148" s="371"/>
      <c r="U148" s="371"/>
      <c r="V148" s="371"/>
      <c r="AO148" s="86"/>
      <c r="AP148" s="86"/>
      <c r="AQ148" s="86"/>
      <c r="AR148" s="86"/>
      <c r="AS148" s="86"/>
      <c r="AT148" s="86"/>
      <c r="AU148" s="86"/>
      <c r="AV148" s="86"/>
      <c r="AW148" s="86"/>
      <c r="AX148" s="86"/>
      <c r="AY148" s="86"/>
      <c r="CM148" s="86"/>
      <c r="CN148" s="86"/>
    </row>
    <row r="149" spans="1:92" s="367" customFormat="1">
      <c r="O149" s="511"/>
      <c r="S149" s="371"/>
      <c r="T149" s="371"/>
      <c r="U149" s="371"/>
      <c r="V149" s="371"/>
      <c r="AO149" s="86"/>
      <c r="AP149" s="86"/>
      <c r="AQ149" s="86"/>
      <c r="AR149" s="86"/>
      <c r="AS149" s="86"/>
      <c r="AT149" s="86"/>
      <c r="AU149" s="86"/>
      <c r="AV149" s="86"/>
      <c r="AW149" s="86"/>
      <c r="AX149" s="86"/>
      <c r="AY149" s="86"/>
      <c r="CM149" s="86"/>
      <c r="CN149" s="86"/>
    </row>
    <row r="150" spans="1:92" s="367" customFormat="1">
      <c r="O150" s="511"/>
      <c r="S150" s="371"/>
      <c r="T150" s="371"/>
      <c r="U150" s="371"/>
      <c r="V150" s="371"/>
      <c r="AO150" s="86"/>
      <c r="AP150" s="86"/>
      <c r="AQ150" s="86"/>
      <c r="AR150" s="86"/>
      <c r="AS150" s="86"/>
      <c r="AT150" s="86"/>
      <c r="AU150" s="86"/>
      <c r="AV150" s="86"/>
      <c r="AW150" s="86"/>
      <c r="AX150" s="86"/>
      <c r="AY150" s="86"/>
      <c r="CM150" s="86"/>
      <c r="CN150" s="86"/>
    </row>
    <row r="151" spans="1:92" s="367" customFormat="1">
      <c r="O151" s="511"/>
      <c r="S151" s="371"/>
      <c r="T151" s="371"/>
      <c r="U151" s="371"/>
      <c r="V151" s="371"/>
      <c r="AO151" s="86"/>
      <c r="AP151" s="86"/>
      <c r="AQ151" s="86"/>
      <c r="AR151" s="86"/>
      <c r="AS151" s="86"/>
      <c r="AT151" s="86"/>
      <c r="AU151" s="86"/>
      <c r="AV151" s="86"/>
      <c r="AW151" s="86"/>
      <c r="AX151" s="86"/>
      <c r="AY151" s="86"/>
      <c r="CM151" s="86"/>
      <c r="CN151" s="86"/>
    </row>
    <row r="152" spans="1:92">
      <c r="A152" s="367"/>
      <c r="B152" s="367"/>
      <c r="C152" s="367"/>
      <c r="D152" s="367"/>
      <c r="E152" s="367"/>
      <c r="F152" s="367"/>
      <c r="G152" s="367"/>
      <c r="H152" s="367"/>
      <c r="I152" s="367"/>
      <c r="J152" s="367"/>
      <c r="K152" s="367"/>
      <c r="L152" s="367"/>
      <c r="M152" s="367"/>
      <c r="N152" s="367"/>
      <c r="O152" s="377"/>
      <c r="P152" s="367"/>
      <c r="Q152" s="367"/>
      <c r="R152" s="367"/>
      <c r="S152" s="371"/>
      <c r="T152" s="371"/>
      <c r="U152" s="371"/>
      <c r="V152" s="371"/>
      <c r="W152" s="367"/>
      <c r="X152" s="367"/>
      <c r="Y152" s="367"/>
      <c r="Z152" s="367"/>
      <c r="AA152" s="367"/>
      <c r="AB152" s="367"/>
      <c r="AC152" s="367"/>
      <c r="AD152" s="367"/>
      <c r="AE152" s="367"/>
      <c r="AF152" s="367"/>
      <c r="AG152" s="367"/>
      <c r="AH152" s="367"/>
      <c r="AI152" s="367"/>
      <c r="AJ152" s="367"/>
      <c r="AK152" s="367"/>
      <c r="AL152" s="367"/>
      <c r="AM152" s="367"/>
      <c r="AN152" s="367"/>
      <c r="AO152" s="86"/>
    </row>
  </sheetData>
  <sheetProtection password="D37A" sheet="1" scenarios="1" formatCells="0" formatColumns="0" formatRows="0" insertColumns="0" insertRows="0" sort="0" autoFilter="0"/>
  <mergeCells count="72">
    <mergeCell ref="S51:T51"/>
    <mergeCell ref="S52:T52"/>
    <mergeCell ref="S59:T59"/>
    <mergeCell ref="S53:T53"/>
    <mergeCell ref="S54:T54"/>
    <mergeCell ref="S55:T55"/>
    <mergeCell ref="S56:T56"/>
    <mergeCell ref="S58:T58"/>
    <mergeCell ref="N2:O2"/>
    <mergeCell ref="H54:H56"/>
    <mergeCell ref="C41:D41"/>
    <mergeCell ref="I56:J56"/>
    <mergeCell ref="B42:D42"/>
    <mergeCell ref="B3:C3"/>
    <mergeCell ref="B23:B24"/>
    <mergeCell ref="B25:B26"/>
    <mergeCell ref="N53:O54"/>
    <mergeCell ref="E5:E6"/>
    <mergeCell ref="C5:C6"/>
    <mergeCell ref="F5:F6"/>
    <mergeCell ref="K5:K6"/>
    <mergeCell ref="Y3:AA3"/>
    <mergeCell ref="C58:D58"/>
    <mergeCell ref="C23:D24"/>
    <mergeCell ref="D25:D26"/>
    <mergeCell ref="C25:C26"/>
    <mergeCell ref="F25:F26"/>
    <mergeCell ref="E25:E26"/>
    <mergeCell ref="E23:F24"/>
    <mergeCell ref="C4:D4"/>
    <mergeCell ref="Y4:Z4"/>
    <mergeCell ref="E4:F4"/>
    <mergeCell ref="D5:D6"/>
    <mergeCell ref="H5:H6"/>
    <mergeCell ref="O5:O6"/>
    <mergeCell ref="B43:C43"/>
    <mergeCell ref="L5:L6"/>
    <mergeCell ref="AR21:AR22"/>
    <mergeCell ref="AE15:AE20"/>
    <mergeCell ref="AE21:AE22"/>
    <mergeCell ref="Y21:Y22"/>
    <mergeCell ref="Z21:Z22"/>
    <mergeCell ref="AG21:AG22"/>
    <mergeCell ref="AD21:AD22"/>
    <mergeCell ref="AA21:AA22"/>
    <mergeCell ref="AP12:AX12"/>
    <mergeCell ref="Y18:Z18"/>
    <mergeCell ref="Y20:AA20"/>
    <mergeCell ref="AQ20:AT20"/>
    <mergeCell ref="P5:Q6"/>
    <mergeCell ref="AE5:AE7"/>
    <mergeCell ref="AE10:AE12"/>
    <mergeCell ref="U5:U6"/>
    <mergeCell ref="S4:S5"/>
    <mergeCell ref="R5:R6"/>
    <mergeCell ref="T4:T5"/>
    <mergeCell ref="AB4:AC4"/>
    <mergeCell ref="V5:V6"/>
    <mergeCell ref="W5:W6"/>
    <mergeCell ref="B63:B64"/>
    <mergeCell ref="C63:C64"/>
    <mergeCell ref="D63:D64"/>
    <mergeCell ref="E63:E64"/>
    <mergeCell ref="F63:F64"/>
    <mergeCell ref="S49:T49"/>
    <mergeCell ref="S50:T50"/>
    <mergeCell ref="S48:T48"/>
    <mergeCell ref="Z46:AA46"/>
    <mergeCell ref="B5:B6"/>
    <mergeCell ref="B20:D20"/>
    <mergeCell ref="I5:J6"/>
    <mergeCell ref="M5:M6"/>
  </mergeCells>
  <conditionalFormatting sqref="AE23:AE44 Q56:S56 S50:S55">
    <cfRule type="cellIs" dxfId="2649" priority="6" stopIfTrue="1" operator="lessThan">
      <formula>0</formula>
    </cfRule>
  </conditionalFormatting>
  <conditionalFormatting sqref="AE13:AE14">
    <cfRule type="containsText" dxfId="2648" priority="364" stopIfTrue="1" operator="containsText" text="חריגה">
      <formula>NOT(ISERROR(SEARCH("חריגה",AE13)))</formula>
    </cfRule>
  </conditionalFormatting>
  <conditionalFormatting sqref="AI23:AI44">
    <cfRule type="cellIs" dxfId="2647" priority="363" stopIfTrue="1" operator="equal">
      <formula>1</formula>
    </cfRule>
  </conditionalFormatting>
  <conditionalFormatting sqref="E20:F20 E42:F42">
    <cfRule type="containsText" dxfId="2646" priority="362" stopIfTrue="1" operator="containsText" text="חיובי">
      <formula>NOT(ISERROR(SEARCH("חיובי",E20)))</formula>
    </cfRule>
  </conditionalFormatting>
  <conditionalFormatting sqref="W46 K54:M54 K58:M58 D19 C41">
    <cfRule type="cellIs" dxfId="2645" priority="361" stopIfTrue="1" operator="lessThan">
      <formula>0</formula>
    </cfRule>
  </conditionalFormatting>
  <conditionalFormatting sqref="D45">
    <cfRule type="cellIs" dxfId="2644" priority="382" stopIfTrue="1" operator="greaterThan">
      <formula>$C$45</formula>
    </cfRule>
  </conditionalFormatting>
  <conditionalFormatting sqref="D46">
    <cfRule type="cellIs" dxfId="2643" priority="383" stopIfTrue="1" operator="greaterThan">
      <formula>$C$46</formula>
    </cfRule>
  </conditionalFormatting>
  <conditionalFormatting sqref="D47">
    <cfRule type="cellIs" dxfId="2642" priority="384" stopIfTrue="1" operator="greaterThan">
      <formula>$C$47</formula>
    </cfRule>
  </conditionalFormatting>
  <conditionalFormatting sqref="D48">
    <cfRule type="cellIs" dxfId="2641" priority="385" stopIfTrue="1" operator="greaterThan">
      <formula>$C$48</formula>
    </cfRule>
  </conditionalFormatting>
  <conditionalFormatting sqref="D49">
    <cfRule type="cellIs" dxfId="2640" priority="386" stopIfTrue="1" operator="greaterThan">
      <formula>$C$49</formula>
    </cfRule>
  </conditionalFormatting>
  <conditionalFormatting sqref="D50">
    <cfRule type="cellIs" dxfId="2639" priority="387" stopIfTrue="1" operator="greaterThan">
      <formula>$C$50</formula>
    </cfRule>
  </conditionalFormatting>
  <conditionalFormatting sqref="D51">
    <cfRule type="cellIs" dxfId="2638" priority="388" stopIfTrue="1" operator="greaterThan">
      <formula>$C$51</formula>
    </cfRule>
  </conditionalFormatting>
  <conditionalFormatting sqref="D52">
    <cfRule type="cellIs" dxfId="2637" priority="389" stopIfTrue="1" operator="greaterThan">
      <formula>$C$52</formula>
    </cfRule>
  </conditionalFormatting>
  <conditionalFormatting sqref="D53">
    <cfRule type="cellIs" dxfId="2636" priority="390" stopIfTrue="1" operator="greaterThan">
      <formula>$C$53</formula>
    </cfRule>
  </conditionalFormatting>
  <conditionalFormatting sqref="D54">
    <cfRule type="cellIs" dxfId="2635" priority="391" stopIfTrue="1" operator="greaterThan">
      <formula>$C$54</formula>
    </cfRule>
  </conditionalFormatting>
  <conditionalFormatting sqref="D55">
    <cfRule type="cellIs" dxfId="2634" priority="392" stopIfTrue="1" operator="greaterThan">
      <formula>$C$55</formula>
    </cfRule>
  </conditionalFormatting>
  <conditionalFormatting sqref="D56">
    <cfRule type="cellIs" dxfId="2633" priority="393" stopIfTrue="1" operator="greaterThan">
      <formula>$C$56</formula>
    </cfRule>
  </conditionalFormatting>
  <conditionalFormatting sqref="C7">
    <cfRule type="expression" dxfId="2632" priority="357" stopIfTrue="1">
      <formula>AND(C7&lt;&gt;0, NOT(ISTEXT(B7)))</formula>
    </cfRule>
    <cfRule type="cellIs" dxfId="2631" priority="358" stopIfTrue="1" operator="lessThan">
      <formula>0</formula>
    </cfRule>
  </conditionalFormatting>
  <conditionalFormatting sqref="C8">
    <cfRule type="expression" dxfId="2630" priority="355" stopIfTrue="1">
      <formula>AND(C8&lt;&gt;0, NOT(ISTEXT(B8)))</formula>
    </cfRule>
    <cfRule type="cellIs" dxfId="2629" priority="356" stopIfTrue="1" operator="lessThan">
      <formula>0</formula>
    </cfRule>
  </conditionalFormatting>
  <conditionalFormatting sqref="C9">
    <cfRule type="expression" dxfId="2628" priority="353" stopIfTrue="1">
      <formula>AND(C9&lt;&gt;0, NOT(ISTEXT(B9)))</formula>
    </cfRule>
    <cfRule type="cellIs" dxfId="2627" priority="354" stopIfTrue="1" operator="lessThan">
      <formula>0</formula>
    </cfRule>
  </conditionalFormatting>
  <conditionalFormatting sqref="C10">
    <cfRule type="expression" dxfId="2626" priority="351" stopIfTrue="1">
      <formula>AND(C10&lt;&gt;0, NOT(ISTEXT(B10)))</formula>
    </cfRule>
    <cfRule type="cellIs" dxfId="2625" priority="352" stopIfTrue="1" operator="lessThan">
      <formula>0</formula>
    </cfRule>
  </conditionalFormatting>
  <conditionalFormatting sqref="C11">
    <cfRule type="expression" dxfId="2624" priority="349" stopIfTrue="1">
      <formula>AND(C11&lt;&gt;0, NOT(ISTEXT(B11)))</formula>
    </cfRule>
    <cfRule type="cellIs" dxfId="2623" priority="350" stopIfTrue="1" operator="lessThan">
      <formula>0</formula>
    </cfRule>
  </conditionalFormatting>
  <conditionalFormatting sqref="C12">
    <cfRule type="expression" dxfId="2622" priority="347" stopIfTrue="1">
      <formula>AND(C12&lt;&gt;0, NOT(ISTEXT(B12)))</formula>
    </cfRule>
    <cfRule type="cellIs" dxfId="2621" priority="348" stopIfTrue="1" operator="lessThan">
      <formula>0</formula>
    </cfRule>
  </conditionalFormatting>
  <conditionalFormatting sqref="C13">
    <cfRule type="expression" dxfId="2620" priority="345" stopIfTrue="1">
      <formula>AND(C13&lt;&gt;0, NOT(ISTEXT(B13)))</formula>
    </cfRule>
    <cfRule type="cellIs" dxfId="2619" priority="346" stopIfTrue="1" operator="lessThan">
      <formula>0</formula>
    </cfRule>
  </conditionalFormatting>
  <conditionalFormatting sqref="C14">
    <cfRule type="expression" dxfId="2618" priority="343" stopIfTrue="1">
      <formula>AND(C14&lt;&gt;0, NOT(ISTEXT(B14)))</formula>
    </cfRule>
    <cfRule type="cellIs" dxfId="2617" priority="344" stopIfTrue="1" operator="lessThan">
      <formula>0</formula>
    </cfRule>
  </conditionalFormatting>
  <conditionalFormatting sqref="C15">
    <cfRule type="expression" dxfId="2616" priority="341" stopIfTrue="1">
      <formula>AND(C15&lt;&gt;0, NOT(ISTEXT(B15)))</formula>
    </cfRule>
    <cfRule type="cellIs" dxfId="2615" priority="342" stopIfTrue="1" operator="lessThan">
      <formula>0</formula>
    </cfRule>
  </conditionalFormatting>
  <conditionalFormatting sqref="C16">
    <cfRule type="expression" dxfId="2614" priority="339" stopIfTrue="1">
      <formula>AND(C16&lt;&gt;0, NOT(ISTEXT(B16)))</formula>
    </cfRule>
    <cfRule type="cellIs" dxfId="2613" priority="340" stopIfTrue="1" operator="lessThan">
      <formula>0</formula>
    </cfRule>
  </conditionalFormatting>
  <conditionalFormatting sqref="C17">
    <cfRule type="expression" dxfId="2612" priority="337" stopIfTrue="1">
      <formula>AND(C17&lt;&gt;0, NOT(ISTEXT(B17)))</formula>
    </cfRule>
    <cfRule type="cellIs" dxfId="2611" priority="338" stopIfTrue="1" operator="lessThan">
      <formula>0</formula>
    </cfRule>
  </conditionalFormatting>
  <conditionalFormatting sqref="C27">
    <cfRule type="expression" dxfId="2610" priority="335" stopIfTrue="1">
      <formula>AND(C27&lt;&gt;0, NOT(ISTEXT(B27)))</formula>
    </cfRule>
    <cfRule type="cellIs" dxfId="2609" priority="336" stopIfTrue="1" operator="lessThan">
      <formula>0</formula>
    </cfRule>
  </conditionalFormatting>
  <conditionalFormatting sqref="C39">
    <cfRule type="expression" dxfId="2608" priority="333" stopIfTrue="1">
      <formula>AND(C39&lt;&gt;0, NOT(ISTEXT(B39)))</formula>
    </cfRule>
    <cfRule type="cellIs" dxfId="2607" priority="334" stopIfTrue="1" operator="lessThan">
      <formula>0</formula>
    </cfRule>
  </conditionalFormatting>
  <conditionalFormatting sqref="C28">
    <cfRule type="expression" dxfId="2606" priority="331" stopIfTrue="1">
      <formula>AND(C28&lt;&gt;0, NOT(ISTEXT(B28)))</formula>
    </cfRule>
    <cfRule type="cellIs" dxfId="2605" priority="332" stopIfTrue="1" operator="lessThan">
      <formula>0</formula>
    </cfRule>
  </conditionalFormatting>
  <conditionalFormatting sqref="C29">
    <cfRule type="expression" dxfId="2604" priority="329" stopIfTrue="1">
      <formula>AND(C29&lt;&gt;0, NOT(ISTEXT(B29)))</formula>
    </cfRule>
    <cfRule type="cellIs" dxfId="2603" priority="330" stopIfTrue="1" operator="lessThan">
      <formula>0</formula>
    </cfRule>
  </conditionalFormatting>
  <conditionalFormatting sqref="C30">
    <cfRule type="expression" dxfId="2602" priority="327" stopIfTrue="1">
      <formula>AND(C30&lt;&gt;0, NOT(ISTEXT(B30)))</formula>
    </cfRule>
    <cfRule type="cellIs" dxfId="2601" priority="328" stopIfTrue="1" operator="lessThan">
      <formula>0</formula>
    </cfRule>
  </conditionalFormatting>
  <conditionalFormatting sqref="C31">
    <cfRule type="expression" dxfId="2600" priority="325" stopIfTrue="1">
      <formula>AND(C31&lt;&gt;0, NOT(ISTEXT(B31)))</formula>
    </cfRule>
    <cfRule type="cellIs" dxfId="2599" priority="326" stopIfTrue="1" operator="lessThan">
      <formula>0</formula>
    </cfRule>
  </conditionalFormatting>
  <conditionalFormatting sqref="C32">
    <cfRule type="expression" dxfId="2598" priority="323" stopIfTrue="1">
      <formula>AND(C32&lt;&gt;0, NOT(ISTEXT(B32)))</formula>
    </cfRule>
    <cfRule type="cellIs" dxfId="2597" priority="324" stopIfTrue="1" operator="lessThan">
      <formula>0</formula>
    </cfRule>
  </conditionalFormatting>
  <conditionalFormatting sqref="C33">
    <cfRule type="expression" dxfId="2596" priority="321" stopIfTrue="1">
      <formula>AND(C33&lt;&gt;0, NOT(ISTEXT(B33)))</formula>
    </cfRule>
    <cfRule type="cellIs" dxfId="2595" priority="322" stopIfTrue="1" operator="lessThan">
      <formula>0</formula>
    </cfRule>
  </conditionalFormatting>
  <conditionalFormatting sqref="C34">
    <cfRule type="expression" dxfId="2594" priority="319" stopIfTrue="1">
      <formula>AND(C34&lt;&gt;0, NOT(ISTEXT(B34)))</formula>
    </cfRule>
    <cfRule type="cellIs" dxfId="2593" priority="320" stopIfTrue="1" operator="lessThan">
      <formula>0</formula>
    </cfRule>
  </conditionalFormatting>
  <conditionalFormatting sqref="C35">
    <cfRule type="expression" dxfId="2592" priority="317" stopIfTrue="1">
      <formula>AND(C35&lt;&gt;0, NOT(ISTEXT(B35)))</formula>
    </cfRule>
    <cfRule type="cellIs" dxfId="2591" priority="318" stopIfTrue="1" operator="lessThan">
      <formula>0</formula>
    </cfRule>
  </conditionalFormatting>
  <conditionalFormatting sqref="C36">
    <cfRule type="expression" dxfId="2590" priority="315" stopIfTrue="1">
      <formula>AND(C36&lt;&gt;0, NOT(ISTEXT(B36)))</formula>
    </cfRule>
    <cfRule type="cellIs" dxfId="2589" priority="316" stopIfTrue="1" operator="lessThan">
      <formula>0</formula>
    </cfRule>
  </conditionalFormatting>
  <conditionalFormatting sqref="C37">
    <cfRule type="expression" dxfId="2588" priority="313" stopIfTrue="1">
      <formula>AND(C37&lt;&gt;0, NOT(ISTEXT(B37)))</formula>
    </cfRule>
    <cfRule type="cellIs" dxfId="2587" priority="314" stopIfTrue="1" operator="lessThan">
      <formula>0</formula>
    </cfRule>
  </conditionalFormatting>
  <conditionalFormatting sqref="C38">
    <cfRule type="expression" dxfId="2586" priority="311" stopIfTrue="1">
      <formula>AND(C38&lt;&gt;0, NOT(ISTEXT(B38)))</formula>
    </cfRule>
    <cfRule type="cellIs" dxfId="2585" priority="312" stopIfTrue="1" operator="lessThan">
      <formula>0</formula>
    </cfRule>
  </conditionalFormatting>
  <conditionalFormatting sqref="C45">
    <cfRule type="expression" dxfId="2584" priority="309" stopIfTrue="1">
      <formula>AND(C45&lt;&gt;0, NOT(ISTEXT(B45)))</formula>
    </cfRule>
    <cfRule type="cellIs" dxfId="2583" priority="310" stopIfTrue="1" operator="lessThan">
      <formula>0</formula>
    </cfRule>
  </conditionalFormatting>
  <conditionalFormatting sqref="C56">
    <cfRule type="expression" dxfId="2582" priority="307" stopIfTrue="1">
      <formula>AND(C56&lt;&gt;0, NOT(ISTEXT(B56)))</formula>
    </cfRule>
    <cfRule type="cellIs" dxfId="2581" priority="308" stopIfTrue="1" operator="lessThan">
      <formula>0</formula>
    </cfRule>
  </conditionalFormatting>
  <conditionalFormatting sqref="C46">
    <cfRule type="expression" dxfId="2580" priority="305" stopIfTrue="1">
      <formula>AND(C46&lt;&gt;0, NOT(ISTEXT(B46)))</formula>
    </cfRule>
    <cfRule type="cellIs" dxfId="2579" priority="306" stopIfTrue="1" operator="lessThan">
      <formula>0</formula>
    </cfRule>
  </conditionalFormatting>
  <conditionalFormatting sqref="C47">
    <cfRule type="expression" dxfId="2578" priority="303" stopIfTrue="1">
      <formula>AND(C47&lt;&gt;0, NOT(ISTEXT(B47)))</formula>
    </cfRule>
    <cfRule type="cellIs" dxfId="2577" priority="304" stopIfTrue="1" operator="lessThan">
      <formula>0</formula>
    </cfRule>
  </conditionalFormatting>
  <conditionalFormatting sqref="C48">
    <cfRule type="expression" dxfId="2576" priority="301" stopIfTrue="1">
      <formula>AND(C48&lt;&gt;0, NOT(ISTEXT(B48)))</formula>
    </cfRule>
    <cfRule type="cellIs" dxfId="2575" priority="302" stopIfTrue="1" operator="lessThan">
      <formula>0</formula>
    </cfRule>
  </conditionalFormatting>
  <conditionalFormatting sqref="C49">
    <cfRule type="expression" dxfId="2574" priority="299" stopIfTrue="1">
      <formula>AND(C49&lt;&gt;0, NOT(ISTEXT(B49)))</formula>
    </cfRule>
    <cfRule type="cellIs" dxfId="2573" priority="300" stopIfTrue="1" operator="lessThan">
      <formula>0</formula>
    </cfRule>
  </conditionalFormatting>
  <conditionalFormatting sqref="C50">
    <cfRule type="expression" dxfId="2572" priority="297" stopIfTrue="1">
      <formula>AND(C50&lt;&gt;0, NOT(ISTEXT(B50)))</formula>
    </cfRule>
    <cfRule type="cellIs" dxfId="2571" priority="298" stopIfTrue="1" operator="lessThan">
      <formula>0</formula>
    </cfRule>
  </conditionalFormatting>
  <conditionalFormatting sqref="C51">
    <cfRule type="expression" dxfId="2570" priority="295" stopIfTrue="1">
      <formula>AND(C51&lt;&gt;0, NOT(ISTEXT(B51)))</formula>
    </cfRule>
    <cfRule type="cellIs" dxfId="2569" priority="296" stopIfTrue="1" operator="lessThan">
      <formula>0</formula>
    </cfRule>
  </conditionalFormatting>
  <conditionalFormatting sqref="C52">
    <cfRule type="expression" dxfId="2568" priority="293" stopIfTrue="1">
      <formula>AND(C52&lt;&gt;0, NOT(ISTEXT(B52)))</formula>
    </cfRule>
    <cfRule type="cellIs" dxfId="2567" priority="294" stopIfTrue="1" operator="lessThan">
      <formula>0</formula>
    </cfRule>
  </conditionalFormatting>
  <conditionalFormatting sqref="C53">
    <cfRule type="expression" dxfId="2566" priority="291" stopIfTrue="1">
      <formula>AND(C53&lt;&gt;0, NOT(ISTEXT(B53)))</formula>
    </cfRule>
    <cfRule type="cellIs" dxfId="2565" priority="292" stopIfTrue="1" operator="lessThan">
      <formula>0</formula>
    </cfRule>
  </conditionalFormatting>
  <conditionalFormatting sqref="C54">
    <cfRule type="expression" dxfId="2564" priority="289" stopIfTrue="1">
      <formula>AND(C54&lt;&gt;0, NOT(ISTEXT(B54)))</formula>
    </cfRule>
    <cfRule type="cellIs" dxfId="2563" priority="290" stopIfTrue="1" operator="lessThan">
      <formula>0</formula>
    </cfRule>
  </conditionalFormatting>
  <conditionalFormatting sqref="C55">
    <cfRule type="expression" dxfId="2562" priority="287" stopIfTrue="1">
      <formula>AND(C55&lt;&gt;0, NOT(ISTEXT(B55)))</formula>
    </cfRule>
    <cfRule type="cellIs" dxfId="2561" priority="288" stopIfTrue="1" operator="lessThan">
      <formula>0</formula>
    </cfRule>
  </conditionalFormatting>
  <conditionalFormatting sqref="Z6">
    <cfRule type="expression" dxfId="2560" priority="285" stopIfTrue="1">
      <formula>AND(Z6&lt;&gt;0, NOT(ISTEXT(Y6)))</formula>
    </cfRule>
    <cfRule type="cellIs" dxfId="2559" priority="286" stopIfTrue="1" operator="lessThan">
      <formula>0</formula>
    </cfRule>
  </conditionalFormatting>
  <conditionalFormatting sqref="Z16">
    <cfRule type="expression" dxfId="2558" priority="283" stopIfTrue="1">
      <formula>AND(Z16&lt;&gt;0, NOT(ISTEXT(Y16)))</formula>
    </cfRule>
    <cfRule type="cellIs" dxfId="2557" priority="284" stopIfTrue="1" operator="lessThan">
      <formula>0</formula>
    </cfRule>
  </conditionalFormatting>
  <conditionalFormatting sqref="Z7">
    <cfRule type="expression" dxfId="2556" priority="281" stopIfTrue="1">
      <formula>AND(Z7&lt;&gt;0, NOT(ISTEXT(Y7)))</formula>
    </cfRule>
    <cfRule type="cellIs" dxfId="2555" priority="282" stopIfTrue="1" operator="lessThan">
      <formula>0</formula>
    </cfRule>
  </conditionalFormatting>
  <conditionalFormatting sqref="Z8">
    <cfRule type="expression" dxfId="2554" priority="279" stopIfTrue="1">
      <formula>AND(Z8&lt;&gt;0, NOT(ISTEXT(Y8)))</formula>
    </cfRule>
    <cfRule type="cellIs" dxfId="2553" priority="280" stopIfTrue="1" operator="lessThan">
      <formula>0</formula>
    </cfRule>
  </conditionalFormatting>
  <conditionalFormatting sqref="Z9">
    <cfRule type="expression" dxfId="2552" priority="277" stopIfTrue="1">
      <formula>AND(Z9&lt;&gt;0, NOT(ISTEXT(Y9)))</formula>
    </cfRule>
    <cfRule type="cellIs" dxfId="2551" priority="278" stopIfTrue="1" operator="lessThan">
      <formula>0</formula>
    </cfRule>
  </conditionalFormatting>
  <conditionalFormatting sqref="Z10">
    <cfRule type="expression" dxfId="2550" priority="275" stopIfTrue="1">
      <formula>AND(Z10&lt;&gt;0, NOT(ISTEXT(Y10)))</formula>
    </cfRule>
    <cfRule type="cellIs" dxfId="2549" priority="276" stopIfTrue="1" operator="lessThan">
      <formula>0</formula>
    </cfRule>
  </conditionalFormatting>
  <conditionalFormatting sqref="Z11">
    <cfRule type="expression" dxfId="2548" priority="273" stopIfTrue="1">
      <formula>AND(Z11&lt;&gt;0, NOT(ISTEXT(Y11)))</formula>
    </cfRule>
    <cfRule type="cellIs" dxfId="2547" priority="274" stopIfTrue="1" operator="lessThan">
      <formula>0</formula>
    </cfRule>
  </conditionalFormatting>
  <conditionalFormatting sqref="Z12">
    <cfRule type="expression" dxfId="2546" priority="271" stopIfTrue="1">
      <formula>AND(Z12&lt;&gt;0, NOT(ISTEXT(Y12)))</formula>
    </cfRule>
    <cfRule type="cellIs" dxfId="2545" priority="272" stopIfTrue="1" operator="lessThan">
      <formula>0</formula>
    </cfRule>
  </conditionalFormatting>
  <conditionalFormatting sqref="Z13">
    <cfRule type="expression" dxfId="2544" priority="269" stopIfTrue="1">
      <formula>AND(Z13&lt;&gt;0, NOT(ISTEXT(Y13)))</formula>
    </cfRule>
    <cfRule type="cellIs" dxfId="2543" priority="270" stopIfTrue="1" operator="lessThan">
      <formula>0</formula>
    </cfRule>
  </conditionalFormatting>
  <conditionalFormatting sqref="Z14">
    <cfRule type="expression" dxfId="2542" priority="267" stopIfTrue="1">
      <formula>AND(Z14&lt;&gt;0, NOT(ISTEXT(Y14)))</formula>
    </cfRule>
    <cfRule type="cellIs" dxfId="2541" priority="268" stopIfTrue="1" operator="lessThan">
      <formula>0</formula>
    </cfRule>
  </conditionalFormatting>
  <conditionalFormatting sqref="Z15">
    <cfRule type="expression" dxfId="2540" priority="265" stopIfTrue="1">
      <formula>AND(Z15&lt;&gt;0, NOT(ISTEXT(Y15)))</formula>
    </cfRule>
    <cfRule type="cellIs" dxfId="2539" priority="266" stopIfTrue="1" operator="lessThan">
      <formula>0</formula>
    </cfRule>
  </conditionalFormatting>
  <conditionalFormatting sqref="Z23">
    <cfRule type="expression" dxfId="2538" priority="263" stopIfTrue="1">
      <formula>AND(Z23&lt;&gt;0, NOT(ISTEXT(Y23)))</formula>
    </cfRule>
    <cfRule type="cellIs" dxfId="2537" priority="264" stopIfTrue="1" operator="lessThan">
      <formula>0</formula>
    </cfRule>
  </conditionalFormatting>
  <conditionalFormatting sqref="Z44">
    <cfRule type="expression" dxfId="2536" priority="261" stopIfTrue="1">
      <formula>AND(Z44&lt;&gt;0, NOT(ISTEXT(Y44)))</formula>
    </cfRule>
    <cfRule type="cellIs" dxfId="2535" priority="262" stopIfTrue="1" operator="lessThan">
      <formula>0</formula>
    </cfRule>
  </conditionalFormatting>
  <conditionalFormatting sqref="Z24">
    <cfRule type="expression" dxfId="2534" priority="259" stopIfTrue="1">
      <formula>AND(Z24&lt;&gt;0, NOT(ISTEXT(Y24)))</formula>
    </cfRule>
    <cfRule type="cellIs" dxfId="2533" priority="260" stopIfTrue="1" operator="lessThan">
      <formula>0</formula>
    </cfRule>
  </conditionalFormatting>
  <conditionalFormatting sqref="Z25">
    <cfRule type="expression" dxfId="2532" priority="257" stopIfTrue="1">
      <formula>AND(Z25&lt;&gt;0, NOT(ISTEXT(Y25)))</formula>
    </cfRule>
    <cfRule type="cellIs" dxfId="2531" priority="258" stopIfTrue="1" operator="lessThan">
      <formula>0</formula>
    </cfRule>
  </conditionalFormatting>
  <conditionalFormatting sqref="Z26">
    <cfRule type="expression" dxfId="2530" priority="255" stopIfTrue="1">
      <formula>AND(Z26&lt;&gt;0, NOT(ISTEXT(Y26)))</formula>
    </cfRule>
    <cfRule type="cellIs" dxfId="2529" priority="256" stopIfTrue="1" operator="lessThan">
      <formula>0</formula>
    </cfRule>
  </conditionalFormatting>
  <conditionalFormatting sqref="Z27">
    <cfRule type="expression" dxfId="2528" priority="253" stopIfTrue="1">
      <formula>AND(Z27&lt;&gt;0, NOT(ISTEXT(Y27)))</formula>
    </cfRule>
    <cfRule type="cellIs" dxfId="2527" priority="254" stopIfTrue="1" operator="lessThan">
      <formula>0</formula>
    </cfRule>
  </conditionalFormatting>
  <conditionalFormatting sqref="Z28">
    <cfRule type="expression" dxfId="2526" priority="251" stopIfTrue="1">
      <formula>AND(Z28&lt;&gt;0, NOT(ISTEXT(Y28)))</formula>
    </cfRule>
    <cfRule type="cellIs" dxfId="2525" priority="252" stopIfTrue="1" operator="lessThan">
      <formula>0</formula>
    </cfRule>
  </conditionalFormatting>
  <conditionalFormatting sqref="Z29">
    <cfRule type="expression" dxfId="2524" priority="249" stopIfTrue="1">
      <formula>AND(Z29&lt;&gt;0, NOT(ISTEXT(Y29)))</formula>
    </cfRule>
    <cfRule type="cellIs" dxfId="2523" priority="250" stopIfTrue="1" operator="lessThan">
      <formula>0</formula>
    </cfRule>
  </conditionalFormatting>
  <conditionalFormatting sqref="Z30">
    <cfRule type="expression" dxfId="2522" priority="247" stopIfTrue="1">
      <formula>AND(Z30&lt;&gt;0, NOT(ISTEXT(Y30)))</formula>
    </cfRule>
    <cfRule type="cellIs" dxfId="2521" priority="248" stopIfTrue="1" operator="lessThan">
      <formula>0</formula>
    </cfRule>
  </conditionalFormatting>
  <conditionalFormatting sqref="Z31">
    <cfRule type="expression" dxfId="2520" priority="245" stopIfTrue="1">
      <formula>AND(Z31&lt;&gt;0, NOT(ISTEXT(Y31)))</formula>
    </cfRule>
    <cfRule type="cellIs" dxfId="2519" priority="246" stopIfTrue="1" operator="lessThan">
      <formula>0</formula>
    </cfRule>
  </conditionalFormatting>
  <conditionalFormatting sqref="Z32">
    <cfRule type="expression" dxfId="2518" priority="243" stopIfTrue="1">
      <formula>AND(Z32&lt;&gt;0, NOT(ISTEXT(Y32)))</formula>
    </cfRule>
    <cfRule type="cellIs" dxfId="2517" priority="244" stopIfTrue="1" operator="lessThan">
      <formula>0</formula>
    </cfRule>
  </conditionalFormatting>
  <conditionalFormatting sqref="Z33">
    <cfRule type="expression" dxfId="2516" priority="241" stopIfTrue="1">
      <formula>AND(Z33&lt;&gt;0, NOT(ISTEXT(Y33)))</formula>
    </cfRule>
    <cfRule type="cellIs" dxfId="2515" priority="242" stopIfTrue="1" operator="lessThan">
      <formula>0</formula>
    </cfRule>
  </conditionalFormatting>
  <conditionalFormatting sqref="Z34">
    <cfRule type="expression" dxfId="2514" priority="239" stopIfTrue="1">
      <formula>AND(Z34&lt;&gt;0, NOT(ISTEXT(Y34)))</formula>
    </cfRule>
    <cfRule type="cellIs" dxfId="2513" priority="240" stopIfTrue="1" operator="lessThan">
      <formula>0</formula>
    </cfRule>
  </conditionalFormatting>
  <conditionalFormatting sqref="Z35">
    <cfRule type="expression" dxfId="2512" priority="237" stopIfTrue="1">
      <formula>AND(Z35&lt;&gt;0, NOT(ISTEXT(Y35)))</formula>
    </cfRule>
    <cfRule type="cellIs" dxfId="2511" priority="238" stopIfTrue="1" operator="lessThan">
      <formula>0</formula>
    </cfRule>
  </conditionalFormatting>
  <conditionalFormatting sqref="Z36">
    <cfRule type="expression" dxfId="2510" priority="235" stopIfTrue="1">
      <formula>AND(Z36&lt;&gt;0, NOT(ISTEXT(Y36)))</formula>
    </cfRule>
    <cfRule type="cellIs" dxfId="2509" priority="236" stopIfTrue="1" operator="lessThan">
      <formula>0</formula>
    </cfRule>
  </conditionalFormatting>
  <conditionalFormatting sqref="Z37">
    <cfRule type="expression" dxfId="2508" priority="233" stopIfTrue="1">
      <formula>AND(Z37&lt;&gt;0, NOT(ISTEXT(Y37)))</formula>
    </cfRule>
    <cfRule type="cellIs" dxfId="2507" priority="234" stopIfTrue="1" operator="lessThan">
      <formula>0</formula>
    </cfRule>
  </conditionalFormatting>
  <conditionalFormatting sqref="Z38">
    <cfRule type="expression" dxfId="2506" priority="231" stopIfTrue="1">
      <formula>AND(Z38&lt;&gt;0, NOT(ISTEXT(Y38)))</formula>
    </cfRule>
    <cfRule type="cellIs" dxfId="2505" priority="232" stopIfTrue="1" operator="lessThan">
      <formula>0</formula>
    </cfRule>
  </conditionalFormatting>
  <conditionalFormatting sqref="Z39">
    <cfRule type="expression" dxfId="2504" priority="229" stopIfTrue="1">
      <formula>AND(Z39&lt;&gt;0, NOT(ISTEXT(Y39)))</formula>
    </cfRule>
    <cfRule type="cellIs" dxfId="2503" priority="230" stopIfTrue="1" operator="lessThan">
      <formula>0</formula>
    </cfRule>
  </conditionalFormatting>
  <conditionalFormatting sqref="Z40">
    <cfRule type="expression" dxfId="2502" priority="227" stopIfTrue="1">
      <formula>AND(Z40&lt;&gt;0, NOT(ISTEXT(Y40)))</formula>
    </cfRule>
    <cfRule type="cellIs" dxfId="2501" priority="228" stopIfTrue="1" operator="lessThan">
      <formula>0</formula>
    </cfRule>
  </conditionalFormatting>
  <conditionalFormatting sqref="Z41">
    <cfRule type="expression" dxfId="2500" priority="225" stopIfTrue="1">
      <formula>AND(Z41&lt;&gt;0, NOT(ISTEXT(Y41)))</formula>
    </cfRule>
    <cfRule type="cellIs" dxfId="2499" priority="226" stopIfTrue="1" operator="lessThan">
      <formula>0</formula>
    </cfRule>
  </conditionalFormatting>
  <conditionalFormatting sqref="Z42">
    <cfRule type="expression" dxfId="2498" priority="223" stopIfTrue="1">
      <formula>AND(Z42&lt;&gt;0, NOT(ISTEXT(Y42)))</formula>
    </cfRule>
    <cfRule type="cellIs" dxfId="2497" priority="224" stopIfTrue="1" operator="lessThan">
      <formula>0</formula>
    </cfRule>
  </conditionalFormatting>
  <conditionalFormatting sqref="Z43">
    <cfRule type="expression" dxfId="2496" priority="221" stopIfTrue="1">
      <formula>AND(Z43&lt;&gt;0, NOT(ISTEXT(Y43)))</formula>
    </cfRule>
    <cfRule type="cellIs" dxfId="2495" priority="222" stopIfTrue="1" operator="lessThan">
      <formula>0</formula>
    </cfRule>
  </conditionalFormatting>
  <conditionalFormatting sqref="N53:O54">
    <cfRule type="containsText" dxfId="2494" priority="219" stopIfTrue="1" operator="containsText" text="הפרש">
      <formula>NOT(ISERROR(SEARCH("הפרש",N53)))</formula>
    </cfRule>
  </conditionalFormatting>
  <conditionalFormatting sqref="Z23:Z44 Q64:Q110 Q7:Q45 J7:J53 D27:D39 C45:C56 J64:J110 D65:D86 C7:D17 Z6:AA16">
    <cfRule type="expression" dxfId="2493" priority="217" stopIfTrue="1">
      <formula>ISTEXT(C6)</formula>
    </cfRule>
  </conditionalFormatting>
  <conditionalFormatting sqref="C7">
    <cfRule type="expression" dxfId="2492" priority="215" stopIfTrue="1">
      <formula>AND(C7&lt;&gt;0, NOT(ISTEXT(B7)))</formula>
    </cfRule>
    <cfRule type="cellIs" dxfId="2491" priority="216" stopIfTrue="1" operator="lessThan">
      <formula>0</formula>
    </cfRule>
  </conditionalFormatting>
  <conditionalFormatting sqref="C8">
    <cfRule type="expression" dxfId="2490" priority="213" stopIfTrue="1">
      <formula>AND(C8&lt;&gt;0, NOT(ISTEXT(B8)))</formula>
    </cfRule>
    <cfRule type="cellIs" dxfId="2489" priority="214" stopIfTrue="1" operator="lessThan">
      <formula>0</formula>
    </cfRule>
  </conditionalFormatting>
  <conditionalFormatting sqref="C9">
    <cfRule type="expression" dxfId="2488" priority="211" stopIfTrue="1">
      <formula>AND(C9&lt;&gt;0, NOT(ISTEXT(B9)))</formula>
    </cfRule>
    <cfRule type="cellIs" dxfId="2487" priority="212" stopIfTrue="1" operator="lessThan">
      <formula>0</formula>
    </cfRule>
  </conditionalFormatting>
  <conditionalFormatting sqref="C10">
    <cfRule type="expression" dxfId="2486" priority="209" stopIfTrue="1">
      <formula>AND(C10&lt;&gt;0, NOT(ISTEXT(B10)))</formula>
    </cfRule>
    <cfRule type="cellIs" dxfId="2485" priority="210" stopIfTrue="1" operator="lessThan">
      <formula>0</formula>
    </cfRule>
  </conditionalFormatting>
  <conditionalFormatting sqref="C11">
    <cfRule type="expression" dxfId="2484" priority="207" stopIfTrue="1">
      <formula>AND(C11&lt;&gt;0, NOT(ISTEXT(B11)))</formula>
    </cfRule>
    <cfRule type="cellIs" dxfId="2483" priority="208" stopIfTrue="1" operator="lessThan">
      <formula>0</formula>
    </cfRule>
  </conditionalFormatting>
  <conditionalFormatting sqref="C12">
    <cfRule type="expression" dxfId="2482" priority="205" stopIfTrue="1">
      <formula>AND(C12&lt;&gt;0, NOT(ISTEXT(B12)))</formula>
    </cfRule>
    <cfRule type="cellIs" dxfId="2481" priority="206" stopIfTrue="1" operator="lessThan">
      <formula>0</formula>
    </cfRule>
  </conditionalFormatting>
  <conditionalFormatting sqref="C13">
    <cfRule type="expression" dxfId="2480" priority="203" stopIfTrue="1">
      <formula>AND(C13&lt;&gt;0, NOT(ISTEXT(B13)))</formula>
    </cfRule>
    <cfRule type="cellIs" dxfId="2479" priority="204" stopIfTrue="1" operator="lessThan">
      <formula>0</formula>
    </cfRule>
  </conditionalFormatting>
  <conditionalFormatting sqref="C14">
    <cfRule type="expression" dxfId="2478" priority="201" stopIfTrue="1">
      <formula>AND(C14&lt;&gt;0, NOT(ISTEXT(B14)))</formula>
    </cfRule>
    <cfRule type="cellIs" dxfId="2477" priority="202" stopIfTrue="1" operator="lessThan">
      <formula>0</formula>
    </cfRule>
  </conditionalFormatting>
  <conditionalFormatting sqref="C15">
    <cfRule type="expression" dxfId="2476" priority="199" stopIfTrue="1">
      <formula>AND(C15&lt;&gt;0, NOT(ISTEXT(B15)))</formula>
    </cfRule>
    <cfRule type="cellIs" dxfId="2475" priority="200" stopIfTrue="1" operator="lessThan">
      <formula>0</formula>
    </cfRule>
  </conditionalFormatting>
  <conditionalFormatting sqref="C16">
    <cfRule type="expression" dxfId="2474" priority="197" stopIfTrue="1">
      <formula>AND(C16&lt;&gt;0, NOT(ISTEXT(B16)))</formula>
    </cfRule>
    <cfRule type="cellIs" dxfId="2473" priority="198" stopIfTrue="1" operator="lessThan">
      <formula>0</formula>
    </cfRule>
  </conditionalFormatting>
  <conditionalFormatting sqref="C17">
    <cfRule type="expression" dxfId="2472" priority="195" stopIfTrue="1">
      <formula>AND(C17&lt;&gt;0, NOT(ISTEXT(B17)))</formula>
    </cfRule>
    <cfRule type="cellIs" dxfId="2471" priority="196" stopIfTrue="1" operator="lessThan">
      <formula>0</formula>
    </cfRule>
  </conditionalFormatting>
  <conditionalFormatting sqref="C7">
    <cfRule type="expression" dxfId="2470" priority="192" stopIfTrue="1">
      <formula>AND(C7&lt;&gt;0, NOT(ISTEXT(B7)))</formula>
    </cfRule>
    <cfRule type="cellIs" dxfId="2469" priority="193" stopIfTrue="1" operator="lessThan">
      <formula>0</formula>
    </cfRule>
  </conditionalFormatting>
  <conditionalFormatting sqref="C8">
    <cfRule type="expression" dxfId="2468" priority="190" stopIfTrue="1">
      <formula>AND(C8&lt;&gt;0, NOT(ISTEXT(B8)))</formula>
    </cfRule>
    <cfRule type="cellIs" dxfId="2467" priority="191" stopIfTrue="1" operator="lessThan">
      <formula>0</formula>
    </cfRule>
  </conditionalFormatting>
  <conditionalFormatting sqref="C9">
    <cfRule type="expression" dxfId="2466" priority="188" stopIfTrue="1">
      <formula>AND(C9&lt;&gt;0, NOT(ISTEXT(B9)))</formula>
    </cfRule>
    <cfRule type="cellIs" dxfId="2465" priority="189" stopIfTrue="1" operator="lessThan">
      <formula>0</formula>
    </cfRule>
  </conditionalFormatting>
  <conditionalFormatting sqref="C10">
    <cfRule type="expression" dxfId="2464" priority="186" stopIfTrue="1">
      <formula>AND(C10&lt;&gt;0, NOT(ISTEXT(B10)))</formula>
    </cfRule>
    <cfRule type="cellIs" dxfId="2463" priority="187" stopIfTrue="1" operator="lessThan">
      <formula>0</formula>
    </cfRule>
  </conditionalFormatting>
  <conditionalFormatting sqref="C11">
    <cfRule type="expression" dxfId="2462" priority="184" stopIfTrue="1">
      <formula>AND(C11&lt;&gt;0, NOT(ISTEXT(B11)))</formula>
    </cfRule>
    <cfRule type="cellIs" dxfId="2461" priority="185" stopIfTrue="1" operator="lessThan">
      <formula>0</formula>
    </cfRule>
  </conditionalFormatting>
  <conditionalFormatting sqref="C12">
    <cfRule type="expression" dxfId="2460" priority="182" stopIfTrue="1">
      <formula>AND(C12&lt;&gt;0, NOT(ISTEXT(B12)))</formula>
    </cfRule>
    <cfRule type="cellIs" dxfId="2459" priority="183" stopIfTrue="1" operator="lessThan">
      <formula>0</formula>
    </cfRule>
  </conditionalFormatting>
  <conditionalFormatting sqref="C13">
    <cfRule type="expression" dxfId="2458" priority="180" stopIfTrue="1">
      <formula>AND(C13&lt;&gt;0, NOT(ISTEXT(B13)))</formula>
    </cfRule>
    <cfRule type="cellIs" dxfId="2457" priority="181" stopIfTrue="1" operator="lessThan">
      <formula>0</formula>
    </cfRule>
  </conditionalFormatting>
  <conditionalFormatting sqref="C14">
    <cfRule type="expression" dxfId="2456" priority="178" stopIfTrue="1">
      <formula>AND(C14&lt;&gt;0, NOT(ISTEXT(B14)))</formula>
    </cfRule>
    <cfRule type="cellIs" dxfId="2455" priority="179" stopIfTrue="1" operator="lessThan">
      <formula>0</formula>
    </cfRule>
  </conditionalFormatting>
  <conditionalFormatting sqref="C15">
    <cfRule type="expression" dxfId="2454" priority="176" stopIfTrue="1">
      <formula>AND(C15&lt;&gt;0, NOT(ISTEXT(B15)))</formula>
    </cfRule>
    <cfRule type="cellIs" dxfId="2453" priority="177" stopIfTrue="1" operator="lessThan">
      <formula>0</formula>
    </cfRule>
  </conditionalFormatting>
  <conditionalFormatting sqref="C16">
    <cfRule type="expression" dxfId="2452" priority="174" stopIfTrue="1">
      <formula>AND(C16&lt;&gt;0, NOT(ISTEXT(B16)))</formula>
    </cfRule>
    <cfRule type="cellIs" dxfId="2451" priority="175" stopIfTrue="1" operator="lessThan">
      <formula>0</formula>
    </cfRule>
  </conditionalFormatting>
  <conditionalFormatting sqref="C17">
    <cfRule type="expression" dxfId="2450" priority="172" stopIfTrue="1">
      <formula>AND(C17&lt;&gt;0, NOT(ISTEXT(B17)))</formula>
    </cfRule>
    <cfRule type="cellIs" dxfId="2449" priority="173" stopIfTrue="1" operator="lessThan">
      <formula>0</formula>
    </cfRule>
  </conditionalFormatting>
  <conditionalFormatting sqref="C45">
    <cfRule type="expression" dxfId="2448" priority="169" stopIfTrue="1">
      <formula>AND(C45&lt;&gt;0, NOT(ISTEXT(B45)))</formula>
    </cfRule>
    <cfRule type="cellIs" dxfId="2447" priority="170" stopIfTrue="1" operator="lessThan">
      <formula>0</formula>
    </cfRule>
  </conditionalFormatting>
  <conditionalFormatting sqref="C56">
    <cfRule type="expression" dxfId="2446" priority="167" stopIfTrue="1">
      <formula>AND(C56&lt;&gt;0, NOT(ISTEXT(B56)))</formula>
    </cfRule>
    <cfRule type="cellIs" dxfId="2445" priority="168" stopIfTrue="1" operator="lessThan">
      <formula>0</formula>
    </cfRule>
  </conditionalFormatting>
  <conditionalFormatting sqref="C46">
    <cfRule type="expression" dxfId="2444" priority="165" stopIfTrue="1">
      <formula>AND(C46&lt;&gt;0, NOT(ISTEXT(B46)))</formula>
    </cfRule>
    <cfRule type="cellIs" dxfId="2443" priority="166" stopIfTrue="1" operator="lessThan">
      <formula>0</formula>
    </cfRule>
  </conditionalFormatting>
  <conditionalFormatting sqref="C47">
    <cfRule type="expression" dxfId="2442" priority="163" stopIfTrue="1">
      <formula>AND(C47&lt;&gt;0, NOT(ISTEXT(B47)))</formula>
    </cfRule>
    <cfRule type="cellIs" dxfId="2441" priority="164" stopIfTrue="1" operator="lessThan">
      <formula>0</formula>
    </cfRule>
  </conditionalFormatting>
  <conditionalFormatting sqref="C48">
    <cfRule type="expression" dxfId="2440" priority="161" stopIfTrue="1">
      <formula>AND(C48&lt;&gt;0, NOT(ISTEXT(B48)))</formula>
    </cfRule>
    <cfRule type="cellIs" dxfId="2439" priority="162" stopIfTrue="1" operator="lessThan">
      <formula>0</formula>
    </cfRule>
  </conditionalFormatting>
  <conditionalFormatting sqref="C49">
    <cfRule type="expression" dxfId="2438" priority="159" stopIfTrue="1">
      <formula>AND(C49&lt;&gt;0, NOT(ISTEXT(B49)))</formula>
    </cfRule>
    <cfRule type="cellIs" dxfId="2437" priority="160" stopIfTrue="1" operator="lessThan">
      <formula>0</formula>
    </cfRule>
  </conditionalFormatting>
  <conditionalFormatting sqref="C50">
    <cfRule type="expression" dxfId="2436" priority="157" stopIfTrue="1">
      <formula>AND(C50&lt;&gt;0, NOT(ISTEXT(B50)))</formula>
    </cfRule>
    <cfRule type="cellIs" dxfId="2435" priority="158" stopIfTrue="1" operator="lessThan">
      <formula>0</formula>
    </cfRule>
  </conditionalFormatting>
  <conditionalFormatting sqref="C51">
    <cfRule type="expression" dxfId="2434" priority="155" stopIfTrue="1">
      <formula>AND(C51&lt;&gt;0, NOT(ISTEXT(B51)))</formula>
    </cfRule>
    <cfRule type="cellIs" dxfId="2433" priority="156" stopIfTrue="1" operator="lessThan">
      <formula>0</formula>
    </cfRule>
  </conditionalFormatting>
  <conditionalFormatting sqref="C52">
    <cfRule type="expression" dxfId="2432" priority="153" stopIfTrue="1">
      <formula>AND(C52&lt;&gt;0, NOT(ISTEXT(B52)))</formula>
    </cfRule>
    <cfRule type="cellIs" dxfId="2431" priority="154" stopIfTrue="1" operator="lessThan">
      <formula>0</formula>
    </cfRule>
  </conditionalFormatting>
  <conditionalFormatting sqref="C53">
    <cfRule type="expression" dxfId="2430" priority="151" stopIfTrue="1">
      <formula>AND(C53&lt;&gt;0, NOT(ISTEXT(B53)))</formula>
    </cfRule>
    <cfRule type="cellIs" dxfId="2429" priority="152" stopIfTrue="1" operator="lessThan">
      <formula>0</formula>
    </cfRule>
  </conditionalFormatting>
  <conditionalFormatting sqref="C54">
    <cfRule type="expression" dxfId="2428" priority="149" stopIfTrue="1">
      <formula>AND(C54&lt;&gt;0, NOT(ISTEXT(B54)))</formula>
    </cfRule>
    <cfRule type="cellIs" dxfId="2427" priority="150" stopIfTrue="1" operator="lessThan">
      <formula>0</formula>
    </cfRule>
  </conditionalFormatting>
  <conditionalFormatting sqref="C55">
    <cfRule type="expression" dxfId="2426" priority="147" stopIfTrue="1">
      <formula>AND(C55&lt;&gt;0, NOT(ISTEXT(B55)))</formula>
    </cfRule>
    <cfRule type="cellIs" dxfId="2425" priority="148" stopIfTrue="1" operator="lessThan">
      <formula>0</formula>
    </cfRule>
  </conditionalFormatting>
  <conditionalFormatting sqref="Z6">
    <cfRule type="expression" dxfId="2424" priority="144" stopIfTrue="1">
      <formula>AND(Z6&lt;&gt;0, NOT(ISTEXT(Y6)))</formula>
    </cfRule>
    <cfRule type="cellIs" dxfId="2423" priority="145" stopIfTrue="1" operator="lessThan">
      <formula>0</formula>
    </cfRule>
  </conditionalFormatting>
  <conditionalFormatting sqref="Z16">
    <cfRule type="expression" dxfId="2422" priority="142" stopIfTrue="1">
      <formula>AND(Z16&lt;&gt;0, NOT(ISTEXT(Y16)))</formula>
    </cfRule>
    <cfRule type="cellIs" dxfId="2421" priority="143" stopIfTrue="1" operator="lessThan">
      <formula>0</formula>
    </cfRule>
  </conditionalFormatting>
  <conditionalFormatting sqref="Z7">
    <cfRule type="expression" dxfId="2420" priority="140" stopIfTrue="1">
      <formula>AND(Z7&lt;&gt;0, NOT(ISTEXT(Y7)))</formula>
    </cfRule>
    <cfRule type="cellIs" dxfId="2419" priority="141" stopIfTrue="1" operator="lessThan">
      <formula>0</formula>
    </cfRule>
  </conditionalFormatting>
  <conditionalFormatting sqref="Z8">
    <cfRule type="expression" dxfId="2418" priority="138" stopIfTrue="1">
      <formula>AND(Z8&lt;&gt;0, NOT(ISTEXT(Y8)))</formula>
    </cfRule>
    <cfRule type="cellIs" dxfId="2417" priority="139" stopIfTrue="1" operator="lessThan">
      <formula>0</formula>
    </cfRule>
  </conditionalFormatting>
  <conditionalFormatting sqref="Z9">
    <cfRule type="expression" dxfId="2416" priority="136" stopIfTrue="1">
      <formula>AND(Z9&lt;&gt;0, NOT(ISTEXT(Y9)))</formula>
    </cfRule>
    <cfRule type="cellIs" dxfId="2415" priority="137" stopIfTrue="1" operator="lessThan">
      <formula>0</formula>
    </cfRule>
  </conditionalFormatting>
  <conditionalFormatting sqref="Z10">
    <cfRule type="expression" dxfId="2414" priority="134" stopIfTrue="1">
      <formula>AND(Z10&lt;&gt;0, NOT(ISTEXT(Y10)))</formula>
    </cfRule>
    <cfRule type="cellIs" dxfId="2413" priority="135" stopIfTrue="1" operator="lessThan">
      <formula>0</formula>
    </cfRule>
  </conditionalFormatting>
  <conditionalFormatting sqref="Z11">
    <cfRule type="expression" dxfId="2412" priority="132" stopIfTrue="1">
      <formula>AND(Z11&lt;&gt;0, NOT(ISTEXT(Y11)))</formula>
    </cfRule>
    <cfRule type="cellIs" dxfId="2411" priority="133" stopIfTrue="1" operator="lessThan">
      <formula>0</formula>
    </cfRule>
  </conditionalFormatting>
  <conditionalFormatting sqref="Z12">
    <cfRule type="expression" dxfId="2410" priority="130" stopIfTrue="1">
      <formula>AND(Z12&lt;&gt;0, NOT(ISTEXT(Y12)))</formula>
    </cfRule>
    <cfRule type="cellIs" dxfId="2409" priority="131" stopIfTrue="1" operator="lessThan">
      <formula>0</formula>
    </cfRule>
  </conditionalFormatting>
  <conditionalFormatting sqref="Z13">
    <cfRule type="expression" dxfId="2408" priority="128" stopIfTrue="1">
      <formula>AND(Z13&lt;&gt;0, NOT(ISTEXT(Y13)))</formula>
    </cfRule>
    <cfRule type="cellIs" dxfId="2407" priority="129" stopIfTrue="1" operator="lessThan">
      <formula>0</formula>
    </cfRule>
  </conditionalFormatting>
  <conditionalFormatting sqref="Z14">
    <cfRule type="expression" dxfId="2406" priority="126" stopIfTrue="1">
      <formula>AND(Z14&lt;&gt;0, NOT(ISTEXT(Y14)))</formula>
    </cfRule>
    <cfRule type="cellIs" dxfId="2405" priority="127" stopIfTrue="1" operator="lessThan">
      <formula>0</formula>
    </cfRule>
  </conditionalFormatting>
  <conditionalFormatting sqref="Z15">
    <cfRule type="expression" dxfId="2404" priority="124" stopIfTrue="1">
      <formula>AND(Z15&lt;&gt;0, NOT(ISTEXT(Y15)))</formula>
    </cfRule>
    <cfRule type="cellIs" dxfId="2403" priority="125" stopIfTrue="1" operator="lessThan">
      <formula>0</formula>
    </cfRule>
  </conditionalFormatting>
  <conditionalFormatting sqref="Z23">
    <cfRule type="expression" dxfId="2402" priority="121" stopIfTrue="1">
      <formula>AND(Z23&lt;&gt;0, NOT(ISTEXT(Y23)))</formula>
    </cfRule>
    <cfRule type="cellIs" dxfId="2401" priority="122" stopIfTrue="1" operator="lessThan">
      <formula>0</formula>
    </cfRule>
  </conditionalFormatting>
  <conditionalFormatting sqref="Z44">
    <cfRule type="expression" dxfId="2400" priority="119" stopIfTrue="1">
      <formula>AND(Z44&lt;&gt;0, NOT(ISTEXT(Y44)))</formula>
    </cfRule>
    <cfRule type="cellIs" dxfId="2399" priority="120" stopIfTrue="1" operator="lessThan">
      <formula>0</formula>
    </cfRule>
  </conditionalFormatting>
  <conditionalFormatting sqref="Z24">
    <cfRule type="expression" dxfId="2398" priority="117" stopIfTrue="1">
      <formula>AND(Z24&lt;&gt;0, NOT(ISTEXT(Y24)))</formula>
    </cfRule>
    <cfRule type="cellIs" dxfId="2397" priority="118" stopIfTrue="1" operator="lessThan">
      <formula>0</formula>
    </cfRule>
  </conditionalFormatting>
  <conditionalFormatting sqref="Z25">
    <cfRule type="expression" dxfId="2396" priority="115" stopIfTrue="1">
      <formula>AND(Z25&lt;&gt;0, NOT(ISTEXT(Y25)))</formula>
    </cfRule>
    <cfRule type="cellIs" dxfId="2395" priority="116" stopIfTrue="1" operator="lessThan">
      <formula>0</formula>
    </cfRule>
  </conditionalFormatting>
  <conditionalFormatting sqref="Z26">
    <cfRule type="expression" dxfId="2394" priority="113" stopIfTrue="1">
      <formula>AND(Z26&lt;&gt;0, NOT(ISTEXT(Y26)))</formula>
    </cfRule>
    <cfRule type="cellIs" dxfId="2393" priority="114" stopIfTrue="1" operator="lessThan">
      <formula>0</formula>
    </cfRule>
  </conditionalFormatting>
  <conditionalFormatting sqref="Z27">
    <cfRule type="expression" dxfId="2392" priority="111" stopIfTrue="1">
      <formula>AND(Z27&lt;&gt;0, NOT(ISTEXT(Y27)))</formula>
    </cfRule>
    <cfRule type="cellIs" dxfId="2391" priority="112" stopIfTrue="1" operator="lessThan">
      <formula>0</formula>
    </cfRule>
  </conditionalFormatting>
  <conditionalFormatting sqref="Z28">
    <cfRule type="expression" dxfId="2390" priority="109" stopIfTrue="1">
      <formula>AND(Z28&lt;&gt;0, NOT(ISTEXT(Y28)))</formula>
    </cfRule>
    <cfRule type="cellIs" dxfId="2389" priority="110" stopIfTrue="1" operator="lessThan">
      <formula>0</formula>
    </cfRule>
  </conditionalFormatting>
  <conditionalFormatting sqref="Z29">
    <cfRule type="expression" dxfId="2388" priority="107" stopIfTrue="1">
      <formula>AND(Z29&lt;&gt;0, NOT(ISTEXT(Y29)))</formula>
    </cfRule>
    <cfRule type="cellIs" dxfId="2387" priority="108" stopIfTrue="1" operator="lessThan">
      <formula>0</formula>
    </cfRule>
  </conditionalFormatting>
  <conditionalFormatting sqref="Z30">
    <cfRule type="expression" dxfId="2386" priority="105" stopIfTrue="1">
      <formula>AND(Z30&lt;&gt;0, NOT(ISTEXT(Y30)))</formula>
    </cfRule>
    <cfRule type="cellIs" dxfId="2385" priority="106" stopIfTrue="1" operator="lessThan">
      <formula>0</formula>
    </cfRule>
  </conditionalFormatting>
  <conditionalFormatting sqref="Z31">
    <cfRule type="expression" dxfId="2384" priority="103" stopIfTrue="1">
      <formula>AND(Z31&lt;&gt;0, NOT(ISTEXT(Y31)))</formula>
    </cfRule>
    <cfRule type="cellIs" dxfId="2383" priority="104" stopIfTrue="1" operator="lessThan">
      <formula>0</formula>
    </cfRule>
  </conditionalFormatting>
  <conditionalFormatting sqref="Z32">
    <cfRule type="expression" dxfId="2382" priority="101" stopIfTrue="1">
      <formula>AND(Z32&lt;&gt;0, NOT(ISTEXT(Y32)))</formula>
    </cfRule>
    <cfRule type="cellIs" dxfId="2381" priority="102" stopIfTrue="1" operator="lessThan">
      <formula>0</formula>
    </cfRule>
  </conditionalFormatting>
  <conditionalFormatting sqref="Z33">
    <cfRule type="expression" dxfId="2380" priority="99" stopIfTrue="1">
      <formula>AND(Z33&lt;&gt;0, NOT(ISTEXT(Y33)))</formula>
    </cfRule>
    <cfRule type="cellIs" dxfId="2379" priority="100" stopIfTrue="1" operator="lessThan">
      <formula>0</formula>
    </cfRule>
  </conditionalFormatting>
  <conditionalFormatting sqref="Z34">
    <cfRule type="expression" dxfId="2378" priority="97" stopIfTrue="1">
      <formula>AND(Z34&lt;&gt;0, NOT(ISTEXT(Y34)))</formula>
    </cfRule>
    <cfRule type="cellIs" dxfId="2377" priority="98" stopIfTrue="1" operator="lessThan">
      <formula>0</formula>
    </cfRule>
  </conditionalFormatting>
  <conditionalFormatting sqref="Z35">
    <cfRule type="expression" dxfId="2376" priority="95" stopIfTrue="1">
      <formula>AND(Z35&lt;&gt;0, NOT(ISTEXT(Y35)))</formula>
    </cfRule>
    <cfRule type="cellIs" dxfId="2375" priority="96" stopIfTrue="1" operator="lessThan">
      <formula>0</formula>
    </cfRule>
  </conditionalFormatting>
  <conditionalFormatting sqref="Z36">
    <cfRule type="expression" dxfId="2374" priority="93" stopIfTrue="1">
      <formula>AND(Z36&lt;&gt;0, NOT(ISTEXT(Y36)))</formula>
    </cfRule>
    <cfRule type="cellIs" dxfId="2373" priority="94" stopIfTrue="1" operator="lessThan">
      <formula>0</formula>
    </cfRule>
  </conditionalFormatting>
  <conditionalFormatting sqref="Z37">
    <cfRule type="expression" dxfId="2372" priority="91" stopIfTrue="1">
      <formula>AND(Z37&lt;&gt;0, NOT(ISTEXT(Y37)))</formula>
    </cfRule>
    <cfRule type="cellIs" dxfId="2371" priority="92" stopIfTrue="1" operator="lessThan">
      <formula>0</formula>
    </cfRule>
  </conditionalFormatting>
  <conditionalFormatting sqref="Z38">
    <cfRule type="expression" dxfId="2370" priority="89" stopIfTrue="1">
      <formula>AND(Z38&lt;&gt;0, NOT(ISTEXT(Y38)))</formula>
    </cfRule>
    <cfRule type="cellIs" dxfId="2369" priority="90" stopIfTrue="1" operator="lessThan">
      <formula>0</formula>
    </cfRule>
  </conditionalFormatting>
  <conditionalFormatting sqref="Z39">
    <cfRule type="expression" dxfId="2368" priority="87" stopIfTrue="1">
      <formula>AND(Z39&lt;&gt;0, NOT(ISTEXT(Y39)))</formula>
    </cfRule>
    <cfRule type="cellIs" dxfId="2367" priority="88" stopIfTrue="1" operator="lessThan">
      <formula>0</formula>
    </cfRule>
  </conditionalFormatting>
  <conditionalFormatting sqref="Z40">
    <cfRule type="expression" dxfId="2366" priority="85" stopIfTrue="1">
      <formula>AND(Z40&lt;&gt;0, NOT(ISTEXT(Y40)))</formula>
    </cfRule>
    <cfRule type="cellIs" dxfId="2365" priority="86" stopIfTrue="1" operator="lessThan">
      <formula>0</formula>
    </cfRule>
  </conditionalFormatting>
  <conditionalFormatting sqref="Z41">
    <cfRule type="expression" dxfId="2364" priority="83" stopIfTrue="1">
      <formula>AND(Z41&lt;&gt;0, NOT(ISTEXT(Y41)))</formula>
    </cfRule>
    <cfRule type="cellIs" dxfId="2363" priority="84" stopIfTrue="1" operator="lessThan">
      <formula>0</formula>
    </cfRule>
  </conditionalFormatting>
  <conditionalFormatting sqref="Z42">
    <cfRule type="expression" dxfId="2362" priority="81" stopIfTrue="1">
      <formula>AND(Z42&lt;&gt;0, NOT(ISTEXT(Y42)))</formula>
    </cfRule>
    <cfRule type="cellIs" dxfId="2361" priority="82" stopIfTrue="1" operator="lessThan">
      <formula>0</formula>
    </cfRule>
  </conditionalFormatting>
  <conditionalFormatting sqref="Z43">
    <cfRule type="expression" dxfId="2360" priority="79" stopIfTrue="1">
      <formula>AND(Z43&lt;&gt;0, NOT(ISTEXT(Y43)))</formula>
    </cfRule>
    <cfRule type="cellIs" dxfId="2359" priority="80" stopIfTrue="1" operator="lessThan">
      <formula>0</formula>
    </cfRule>
  </conditionalFormatting>
  <conditionalFormatting sqref="D7:D17 D27:D39 AA6:AA16">
    <cfRule type="expression" dxfId="2358" priority="71" stopIfTrue="1">
      <formula>AND(D6&lt;&gt;0,NOT(ISTEXT(B6)))</formula>
    </cfRule>
  </conditionalFormatting>
  <conditionalFormatting sqref="C65">
    <cfRule type="expression" dxfId="2357" priority="67" stopIfTrue="1">
      <formula>AND(C65&lt;&gt;0, NOT(ISTEXT(B65)))</formula>
    </cfRule>
    <cfRule type="cellIs" dxfId="2356" priority="68" stopIfTrue="1" operator="lessThan">
      <formula>0</formula>
    </cfRule>
  </conditionalFormatting>
  <conditionalFormatting sqref="C77">
    <cfRule type="expression" dxfId="2355" priority="65" stopIfTrue="1">
      <formula>AND(C77&lt;&gt;0, NOT(ISTEXT(B77)))</formula>
    </cfRule>
    <cfRule type="cellIs" dxfId="2354" priority="66" stopIfTrue="1" operator="lessThan">
      <formula>0</formula>
    </cfRule>
  </conditionalFormatting>
  <conditionalFormatting sqref="C66">
    <cfRule type="expression" dxfId="2353" priority="63" stopIfTrue="1">
      <formula>AND(C66&lt;&gt;0, NOT(ISTEXT(B66)))</formula>
    </cfRule>
    <cfRule type="cellIs" dxfId="2352" priority="64" stopIfTrue="1" operator="lessThan">
      <formula>0</formula>
    </cfRule>
  </conditionalFormatting>
  <conditionalFormatting sqref="C67">
    <cfRule type="expression" dxfId="2351" priority="61" stopIfTrue="1">
      <formula>AND(C67&lt;&gt;0, NOT(ISTEXT(B67)))</formula>
    </cfRule>
    <cfRule type="cellIs" dxfId="2350" priority="62" stopIfTrue="1" operator="lessThan">
      <formula>0</formula>
    </cfRule>
  </conditionalFormatting>
  <conditionalFormatting sqref="C68">
    <cfRule type="expression" dxfId="2349" priority="59" stopIfTrue="1">
      <formula>AND(C68&lt;&gt;0, NOT(ISTEXT(B68)))</formula>
    </cfRule>
    <cfRule type="cellIs" dxfId="2348" priority="60" stopIfTrue="1" operator="lessThan">
      <formula>0</formula>
    </cfRule>
  </conditionalFormatting>
  <conditionalFormatting sqref="C69">
    <cfRule type="expression" dxfId="2347" priority="57" stopIfTrue="1">
      <formula>AND(C69&lt;&gt;0, NOT(ISTEXT(B69)))</formula>
    </cfRule>
    <cfRule type="cellIs" dxfId="2346" priority="58" stopIfTrue="1" operator="lessThan">
      <formula>0</formula>
    </cfRule>
  </conditionalFormatting>
  <conditionalFormatting sqref="C70">
    <cfRule type="expression" dxfId="2345" priority="55" stopIfTrue="1">
      <formula>AND(C70&lt;&gt;0, NOT(ISTEXT(B70)))</formula>
    </cfRule>
    <cfRule type="cellIs" dxfId="2344" priority="56" stopIfTrue="1" operator="lessThan">
      <formula>0</formula>
    </cfRule>
  </conditionalFormatting>
  <conditionalFormatting sqref="C71">
    <cfRule type="expression" dxfId="2343" priority="53" stopIfTrue="1">
      <formula>AND(C71&lt;&gt;0, NOT(ISTEXT(B71)))</formula>
    </cfRule>
    <cfRule type="cellIs" dxfId="2342" priority="54" stopIfTrue="1" operator="lessThan">
      <formula>0</formula>
    </cfRule>
  </conditionalFormatting>
  <conditionalFormatting sqref="C72">
    <cfRule type="expression" dxfId="2341" priority="51" stopIfTrue="1">
      <formula>AND(C72&lt;&gt;0, NOT(ISTEXT(B72)))</formula>
    </cfRule>
    <cfRule type="cellIs" dxfId="2340" priority="52" stopIfTrue="1" operator="lessThan">
      <formula>0</formula>
    </cfRule>
  </conditionalFormatting>
  <conditionalFormatting sqref="C73">
    <cfRule type="expression" dxfId="2339" priority="49" stopIfTrue="1">
      <formula>AND(C73&lt;&gt;0, NOT(ISTEXT(B73)))</formula>
    </cfRule>
    <cfRule type="cellIs" dxfId="2338" priority="50" stopIfTrue="1" operator="lessThan">
      <formula>0</formula>
    </cfRule>
  </conditionalFormatting>
  <conditionalFormatting sqref="C74">
    <cfRule type="expression" dxfId="2337" priority="47" stopIfTrue="1">
      <formula>AND(C74&lt;&gt;0, NOT(ISTEXT(B74)))</formula>
    </cfRule>
    <cfRule type="cellIs" dxfId="2336" priority="48" stopIfTrue="1" operator="lessThan">
      <formula>0</formula>
    </cfRule>
  </conditionalFormatting>
  <conditionalFormatting sqref="C75">
    <cfRule type="expression" dxfId="2335" priority="45" stopIfTrue="1">
      <formula>AND(C75&lt;&gt;0, NOT(ISTEXT(B75)))</formula>
    </cfRule>
    <cfRule type="cellIs" dxfId="2334" priority="46" stopIfTrue="1" operator="lessThan">
      <formula>0</formula>
    </cfRule>
  </conditionalFormatting>
  <conditionalFormatting sqref="C76">
    <cfRule type="expression" dxfId="2333" priority="43" stopIfTrue="1">
      <formula>AND(C76&lt;&gt;0, NOT(ISTEXT(B76)))</formula>
    </cfRule>
    <cfRule type="cellIs" dxfId="2332" priority="44" stopIfTrue="1" operator="lessThan">
      <formula>0</formula>
    </cfRule>
  </conditionalFormatting>
  <conditionalFormatting sqref="D65:D77">
    <cfRule type="expression" dxfId="2331" priority="41" stopIfTrue="1">
      <formula>AND(D65&lt;&gt;0,NOT(ISTEXT(B65)))</formula>
    </cfRule>
  </conditionalFormatting>
  <conditionalFormatting sqref="C86">
    <cfRule type="expression" dxfId="2330" priority="37" stopIfTrue="1">
      <formula>AND(C86&lt;&gt;0, NOT(ISTEXT(B86)))</formula>
    </cfRule>
    <cfRule type="cellIs" dxfId="2329" priority="38" stopIfTrue="1" operator="lessThan">
      <formula>0</formula>
    </cfRule>
  </conditionalFormatting>
  <conditionalFormatting sqref="C78">
    <cfRule type="expression" dxfId="2328" priority="35" stopIfTrue="1">
      <formula>AND(C78&lt;&gt;0, NOT(ISTEXT(B78)))</formula>
    </cfRule>
    <cfRule type="cellIs" dxfId="2327" priority="36" stopIfTrue="1" operator="lessThan">
      <formula>0</formula>
    </cfRule>
  </conditionalFormatting>
  <conditionalFormatting sqref="C79">
    <cfRule type="expression" dxfId="2326" priority="33" stopIfTrue="1">
      <formula>AND(C79&lt;&gt;0, NOT(ISTEXT(B79)))</formula>
    </cfRule>
    <cfRule type="cellIs" dxfId="2325" priority="34" stopIfTrue="1" operator="lessThan">
      <formula>0</formula>
    </cfRule>
  </conditionalFormatting>
  <conditionalFormatting sqref="C80">
    <cfRule type="expression" dxfId="2324" priority="31" stopIfTrue="1">
      <formula>AND(C80&lt;&gt;0, NOT(ISTEXT(B80)))</formula>
    </cfRule>
    <cfRule type="cellIs" dxfId="2323" priority="32" stopIfTrue="1" operator="lessThan">
      <formula>0</formula>
    </cfRule>
  </conditionalFormatting>
  <conditionalFormatting sqref="C81">
    <cfRule type="expression" dxfId="2322" priority="29" stopIfTrue="1">
      <formula>AND(C81&lt;&gt;0, NOT(ISTEXT(B81)))</formula>
    </cfRule>
    <cfRule type="cellIs" dxfId="2321" priority="30" stopIfTrue="1" operator="lessThan">
      <formula>0</formula>
    </cfRule>
  </conditionalFormatting>
  <conditionalFormatting sqref="C82">
    <cfRule type="expression" dxfId="2320" priority="27" stopIfTrue="1">
      <formula>AND(C82&lt;&gt;0, NOT(ISTEXT(B82)))</formula>
    </cfRule>
    <cfRule type="cellIs" dxfId="2319" priority="28" stopIfTrue="1" operator="lessThan">
      <formula>0</formula>
    </cfRule>
  </conditionalFormatting>
  <conditionalFormatting sqref="C83">
    <cfRule type="expression" dxfId="2318" priority="25" stopIfTrue="1">
      <formula>AND(C83&lt;&gt;0, NOT(ISTEXT(B83)))</formula>
    </cfRule>
    <cfRule type="cellIs" dxfId="2317" priority="26" stopIfTrue="1" operator="lessThan">
      <formula>0</formula>
    </cfRule>
  </conditionalFormatting>
  <conditionalFormatting sqref="C84">
    <cfRule type="expression" dxfId="2316" priority="23" stopIfTrue="1">
      <formula>AND(C84&lt;&gt;0, NOT(ISTEXT(B84)))</formula>
    </cfRule>
    <cfRule type="cellIs" dxfId="2315" priority="24" stopIfTrue="1" operator="lessThan">
      <formula>0</formula>
    </cfRule>
  </conditionalFormatting>
  <conditionalFormatting sqref="C85">
    <cfRule type="expression" dxfId="2314" priority="21" stopIfTrue="1">
      <formula>AND(C85&lt;&gt;0, NOT(ISTEXT(B85)))</formula>
    </cfRule>
    <cfRule type="cellIs" dxfId="2313" priority="22" stopIfTrue="1" operator="lessThan">
      <formula>0</formula>
    </cfRule>
  </conditionalFormatting>
  <conditionalFormatting sqref="D78:D86">
    <cfRule type="expression" dxfId="2312" priority="19" stopIfTrue="1">
      <formula>AND(D78&lt;&gt;0,NOT(ISTEXT(B78)))</formula>
    </cfRule>
  </conditionalFormatting>
  <conditionalFormatting sqref="D7:D17 D27:D39 D65:D86">
    <cfRule type="cellIs" dxfId="2311" priority="16" stopIfTrue="1" operator="greaterThan">
      <formula>C7</formula>
    </cfRule>
  </conditionalFormatting>
  <conditionalFormatting sqref="AE23:AE44">
    <cfRule type="expression" dxfId="2310" priority="7" stopIfTrue="1">
      <formula>((Z23*(12-$AR$19))-AE23)/(Z23*(12-$AR$19)+0.00001)&gt;0.9</formula>
    </cfRule>
    <cfRule type="expression" dxfId="2309" priority="8" stopIfTrue="1">
      <formula>((Z23*(12-$AR$19))-AE23)/(Z23*(12-$AR$19)+0.00001)&gt;0.8</formula>
    </cfRule>
    <cfRule type="expression" dxfId="2308" priority="9" stopIfTrue="1">
      <formula>((Z23*(12-$AR$19))-AE23)/(Z23*(12-$AR$19)+0.00001)&gt;0.7</formula>
    </cfRule>
    <cfRule type="expression" dxfId="2307" priority="10" stopIfTrue="1">
      <formula>((Z23*(12-$AR$19))-AE23)/(Z23*(12-$AR$19)+0.00001)&gt;0.6</formula>
    </cfRule>
    <cfRule type="expression" dxfId="2306" priority="11" stopIfTrue="1">
      <formula>((Z23*(12-$AR$19))-AE23)/(Z23*(12-$AR$19)+0.00001)&gt;0.5</formula>
    </cfRule>
    <cfRule type="expression" dxfId="2305" priority="12" stopIfTrue="1">
      <formula>((Z23*(12-$AR$19))-AE23)/(Z23*(12-$AR$19)+0.00001)&gt;0.4</formula>
    </cfRule>
    <cfRule type="expression" dxfId="2304" priority="13" stopIfTrue="1">
      <formula>((Z23*(12-$AR$19))-AE23)/(Z23*(12-$AR$19)+0.00001)&gt;0.3</formula>
    </cfRule>
    <cfRule type="expression" dxfId="2303" priority="377" stopIfTrue="1">
      <formula>((Z23*(12-$AR$19))-AE23)/(Z23*(12-$AR$19)+0.00001)&gt;0.2</formula>
    </cfRule>
  </conditionalFormatting>
  <conditionalFormatting sqref="N55:N56">
    <cfRule type="containsText" dxfId="2302" priority="4" stopIfTrue="1" operator="containsText" text="No">
      <formula>NOT(ISERROR(SEARCH("No",N55)))</formula>
    </cfRule>
  </conditionalFormatting>
  <conditionalFormatting sqref="AE15:AE20">
    <cfRule type="containsText" dxfId="2301" priority="3" stopIfTrue="1" operator="containsText" text="Over">
      <formula>NOT(ISERROR(SEARCH("Over",AE15)))</formula>
    </cfRule>
  </conditionalFormatting>
  <conditionalFormatting sqref="B20:D20">
    <cfRule type="containsText" dxfId="2300" priority="2" stopIfTrue="1" operator="containsText" text="Check">
      <formula>NOT(ISERROR(SEARCH("Check",B20)))</formula>
    </cfRule>
  </conditionalFormatting>
  <conditionalFormatting sqref="B42:D42">
    <cfRule type="containsText" dxfId="2299" priority="1" stopIfTrue="1" operator="containsText" text="Check">
      <formula>NOT(ISERROR(SEARCH("Check",B42)))</formula>
    </cfRule>
  </conditionalFormatting>
  <dataValidations count="14">
    <dataValidation type="custom" showInputMessage="1" showErrorMessage="1" errorTitle="שגיאה" error="חובה למלא את שם ההוצאה לפני מילוי הסכום." sqref="J64:J110 Q7:Q45 J7:J53 Q64:Q110">
      <formula1>ISTEXT(I7)</formula1>
    </dataValidation>
    <dataValidation type="custom" showInputMessage="1" showErrorMessage="1" errorTitle="שגיאה" error="חובה לתת שם לכל סעיף שנרשם בו תקציב" sqref="C7:C17 C27:C39 C45:C56 Z6:Z16 Z23:Z44 C65:C86">
      <formula1>ISTEXT(B6)</formula1>
    </dataValidation>
    <dataValidation type="custom" showInputMessage="1" showErrorMessage="1" errorTitle="שגיאה" error="חובה לתת שם לכל סעיף שנרשם בו ביצוע" sqref="D65:D86 D7:D17 D27:D39 AA6:AA16 AC17">
      <formula1>ISTEXT(B6)</formula1>
    </dataValidation>
    <dataValidation type="whole" allowBlank="1" showInputMessage="1" showErrorMessage="1" errorTitle="ערך לא חוקי" error="התא יכול לקבל 0 או 1. ערכים אחרים אינם חוקיים." prompt="שים לב!_x000a_שינוי תא זה עלול להשפיע על התקציב המתוכנן לשוטפות בחודש הבא." sqref="AI23:AI44">
      <formula1>0</formula1>
      <formula2>1</formula2>
    </dataValidation>
    <dataValidation type="list" errorStyle="information" allowBlank="1" showInputMessage="1" sqref="K64:K110 U64:U110 U7:U45 E7:E17 E27:E39 E65:E86 K7:K53 AB6:AB16">
      <formula1>$AT$5:$AT$9</formula1>
    </dataValidation>
    <dataValidation type="whole" allowBlank="1" showInputMessage="1" showErrorMessage="1" error="מס' יום לא חוקי" sqref="O7:O45 H7:H53 H64:H110 O64:O110">
      <formula1>1</formula1>
      <formula2>31</formula2>
    </dataValidation>
    <dataValidation type="list" allowBlank="1" showInputMessage="1" showErrorMessage="1" error="חובה לבחור בהתפריט הנפתח" sqref="P7:P45 P64:P110">
      <formula1>$Y$23:$Y$44</formula1>
    </dataValidation>
    <dataValidation type="list" allowBlank="1" showInputMessage="1" showErrorMessage="1" error="חובה לבחור כן/לא." sqref="N55:N56">
      <formula1>$AP$55:$AP$56</formula1>
    </dataValidation>
    <dataValidation type="list" allowBlank="1" showInputMessage="1" showErrorMessage="1" error="חובה לבחור מהתפריט הנפתח" sqref="I7:I53 I64:I110">
      <formula1>$B$45:$B$56</formula1>
    </dataValidation>
    <dataValidation allowBlank="1" showInputMessage="1" showErrorMessage="1" prompt="שים לב! שינוי תא זה יבטל את החישוב האוטומטי לסה&quot;כ ביצוע הוצאות קבועות לחודש הנוכחי. " sqref="D18"/>
    <dataValidation allowBlank="1" showInputMessage="1" showErrorMessage="1" prompt="שים לב! שינוי תא זה יבטל את החישוב האוטומטי לסה&quot;כ ביצוע החזרי החובות לחודש הנוכחי. " sqref="D40"/>
    <dataValidation type="custom" errorStyle="warning" allowBlank="1" showInputMessage="1" showErrorMessage="1" errorTitle="סעיף כבר בשימוש" error="שם סעיף זה כבר בשימוש בקטגוריה זו או בקטגוריה אחרת. יתכן גם שנרשמה עליו שם כבר הוצאה בחודש זה." sqref="Y23:Y44 B45:B56 B27:B39 B65:B86 B7:B17">
      <formula1>(COUNTIF($B$7:$B$17,B7)+COUNTIF($B$27:$B$39,B7)+COUNTIF($B$45:$B$56,B7)+COUNTIF($I$7:$I$53,B7)+COUNTIF($Y$23:$Y$44,B7)+COUNTIF($P$7:$P$45,B7))&lt;=1</formula1>
    </dataValidation>
    <dataValidation type="list" allowBlank="1" showInputMessage="1" showErrorMessage="1" error="חובה לבחור מהתפריט הנפתח" sqref="N58">
      <formula1>$AQ$55:$AQ$56</formula1>
    </dataValidation>
    <dataValidation type="custom" errorStyle="information" allowBlank="1" showInputMessage="1" showErrorMessage="1" error="אתם מזינים עיסקת תשלומים. _x000a_חובה למלא את עמודות &quot;מספר התשלום&quot; ו- &quot;מתוך&quot; כדי שהתשלומים הבאים יוכנסו אוטומטית." prompt="שנה תא זה רק בהזנת עיסקת תשלומים._x000a_בחודש הראשון - הזן את סכום העיסקה הכולל._x000a_בחודשי התשלום הבאים - יוכנס אוטומטית 0 (יוצג כ &quot;-&quot;)." sqref="R7:R45 R64:R110">
      <formula1>R7=Q7</formula1>
    </dataValidation>
  </dataValidations>
  <hyperlinks>
    <hyperlink ref="Q3" location="H!Y21:Z46" tooltip="To Summary Table" display="List Periodic Expenses"/>
    <hyperlink ref="I3" location="H!B44:C58" tooltip="To Summary Table" display="List Everyday Expenses"/>
  </hyperlink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FFFF00"/>
    <outlinePr summaryBelow="0" summaryRight="0"/>
  </sheetPr>
  <dimension ref="A1:CN152"/>
  <sheetViews>
    <sheetView showZeros="0" zoomScale="75" zoomScaleNormal="75" workbookViewId="0"/>
  </sheetViews>
  <sheetFormatPr defaultColWidth="9.125" defaultRowHeight="14.25" outlineLevelRow="1" outlineLevelCol="1"/>
  <cols>
    <col min="1" max="1" width="0.625" style="2" customWidth="1"/>
    <col min="2" max="2" width="22.125" style="2" customWidth="1"/>
    <col min="3" max="3" width="8.125" style="2" customWidth="1"/>
    <col min="4" max="4" width="9.75" style="2" customWidth="1" collapsed="1"/>
    <col min="5" max="5" width="12.25" style="2" hidden="1" customWidth="1" outlineLevel="1"/>
    <col min="6" max="6" width="20.75" style="2" hidden="1" customWidth="1" outlineLevel="1"/>
    <col min="7" max="7" width="1.125" style="2" customWidth="1"/>
    <col min="8" max="8" width="5.375" style="2" customWidth="1"/>
    <col min="9" max="9" width="22.125" style="2" customWidth="1"/>
    <col min="10" max="10" width="8.125" style="2" customWidth="1" collapsed="1"/>
    <col min="11" max="11" width="12.25" style="2" hidden="1" customWidth="1" outlineLevel="1"/>
    <col min="12" max="12" width="20.75" style="2" hidden="1" customWidth="1" outlineLevel="1"/>
    <col min="13" max="13" width="10.75" style="2" customWidth="1" collapsed="1"/>
    <col min="14" max="14" width="4.875" style="2" customWidth="1"/>
    <col min="15" max="15" width="5" style="3" customWidth="1"/>
    <col min="16" max="16" width="22.125" style="2" customWidth="1"/>
    <col min="17" max="17" width="10.875" style="2" customWidth="1"/>
    <col min="18" max="18" width="9.875" style="2" bestFit="1" customWidth="1"/>
    <col min="19" max="19" width="4.625" style="26" customWidth="1" collapsed="1"/>
    <col min="20" max="20" width="3.75" style="26" customWidth="1" collapsed="1"/>
    <col min="21" max="21" width="12.25" style="26" hidden="1" customWidth="1" outlineLevel="1"/>
    <col min="22" max="22" width="20.75" style="26" hidden="1" customWidth="1" outlineLevel="1"/>
    <col min="23" max="23" width="10.75" style="2" customWidth="1"/>
    <col min="24" max="24" width="1.125" style="2" customWidth="1"/>
    <col min="25" max="25" width="24.125" style="2" customWidth="1"/>
    <col min="26" max="26" width="9.875" style="2" bestFit="1" customWidth="1"/>
    <col min="27" max="27" width="10.875" style="2" bestFit="1" customWidth="1" collapsed="1"/>
    <col min="28" max="28" width="13.375" style="2" hidden="1" customWidth="1" outlineLevel="1"/>
    <col min="29" max="29" width="15" style="2" hidden="1" customWidth="1" outlineLevel="1"/>
    <col min="30" max="30" width="10.875" style="2" hidden="1" customWidth="1"/>
    <col min="31" max="31" width="13.875" style="2" customWidth="1"/>
    <col min="32" max="32" width="3" style="2" customWidth="1"/>
    <col min="33" max="33" width="9.75" style="2" customWidth="1"/>
    <col min="34" max="34" width="5.625" style="2" customWidth="1"/>
    <col min="35" max="35" width="4.25" style="2" customWidth="1"/>
    <col min="36" max="36" width="9.125" style="2"/>
    <col min="37" max="37" width="11.875" style="2" customWidth="1"/>
    <col min="38" max="38" width="13.875" style="2" customWidth="1"/>
    <col min="39" max="40" width="9.125" style="2"/>
    <col min="41" max="41" width="9.125" style="52" customWidth="1"/>
    <col min="42" max="42" width="13.875" style="52" hidden="1" customWidth="1"/>
    <col min="43" max="43" width="15.875" style="52" hidden="1" customWidth="1"/>
    <col min="44" max="44" width="18.125" style="52" hidden="1" customWidth="1"/>
    <col min="45" max="45" width="16" style="52" hidden="1" customWidth="1"/>
    <col min="46" max="46" width="11.75" style="52" hidden="1" customWidth="1"/>
    <col min="47" max="47" width="9.125" style="52" hidden="1" customWidth="1"/>
    <col min="48" max="48" width="14" style="52" hidden="1" customWidth="1"/>
    <col min="49" max="49" width="16.75" style="52" hidden="1" customWidth="1"/>
    <col min="50" max="50" width="17.375" style="52" hidden="1" customWidth="1"/>
    <col min="51" max="51" width="9.125" style="52" hidden="1" customWidth="1"/>
    <col min="52" max="53" width="9.125" style="2" hidden="1" customWidth="1"/>
    <col min="54" max="60" width="9.125" style="2"/>
    <col min="61" max="61" width="2.875" style="2" customWidth="1"/>
    <col min="62" max="90" width="9.125" style="2"/>
    <col min="91" max="92" width="0" style="52" hidden="1" customWidth="1"/>
    <col min="93" max="16384" width="9.125" style="2"/>
  </cols>
  <sheetData>
    <row r="1" spans="1:92" s="367" customFormat="1" ht="15">
      <c r="B1" s="880" t="s">
        <v>381</v>
      </c>
      <c r="O1" s="512"/>
      <c r="S1" s="371"/>
      <c r="T1" s="371"/>
      <c r="U1" s="371"/>
      <c r="V1" s="371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CM1" s="86"/>
      <c r="CN1" s="86"/>
    </row>
    <row r="2" spans="1:92" ht="20.25">
      <c r="A2" s="367"/>
      <c r="B2" s="809" t="s">
        <v>468</v>
      </c>
      <c r="C2" s="890" t="s">
        <v>475</v>
      </c>
      <c r="E2" s="367"/>
      <c r="F2" s="367"/>
      <c r="G2" s="367"/>
      <c r="H2" s="367"/>
      <c r="I2" s="367"/>
      <c r="J2" s="368"/>
      <c r="K2" s="596"/>
      <c r="L2" s="585"/>
      <c r="M2" s="67" t="str">
        <f>IF('Month A'!M2="Month","",VLOOKUP(H!M2,'Month A'!CM3:CN14,2,FALSE))</f>
        <v/>
      </c>
      <c r="N2" s="1232" t="str">
        <f>IF('Month A'!N2:O2="Year","",IF(M2="Jan",H!N2:O2+1,H!N2:O2))</f>
        <v/>
      </c>
      <c r="O2" s="1232"/>
      <c r="Q2" s="367"/>
      <c r="R2" s="878" t="s">
        <v>491</v>
      </c>
      <c r="S2" s="371"/>
      <c r="U2" s="371"/>
      <c r="V2" s="371"/>
      <c r="W2" s="367"/>
      <c r="X2" s="367"/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86"/>
    </row>
    <row r="3" spans="1:92" ht="19.5" customHeight="1" thickBot="1">
      <c r="A3" s="367"/>
      <c r="B3" s="1162" t="s">
        <v>348</v>
      </c>
      <c r="C3" s="1163"/>
      <c r="D3" s="378"/>
      <c r="E3" s="378"/>
      <c r="F3" s="378"/>
      <c r="G3" s="367"/>
      <c r="I3" s="830" t="s">
        <v>345</v>
      </c>
      <c r="J3" s="380"/>
      <c r="K3" s="367"/>
      <c r="L3" s="581"/>
      <c r="M3" s="367"/>
      <c r="N3" s="367"/>
      <c r="O3" s="377"/>
      <c r="P3" s="381"/>
      <c r="Q3" s="830" t="s">
        <v>346</v>
      </c>
      <c r="R3" s="641"/>
      <c r="S3" s="513"/>
      <c r="T3" s="381"/>
      <c r="U3" s="513"/>
      <c r="V3" s="513"/>
      <c r="W3" s="555"/>
      <c r="X3" s="382"/>
      <c r="Y3" s="1218" t="s">
        <v>296</v>
      </c>
      <c r="Z3" s="1218"/>
      <c r="AA3" s="1218"/>
      <c r="AB3" s="554"/>
      <c r="AC3" s="554"/>
      <c r="AD3" s="383"/>
      <c r="AE3" s="367"/>
      <c r="AF3" s="367"/>
      <c r="AG3" s="367"/>
      <c r="AH3" s="367"/>
      <c r="AI3" s="367"/>
      <c r="AJ3" s="367"/>
      <c r="AK3" s="367"/>
      <c r="AL3" s="367"/>
      <c r="AM3" s="367"/>
      <c r="AN3" s="367"/>
      <c r="AO3" s="86"/>
    </row>
    <row r="4" spans="1:92" s="614" customFormat="1" ht="34.5" customHeight="1" thickBot="1">
      <c r="A4" s="602"/>
      <c r="B4" s="879" t="s">
        <v>352</v>
      </c>
      <c r="C4" s="1230">
        <f>C18</f>
        <v>0</v>
      </c>
      <c r="D4" s="1167"/>
      <c r="E4" s="1158"/>
      <c r="F4" s="1159"/>
      <c r="G4" s="602"/>
      <c r="H4" s="603" t="s">
        <v>356</v>
      </c>
      <c r="I4" s="604" t="s">
        <v>357</v>
      </c>
      <c r="J4" s="605" t="s">
        <v>494</v>
      </c>
      <c r="K4" s="606" t="s">
        <v>380</v>
      </c>
      <c r="L4" s="607" t="s">
        <v>335</v>
      </c>
      <c r="M4" s="608" t="s">
        <v>389</v>
      </c>
      <c r="N4" s="602"/>
      <c r="O4" s="609" t="s">
        <v>356</v>
      </c>
      <c r="P4" s="610" t="s">
        <v>357</v>
      </c>
      <c r="Q4" s="806" t="s">
        <v>494</v>
      </c>
      <c r="R4" s="610" t="s">
        <v>359</v>
      </c>
      <c r="S4" s="1176" t="s">
        <v>360</v>
      </c>
      <c r="T4" s="1155" t="s">
        <v>361</v>
      </c>
      <c r="U4" s="787" t="s">
        <v>380</v>
      </c>
      <c r="V4" s="639" t="s">
        <v>335</v>
      </c>
      <c r="W4" s="640" t="s">
        <v>389</v>
      </c>
      <c r="X4" s="623"/>
      <c r="Y4" s="1208" t="s">
        <v>363</v>
      </c>
      <c r="Z4" s="1231"/>
      <c r="AA4" s="611">
        <f>Z17</f>
        <v>0</v>
      </c>
      <c r="AB4" s="1174"/>
      <c r="AC4" s="1175"/>
      <c r="AD4" s="612"/>
      <c r="AF4" s="602"/>
      <c r="AG4" s="602"/>
      <c r="AH4" s="602"/>
      <c r="AI4" s="602"/>
      <c r="AJ4" s="602"/>
      <c r="AK4" s="602"/>
      <c r="AL4" s="602"/>
      <c r="AM4" s="602"/>
      <c r="AN4" s="602"/>
      <c r="AO4" s="703"/>
      <c r="AP4" s="704"/>
      <c r="AQ4" s="704"/>
      <c r="AR4" s="704"/>
      <c r="AS4" s="704"/>
      <c r="AT4" s="705" t="s">
        <v>30</v>
      </c>
      <c r="AU4" s="704"/>
      <c r="AV4" s="704"/>
      <c r="AW4" s="704"/>
      <c r="AX4" s="704"/>
      <c r="AY4" s="704"/>
      <c r="CM4" s="704"/>
      <c r="CN4" s="704"/>
    </row>
    <row r="5" spans="1:92" ht="15" customHeight="1">
      <c r="A5" s="367"/>
      <c r="B5" s="1219" t="s">
        <v>353</v>
      </c>
      <c r="C5" s="1108" t="s">
        <v>354</v>
      </c>
      <c r="D5" s="1168" t="s">
        <v>494</v>
      </c>
      <c r="E5" s="1109" t="s">
        <v>380</v>
      </c>
      <c r="F5" s="1108" t="s">
        <v>335</v>
      </c>
      <c r="G5" s="367"/>
      <c r="H5" s="1157"/>
      <c r="I5" s="1221" t="s">
        <v>427</v>
      </c>
      <c r="J5" s="1150"/>
      <c r="K5" s="1193"/>
      <c r="L5" s="1160"/>
      <c r="M5" s="1153">
        <f ca="1">C57+IF(H!N58=AQ55,H!M58,0)+H!AP45</f>
        <v>0</v>
      </c>
      <c r="N5" s="14"/>
      <c r="O5" s="1182"/>
      <c r="P5" s="1183" t="s">
        <v>467</v>
      </c>
      <c r="Q5" s="1184"/>
      <c r="R5" s="1191"/>
      <c r="S5" s="1177"/>
      <c r="T5" s="1156"/>
      <c r="U5" s="1192"/>
      <c r="V5" s="1191"/>
      <c r="W5" s="1195">
        <f>H!W46+I!Z45-H!AP45</f>
        <v>0</v>
      </c>
      <c r="X5" s="621"/>
      <c r="Y5" s="5" t="s">
        <v>364</v>
      </c>
      <c r="Z5" s="105" t="s">
        <v>354</v>
      </c>
      <c r="AA5" s="914" t="s">
        <v>494</v>
      </c>
      <c r="AB5" s="803" t="s">
        <v>386</v>
      </c>
      <c r="AC5" s="718" t="s">
        <v>335</v>
      </c>
      <c r="AD5" s="31"/>
      <c r="AE5" s="1223" t="s">
        <v>365</v>
      </c>
      <c r="AF5" s="367"/>
      <c r="AG5" s="367"/>
      <c r="AH5" s="367"/>
      <c r="AI5" s="367"/>
      <c r="AJ5" s="367"/>
      <c r="AK5" s="367"/>
      <c r="AL5" s="367"/>
      <c r="AM5" s="367"/>
      <c r="AN5" s="367"/>
      <c r="AO5" s="86"/>
      <c r="AT5" s="52" t="s">
        <v>476</v>
      </c>
    </row>
    <row r="6" spans="1:92" ht="15" customHeight="1">
      <c r="A6" s="367"/>
      <c r="B6" s="1220"/>
      <c r="C6" s="1234"/>
      <c r="D6" s="1169"/>
      <c r="E6" s="1109"/>
      <c r="F6" s="1108"/>
      <c r="G6" s="367"/>
      <c r="H6" s="1157"/>
      <c r="I6" s="1222"/>
      <c r="J6" s="1152"/>
      <c r="K6" s="1194"/>
      <c r="L6" s="1161"/>
      <c r="M6" s="1154"/>
      <c r="N6" s="367"/>
      <c r="O6" s="1182"/>
      <c r="P6" s="1185"/>
      <c r="Q6" s="1186"/>
      <c r="R6" s="1192"/>
      <c r="S6" s="638"/>
      <c r="T6" s="786"/>
      <c r="U6" s="1197"/>
      <c r="V6" s="1191"/>
      <c r="W6" s="1196"/>
      <c r="X6" s="395"/>
      <c r="Y6" s="144" t="str">
        <f>IF(H!Y6&lt;&gt;"",H!Y6,)</f>
        <v>Husband job 1</v>
      </c>
      <c r="Z6" s="456">
        <f>H!Z6</f>
        <v>0</v>
      </c>
      <c r="AA6" s="69"/>
      <c r="AB6" s="715"/>
      <c r="AC6" s="877"/>
      <c r="AD6" s="32"/>
      <c r="AE6" s="1224"/>
      <c r="AF6" s="367"/>
      <c r="AG6" s="367"/>
      <c r="AH6" s="367"/>
      <c r="AI6" s="367"/>
      <c r="AJ6" s="367"/>
      <c r="AK6" s="367"/>
      <c r="AL6" s="367"/>
      <c r="AM6" s="367"/>
      <c r="AN6" s="367"/>
      <c r="AO6" s="86"/>
      <c r="AT6" s="52" t="s">
        <v>477</v>
      </c>
    </row>
    <row r="7" spans="1:92" ht="15" customHeight="1" thickBot="1">
      <c r="A7" s="367"/>
      <c r="B7" s="901" t="str">
        <f>IF(H!B7&lt;&gt;"",H!B7,)</f>
        <v>Mortgage Payments</v>
      </c>
      <c r="C7" s="451">
        <f>H!C7</f>
        <v>0</v>
      </c>
      <c r="D7" s="78"/>
      <c r="E7" s="521"/>
      <c r="F7" s="858"/>
      <c r="G7" s="367"/>
      <c r="H7" s="542"/>
      <c r="I7" s="853"/>
      <c r="J7" s="6"/>
      <c r="K7" s="541"/>
      <c r="L7" s="860"/>
      <c r="M7" s="20" t="str">
        <f>IF(J7="","",$M$5-SUM($J$7:J7))</f>
        <v/>
      </c>
      <c r="N7" s="367"/>
      <c r="O7" s="106"/>
      <c r="P7" s="871">
        <f>IF(H!Q7&lt;&gt;H!R7,IF(H!Q7&lt;&gt;0,IF(H!S7&lt;&gt;H!T7,H!P7,),),)</f>
        <v>0</v>
      </c>
      <c r="Q7" s="795">
        <f>IF(H!Q7&lt;&gt;H!R7,IF(H!Q7&lt;&gt;0,IF(H!S7&lt;&gt;H!T7,H!Q7,),),)</f>
        <v>0</v>
      </c>
      <c r="R7" s="628">
        <f>IF(H!Q7&lt;&gt;H!R7,IF(H!Q7&lt;&gt;0,IF(H!S7&lt;&gt;H!T7,0,Q7),Q7),Q7)</f>
        <v>0</v>
      </c>
      <c r="S7" s="796">
        <f>IF(H!Q7&lt;&gt;H!R7,IF(H!Q7&lt;&gt;0,IF(H!S7&lt;&gt;H!T7,H!S7+1,),),)</f>
        <v>0</v>
      </c>
      <c r="T7" s="796">
        <f>IF(H!Q7&lt;&gt;H!R7,IF(H!Q7&lt;&gt;0,IF(H!S7&lt;&gt;H!T7,H!T7,),),)</f>
        <v>0</v>
      </c>
      <c r="U7" s="797">
        <f>IF(H!Q7&lt;&gt;H!R7,IF(H!Q7&lt;&gt;0,IF(H!S7&lt;&gt;H!T7,H!U7,),),)</f>
        <v>0</v>
      </c>
      <c r="V7" s="875">
        <f>IF(H!Q7&lt;&gt;H!R7,IF(H!Q7&lt;&gt;0,IF(H!S7&lt;&gt;H!T7,H!V7,),),)</f>
        <v>0</v>
      </c>
      <c r="W7" s="622">
        <f>IF(Q7="","",$W$5-SUM($Q$7:Q7))</f>
        <v>0</v>
      </c>
      <c r="X7" s="395"/>
      <c r="Y7" s="144" t="str">
        <f>IF(H!Y7&lt;&gt;"",H!Y7,)</f>
        <v>Husband job 2</v>
      </c>
      <c r="Z7" s="456">
        <f>H!Z7</f>
        <v>0</v>
      </c>
      <c r="AA7" s="69"/>
      <c r="AB7" s="521"/>
      <c r="AC7" s="858"/>
      <c r="AD7" s="32"/>
      <c r="AE7" s="1225"/>
      <c r="AF7" s="367"/>
      <c r="AG7" s="367"/>
      <c r="AH7" s="367"/>
      <c r="AI7" s="367"/>
      <c r="AJ7" s="367"/>
      <c r="AK7" s="367"/>
      <c r="AL7" s="367"/>
      <c r="AM7" s="367"/>
      <c r="AN7" s="367"/>
      <c r="AO7" s="86"/>
      <c r="AT7" s="52" t="s">
        <v>478</v>
      </c>
    </row>
    <row r="8" spans="1:92" ht="15" customHeight="1" thickBot="1">
      <c r="A8" s="367"/>
      <c r="B8" s="901" t="str">
        <f>IF(H!B8&lt;&gt;"",H!B8,)</f>
        <v>Mortgage Insurance</v>
      </c>
      <c r="C8" s="451">
        <f>H!C8</f>
        <v>0</v>
      </c>
      <c r="D8" s="78"/>
      <c r="E8" s="521"/>
      <c r="F8" s="858"/>
      <c r="G8" s="367"/>
      <c r="H8" s="543"/>
      <c r="I8" s="853"/>
      <c r="J8" s="6"/>
      <c r="K8" s="541"/>
      <c r="L8" s="860"/>
      <c r="M8" s="20" t="str">
        <f>IF(J8="","",$M$5-SUM($J$7:J8))</f>
        <v/>
      </c>
      <c r="N8" s="367"/>
      <c r="O8" s="7"/>
      <c r="P8" s="872">
        <f>IF(H!Q8&lt;&gt;H!R8,IF(H!Q8&lt;&gt;0,IF(H!S8&lt;&gt;H!T8,H!P8,),),)</f>
        <v>0</v>
      </c>
      <c r="Q8" s="795">
        <f>IF(H!Q8&lt;&gt;H!R8,IF(H!Q8&lt;&gt;0,IF(H!S8&lt;&gt;H!T8,H!Q8,),),)</f>
        <v>0</v>
      </c>
      <c r="R8" s="628">
        <f>IF(H!Q8&lt;&gt;H!R8,IF(H!Q8&lt;&gt;0,IF(H!S8&lt;&gt;H!T8,0,Q8),Q8),Q8)</f>
        <v>0</v>
      </c>
      <c r="S8" s="796">
        <f>IF(H!Q8&lt;&gt;H!R8,IF(H!Q8&lt;&gt;0,IF(H!S8&lt;&gt;H!T8,H!S8+1,),),)</f>
        <v>0</v>
      </c>
      <c r="T8" s="796">
        <f>IF(H!Q8&lt;&gt;H!R8,IF(H!Q8&lt;&gt;0,IF(H!S8&lt;&gt;H!T8,H!T8,),),)</f>
        <v>0</v>
      </c>
      <c r="U8" s="797">
        <f>IF(H!Q8&lt;&gt;H!R8,IF(H!Q8&lt;&gt;0,IF(H!S8&lt;&gt;H!T8,H!U8,),),)</f>
        <v>0</v>
      </c>
      <c r="V8" s="875">
        <f>IF(H!Q8&lt;&gt;H!R8,IF(H!Q8&lt;&gt;0,IF(H!S8&lt;&gt;H!T8,H!V8,),),)</f>
        <v>0</v>
      </c>
      <c r="W8" s="622">
        <f>IF(Q8="","",$W$5-SUM($Q$7:Q8))</f>
        <v>0</v>
      </c>
      <c r="X8" s="395"/>
      <c r="Y8" s="144" t="str">
        <f>IF(H!Y8&lt;&gt;"",H!Y8,)</f>
        <v>Wife job 1</v>
      </c>
      <c r="Z8" s="456">
        <f>H!Z8</f>
        <v>0</v>
      </c>
      <c r="AA8" s="69"/>
      <c r="AB8" s="521"/>
      <c r="AC8" s="858"/>
      <c r="AD8" s="32"/>
      <c r="AE8" s="363">
        <f>(AA17+'Month A'!AA17+B!AA17+'C'!AA17+D!AA17+E!AA17+F!AA17+G!AA17+H!AA17)/AR19</f>
        <v>0</v>
      </c>
      <c r="AF8" s="367"/>
      <c r="AG8" s="367"/>
      <c r="AH8" s="367"/>
      <c r="AI8" s="367"/>
      <c r="AJ8" s="367"/>
      <c r="AK8" s="367"/>
      <c r="AL8" s="367"/>
      <c r="AM8" s="367"/>
      <c r="AN8" s="367"/>
      <c r="AO8" s="86"/>
      <c r="AT8" s="52" t="s">
        <v>480</v>
      </c>
    </row>
    <row r="9" spans="1:92" ht="15" customHeight="1" thickBot="1">
      <c r="A9" s="367"/>
      <c r="B9" s="901" t="str">
        <f>IF(H!B9&lt;&gt;"",H!B9,)</f>
        <v>Rent</v>
      </c>
      <c r="C9" s="451">
        <f>H!C9</f>
        <v>0</v>
      </c>
      <c r="D9" s="78"/>
      <c r="E9" s="521"/>
      <c r="F9" s="858"/>
      <c r="G9" s="367"/>
      <c r="H9" s="543"/>
      <c r="I9" s="853"/>
      <c r="J9" s="6"/>
      <c r="K9" s="541"/>
      <c r="L9" s="860"/>
      <c r="M9" s="20" t="str">
        <f>IF(J9="","",$M$5-SUM($J$7:J9))</f>
        <v/>
      </c>
      <c r="N9" s="367"/>
      <c r="O9" s="7"/>
      <c r="P9" s="871">
        <f>IF(H!Q9&lt;&gt;H!R9,IF(H!Q9&lt;&gt;0,IF(H!S9&lt;&gt;H!T9,H!P9,),),)</f>
        <v>0</v>
      </c>
      <c r="Q9" s="795">
        <f>IF(H!Q9&lt;&gt;H!R9,IF(H!Q9&lt;&gt;0,IF(H!S9&lt;&gt;H!T9,H!Q9,),),)</f>
        <v>0</v>
      </c>
      <c r="R9" s="628">
        <f>IF(H!Q9&lt;&gt;H!R9,IF(H!Q9&lt;&gt;0,IF(H!S9&lt;&gt;H!T9,0,Q9),Q9),Q9)</f>
        <v>0</v>
      </c>
      <c r="S9" s="796">
        <f>IF(H!Q9&lt;&gt;H!R9,IF(H!Q9&lt;&gt;0,IF(H!S9&lt;&gt;H!T9,H!S9+1,),),)</f>
        <v>0</v>
      </c>
      <c r="T9" s="796">
        <f>IF(H!Q9&lt;&gt;H!R9,IF(H!Q9&lt;&gt;0,IF(H!S9&lt;&gt;H!T9,H!T9,),),)</f>
        <v>0</v>
      </c>
      <c r="U9" s="797">
        <f>IF(H!Q9&lt;&gt;H!R9,IF(H!Q9&lt;&gt;0,IF(H!S9&lt;&gt;H!T9,H!U9,),),)</f>
        <v>0</v>
      </c>
      <c r="V9" s="875">
        <f>IF(H!Q9&lt;&gt;H!R9,IF(H!Q9&lt;&gt;0,IF(H!S9&lt;&gt;H!T9,H!V9,),),)</f>
        <v>0</v>
      </c>
      <c r="W9" s="622">
        <f>IF(Q9="","",$W$5-SUM($Q$7:Q9))</f>
        <v>0</v>
      </c>
      <c r="X9" s="395"/>
      <c r="Y9" s="144" t="str">
        <f>IF(H!Y9&lt;&gt;"",H!Y9,)</f>
        <v>Wife job 2</v>
      </c>
      <c r="Z9" s="456">
        <f>H!Z9</f>
        <v>0</v>
      </c>
      <c r="AA9" s="69"/>
      <c r="AB9" s="521"/>
      <c r="AC9" s="858"/>
      <c r="AD9" s="32"/>
      <c r="AE9" s="404"/>
      <c r="AF9" s="367"/>
      <c r="AG9" s="367"/>
      <c r="AH9" s="367"/>
      <c r="AI9" s="367"/>
      <c r="AJ9" s="367"/>
      <c r="AK9" s="367"/>
      <c r="AL9" s="367"/>
      <c r="AM9" s="367"/>
      <c r="AN9" s="367"/>
      <c r="AO9" s="86"/>
      <c r="AT9" s="52" t="s">
        <v>479</v>
      </c>
    </row>
    <row r="10" spans="1:92" ht="15" customHeight="1">
      <c r="A10" s="367"/>
      <c r="B10" s="902" t="str">
        <f>IF(H!B10&lt;&gt;"",H!B10,)</f>
        <v>Town Taxes / Maintenance Fees</v>
      </c>
      <c r="C10" s="451">
        <f>H!C10</f>
        <v>0</v>
      </c>
      <c r="D10" s="79"/>
      <c r="E10" s="522"/>
      <c r="F10" s="859"/>
      <c r="G10" s="367"/>
      <c r="H10" s="543"/>
      <c r="I10" s="853"/>
      <c r="J10" s="6"/>
      <c r="K10" s="541"/>
      <c r="L10" s="860"/>
      <c r="M10" s="20" t="str">
        <f>IF(J10="","",$M$5-SUM($J$7:J10))</f>
        <v/>
      </c>
      <c r="N10" s="367"/>
      <c r="O10" s="7"/>
      <c r="P10" s="871">
        <f>IF(H!Q10&lt;&gt;H!R10,IF(H!Q10&lt;&gt;0,IF(H!S10&lt;&gt;H!T10,H!P10,),),)</f>
        <v>0</v>
      </c>
      <c r="Q10" s="798">
        <f>IF(H!Q10&lt;&gt;H!R10,IF(H!Q10&lt;&gt;0,IF(H!S10&lt;&gt;H!T10,H!Q10,),),)</f>
        <v>0</v>
      </c>
      <c r="R10" s="628">
        <f>IF(H!Q10&lt;&gt;H!R10,IF(H!Q10&lt;&gt;0,IF(H!S10&lt;&gt;H!T10,0,Q10),Q10),Q10)</f>
        <v>0</v>
      </c>
      <c r="S10" s="796">
        <f>IF(H!Q10&lt;&gt;H!R10,IF(H!Q10&lt;&gt;0,IF(H!S10&lt;&gt;H!T10,H!S10+1,),),)</f>
        <v>0</v>
      </c>
      <c r="T10" s="796">
        <f>IF(H!Q10&lt;&gt;H!R10,IF(H!Q10&lt;&gt;0,IF(H!S10&lt;&gt;H!T10,H!T10,),),)</f>
        <v>0</v>
      </c>
      <c r="U10" s="797">
        <f>IF(H!Q10&lt;&gt;H!R10,IF(H!Q10&lt;&gt;0,IF(H!S10&lt;&gt;H!T10,H!U10,),),)</f>
        <v>0</v>
      </c>
      <c r="V10" s="875">
        <f>IF(H!Q10&lt;&gt;H!R10,IF(H!Q10&lt;&gt;0,IF(H!S10&lt;&gt;H!T10,H!V10,),),)</f>
        <v>0</v>
      </c>
      <c r="W10" s="624">
        <f>IF(Q10="","",$W$5-SUM($Q$7:Q10))</f>
        <v>0</v>
      </c>
      <c r="X10" s="621"/>
      <c r="Y10" s="144" t="str">
        <f>IF(H!Y10&lt;&gt;"",H!Y10,)</f>
        <v>National Social Security for Children</v>
      </c>
      <c r="Z10" s="456">
        <f>H!Z10</f>
        <v>0</v>
      </c>
      <c r="AA10" s="69"/>
      <c r="AB10" s="522"/>
      <c r="AC10" s="859"/>
      <c r="AD10" s="32"/>
      <c r="AE10" s="1226" t="s">
        <v>366</v>
      </c>
      <c r="AF10" s="367"/>
      <c r="AG10" s="367"/>
      <c r="AH10" s="367"/>
      <c r="AI10" s="367"/>
      <c r="AJ10" s="367"/>
      <c r="AK10" s="367"/>
      <c r="AL10" s="367"/>
      <c r="AM10" s="367"/>
      <c r="AN10" s="367"/>
      <c r="AO10" s="86"/>
    </row>
    <row r="11" spans="1:92" ht="15" customHeight="1" thickBot="1">
      <c r="A11" s="367"/>
      <c r="B11" s="901" t="str">
        <f>IF(H!B11&lt;&gt;"",H!B11,)</f>
        <v xml:space="preserve">Insurance (excl. car) </v>
      </c>
      <c r="C11" s="451">
        <f>H!C11</f>
        <v>0</v>
      </c>
      <c r="D11" s="78"/>
      <c r="E11" s="521"/>
      <c r="F11" s="858"/>
      <c r="G11" s="367"/>
      <c r="H11" s="543"/>
      <c r="I11" s="853"/>
      <c r="J11" s="6"/>
      <c r="K11" s="541"/>
      <c r="L11" s="860"/>
      <c r="M11" s="20" t="str">
        <f>IF(J11="","",$M$5-SUM($J$7:J11))</f>
        <v/>
      </c>
      <c r="N11" s="367"/>
      <c r="O11" s="7"/>
      <c r="P11" s="871">
        <f>IF(H!Q11&lt;&gt;H!R11,IF(H!Q11&lt;&gt;0,IF(H!S11&lt;&gt;H!T11,H!P11,),),)</f>
        <v>0</v>
      </c>
      <c r="Q11" s="795">
        <f>IF(H!Q11&lt;&gt;H!R11,IF(H!Q11&lt;&gt;0,IF(H!S11&lt;&gt;H!T11,H!Q11,),),)</f>
        <v>0</v>
      </c>
      <c r="R11" s="628">
        <f>IF(H!Q11&lt;&gt;H!R11,IF(H!Q11&lt;&gt;0,IF(H!S11&lt;&gt;H!T11,0,Q11),Q11),Q11)</f>
        <v>0</v>
      </c>
      <c r="S11" s="796">
        <f>IF(H!Q11&lt;&gt;H!R11,IF(H!Q11&lt;&gt;0,IF(H!S11&lt;&gt;H!T11,H!S11+1,),),)</f>
        <v>0</v>
      </c>
      <c r="T11" s="796">
        <f>IF(H!Q11&lt;&gt;H!R11,IF(H!Q11&lt;&gt;0,IF(H!S11&lt;&gt;H!T11,H!T11,),),)</f>
        <v>0</v>
      </c>
      <c r="U11" s="797">
        <f>IF(H!Q11&lt;&gt;H!R11,IF(H!Q11&lt;&gt;0,IF(H!S11&lt;&gt;H!T11,H!U11,),),)</f>
        <v>0</v>
      </c>
      <c r="V11" s="875">
        <f>IF(H!Q11&lt;&gt;H!R11,IF(H!Q11&lt;&gt;0,IF(H!S11&lt;&gt;H!T11,H!V11,),),)</f>
        <v>0</v>
      </c>
      <c r="W11" s="622">
        <f>IF(Q11="","",$W$5-SUM($Q$7:Q11))</f>
        <v>0</v>
      </c>
      <c r="X11" s="395"/>
      <c r="Y11" s="144" t="str">
        <f>IF(H!Y11&lt;&gt;"",H!Y11,)</f>
        <v>other Allowances</v>
      </c>
      <c r="Z11" s="456">
        <f>H!Z11</f>
        <v>0</v>
      </c>
      <c r="AA11" s="69"/>
      <c r="AB11" s="521"/>
      <c r="AC11" s="858"/>
      <c r="AD11" s="32"/>
      <c r="AE11" s="1227"/>
      <c r="AF11" s="367"/>
      <c r="AG11" s="367"/>
      <c r="AH11" s="367"/>
      <c r="AI11" s="367"/>
      <c r="AJ11" s="367"/>
      <c r="AK11" s="367"/>
      <c r="AL11" s="367"/>
      <c r="AM11" s="367"/>
      <c r="AN11" s="367"/>
      <c r="AO11" s="86"/>
    </row>
    <row r="12" spans="1:92" ht="15" customHeight="1" thickBot="1">
      <c r="A12" s="367"/>
      <c r="B12" s="901" t="str">
        <f>IF(H!B12&lt;&gt;"",H!B12,)</f>
        <v>Bank Savings Program</v>
      </c>
      <c r="C12" s="451">
        <f>H!C12</f>
        <v>0</v>
      </c>
      <c r="D12" s="78"/>
      <c r="E12" s="521"/>
      <c r="F12" s="858"/>
      <c r="G12" s="367"/>
      <c r="H12" s="543"/>
      <c r="I12" s="853"/>
      <c r="J12" s="6"/>
      <c r="K12" s="541"/>
      <c r="L12" s="860"/>
      <c r="M12" s="20" t="str">
        <f>IF(J12="","",$M$5-SUM($J$7:J12))</f>
        <v/>
      </c>
      <c r="N12" s="367"/>
      <c r="O12" s="7"/>
      <c r="P12" s="871">
        <f>IF(H!Q12&lt;&gt;H!R12,IF(H!Q12&lt;&gt;0,IF(H!S12&lt;&gt;H!T12,H!P12,),),)</f>
        <v>0</v>
      </c>
      <c r="Q12" s="795">
        <f>IF(H!Q12&lt;&gt;H!R12,IF(H!Q12&lt;&gt;0,IF(H!S12&lt;&gt;H!T12,H!Q12,),),)</f>
        <v>0</v>
      </c>
      <c r="R12" s="628">
        <f>IF(H!Q12&lt;&gt;H!R12,IF(H!Q12&lt;&gt;0,IF(H!S12&lt;&gt;H!T12,0,Q12),Q12),Q12)</f>
        <v>0</v>
      </c>
      <c r="S12" s="796">
        <f>IF(H!Q12&lt;&gt;H!R12,IF(H!Q12&lt;&gt;0,IF(H!S12&lt;&gt;H!T12,H!S12+1,),),)</f>
        <v>0</v>
      </c>
      <c r="T12" s="796">
        <f>IF(H!Q12&lt;&gt;H!R12,IF(H!Q12&lt;&gt;0,IF(H!S12&lt;&gt;H!T12,H!T12,),),)</f>
        <v>0</v>
      </c>
      <c r="U12" s="797">
        <f>IF(H!Q12&lt;&gt;H!R12,IF(H!Q12&lt;&gt;0,IF(H!S12&lt;&gt;H!T12,H!U12,),),)</f>
        <v>0</v>
      </c>
      <c r="V12" s="875">
        <f>IF(H!Q12&lt;&gt;H!R12,IF(H!Q12&lt;&gt;0,IF(H!S12&lt;&gt;H!T12,H!V12,),),)</f>
        <v>0</v>
      </c>
      <c r="W12" s="622">
        <f>IF(Q12="","",$W$5-SUM($Q$7:Q12))</f>
        <v>0</v>
      </c>
      <c r="X12" s="395"/>
      <c r="Y12" s="144" t="str">
        <f>IF(H!Y12&lt;&gt;"",H!Y12,)</f>
        <v>Rent Assistance</v>
      </c>
      <c r="Z12" s="456">
        <f>H!Z12</f>
        <v>0</v>
      </c>
      <c r="AA12" s="69"/>
      <c r="AB12" s="521"/>
      <c r="AC12" s="858"/>
      <c r="AD12" s="32"/>
      <c r="AE12" s="1228"/>
      <c r="AF12" s="367"/>
      <c r="AG12" s="367"/>
      <c r="AH12" s="367"/>
      <c r="AI12" s="367"/>
      <c r="AJ12" s="367"/>
      <c r="AK12" s="367"/>
      <c r="AL12" s="367"/>
      <c r="AM12" s="367"/>
      <c r="AN12" s="367"/>
      <c r="AO12" s="86"/>
      <c r="AP12" s="1138" t="s">
        <v>20</v>
      </c>
      <c r="AQ12" s="1139"/>
      <c r="AR12" s="1139"/>
      <c r="AS12" s="1139"/>
      <c r="AT12" s="1139"/>
      <c r="AU12" s="1139"/>
      <c r="AV12" s="1139"/>
      <c r="AW12" s="1139"/>
      <c r="AX12" s="1140"/>
    </row>
    <row r="13" spans="1:92" ht="15" customHeight="1" thickBot="1">
      <c r="A13" s="367"/>
      <c r="B13" s="901" t="str">
        <f>IF(H!B13&lt;&gt;"",H!B13,)</f>
        <v>Subscriptions</v>
      </c>
      <c r="C13" s="451">
        <f>H!C13</f>
        <v>0</v>
      </c>
      <c r="D13" s="78"/>
      <c r="E13" s="521"/>
      <c r="F13" s="858"/>
      <c r="G13" s="367"/>
      <c r="H13" s="543"/>
      <c r="I13" s="853"/>
      <c r="J13" s="6"/>
      <c r="K13" s="541"/>
      <c r="L13" s="860"/>
      <c r="M13" s="20" t="str">
        <f>IF(J13="","",$M$5-SUM($J$7:J13))</f>
        <v/>
      </c>
      <c r="N13" s="367"/>
      <c r="O13" s="7"/>
      <c r="P13" s="871">
        <f>IF(H!Q13&lt;&gt;H!R13,IF(H!Q13&lt;&gt;0,IF(H!S13&lt;&gt;H!T13,H!P13,),),)</f>
        <v>0</v>
      </c>
      <c r="Q13" s="795">
        <f>IF(H!Q13&lt;&gt;H!R13,IF(H!Q13&lt;&gt;0,IF(H!S13&lt;&gt;H!T13,H!Q13,),),)</f>
        <v>0</v>
      </c>
      <c r="R13" s="628">
        <f>IF(H!Q13&lt;&gt;H!R13,IF(H!Q13&lt;&gt;0,IF(H!S13&lt;&gt;H!T13,0,Q13),Q13),Q13)</f>
        <v>0</v>
      </c>
      <c r="S13" s="796">
        <f>IF(H!Q13&lt;&gt;H!R13,IF(H!Q13&lt;&gt;0,IF(H!S13&lt;&gt;H!T13,H!S13+1,),),)</f>
        <v>0</v>
      </c>
      <c r="T13" s="796">
        <f>IF(H!Q13&lt;&gt;H!R13,IF(H!Q13&lt;&gt;0,IF(H!S13&lt;&gt;H!T13,H!T13,),),)</f>
        <v>0</v>
      </c>
      <c r="U13" s="797">
        <f>IF(H!Q13&lt;&gt;H!R13,IF(H!Q13&lt;&gt;0,IF(H!S13&lt;&gt;H!T13,H!U13,),),)</f>
        <v>0</v>
      </c>
      <c r="V13" s="875">
        <f>IF(H!Q13&lt;&gt;H!R13,IF(H!Q13&lt;&gt;0,IF(H!S13&lt;&gt;H!T13,H!V13,),),)</f>
        <v>0</v>
      </c>
      <c r="W13" s="622">
        <f>IF(Q13="","",$W$5-SUM($Q$7:Q13))</f>
        <v>0</v>
      </c>
      <c r="X13" s="395"/>
      <c r="Y13" s="144" t="str">
        <f>IF(H!Y13&lt;&gt;"",H!Y13,)</f>
        <v>Food Packages</v>
      </c>
      <c r="Z13" s="456">
        <f>H!Z13</f>
        <v>0</v>
      </c>
      <c r="AA13" s="69"/>
      <c r="AB13" s="521"/>
      <c r="AC13" s="858"/>
      <c r="AD13" s="32"/>
      <c r="AE13" s="363">
        <f>AA18+'Month A'!AA18+B!AA18+'C'!AA18+D!AA18+E!AA18+F!AA18+G!AA18+H!AA18</f>
        <v>0</v>
      </c>
      <c r="AF13" s="367"/>
      <c r="AG13" s="367"/>
      <c r="AH13" s="367"/>
      <c r="AI13" s="367"/>
      <c r="AJ13" s="367"/>
      <c r="AK13" s="367"/>
      <c r="AL13" s="367"/>
      <c r="AM13" s="367"/>
      <c r="AN13" s="367"/>
      <c r="AO13" s="86"/>
    </row>
    <row r="14" spans="1:92" ht="15" customHeight="1">
      <c r="A14" s="367"/>
      <c r="B14" s="901" t="str">
        <f>IF(H!B14&lt;&gt;"",H!B14,)</f>
        <v>Donations</v>
      </c>
      <c r="C14" s="451">
        <f>H!C14</f>
        <v>0</v>
      </c>
      <c r="D14" s="78"/>
      <c r="E14" s="521"/>
      <c r="F14" s="858"/>
      <c r="G14" s="367"/>
      <c r="H14" s="543"/>
      <c r="I14" s="853"/>
      <c r="J14" s="6"/>
      <c r="K14" s="541"/>
      <c r="L14" s="860"/>
      <c r="M14" s="20" t="str">
        <f>IF(J14="","",$M$5-SUM($J$7:J14))</f>
        <v/>
      </c>
      <c r="N14" s="367"/>
      <c r="O14" s="7"/>
      <c r="P14" s="871">
        <f>IF(H!Q14&lt;&gt;H!R14,IF(H!Q14&lt;&gt;0,IF(H!S14&lt;&gt;H!T14,H!P14,),),)</f>
        <v>0</v>
      </c>
      <c r="Q14" s="795">
        <f>IF(H!Q14&lt;&gt;H!R14,IF(H!Q14&lt;&gt;0,IF(H!S14&lt;&gt;H!T14,H!Q14,),),)</f>
        <v>0</v>
      </c>
      <c r="R14" s="628">
        <f>IF(H!Q14&lt;&gt;H!R14,IF(H!Q14&lt;&gt;0,IF(H!S14&lt;&gt;H!T14,0,Q14),Q14),Q14)</f>
        <v>0</v>
      </c>
      <c r="S14" s="796">
        <f>IF(H!Q14&lt;&gt;H!R14,IF(H!Q14&lt;&gt;0,IF(H!S14&lt;&gt;H!T14,H!S14+1,),),)</f>
        <v>0</v>
      </c>
      <c r="T14" s="796">
        <f>IF(H!Q14&lt;&gt;H!R14,IF(H!Q14&lt;&gt;0,IF(H!S14&lt;&gt;H!T14,H!T14,),),)</f>
        <v>0</v>
      </c>
      <c r="U14" s="797">
        <f>IF(H!Q14&lt;&gt;H!R14,IF(H!Q14&lt;&gt;0,IF(H!S14&lt;&gt;H!T14,H!U14,),),)</f>
        <v>0</v>
      </c>
      <c r="V14" s="875">
        <f>IF(H!Q14&lt;&gt;H!R14,IF(H!Q14&lt;&gt;0,IF(H!S14&lt;&gt;H!T14,H!V14,),),)</f>
        <v>0</v>
      </c>
      <c r="W14" s="622">
        <f>IF(Q14="","",$W$5-SUM($Q$7:Q14))</f>
        <v>0</v>
      </c>
      <c r="X14" s="395"/>
      <c r="Y14" s="144" t="str">
        <f>IF(H!Y14&lt;&gt;"",H!Y14,)</f>
        <v>Income from Property</v>
      </c>
      <c r="Z14" s="456">
        <f>H!Z14</f>
        <v>0</v>
      </c>
      <c r="AA14" s="69"/>
      <c r="AB14" s="521"/>
      <c r="AC14" s="858"/>
      <c r="AD14" s="32"/>
      <c r="AE14" s="403"/>
      <c r="AF14" s="367"/>
      <c r="AG14" s="367"/>
      <c r="AH14" s="367"/>
      <c r="AI14" s="367"/>
      <c r="AJ14" s="367"/>
      <c r="AK14" s="367"/>
      <c r="AL14" s="367"/>
      <c r="AM14" s="367"/>
      <c r="AN14" s="367"/>
      <c r="AO14" s="86"/>
      <c r="AW14" s="52" t="s">
        <v>12</v>
      </c>
    </row>
    <row r="15" spans="1:92" ht="15" customHeight="1">
      <c r="A15" s="367"/>
      <c r="B15" s="901">
        <f>IF(H!B15&lt;&gt;"",H!B15,)</f>
        <v>0</v>
      </c>
      <c r="C15" s="451">
        <f>H!C15</f>
        <v>0</v>
      </c>
      <c r="D15" s="78"/>
      <c r="E15" s="521"/>
      <c r="F15" s="858"/>
      <c r="G15" s="367"/>
      <c r="H15" s="543"/>
      <c r="I15" s="853"/>
      <c r="J15" s="6"/>
      <c r="K15" s="541"/>
      <c r="L15" s="860"/>
      <c r="M15" s="20" t="str">
        <f>IF(J15="","",$M$5-SUM($J$7:J15))</f>
        <v/>
      </c>
      <c r="N15" s="367"/>
      <c r="O15" s="7"/>
      <c r="P15" s="871">
        <f>IF(H!Q15&lt;&gt;H!R15,IF(H!Q15&lt;&gt;0,IF(H!S15&lt;&gt;H!T15,H!P15,),),)</f>
        <v>0</v>
      </c>
      <c r="Q15" s="795">
        <f>IF(H!Q15&lt;&gt;H!R15,IF(H!Q15&lt;&gt;0,IF(H!S15&lt;&gt;H!T15,H!Q15,),),)</f>
        <v>0</v>
      </c>
      <c r="R15" s="628">
        <f>IF(H!Q15&lt;&gt;H!R15,IF(H!Q15&lt;&gt;0,IF(H!S15&lt;&gt;H!T15,0,Q15),Q15),Q15)</f>
        <v>0</v>
      </c>
      <c r="S15" s="796">
        <f>IF(H!Q15&lt;&gt;H!R15,IF(H!Q15&lt;&gt;0,IF(H!S15&lt;&gt;H!T15,H!S15+1,),),)</f>
        <v>0</v>
      </c>
      <c r="T15" s="796">
        <f>IF(H!Q15&lt;&gt;H!R15,IF(H!Q15&lt;&gt;0,IF(H!S15&lt;&gt;H!T15,H!T15,),),)</f>
        <v>0</v>
      </c>
      <c r="U15" s="797">
        <f>IF(H!Q15&lt;&gt;H!R15,IF(H!Q15&lt;&gt;0,IF(H!S15&lt;&gt;H!T15,H!U15,),),)</f>
        <v>0</v>
      </c>
      <c r="V15" s="875">
        <f>IF(H!Q15&lt;&gt;H!R15,IF(H!Q15&lt;&gt;0,IF(H!S15&lt;&gt;H!T15,H!V15,),),)</f>
        <v>0</v>
      </c>
      <c r="W15" s="625">
        <f>IF(Q15="","",$W$5-SUM($Q$7:Q15))</f>
        <v>0</v>
      </c>
      <c r="X15" s="621"/>
      <c r="Y15" s="144" t="str">
        <f>IF(H!Y15&lt;&gt;"",H!Y15,)</f>
        <v>Help from parents</v>
      </c>
      <c r="Z15" s="456">
        <f>H!Z15</f>
        <v>0</v>
      </c>
      <c r="AA15" s="69"/>
      <c r="AB15" s="521"/>
      <c r="AC15" s="858"/>
      <c r="AD15" s="32"/>
      <c r="AE15" s="1137" t="str">
        <f>IF(COUNTIF(AE23:AE44,"&lt;0")&gt;0,"Over yearly budget!
Take an action from the options to your right.","")</f>
        <v/>
      </c>
      <c r="AF15" s="367"/>
      <c r="AG15" s="367"/>
      <c r="AH15" s="367"/>
      <c r="AI15" s="367"/>
      <c r="AJ15" s="367"/>
      <c r="AK15" s="367"/>
      <c r="AL15" s="367"/>
      <c r="AM15" s="367"/>
      <c r="AN15" s="367"/>
      <c r="AO15" s="86"/>
      <c r="AW15" s="52" t="s">
        <v>13</v>
      </c>
    </row>
    <row r="16" spans="1:92" ht="15" customHeight="1">
      <c r="A16" s="367"/>
      <c r="B16" s="849">
        <f>IF(H!B16&lt;&gt;"",H!B16,)</f>
        <v>0</v>
      </c>
      <c r="C16" s="451">
        <f>H!C16</f>
        <v>0</v>
      </c>
      <c r="D16" s="78"/>
      <c r="E16" s="521"/>
      <c r="F16" s="858"/>
      <c r="G16" s="367"/>
      <c r="H16" s="543"/>
      <c r="I16" s="853"/>
      <c r="J16" s="6"/>
      <c r="K16" s="541"/>
      <c r="L16" s="860"/>
      <c r="M16" s="20" t="str">
        <f>IF(J16="","",$M$5-SUM($J$7:J16))</f>
        <v/>
      </c>
      <c r="N16" s="367"/>
      <c r="O16" s="7"/>
      <c r="P16" s="873">
        <f>IF(H!Q16&lt;&gt;H!R16,IF(H!Q16&lt;&gt;0,IF(H!S16&lt;&gt;H!T16,H!P16,),),)</f>
        <v>0</v>
      </c>
      <c r="Q16" s="795">
        <f>IF(H!Q16&lt;&gt;H!R16,IF(H!Q16&lt;&gt;0,IF(H!S16&lt;&gt;H!T16,H!Q16,),),)</f>
        <v>0</v>
      </c>
      <c r="R16" s="628">
        <f>IF(H!Q16&lt;&gt;H!R16,IF(H!Q16&lt;&gt;0,IF(H!S16&lt;&gt;H!T16,0,Q16),Q16),Q16)</f>
        <v>0</v>
      </c>
      <c r="S16" s="796">
        <f>IF(H!Q16&lt;&gt;H!R16,IF(H!Q16&lt;&gt;0,IF(H!S16&lt;&gt;H!T16,H!S16+1,),),)</f>
        <v>0</v>
      </c>
      <c r="T16" s="796">
        <f>IF(H!Q16&lt;&gt;H!R16,IF(H!Q16&lt;&gt;0,IF(H!S16&lt;&gt;H!T16,H!T16,),),)</f>
        <v>0</v>
      </c>
      <c r="U16" s="797">
        <f>IF(H!Q16&lt;&gt;H!R16,IF(H!Q16&lt;&gt;0,IF(H!S16&lt;&gt;H!T16,H!U16,),),)</f>
        <v>0</v>
      </c>
      <c r="V16" s="875">
        <f>IF(H!Q16&lt;&gt;H!R16,IF(H!Q16&lt;&gt;0,IF(H!S16&lt;&gt;H!T16,H!V16,),),)</f>
        <v>0</v>
      </c>
      <c r="W16" s="622">
        <f>IF(Q16="","",$W$5-SUM($Q$7:Q16))</f>
        <v>0</v>
      </c>
      <c r="X16" s="395"/>
      <c r="Y16" s="144" t="str">
        <f>IF(H!Y16&lt;&gt;"",H!Y16,)</f>
        <v>Other Income</v>
      </c>
      <c r="Z16" s="456">
        <f>H!Z16</f>
        <v>0</v>
      </c>
      <c r="AA16" s="69"/>
      <c r="AB16" s="645"/>
      <c r="AC16" s="870"/>
      <c r="AD16" s="32"/>
      <c r="AE16" s="1137"/>
      <c r="AF16" s="367"/>
      <c r="AG16" s="367"/>
      <c r="AH16" s="367"/>
      <c r="AI16" s="367"/>
      <c r="AJ16" s="367"/>
      <c r="AK16" s="367"/>
      <c r="AL16" s="367"/>
      <c r="AM16" s="367"/>
      <c r="AN16" s="367"/>
      <c r="AO16" s="86"/>
      <c r="AW16" s="90">
        <f>13-AR19</f>
        <v>4</v>
      </c>
    </row>
    <row r="17" spans="1:63" ht="15" customHeight="1">
      <c r="A17" s="367"/>
      <c r="B17" s="849">
        <f>IF(H!B17&lt;&gt;"",H!B17,)</f>
        <v>0</v>
      </c>
      <c r="C17" s="451">
        <f>H!C17</f>
        <v>0</v>
      </c>
      <c r="D17" s="78"/>
      <c r="E17" s="521"/>
      <c r="F17" s="858"/>
      <c r="G17" s="367"/>
      <c r="H17" s="543"/>
      <c r="I17" s="853" t="s">
        <v>1</v>
      </c>
      <c r="J17" s="6"/>
      <c r="K17" s="541"/>
      <c r="L17" s="860"/>
      <c r="M17" s="20" t="str">
        <f>IF(J17="","",$M$5-SUM($J$7:J17))</f>
        <v/>
      </c>
      <c r="N17" s="367"/>
      <c r="O17" s="7"/>
      <c r="P17" s="871">
        <f>IF(H!Q17&lt;&gt;H!R17,IF(H!Q17&lt;&gt;0,IF(H!S17&lt;&gt;H!T17,H!P17,),),)</f>
        <v>0</v>
      </c>
      <c r="Q17" s="795">
        <f>IF(H!Q17&lt;&gt;H!R17,IF(H!Q17&lt;&gt;0,IF(H!S17&lt;&gt;H!T17,H!Q17,),),)</f>
        <v>0</v>
      </c>
      <c r="R17" s="628">
        <f>IF(H!Q17&lt;&gt;H!R17,IF(H!Q17&lt;&gt;0,IF(H!S17&lt;&gt;H!T17,0,Q17),Q17),Q17)</f>
        <v>0</v>
      </c>
      <c r="S17" s="796">
        <f>IF(H!Q17&lt;&gt;H!R17,IF(H!Q17&lt;&gt;0,IF(H!S17&lt;&gt;H!T17,H!S17+1,),),)</f>
        <v>0</v>
      </c>
      <c r="T17" s="796">
        <f>IF(H!Q17&lt;&gt;H!R17,IF(H!Q17&lt;&gt;0,IF(H!S17&lt;&gt;H!T17,H!T17,),),)</f>
        <v>0</v>
      </c>
      <c r="U17" s="797">
        <f>IF(H!Q17&lt;&gt;H!R17,IF(H!Q17&lt;&gt;0,IF(H!S17&lt;&gt;H!T17,H!U17,),),)</f>
        <v>0</v>
      </c>
      <c r="V17" s="875">
        <f>IF(H!Q17&lt;&gt;H!R17,IF(H!Q17&lt;&gt;0,IF(H!S17&lt;&gt;H!T17,H!V17,),),)</f>
        <v>0</v>
      </c>
      <c r="W17" s="624">
        <f>IF(Q17="","",$W$5-SUM($Q$7:Q17))</f>
        <v>0</v>
      </c>
      <c r="X17" s="621"/>
      <c r="Y17" s="18" t="s">
        <v>179</v>
      </c>
      <c r="Z17" s="17">
        <f>SUM(Z6:Z16)</f>
        <v>0</v>
      </c>
      <c r="AA17" s="19">
        <f>SUM(AA6:AA16)</f>
        <v>0</v>
      </c>
      <c r="AB17" s="642"/>
      <c r="AC17" s="642"/>
      <c r="AD17" s="33"/>
      <c r="AE17" s="1137"/>
      <c r="AF17" s="367"/>
      <c r="AG17" s="367"/>
      <c r="AH17" s="367"/>
      <c r="AI17" s="367"/>
      <c r="AJ17" s="367"/>
      <c r="AK17" s="367"/>
      <c r="AL17" s="367"/>
      <c r="AM17" s="367"/>
      <c r="AN17" s="367"/>
      <c r="AO17" s="86"/>
    </row>
    <row r="18" spans="1:63" ht="15" customHeight="1" thickBot="1">
      <c r="A18" s="367"/>
      <c r="B18" s="16" t="s">
        <v>179</v>
      </c>
      <c r="C18" s="77">
        <f>SUM(C7:C17)</f>
        <v>0</v>
      </c>
      <c r="D18" s="75">
        <f>SUM(D7:D17)</f>
        <v>0</v>
      </c>
      <c r="E18" s="515"/>
      <c r="F18" s="515"/>
      <c r="G18" s="367"/>
      <c r="H18" s="543"/>
      <c r="I18" s="853"/>
      <c r="J18" s="6"/>
      <c r="K18" s="541"/>
      <c r="L18" s="860"/>
      <c r="M18" s="20" t="str">
        <f>IF(J18="","",$M$5-SUM($J$7:J18))</f>
        <v/>
      </c>
      <c r="N18" s="367"/>
      <c r="O18" s="7"/>
      <c r="P18" s="873">
        <f>IF(H!Q18&lt;&gt;H!R18,IF(H!Q18&lt;&gt;0,IF(H!S18&lt;&gt;H!T18,H!P18,),),)</f>
        <v>0</v>
      </c>
      <c r="Q18" s="795">
        <f>IF(H!Q18&lt;&gt;H!R18,IF(H!Q18&lt;&gt;0,IF(H!S18&lt;&gt;H!T18,H!Q18,),),)</f>
        <v>0</v>
      </c>
      <c r="R18" s="628">
        <f>IF(H!Q18&lt;&gt;H!R18,IF(H!Q18&lt;&gt;0,IF(H!S18&lt;&gt;H!T18,0,Q18),Q18),Q18)</f>
        <v>0</v>
      </c>
      <c r="S18" s="796">
        <f>IF(H!Q18&lt;&gt;H!R18,IF(H!Q18&lt;&gt;0,IF(H!S18&lt;&gt;H!T18,H!S18+1,),),)</f>
        <v>0</v>
      </c>
      <c r="T18" s="796">
        <f>IF(H!Q18&lt;&gt;H!R18,IF(H!Q18&lt;&gt;0,IF(H!S18&lt;&gt;H!T18,H!T18,),),)</f>
        <v>0</v>
      </c>
      <c r="U18" s="797">
        <f>IF(H!Q18&lt;&gt;H!R18,IF(H!Q18&lt;&gt;0,IF(H!S18&lt;&gt;H!T18,H!U18,),),)</f>
        <v>0</v>
      </c>
      <c r="V18" s="875">
        <f>IF(H!Q18&lt;&gt;H!R18,IF(H!Q18&lt;&gt;0,IF(H!S18&lt;&gt;H!T18,H!V18,),),)</f>
        <v>0</v>
      </c>
      <c r="W18" s="622">
        <f>IF(Q18="","",$W$5-SUM($Q$7:Q18))</f>
        <v>0</v>
      </c>
      <c r="X18" s="395"/>
      <c r="Y18" s="1204" t="s">
        <v>367</v>
      </c>
      <c r="Z18" s="1205"/>
      <c r="AA18" s="121">
        <f>AA17-AA4</f>
        <v>0</v>
      </c>
      <c r="AB18" s="643"/>
      <c r="AC18" s="643"/>
      <c r="AD18" s="34"/>
      <c r="AE18" s="1137"/>
      <c r="AF18" s="367"/>
      <c r="AG18" s="376"/>
      <c r="AH18" s="885" t="s">
        <v>401</v>
      </c>
      <c r="AI18" s="367"/>
      <c r="AJ18" s="367"/>
      <c r="AK18" s="367"/>
      <c r="AL18" s="367"/>
      <c r="AM18" s="367"/>
      <c r="AN18" s="367"/>
      <c r="AO18" s="86"/>
      <c r="AR18" s="52" t="s">
        <v>5</v>
      </c>
    </row>
    <row r="19" spans="1:63" ht="15" customHeight="1" thickBot="1">
      <c r="A19" s="367"/>
      <c r="B19" s="95" t="s">
        <v>367</v>
      </c>
      <c r="C19" s="98"/>
      <c r="D19" s="97">
        <f>C18-D18</f>
        <v>0</v>
      </c>
      <c r="E19" s="516"/>
      <c r="F19" s="516"/>
      <c r="G19" s="367"/>
      <c r="H19" s="543"/>
      <c r="I19" s="853"/>
      <c r="J19" s="6"/>
      <c r="K19" s="541"/>
      <c r="L19" s="860"/>
      <c r="M19" s="20" t="str">
        <f>IF(J19="","",$M$5-SUM($J$7:J19))</f>
        <v/>
      </c>
      <c r="N19" s="367"/>
      <c r="O19" s="7"/>
      <c r="P19" s="871">
        <f>IF(H!Q19&lt;&gt;H!R19,IF(H!Q19&lt;&gt;0,IF(H!S19&lt;&gt;H!T19,H!P19,),),)</f>
        <v>0</v>
      </c>
      <c r="Q19" s="795">
        <f>IF(H!Q19&lt;&gt;H!R19,IF(H!Q19&lt;&gt;0,IF(H!S19&lt;&gt;H!T19,H!Q19,),),)</f>
        <v>0</v>
      </c>
      <c r="R19" s="628">
        <f>IF(H!Q19&lt;&gt;H!R19,IF(H!Q19&lt;&gt;0,IF(H!S19&lt;&gt;H!T19,0,Q19),Q19),Q19)</f>
        <v>0</v>
      </c>
      <c r="S19" s="796">
        <f>IF(H!Q19&lt;&gt;H!R19,IF(H!Q19&lt;&gt;0,IF(H!S19&lt;&gt;H!T19,H!S19+1,),),)</f>
        <v>0</v>
      </c>
      <c r="T19" s="796">
        <f>IF(H!Q19&lt;&gt;H!R19,IF(H!Q19&lt;&gt;0,IF(H!S19&lt;&gt;H!T19,H!T19,),),)</f>
        <v>0</v>
      </c>
      <c r="U19" s="797">
        <f>IF(H!Q19&lt;&gt;H!R19,IF(H!Q19&lt;&gt;0,IF(H!S19&lt;&gt;H!T19,H!U19,),),)</f>
        <v>0</v>
      </c>
      <c r="V19" s="875">
        <f>IF(H!Q19&lt;&gt;H!R19,IF(H!Q19&lt;&gt;0,IF(H!S19&lt;&gt;H!T19,H!V19,),),)</f>
        <v>0</v>
      </c>
      <c r="W19" s="622">
        <f>IF(Q19="","",$W$5-SUM($Q$7:Q19))</f>
        <v>0</v>
      </c>
      <c r="X19" s="395"/>
      <c r="Y19" s="378"/>
      <c r="Z19" s="378"/>
      <c r="AA19" s="378"/>
      <c r="AB19" s="378"/>
      <c r="AC19" s="378"/>
      <c r="AD19" s="9"/>
      <c r="AE19" s="1137"/>
      <c r="AF19" s="367"/>
      <c r="AG19" s="373"/>
      <c r="AH19" s="886" t="s">
        <v>402</v>
      </c>
      <c r="AI19" s="367"/>
      <c r="AJ19" s="367"/>
      <c r="AK19" s="367"/>
      <c r="AL19" s="367"/>
      <c r="AM19" s="367"/>
      <c r="AN19" s="367"/>
      <c r="AO19" s="86"/>
      <c r="AR19" s="88">
        <v>9</v>
      </c>
      <c r="AV19" s="476" t="s">
        <v>14</v>
      </c>
    </row>
    <row r="20" spans="1:63" ht="15" customHeight="1" thickBot="1">
      <c r="A20" s="367"/>
      <c r="B20" s="1095" t="str">
        <f>IF(D19&gt;0,"Unexpected positive difference - Check why!","")</f>
        <v/>
      </c>
      <c r="C20" s="1095"/>
      <c r="D20" s="1095"/>
      <c r="E20" s="514"/>
      <c r="F20" s="514"/>
      <c r="G20" s="367"/>
      <c r="H20" s="543"/>
      <c r="I20" s="853"/>
      <c r="J20" s="6"/>
      <c r="K20" s="541"/>
      <c r="L20" s="860"/>
      <c r="M20" s="20" t="str">
        <f>IF(J20="","",$M$5-SUM($J$7:J20))</f>
        <v/>
      </c>
      <c r="N20" s="367"/>
      <c r="O20" s="7"/>
      <c r="P20" s="871">
        <f>IF(H!Q20&lt;&gt;H!R20,IF(H!Q20&lt;&gt;0,IF(H!S20&lt;&gt;H!T20,H!P20,),),)</f>
        <v>0</v>
      </c>
      <c r="Q20" s="795">
        <f>IF(H!Q20&lt;&gt;H!R20,IF(H!Q20&lt;&gt;0,IF(H!S20&lt;&gt;H!T20,H!Q20,),),)</f>
        <v>0</v>
      </c>
      <c r="R20" s="628">
        <f>IF(H!Q20&lt;&gt;H!R20,IF(H!Q20&lt;&gt;0,IF(H!S20&lt;&gt;H!T20,0,Q20),Q20),Q20)</f>
        <v>0</v>
      </c>
      <c r="S20" s="796">
        <f>IF(H!Q20&lt;&gt;H!R20,IF(H!Q20&lt;&gt;0,IF(H!S20&lt;&gt;H!T20,H!S20+1,),),)</f>
        <v>0</v>
      </c>
      <c r="T20" s="796">
        <f>IF(H!Q20&lt;&gt;H!R20,IF(H!Q20&lt;&gt;0,IF(H!S20&lt;&gt;H!T20,H!T20,),),)</f>
        <v>0</v>
      </c>
      <c r="U20" s="797">
        <f>IF(H!Q20&lt;&gt;H!R20,IF(H!Q20&lt;&gt;0,IF(H!S20&lt;&gt;H!T20,H!U20,),),)</f>
        <v>0</v>
      </c>
      <c r="V20" s="875">
        <f>IF(H!Q20&lt;&gt;H!R20,IF(H!Q20&lt;&gt;0,IF(H!S20&lt;&gt;H!T20,H!V20,),),)</f>
        <v>0</v>
      </c>
      <c r="W20" s="622">
        <f>IF(Q20="","",$W$5-SUM($Q$7:Q20))</f>
        <v>0</v>
      </c>
      <c r="X20" s="395"/>
      <c r="Y20" s="1206" t="s">
        <v>350</v>
      </c>
      <c r="Z20" s="1207"/>
      <c r="AA20" s="1207"/>
      <c r="AB20" s="552"/>
      <c r="AC20" s="552"/>
      <c r="AD20" s="27"/>
      <c r="AE20" s="1137"/>
      <c r="AF20" s="367"/>
      <c r="AG20" s="374"/>
      <c r="AH20" s="887" t="s">
        <v>466</v>
      </c>
      <c r="AI20" s="367"/>
      <c r="AJ20" s="367"/>
      <c r="AK20" s="367"/>
      <c r="AL20" s="367"/>
      <c r="AM20" s="367"/>
      <c r="AN20" s="367"/>
      <c r="AO20" s="86"/>
      <c r="AQ20" s="1240" t="s">
        <v>29</v>
      </c>
      <c r="AR20" s="1139"/>
      <c r="AS20" s="1139"/>
      <c r="AT20" s="1140"/>
      <c r="AV20" s="476" t="s">
        <v>15</v>
      </c>
    </row>
    <row r="21" spans="1:63" ht="15" customHeight="1">
      <c r="A21" s="367"/>
      <c r="B21" s="399"/>
      <c r="C21" s="400"/>
      <c r="D21" s="400"/>
      <c r="E21" s="400"/>
      <c r="F21" s="400"/>
      <c r="G21" s="367"/>
      <c r="H21" s="543"/>
      <c r="I21" s="853"/>
      <c r="J21" s="6"/>
      <c r="K21" s="541"/>
      <c r="L21" s="860"/>
      <c r="M21" s="20" t="str">
        <f>IF(J21="","",$M$5-SUM($J$7:J21))</f>
        <v/>
      </c>
      <c r="N21" s="367"/>
      <c r="O21" s="7"/>
      <c r="P21" s="873">
        <f>IF(H!Q21&lt;&gt;H!R21,IF(H!Q21&lt;&gt;0,IF(H!S21&lt;&gt;H!T21,H!P21,),),)</f>
        <v>0</v>
      </c>
      <c r="Q21" s="795">
        <f>IF(H!Q21&lt;&gt;H!R21,IF(H!Q21&lt;&gt;0,IF(H!S21&lt;&gt;H!T21,H!Q21,),),)</f>
        <v>0</v>
      </c>
      <c r="R21" s="628">
        <f>IF(H!Q21&lt;&gt;H!R21,IF(H!Q21&lt;&gt;0,IF(H!S21&lt;&gt;H!T21,0,Q21),Q21),Q21)</f>
        <v>0</v>
      </c>
      <c r="S21" s="796">
        <f>IF(H!Q21&lt;&gt;H!R21,IF(H!Q21&lt;&gt;0,IF(H!S21&lt;&gt;H!T21,H!S21+1,),),)</f>
        <v>0</v>
      </c>
      <c r="T21" s="796">
        <f>IF(H!Q21&lt;&gt;H!R21,IF(H!Q21&lt;&gt;0,IF(H!S21&lt;&gt;H!T21,H!T21,),),)</f>
        <v>0</v>
      </c>
      <c r="U21" s="797">
        <f>IF(H!Q21&lt;&gt;H!R21,IF(H!Q21&lt;&gt;0,IF(H!S21&lt;&gt;H!T21,H!U21,),),)</f>
        <v>0</v>
      </c>
      <c r="V21" s="875">
        <f>IF(H!Q21&lt;&gt;H!R21,IF(H!Q21&lt;&gt;0,IF(H!S21&lt;&gt;H!T21,H!V21,),),)</f>
        <v>0</v>
      </c>
      <c r="W21" s="622">
        <f>IF(Q21="","",$W$5-SUM($Q$7:Q21))</f>
        <v>0</v>
      </c>
      <c r="X21" s="395"/>
      <c r="Y21" s="1187" t="s">
        <v>353</v>
      </c>
      <c r="Z21" s="1189" t="s">
        <v>354</v>
      </c>
      <c r="AA21" s="1210" t="s">
        <v>494</v>
      </c>
      <c r="AB21" s="719"/>
      <c r="AC21" s="720"/>
      <c r="AD21" s="1148" t="s">
        <v>2</v>
      </c>
      <c r="AE21" s="1141" t="s">
        <v>406</v>
      </c>
      <c r="AG21" s="1242" t="s">
        <v>405</v>
      </c>
      <c r="AH21" s="887" t="s">
        <v>403</v>
      </c>
      <c r="AI21" s="367"/>
      <c r="AJ21" s="367"/>
      <c r="AK21" s="367"/>
      <c r="AL21" s="367"/>
      <c r="AM21" s="367"/>
      <c r="AN21" s="367"/>
      <c r="AO21" s="86"/>
      <c r="AP21" s="89" t="s">
        <v>3</v>
      </c>
      <c r="AQ21" s="475" t="s">
        <v>7</v>
      </c>
      <c r="AR21" s="1229" t="s">
        <v>11</v>
      </c>
      <c r="AS21" s="476"/>
      <c r="AT21" s="476"/>
      <c r="AU21" s="476"/>
      <c r="AV21" s="476" t="s">
        <v>16</v>
      </c>
      <c r="AW21" s="476"/>
      <c r="AX21" s="90" t="s">
        <v>0</v>
      </c>
    </row>
    <row r="22" spans="1:63" ht="15.75" customHeight="1" thickBot="1">
      <c r="A22" s="367"/>
      <c r="B22" s="401" t="s">
        <v>349</v>
      </c>
      <c r="C22" s="402"/>
      <c r="D22" s="378"/>
      <c r="E22" s="378"/>
      <c r="F22" s="378"/>
      <c r="G22" s="367"/>
      <c r="H22" s="543"/>
      <c r="I22" s="853"/>
      <c r="J22" s="6"/>
      <c r="K22" s="541"/>
      <c r="L22" s="860"/>
      <c r="M22" s="20" t="str">
        <f>IF(J22="","",$M$5-SUM($J$7:J22))</f>
        <v/>
      </c>
      <c r="N22" s="367"/>
      <c r="O22" s="7"/>
      <c r="P22" s="871">
        <f>IF(H!Q22&lt;&gt;H!R22,IF(H!Q22&lt;&gt;0,IF(H!S22&lt;&gt;H!T22,H!P22,),),)</f>
        <v>0</v>
      </c>
      <c r="Q22" s="795">
        <f>IF(H!Q22&lt;&gt;H!R22,IF(H!Q22&lt;&gt;0,IF(H!S22&lt;&gt;H!T22,H!Q22,),),)</f>
        <v>0</v>
      </c>
      <c r="R22" s="628">
        <f>IF(H!Q22&lt;&gt;H!R22,IF(H!Q22&lt;&gt;0,IF(H!S22&lt;&gt;H!T22,0,Q22),Q22),Q22)</f>
        <v>0</v>
      </c>
      <c r="S22" s="796">
        <f>IF(H!Q22&lt;&gt;H!R22,IF(H!Q22&lt;&gt;0,IF(H!S22&lt;&gt;H!T22,H!S22+1,),),)</f>
        <v>0</v>
      </c>
      <c r="T22" s="796">
        <f>IF(H!Q22&lt;&gt;H!R22,IF(H!Q22&lt;&gt;0,IF(H!S22&lt;&gt;H!T22,H!T22,),),)</f>
        <v>0</v>
      </c>
      <c r="U22" s="797">
        <f>IF(H!Q22&lt;&gt;H!R22,IF(H!Q22&lt;&gt;0,IF(H!S22&lt;&gt;H!T22,H!U22,),),)</f>
        <v>0</v>
      </c>
      <c r="V22" s="875">
        <f>IF(H!Q22&lt;&gt;H!R22,IF(H!Q22&lt;&gt;0,IF(H!S22&lt;&gt;H!T22,H!V22,),),)</f>
        <v>0</v>
      </c>
      <c r="W22" s="622">
        <f>IF(Q22="","",$W$5-SUM($Q$7:Q22))</f>
        <v>0</v>
      </c>
      <c r="X22" s="395"/>
      <c r="Y22" s="1188"/>
      <c r="Z22" s="1241"/>
      <c r="AA22" s="1211"/>
      <c r="AB22" s="719"/>
      <c r="AC22" s="721"/>
      <c r="AD22" s="1148"/>
      <c r="AE22" s="1141"/>
      <c r="AF22" s="367"/>
      <c r="AG22" s="1243"/>
      <c r="AH22" s="367"/>
      <c r="AI22" s="367"/>
      <c r="AJ22" s="367"/>
      <c r="AK22" s="367"/>
      <c r="AL22" s="367"/>
      <c r="AM22" s="367"/>
      <c r="AN22" s="367"/>
      <c r="AO22" s="86"/>
      <c r="AP22" s="90" t="s">
        <v>9</v>
      </c>
      <c r="AQ22" s="475" t="s">
        <v>10</v>
      </c>
      <c r="AR22" s="1229"/>
      <c r="AS22" s="475" t="s">
        <v>8</v>
      </c>
      <c r="AT22" s="475" t="s">
        <v>6</v>
      </c>
      <c r="AU22" s="476"/>
      <c r="AV22" s="475" t="s">
        <v>17</v>
      </c>
      <c r="AW22" s="475" t="s">
        <v>18</v>
      </c>
      <c r="AX22" s="706" t="s">
        <v>19</v>
      </c>
      <c r="AZ22" s="725" t="s">
        <v>31</v>
      </c>
      <c r="BA22" s="724"/>
      <c r="BB22" s="724"/>
      <c r="BC22" s="724"/>
      <c r="BD22" s="724"/>
      <c r="BE22" s="724"/>
      <c r="BF22" s="724"/>
      <c r="BG22" s="724"/>
      <c r="BH22" s="724"/>
      <c r="BJ22" s="724"/>
      <c r="BK22" s="724"/>
    </row>
    <row r="23" spans="1:63" ht="15.75">
      <c r="A23" s="367"/>
      <c r="B23" s="1102" t="s">
        <v>428</v>
      </c>
      <c r="C23" s="1104">
        <f ca="1">C40</f>
        <v>0</v>
      </c>
      <c r="D23" s="1105"/>
      <c r="E23" s="1091"/>
      <c r="F23" s="1092"/>
      <c r="G23" s="367"/>
      <c r="H23" s="543"/>
      <c r="I23" s="853"/>
      <c r="J23" s="6"/>
      <c r="K23" s="541"/>
      <c r="L23" s="860"/>
      <c r="M23" s="20" t="str">
        <f>IF(J23="","",$M$5-SUM($J$7:J23))</f>
        <v/>
      </c>
      <c r="N23" s="367"/>
      <c r="O23" s="7"/>
      <c r="P23" s="873">
        <f>IF(H!Q23&lt;&gt;H!R23,IF(H!Q23&lt;&gt;0,IF(H!S23&lt;&gt;H!T23,H!P23,),),)</f>
        <v>0</v>
      </c>
      <c r="Q23" s="795">
        <f>IF(H!Q23&lt;&gt;H!R23,IF(H!Q23&lt;&gt;0,IF(H!S23&lt;&gt;H!T23,H!Q23,),),)</f>
        <v>0</v>
      </c>
      <c r="R23" s="628">
        <f>IF(H!Q23&lt;&gt;H!R23,IF(H!Q23&lt;&gt;0,IF(H!S23&lt;&gt;H!T23,0,Q23),Q23),Q23)</f>
        <v>0</v>
      </c>
      <c r="S23" s="796">
        <f>IF(H!Q23&lt;&gt;H!R23,IF(H!Q23&lt;&gt;0,IF(H!S23&lt;&gt;H!T23,H!S23+1,),),)</f>
        <v>0</v>
      </c>
      <c r="T23" s="796">
        <f>IF(H!Q23&lt;&gt;H!R23,IF(H!Q23&lt;&gt;0,IF(H!S23&lt;&gt;H!T23,H!T23,),),)</f>
        <v>0</v>
      </c>
      <c r="U23" s="797">
        <f>IF(H!Q23&lt;&gt;H!R23,IF(H!Q23&lt;&gt;0,IF(H!S23&lt;&gt;H!T23,H!U23,),),)</f>
        <v>0</v>
      </c>
      <c r="V23" s="875">
        <f>IF(H!Q23&lt;&gt;H!R23,IF(H!Q23&lt;&gt;0,IF(H!S23&lt;&gt;H!T23,H!V23,),),)</f>
        <v>0</v>
      </c>
      <c r="W23" s="622">
        <f>IF(Q23="","",$W$5-SUM($Q$7:Q23))</f>
        <v>0</v>
      </c>
      <c r="X23" s="395"/>
      <c r="Y23" s="905" t="str">
        <f>IF(H!Y23&lt;&gt;"",H!Y23,)</f>
        <v>Municipal Taxes</v>
      </c>
      <c r="Z23" s="457">
        <f>H!Z23</f>
        <v>0</v>
      </c>
      <c r="AA23" s="21">
        <f t="shared" ref="AA23:AA44" si="0">SUMIF($P$7:$P$110,Y23,$Q$7:$Q$110)</f>
        <v>0</v>
      </c>
      <c r="AB23" s="722"/>
      <c r="AC23" s="722"/>
      <c r="AD23" s="35">
        <f t="shared" ref="AD23:AD44" si="1">SUMIF($P$7:$P$110,Y23,$R$7:$R$110)</f>
        <v>0</v>
      </c>
      <c r="AE23" s="23">
        <f>IF(AI23=0,AX23,0)</f>
        <v>0</v>
      </c>
      <c r="AF23" s="367"/>
      <c r="AG23" s="728">
        <f t="shared" ref="AG23:AG44" si="2">IF(AZ23&gt;1,"overrun",IF(AZ23&lt;0,"OK",AZ23))</f>
        <v>0</v>
      </c>
      <c r="AH23" s="367"/>
      <c r="AI23" s="375">
        <v>0</v>
      </c>
      <c r="AJ23" s="367"/>
      <c r="AK23" s="367"/>
      <c r="AL23" s="367"/>
      <c r="AM23" s="367"/>
      <c r="AN23" s="367"/>
      <c r="AO23" s="86"/>
      <c r="AP23" s="51">
        <f t="shared" ref="AP23:AP44" si="3">IF(AI23=1,AX23,0)</f>
        <v>0</v>
      </c>
      <c r="AQ23" s="476">
        <f>H!AQ23+H!AP23</f>
        <v>0</v>
      </c>
      <c r="AR23" s="476">
        <f t="shared" ref="AR23:AR44" si="4">Z23*12-AS23-AQ23</f>
        <v>0</v>
      </c>
      <c r="AS23" s="477">
        <f>AD23+H!AS23</f>
        <v>0</v>
      </c>
      <c r="AT23" s="477">
        <f>AA23+H!AT23</f>
        <v>0</v>
      </c>
      <c r="AU23" s="476"/>
      <c r="AV23" s="477">
        <f>H!AV23-H!AD23+I!Z23-H!AP23</f>
        <v>0</v>
      </c>
      <c r="AW23" s="476">
        <f>IF(AE23&lt;0,AE23,0)</f>
        <v>0</v>
      </c>
      <c r="AX23" s="52">
        <f>IF(Z23=H!Z23,H!AE23-AD23,H!AE23+(Z23-H!Z23)*$AW$16-AD23)</f>
        <v>0</v>
      </c>
      <c r="AZ23" s="726">
        <f>(($Z23*(12-$AR$19))-$AE23)/($Z23*(12-$AR$19)+0.00001)</f>
        <v>0</v>
      </c>
    </row>
    <row r="24" spans="1:63" ht="15.75">
      <c r="A24" s="367"/>
      <c r="B24" s="1103"/>
      <c r="C24" s="1106"/>
      <c r="D24" s="1107"/>
      <c r="E24" s="1091"/>
      <c r="F24" s="1092"/>
      <c r="G24" s="367"/>
      <c r="H24" s="543"/>
      <c r="I24" s="853"/>
      <c r="J24" s="6"/>
      <c r="K24" s="541"/>
      <c r="L24" s="860"/>
      <c r="M24" s="20" t="str">
        <f>IF(J24="","",$M$5-SUM($J$7:J24))</f>
        <v/>
      </c>
      <c r="N24" s="367"/>
      <c r="O24" s="7"/>
      <c r="P24" s="873">
        <f>IF(H!Q24&lt;&gt;H!R24,IF(H!Q24&lt;&gt;0,IF(H!S24&lt;&gt;H!T24,H!P24,),),)</f>
        <v>0</v>
      </c>
      <c r="Q24" s="795">
        <f>IF(H!Q24&lt;&gt;H!R24,IF(H!Q24&lt;&gt;0,IF(H!S24&lt;&gt;H!T24,H!Q24,),),)</f>
        <v>0</v>
      </c>
      <c r="R24" s="628">
        <f>IF(H!Q24&lt;&gt;H!R24,IF(H!Q24&lt;&gt;0,IF(H!S24&lt;&gt;H!T24,0,Q24),Q24),Q24)</f>
        <v>0</v>
      </c>
      <c r="S24" s="796">
        <f>IF(H!Q24&lt;&gt;H!R24,IF(H!Q24&lt;&gt;0,IF(H!S24&lt;&gt;H!T24,H!S24+1,),),)</f>
        <v>0</v>
      </c>
      <c r="T24" s="796">
        <f>IF(H!Q24&lt;&gt;H!R24,IF(H!Q24&lt;&gt;0,IF(H!S24&lt;&gt;H!T24,H!T24,),),)</f>
        <v>0</v>
      </c>
      <c r="U24" s="797">
        <f>IF(H!Q24&lt;&gt;H!R24,IF(H!Q24&lt;&gt;0,IF(H!S24&lt;&gt;H!T24,H!U24,),),)</f>
        <v>0</v>
      </c>
      <c r="V24" s="875">
        <f>IF(H!Q24&lt;&gt;H!R24,IF(H!Q24&lt;&gt;0,IF(H!S24&lt;&gt;H!T24,H!V24,),),)</f>
        <v>0</v>
      </c>
      <c r="W24" s="622">
        <f>IF(Q24="","",$W$5-SUM($Q$7:Q24))</f>
        <v>0</v>
      </c>
      <c r="X24" s="395"/>
      <c r="Y24" s="905" t="str">
        <f>IF(H!Y24&lt;&gt;"",H!Y24,)</f>
        <v>Water and Sewage</v>
      </c>
      <c r="Z24" s="457">
        <f>H!Z24</f>
        <v>0</v>
      </c>
      <c r="AA24" s="20">
        <f t="shared" si="0"/>
        <v>0</v>
      </c>
      <c r="AB24" s="723"/>
      <c r="AC24" s="723"/>
      <c r="AD24" s="36">
        <f t="shared" si="1"/>
        <v>0</v>
      </c>
      <c r="AE24" s="23">
        <f t="shared" ref="AE24:AE44" si="5">IF(AI24=0,AX24,0)</f>
        <v>0</v>
      </c>
      <c r="AF24" s="367"/>
      <c r="AG24" s="728">
        <f t="shared" si="2"/>
        <v>0</v>
      </c>
      <c r="AH24" s="367"/>
      <c r="AI24" s="375">
        <v>0</v>
      </c>
      <c r="AJ24" s="367"/>
      <c r="AK24" s="367"/>
      <c r="AL24" s="367"/>
      <c r="AM24" s="367"/>
      <c r="AN24" s="367"/>
      <c r="AO24" s="86"/>
      <c r="AP24" s="51">
        <f t="shared" si="3"/>
        <v>0</v>
      </c>
      <c r="AQ24" s="476">
        <f>H!AQ24+H!AP24</f>
        <v>0</v>
      </c>
      <c r="AR24" s="476">
        <f t="shared" si="4"/>
        <v>0</v>
      </c>
      <c r="AS24" s="477">
        <f>AD24+H!AS24</f>
        <v>0</v>
      </c>
      <c r="AT24" s="477">
        <f>AA24+H!AT24</f>
        <v>0</v>
      </c>
      <c r="AU24" s="476"/>
      <c r="AV24" s="477">
        <f>H!AV24-H!AD24+I!Z24-H!AP24</f>
        <v>0</v>
      </c>
      <c r="AW24" s="476">
        <f t="shared" ref="AW24:AW44" si="6">IF(AE24&lt;0,AE24,0)</f>
        <v>0</v>
      </c>
      <c r="AX24" s="52">
        <f>IF(Z24=H!Z24,H!AE24-AD24,H!AE24+(Z24-H!Z24)*$AW$16-AD24)</f>
        <v>0</v>
      </c>
      <c r="AZ24" s="726">
        <f t="shared" ref="AZ24:AZ44" si="7">(($Z24*(12-$AR$19))-$AE24)/($Z24*(12-$AR$19)+0.00001)</f>
        <v>0</v>
      </c>
    </row>
    <row r="25" spans="1:63" ht="16.5" thickBot="1">
      <c r="A25" s="367"/>
      <c r="B25" s="1178" t="s">
        <v>388</v>
      </c>
      <c r="C25" s="1118" t="s">
        <v>354</v>
      </c>
      <c r="D25" s="1180" t="s">
        <v>494</v>
      </c>
      <c r="E25" s="1109" t="s">
        <v>380</v>
      </c>
      <c r="F25" s="1108" t="s">
        <v>335</v>
      </c>
      <c r="G25" s="367"/>
      <c r="H25" s="543"/>
      <c r="I25" s="853"/>
      <c r="J25" s="6"/>
      <c r="K25" s="541"/>
      <c r="L25" s="860"/>
      <c r="M25" s="20" t="str">
        <f>IF(J25="","",$M$5-SUM($J$7:J25))</f>
        <v/>
      </c>
      <c r="N25" s="367"/>
      <c r="O25" s="7"/>
      <c r="P25" s="873">
        <f>IF(H!Q25&lt;&gt;H!R25,IF(H!Q25&lt;&gt;0,IF(H!S25&lt;&gt;H!T25,H!P25,),),)</f>
        <v>0</v>
      </c>
      <c r="Q25" s="795">
        <f>IF(H!Q25&lt;&gt;H!R25,IF(H!Q25&lt;&gt;0,IF(H!S25&lt;&gt;H!T25,H!Q25,),),)</f>
        <v>0</v>
      </c>
      <c r="R25" s="628">
        <f>IF(H!Q25&lt;&gt;H!R25,IF(H!Q25&lt;&gt;0,IF(H!S25&lt;&gt;H!T25,0,Q25),Q25),Q25)</f>
        <v>0</v>
      </c>
      <c r="S25" s="796">
        <f>IF(H!Q25&lt;&gt;H!R25,IF(H!Q25&lt;&gt;0,IF(H!S25&lt;&gt;H!T25,H!S25+1,),),)</f>
        <v>0</v>
      </c>
      <c r="T25" s="796">
        <f>IF(H!Q25&lt;&gt;H!R25,IF(H!Q25&lt;&gt;0,IF(H!S25&lt;&gt;H!T25,H!T25,),),)</f>
        <v>0</v>
      </c>
      <c r="U25" s="797">
        <f>IF(H!Q25&lt;&gt;H!R25,IF(H!Q25&lt;&gt;0,IF(H!S25&lt;&gt;H!T25,H!U25,),),)</f>
        <v>0</v>
      </c>
      <c r="V25" s="875">
        <f>IF(H!Q25&lt;&gt;H!R25,IF(H!Q25&lt;&gt;0,IF(H!S25&lt;&gt;H!T25,H!V25,),),)</f>
        <v>0</v>
      </c>
      <c r="W25" s="622">
        <f>IF(Q25="","",$W$5-SUM($Q$7:Q25))</f>
        <v>0</v>
      </c>
      <c r="X25" s="395"/>
      <c r="Y25" s="905" t="str">
        <f>IF(H!Y25&lt;&gt;"",H!Y25,)</f>
        <v>Electricity</v>
      </c>
      <c r="Z25" s="457">
        <f>H!Z25</f>
        <v>0</v>
      </c>
      <c r="AA25" s="20">
        <f t="shared" si="0"/>
        <v>0</v>
      </c>
      <c r="AB25" s="723"/>
      <c r="AC25" s="723"/>
      <c r="AD25" s="36">
        <f t="shared" si="1"/>
        <v>0</v>
      </c>
      <c r="AE25" s="23">
        <f t="shared" si="5"/>
        <v>0</v>
      </c>
      <c r="AF25" s="367"/>
      <c r="AG25" s="728">
        <f t="shared" si="2"/>
        <v>0</v>
      </c>
      <c r="AH25" s="367"/>
      <c r="AI25" s="375">
        <v>0</v>
      </c>
      <c r="AJ25" s="367"/>
      <c r="AK25" s="367"/>
      <c r="AL25" s="367"/>
      <c r="AM25" s="367"/>
      <c r="AN25" s="367"/>
      <c r="AO25" s="86"/>
      <c r="AP25" s="51">
        <f t="shared" si="3"/>
        <v>0</v>
      </c>
      <c r="AQ25" s="476">
        <f>H!AQ25+H!AP25</f>
        <v>0</v>
      </c>
      <c r="AR25" s="476">
        <f t="shared" si="4"/>
        <v>0</v>
      </c>
      <c r="AS25" s="477">
        <f>AD25+H!AS25</f>
        <v>0</v>
      </c>
      <c r="AT25" s="477">
        <f>AA25+H!AT25</f>
        <v>0</v>
      </c>
      <c r="AU25" s="476"/>
      <c r="AV25" s="477">
        <f>H!AV25-H!AD25+I!Z25-H!AP25</f>
        <v>0</v>
      </c>
      <c r="AW25" s="476">
        <f t="shared" si="6"/>
        <v>0</v>
      </c>
      <c r="AX25" s="52">
        <f>IF(Z25=H!Z25,H!AE25-AD25,H!AE25+(Z25-H!Z25)*$AW$16-AD25)</f>
        <v>0</v>
      </c>
      <c r="AZ25" s="726">
        <f t="shared" si="7"/>
        <v>0</v>
      </c>
    </row>
    <row r="26" spans="1:63" ht="15.75">
      <c r="A26" s="367"/>
      <c r="B26" s="1179"/>
      <c r="C26" s="1119"/>
      <c r="D26" s="1181"/>
      <c r="E26" s="1109"/>
      <c r="F26" s="1108"/>
      <c r="G26" s="367"/>
      <c r="H26" s="543"/>
      <c r="I26" s="853"/>
      <c r="J26" s="6"/>
      <c r="K26" s="541"/>
      <c r="L26" s="860"/>
      <c r="M26" s="20" t="str">
        <f>IF(J26="","",$M$5-SUM($J$7:J26))</f>
        <v/>
      </c>
      <c r="N26" s="367"/>
      <c r="O26" s="7"/>
      <c r="P26" s="873">
        <f>IF(H!Q26&lt;&gt;H!R26,IF(H!Q26&lt;&gt;0,IF(H!S26&lt;&gt;H!T26,H!P26,),),)</f>
        <v>0</v>
      </c>
      <c r="Q26" s="795">
        <f>IF(H!Q26&lt;&gt;H!R26,IF(H!Q26&lt;&gt;0,IF(H!S26&lt;&gt;H!T26,H!Q26,),),)</f>
        <v>0</v>
      </c>
      <c r="R26" s="628">
        <f>IF(H!Q26&lt;&gt;H!R26,IF(H!Q26&lt;&gt;0,IF(H!S26&lt;&gt;H!T26,0,Q26),Q26),Q26)</f>
        <v>0</v>
      </c>
      <c r="S26" s="796">
        <f>IF(H!Q26&lt;&gt;H!R26,IF(H!Q26&lt;&gt;0,IF(H!S26&lt;&gt;H!T26,H!S26+1,),),)</f>
        <v>0</v>
      </c>
      <c r="T26" s="796">
        <f>IF(H!Q26&lt;&gt;H!R26,IF(H!Q26&lt;&gt;0,IF(H!S26&lt;&gt;H!T26,H!T26,),),)</f>
        <v>0</v>
      </c>
      <c r="U26" s="797">
        <f>IF(H!Q26&lt;&gt;H!R26,IF(H!Q26&lt;&gt;0,IF(H!S26&lt;&gt;H!T26,H!U26,),),)</f>
        <v>0</v>
      </c>
      <c r="V26" s="875">
        <f>IF(H!Q26&lt;&gt;H!R26,IF(H!Q26&lt;&gt;0,IF(H!S26&lt;&gt;H!T26,H!V26,),),)</f>
        <v>0</v>
      </c>
      <c r="W26" s="622">
        <f>IF(Q26="","",$W$5-SUM($Q$7:Q26))</f>
        <v>0</v>
      </c>
      <c r="X26" s="395"/>
      <c r="Y26" s="905" t="str">
        <f>IF(H!Y26&lt;&gt;"",H!Y26,)</f>
        <v>Gas</v>
      </c>
      <c r="Z26" s="457">
        <f>H!Z26</f>
        <v>0</v>
      </c>
      <c r="AA26" s="20">
        <f t="shared" si="0"/>
        <v>0</v>
      </c>
      <c r="AB26" s="723"/>
      <c r="AC26" s="723"/>
      <c r="AD26" s="36">
        <f t="shared" si="1"/>
        <v>0</v>
      </c>
      <c r="AE26" s="23">
        <f t="shared" si="5"/>
        <v>0</v>
      </c>
      <c r="AF26" s="367"/>
      <c r="AG26" s="728">
        <f t="shared" si="2"/>
        <v>0</v>
      </c>
      <c r="AH26" s="367"/>
      <c r="AI26" s="375">
        <v>0</v>
      </c>
      <c r="AJ26" s="367"/>
      <c r="AK26" s="525" t="s">
        <v>404</v>
      </c>
      <c r="AL26" s="526"/>
      <c r="AM26" s="367"/>
      <c r="AN26" s="367"/>
      <c r="AO26" s="86"/>
      <c r="AP26" s="51">
        <f t="shared" si="3"/>
        <v>0</v>
      </c>
      <c r="AQ26" s="476">
        <f>H!AQ26+H!AP26</f>
        <v>0</v>
      </c>
      <c r="AR26" s="476">
        <f t="shared" si="4"/>
        <v>0</v>
      </c>
      <c r="AS26" s="477">
        <f>AD26+H!AS26</f>
        <v>0</v>
      </c>
      <c r="AT26" s="477">
        <f>AA26+H!AT26</f>
        <v>0</v>
      </c>
      <c r="AU26" s="476"/>
      <c r="AV26" s="477">
        <f>H!AV26-H!AD26+I!Z26-H!AP26</f>
        <v>0</v>
      </c>
      <c r="AW26" s="476">
        <f t="shared" si="6"/>
        <v>0</v>
      </c>
      <c r="AX26" s="52">
        <f>IF(Z26=H!Z26,H!AE26-AD26,H!AE26+(Z26-H!Z26)*$AW$16-AD26)</f>
        <v>0</v>
      </c>
      <c r="AZ26" s="726">
        <f t="shared" si="7"/>
        <v>0</v>
      </c>
    </row>
    <row r="27" spans="1:63" ht="15.75">
      <c r="A27" s="367"/>
      <c r="B27" s="850">
        <f>IF(H!B27&lt;&gt;"",H!B27,)</f>
        <v>0</v>
      </c>
      <c r="C27" s="454">
        <f>H!C27</f>
        <v>0</v>
      </c>
      <c r="D27" s="74"/>
      <c r="E27" s="521"/>
      <c r="F27" s="858"/>
      <c r="G27" s="367"/>
      <c r="H27" s="543"/>
      <c r="I27" s="853"/>
      <c r="J27" s="6"/>
      <c r="K27" s="541"/>
      <c r="L27" s="860"/>
      <c r="M27" s="20" t="str">
        <f>IF(J27="","",$M$5-SUM($J$7:J27))</f>
        <v/>
      </c>
      <c r="N27" s="367"/>
      <c r="O27" s="7"/>
      <c r="P27" s="873">
        <f>IF(H!Q27&lt;&gt;H!R27,IF(H!Q27&lt;&gt;0,IF(H!S27&lt;&gt;H!T27,H!P27,),),)</f>
        <v>0</v>
      </c>
      <c r="Q27" s="795">
        <f>IF(H!Q27&lt;&gt;H!R27,IF(H!Q27&lt;&gt;0,IF(H!S27&lt;&gt;H!T27,H!Q27,),),)</f>
        <v>0</v>
      </c>
      <c r="R27" s="628">
        <f>IF(H!Q27&lt;&gt;H!R27,IF(H!Q27&lt;&gt;0,IF(H!S27&lt;&gt;H!T27,0,Q27),Q27),Q27)</f>
        <v>0</v>
      </c>
      <c r="S27" s="796">
        <f>IF(H!Q27&lt;&gt;H!R27,IF(H!Q27&lt;&gt;0,IF(H!S27&lt;&gt;H!T27,H!S27+1,),),)</f>
        <v>0</v>
      </c>
      <c r="T27" s="796">
        <f>IF(H!Q27&lt;&gt;H!R27,IF(H!Q27&lt;&gt;0,IF(H!S27&lt;&gt;H!T27,H!T27,),),)</f>
        <v>0</v>
      </c>
      <c r="U27" s="797">
        <f>IF(H!Q27&lt;&gt;H!R27,IF(H!Q27&lt;&gt;0,IF(H!S27&lt;&gt;H!T27,H!U27,),),)</f>
        <v>0</v>
      </c>
      <c r="V27" s="875">
        <f>IF(H!Q27&lt;&gt;H!R27,IF(H!Q27&lt;&gt;0,IF(H!S27&lt;&gt;H!T27,H!V27,),),)</f>
        <v>0</v>
      </c>
      <c r="W27" s="622">
        <f>IF(Q27="","",$W$5-SUM($Q$7:Q27))</f>
        <v>0</v>
      </c>
      <c r="X27" s="395"/>
      <c r="Y27" s="905" t="str">
        <f>IF(H!Y27&lt;&gt;"",H!Y27,)</f>
        <v>Heating</v>
      </c>
      <c r="Z27" s="457">
        <f>H!Z27</f>
        <v>0</v>
      </c>
      <c r="AA27" s="20">
        <f t="shared" si="0"/>
        <v>0</v>
      </c>
      <c r="AB27" s="723"/>
      <c r="AC27" s="723"/>
      <c r="AD27" s="36">
        <f t="shared" si="1"/>
        <v>0</v>
      </c>
      <c r="AE27" s="23">
        <f t="shared" si="5"/>
        <v>0</v>
      </c>
      <c r="AF27" s="367"/>
      <c r="AG27" s="728">
        <f t="shared" si="2"/>
        <v>0</v>
      </c>
      <c r="AH27" s="367"/>
      <c r="AI27" s="375">
        <v>0</v>
      </c>
      <c r="AJ27" s="367"/>
      <c r="AK27" s="527"/>
      <c r="AL27" s="394"/>
      <c r="AM27" s="367"/>
      <c r="AN27" s="367"/>
      <c r="AO27" s="86"/>
      <c r="AP27" s="51">
        <f t="shared" si="3"/>
        <v>0</v>
      </c>
      <c r="AQ27" s="476">
        <f>H!AQ27+H!AP27</f>
        <v>0</v>
      </c>
      <c r="AR27" s="476">
        <f t="shared" si="4"/>
        <v>0</v>
      </c>
      <c r="AS27" s="477">
        <f>AD27+H!AS27</f>
        <v>0</v>
      </c>
      <c r="AT27" s="477">
        <f>AA27+H!AT27</f>
        <v>0</v>
      </c>
      <c r="AU27" s="476"/>
      <c r="AV27" s="477">
        <f>H!AV27-H!AD27+I!Z27-H!AP27</f>
        <v>0</v>
      </c>
      <c r="AW27" s="476">
        <f t="shared" si="6"/>
        <v>0</v>
      </c>
      <c r="AX27" s="52">
        <f>IF(Z27=H!Z27,H!AE27-AD27,H!AE27+(Z27-H!Z27)*$AW$16-AD27)</f>
        <v>0</v>
      </c>
      <c r="AZ27" s="726">
        <f t="shared" si="7"/>
        <v>0</v>
      </c>
    </row>
    <row r="28" spans="1:63" ht="15" customHeight="1">
      <c r="A28" s="367"/>
      <c r="B28" s="850">
        <f ca="1">IF(H!B28&lt;&gt;"",H!B28,)</f>
        <v>0</v>
      </c>
      <c r="C28" s="454">
        <f ca="1">H!C28</f>
        <v>0</v>
      </c>
      <c r="D28" s="74"/>
      <c r="E28" s="521"/>
      <c r="F28" s="858"/>
      <c r="G28" s="367"/>
      <c r="H28" s="543"/>
      <c r="I28" s="853"/>
      <c r="J28" s="6"/>
      <c r="K28" s="541"/>
      <c r="L28" s="860"/>
      <c r="M28" s="20" t="str">
        <f>IF(J28="","",$M$5-SUM($J$7:J28))</f>
        <v/>
      </c>
      <c r="N28" s="367"/>
      <c r="O28" s="7"/>
      <c r="P28" s="873">
        <f>IF(H!Q28&lt;&gt;H!R28,IF(H!Q28&lt;&gt;0,IF(H!S28&lt;&gt;H!T28,H!P28,),),)</f>
        <v>0</v>
      </c>
      <c r="Q28" s="795">
        <f>IF(H!Q28&lt;&gt;H!R28,IF(H!Q28&lt;&gt;0,IF(H!S28&lt;&gt;H!T28,H!Q28,),),)</f>
        <v>0</v>
      </c>
      <c r="R28" s="628">
        <f>IF(H!Q28&lt;&gt;H!R28,IF(H!Q28&lt;&gt;0,IF(H!S28&lt;&gt;H!T28,0,Q28),Q28),Q28)</f>
        <v>0</v>
      </c>
      <c r="S28" s="796">
        <f>IF(H!Q28&lt;&gt;H!R28,IF(H!Q28&lt;&gt;0,IF(H!S28&lt;&gt;H!T28,H!S28+1,),),)</f>
        <v>0</v>
      </c>
      <c r="T28" s="796">
        <f>IF(H!Q28&lt;&gt;H!R28,IF(H!Q28&lt;&gt;0,IF(H!S28&lt;&gt;H!T28,H!T28,),),)</f>
        <v>0</v>
      </c>
      <c r="U28" s="797">
        <f>IF(H!Q28&lt;&gt;H!R28,IF(H!Q28&lt;&gt;0,IF(H!S28&lt;&gt;H!T28,H!U28,),),)</f>
        <v>0</v>
      </c>
      <c r="V28" s="875">
        <f>IF(H!Q28&lt;&gt;H!R28,IF(H!Q28&lt;&gt;0,IF(H!S28&lt;&gt;H!T28,H!V28,),),)</f>
        <v>0</v>
      </c>
      <c r="W28" s="622">
        <f>IF(Q28="","",$W$5-SUM($Q$7:Q28))</f>
        <v>0</v>
      </c>
      <c r="X28" s="395"/>
      <c r="Y28" s="906" t="str">
        <f>IF(H!Y28&lt;&gt;"",H!Y28,)</f>
        <v>Education/Schoolbooks</v>
      </c>
      <c r="Z28" s="457">
        <f>H!Z28</f>
        <v>0</v>
      </c>
      <c r="AA28" s="20">
        <f t="shared" si="0"/>
        <v>0</v>
      </c>
      <c r="AB28" s="723"/>
      <c r="AC28" s="723"/>
      <c r="AD28" s="36">
        <f t="shared" si="1"/>
        <v>0</v>
      </c>
      <c r="AE28" s="23">
        <f>IF(AI28=0,AX28,0)</f>
        <v>0</v>
      </c>
      <c r="AF28" s="367"/>
      <c r="AG28" s="728">
        <f t="shared" si="2"/>
        <v>0</v>
      </c>
      <c r="AH28" s="367"/>
      <c r="AI28" s="375">
        <v>0</v>
      </c>
      <c r="AJ28" s="367"/>
      <c r="AK28" s="528" t="s">
        <v>405</v>
      </c>
      <c r="AL28" s="529" t="s">
        <v>407</v>
      </c>
      <c r="AM28" s="367"/>
      <c r="AN28" s="367"/>
      <c r="AO28" s="86"/>
      <c r="AP28" s="51">
        <f t="shared" si="3"/>
        <v>0</v>
      </c>
      <c r="AQ28" s="476">
        <f>H!AQ28+H!AP28</f>
        <v>0</v>
      </c>
      <c r="AR28" s="476">
        <f t="shared" si="4"/>
        <v>0</v>
      </c>
      <c r="AS28" s="477">
        <f>AD28+H!AS28</f>
        <v>0</v>
      </c>
      <c r="AT28" s="477">
        <f>AA28+H!AT28</f>
        <v>0</v>
      </c>
      <c r="AU28" s="476"/>
      <c r="AV28" s="477">
        <f>H!AV28-H!AD28+I!Z28-H!AP28</f>
        <v>0</v>
      </c>
      <c r="AW28" s="476">
        <f t="shared" si="6"/>
        <v>0</v>
      </c>
      <c r="AX28" s="52">
        <f>IF(Z28=H!Z28,H!AE28-AD28,H!AE28+(Z28-H!Z28)*$AW$16-AD28)</f>
        <v>0</v>
      </c>
      <c r="AZ28" s="726">
        <f t="shared" si="7"/>
        <v>0</v>
      </c>
    </row>
    <row r="29" spans="1:63" ht="15" customHeight="1">
      <c r="A29" s="367"/>
      <c r="B29" s="850">
        <f ca="1">IF(H!B29&lt;&gt;"",H!B29,)</f>
        <v>0</v>
      </c>
      <c r="C29" s="454">
        <f ca="1">H!C29</f>
        <v>0</v>
      </c>
      <c r="D29" s="74"/>
      <c r="E29" s="521"/>
      <c r="F29" s="858"/>
      <c r="G29" s="367"/>
      <c r="H29" s="543"/>
      <c r="I29" s="854"/>
      <c r="J29" s="6"/>
      <c r="K29" s="541"/>
      <c r="L29" s="860"/>
      <c r="M29" s="20" t="str">
        <f>IF(J29="","",$M$5-SUM($J$7:J29))</f>
        <v/>
      </c>
      <c r="N29" s="367"/>
      <c r="O29" s="7"/>
      <c r="P29" s="873">
        <f>IF(H!Q29&lt;&gt;H!R29,IF(H!Q29&lt;&gt;0,IF(H!S29&lt;&gt;H!T29,H!P29,),),)</f>
        <v>0</v>
      </c>
      <c r="Q29" s="795">
        <f>IF(H!Q29&lt;&gt;H!R29,IF(H!Q29&lt;&gt;0,IF(H!S29&lt;&gt;H!T29,H!Q29,),),)</f>
        <v>0</v>
      </c>
      <c r="R29" s="628">
        <f>IF(H!Q29&lt;&gt;H!R29,IF(H!Q29&lt;&gt;0,IF(H!S29&lt;&gt;H!T29,0,Q29),Q29),Q29)</f>
        <v>0</v>
      </c>
      <c r="S29" s="796">
        <f>IF(H!Q29&lt;&gt;H!R29,IF(H!Q29&lt;&gt;0,IF(H!S29&lt;&gt;H!T29,H!S29+1,),),)</f>
        <v>0</v>
      </c>
      <c r="T29" s="796">
        <f>IF(H!Q29&lt;&gt;H!R29,IF(H!Q29&lt;&gt;0,IF(H!S29&lt;&gt;H!T29,H!T29,),),)</f>
        <v>0</v>
      </c>
      <c r="U29" s="797">
        <f>IF(H!Q29&lt;&gt;H!R29,IF(H!Q29&lt;&gt;0,IF(H!S29&lt;&gt;H!T29,H!U29,),),)</f>
        <v>0</v>
      </c>
      <c r="V29" s="875">
        <f>IF(H!Q29&lt;&gt;H!R29,IF(H!Q29&lt;&gt;0,IF(H!S29&lt;&gt;H!T29,H!V29,),),)</f>
        <v>0</v>
      </c>
      <c r="W29" s="622">
        <f>IF(Q29="","",$W$5-SUM($Q$7:Q29))</f>
        <v>0</v>
      </c>
      <c r="X29" s="395"/>
      <c r="Y29" s="906" t="str">
        <f>IF(H!Y29&lt;&gt;"",H!Y29,)</f>
        <v>Extracurricular Activities/Camps/Pool</v>
      </c>
      <c r="Z29" s="457">
        <f>H!Z29</f>
        <v>0</v>
      </c>
      <c r="AA29" s="20">
        <f t="shared" si="0"/>
        <v>0</v>
      </c>
      <c r="AB29" s="723"/>
      <c r="AC29" s="723"/>
      <c r="AD29" s="36">
        <f t="shared" si="1"/>
        <v>0</v>
      </c>
      <c r="AE29" s="23">
        <f t="shared" si="5"/>
        <v>0</v>
      </c>
      <c r="AF29" s="367"/>
      <c r="AG29" s="728">
        <f t="shared" si="2"/>
        <v>0</v>
      </c>
      <c r="AH29" s="367"/>
      <c r="AI29" s="375">
        <v>0</v>
      </c>
      <c r="AJ29" s="367"/>
      <c r="AK29" s="530" t="s">
        <v>32</v>
      </c>
      <c r="AL29" s="531" t="s">
        <v>33</v>
      </c>
      <c r="AM29" s="367"/>
      <c r="AN29" s="367"/>
      <c r="AO29" s="86"/>
      <c r="AP29" s="51">
        <f t="shared" si="3"/>
        <v>0</v>
      </c>
      <c r="AQ29" s="476">
        <f>H!AQ29+H!AP29</f>
        <v>0</v>
      </c>
      <c r="AR29" s="476">
        <f t="shared" si="4"/>
        <v>0</v>
      </c>
      <c r="AS29" s="477">
        <f>AD29+H!AS29</f>
        <v>0</v>
      </c>
      <c r="AT29" s="477">
        <f>AA29+H!AT29</f>
        <v>0</v>
      </c>
      <c r="AU29" s="476"/>
      <c r="AV29" s="477">
        <f>H!AV29-H!AD29+I!Z29-H!AP29</f>
        <v>0</v>
      </c>
      <c r="AW29" s="476">
        <f t="shared" si="6"/>
        <v>0</v>
      </c>
      <c r="AX29" s="52">
        <f>IF(Z29=H!Z29,H!AE29-AD29,H!AE29+(Z29-H!Z29)*$AW$16-AD29)</f>
        <v>0</v>
      </c>
      <c r="AZ29" s="726">
        <f t="shared" si="7"/>
        <v>0</v>
      </c>
    </row>
    <row r="30" spans="1:63" ht="15" customHeight="1">
      <c r="A30" s="367"/>
      <c r="B30" s="850">
        <f ca="1">IF(H!B30&lt;&gt;"",H!B30,)</f>
        <v>0</v>
      </c>
      <c r="C30" s="454">
        <f ca="1">H!C30</f>
        <v>0</v>
      </c>
      <c r="D30" s="74"/>
      <c r="E30" s="521"/>
      <c r="F30" s="858"/>
      <c r="G30" s="367"/>
      <c r="H30" s="543"/>
      <c r="I30" s="853"/>
      <c r="J30" s="6"/>
      <c r="K30" s="541"/>
      <c r="L30" s="860"/>
      <c r="M30" s="20" t="str">
        <f>IF(J30="","",$M$5-SUM($J$7:J30))</f>
        <v/>
      </c>
      <c r="N30" s="367"/>
      <c r="O30" s="7"/>
      <c r="P30" s="873">
        <f>IF(H!Q30&lt;&gt;H!R30,IF(H!Q30&lt;&gt;0,IF(H!S30&lt;&gt;H!T30,H!P30,),),)</f>
        <v>0</v>
      </c>
      <c r="Q30" s="795">
        <f>IF(H!Q30&lt;&gt;H!R30,IF(H!Q30&lt;&gt;0,IF(H!S30&lt;&gt;H!T30,H!Q30,),),)</f>
        <v>0</v>
      </c>
      <c r="R30" s="628">
        <f>IF(H!Q30&lt;&gt;H!R30,IF(H!Q30&lt;&gt;0,IF(H!S30&lt;&gt;H!T30,0,Q30),Q30),Q30)</f>
        <v>0</v>
      </c>
      <c r="S30" s="796">
        <f>IF(H!Q30&lt;&gt;H!R30,IF(H!Q30&lt;&gt;0,IF(H!S30&lt;&gt;H!T30,H!S30+1,),),)</f>
        <v>0</v>
      </c>
      <c r="T30" s="796">
        <f>IF(H!Q30&lt;&gt;H!R30,IF(H!Q30&lt;&gt;0,IF(H!S30&lt;&gt;H!T30,H!T30,),),)</f>
        <v>0</v>
      </c>
      <c r="U30" s="797">
        <f>IF(H!Q30&lt;&gt;H!R30,IF(H!Q30&lt;&gt;0,IF(H!S30&lt;&gt;H!T30,H!U30,),),)</f>
        <v>0</v>
      </c>
      <c r="V30" s="875">
        <f>IF(H!Q30&lt;&gt;H!R30,IF(H!Q30&lt;&gt;0,IF(H!S30&lt;&gt;H!T30,H!V30,),),)</f>
        <v>0</v>
      </c>
      <c r="W30" s="622">
        <f>IF(Q30="","",$W$5-SUM($Q$7:Q30))</f>
        <v>0</v>
      </c>
      <c r="X30" s="395"/>
      <c r="Y30" s="906" t="str">
        <f>IF(H!Y30&lt;&gt;"",H!Y30,)</f>
        <v xml:space="preserve">  Car Insurance and Licensing</v>
      </c>
      <c r="Z30" s="457">
        <f>H!Z30</f>
        <v>0</v>
      </c>
      <c r="AA30" s="20">
        <f t="shared" si="0"/>
        <v>0</v>
      </c>
      <c r="AB30" s="723"/>
      <c r="AC30" s="723"/>
      <c r="AD30" s="36">
        <f t="shared" si="1"/>
        <v>0</v>
      </c>
      <c r="AE30" s="23">
        <f t="shared" si="5"/>
        <v>0</v>
      </c>
      <c r="AF30" s="367"/>
      <c r="AG30" s="728">
        <f t="shared" si="2"/>
        <v>0</v>
      </c>
      <c r="AH30" s="367"/>
      <c r="AI30" s="375">
        <v>0</v>
      </c>
      <c r="AJ30" s="367"/>
      <c r="AK30" s="530" t="s">
        <v>34</v>
      </c>
      <c r="AL30" s="532" t="s">
        <v>33</v>
      </c>
      <c r="AM30" s="367"/>
      <c r="AN30" s="367"/>
      <c r="AO30" s="86"/>
      <c r="AP30" s="51">
        <f t="shared" si="3"/>
        <v>0</v>
      </c>
      <c r="AQ30" s="476">
        <f>H!AQ30+H!AP30</f>
        <v>0</v>
      </c>
      <c r="AR30" s="476">
        <f t="shared" si="4"/>
        <v>0</v>
      </c>
      <c r="AS30" s="477">
        <f>AD30+H!AS30</f>
        <v>0</v>
      </c>
      <c r="AT30" s="477">
        <f>AA30+H!AT30</f>
        <v>0</v>
      </c>
      <c r="AU30" s="476"/>
      <c r="AV30" s="477">
        <f>H!AV30-H!AD30+I!Z30-H!AP30</f>
        <v>0</v>
      </c>
      <c r="AW30" s="476">
        <f t="shared" si="6"/>
        <v>0</v>
      </c>
      <c r="AX30" s="52">
        <f>IF(Z30=H!Z30,H!AE30-AD30,H!AE30+(Z30-H!Z30)*$AW$16-AD30)</f>
        <v>0</v>
      </c>
      <c r="AZ30" s="726">
        <f t="shared" si="7"/>
        <v>0</v>
      </c>
    </row>
    <row r="31" spans="1:63" ht="15" customHeight="1">
      <c r="A31" s="367"/>
      <c r="B31" s="850">
        <f ca="1">IF(H!B31&lt;&gt;"",H!B31,)</f>
        <v>0</v>
      </c>
      <c r="C31" s="454">
        <f ca="1">H!C31</f>
        <v>0</v>
      </c>
      <c r="D31" s="74"/>
      <c r="E31" s="521"/>
      <c r="F31" s="858"/>
      <c r="G31" s="367"/>
      <c r="H31" s="543"/>
      <c r="I31" s="853"/>
      <c r="J31" s="6"/>
      <c r="K31" s="541"/>
      <c r="L31" s="860"/>
      <c r="M31" s="20" t="str">
        <f>IF(J31="","",$M$5-SUM($J$7:J31))</f>
        <v/>
      </c>
      <c r="N31" s="367"/>
      <c r="O31" s="7"/>
      <c r="P31" s="871">
        <f>IF(H!Q31&lt;&gt;H!R31,IF(H!Q31&lt;&gt;0,IF(H!S31&lt;&gt;H!T31,H!P31,),),)</f>
        <v>0</v>
      </c>
      <c r="Q31" s="795">
        <f>IF(H!Q31&lt;&gt;H!R31,IF(H!Q31&lt;&gt;0,IF(H!S31&lt;&gt;H!T31,H!Q31,),),)</f>
        <v>0</v>
      </c>
      <c r="R31" s="628">
        <f>IF(H!Q31&lt;&gt;H!R31,IF(H!Q31&lt;&gt;0,IF(H!S31&lt;&gt;H!T31,0,Q31),Q31),Q31)</f>
        <v>0</v>
      </c>
      <c r="S31" s="796">
        <f>IF(H!Q31&lt;&gt;H!R31,IF(H!Q31&lt;&gt;0,IF(H!S31&lt;&gt;H!T31,H!S31+1,),),)</f>
        <v>0</v>
      </c>
      <c r="T31" s="796">
        <f>IF(H!Q31&lt;&gt;H!R31,IF(H!Q31&lt;&gt;0,IF(H!S31&lt;&gt;H!T31,H!T31,),),)</f>
        <v>0</v>
      </c>
      <c r="U31" s="797">
        <f>IF(H!Q31&lt;&gt;H!R31,IF(H!Q31&lt;&gt;0,IF(H!S31&lt;&gt;H!T31,H!U31,),),)</f>
        <v>0</v>
      </c>
      <c r="V31" s="875">
        <f>IF(H!Q31&lt;&gt;H!R31,IF(H!Q31&lt;&gt;0,IF(H!S31&lt;&gt;H!T31,H!V31,),),)</f>
        <v>0</v>
      </c>
      <c r="W31" s="622">
        <f>IF(Q31="","",$W$5-SUM($Q$7:Q31))</f>
        <v>0</v>
      </c>
      <c r="X31" s="395"/>
      <c r="Y31" s="906" t="str">
        <f>IF(H!Y31&lt;&gt;"",H!Y31,)</f>
        <v>Car Maintenance</v>
      </c>
      <c r="Z31" s="457">
        <f>H!Z31</f>
        <v>0</v>
      </c>
      <c r="AA31" s="20">
        <f t="shared" si="0"/>
        <v>0</v>
      </c>
      <c r="AB31" s="723"/>
      <c r="AC31" s="723"/>
      <c r="AD31" s="36">
        <f t="shared" si="1"/>
        <v>0</v>
      </c>
      <c r="AE31" s="23">
        <f t="shared" si="5"/>
        <v>0</v>
      </c>
      <c r="AF31" s="367"/>
      <c r="AG31" s="728">
        <f t="shared" si="2"/>
        <v>0</v>
      </c>
      <c r="AH31" s="367"/>
      <c r="AI31" s="375">
        <v>0</v>
      </c>
      <c r="AJ31" s="367"/>
      <c r="AK31" s="530" t="s">
        <v>35</v>
      </c>
      <c r="AL31" s="533" t="s">
        <v>33</v>
      </c>
      <c r="AM31" s="367"/>
      <c r="AN31" s="367"/>
      <c r="AO31" s="86"/>
      <c r="AP31" s="51">
        <f t="shared" si="3"/>
        <v>0</v>
      </c>
      <c r="AQ31" s="476">
        <f>H!AQ31+H!AP31</f>
        <v>0</v>
      </c>
      <c r="AR31" s="476">
        <f t="shared" si="4"/>
        <v>0</v>
      </c>
      <c r="AS31" s="477">
        <f>AD31+H!AS31</f>
        <v>0</v>
      </c>
      <c r="AT31" s="477">
        <f>AA31+H!AT31</f>
        <v>0</v>
      </c>
      <c r="AU31" s="476"/>
      <c r="AV31" s="477">
        <f>H!AV31-H!AD31+I!Z31-H!AP31</f>
        <v>0</v>
      </c>
      <c r="AW31" s="476">
        <f t="shared" si="6"/>
        <v>0</v>
      </c>
      <c r="AX31" s="52">
        <f>IF(Z31=H!Z31,H!AE31-AD31,H!AE31+(Z31-H!Z31)*$AW$16-AD31)</f>
        <v>0</v>
      </c>
      <c r="AZ31" s="726">
        <f t="shared" si="7"/>
        <v>0</v>
      </c>
    </row>
    <row r="32" spans="1:63" ht="15" customHeight="1">
      <c r="A32" s="367"/>
      <c r="B32" s="850">
        <f ca="1">IF(H!B32&lt;&gt;"",H!B32,)</f>
        <v>0</v>
      </c>
      <c r="C32" s="454">
        <f ca="1">H!C32</f>
        <v>0</v>
      </c>
      <c r="D32" s="74"/>
      <c r="E32" s="521"/>
      <c r="F32" s="858"/>
      <c r="G32" s="367"/>
      <c r="H32" s="543"/>
      <c r="I32" s="853"/>
      <c r="J32" s="6"/>
      <c r="K32" s="541"/>
      <c r="L32" s="860"/>
      <c r="M32" s="20" t="str">
        <f>IF(J32="","",$M$5-SUM($J$7:J32))</f>
        <v/>
      </c>
      <c r="N32" s="367"/>
      <c r="O32" s="7"/>
      <c r="P32" s="873">
        <f>IF(H!Q32&lt;&gt;H!R32,IF(H!Q32&lt;&gt;0,IF(H!S32&lt;&gt;H!T32,H!P32,),),)</f>
        <v>0</v>
      </c>
      <c r="Q32" s="795">
        <f>IF(H!Q32&lt;&gt;H!R32,IF(H!Q32&lt;&gt;0,IF(H!S32&lt;&gt;H!T32,H!Q32,),),)</f>
        <v>0</v>
      </c>
      <c r="R32" s="628">
        <f>IF(H!Q32&lt;&gt;H!R32,IF(H!Q32&lt;&gt;0,IF(H!S32&lt;&gt;H!T32,0,Q32),Q32),Q32)</f>
        <v>0</v>
      </c>
      <c r="S32" s="796">
        <f>IF(H!Q32&lt;&gt;H!R32,IF(H!Q32&lt;&gt;0,IF(H!S32&lt;&gt;H!T32,H!S32+1,),),)</f>
        <v>0</v>
      </c>
      <c r="T32" s="796">
        <f>IF(H!Q32&lt;&gt;H!R32,IF(H!Q32&lt;&gt;0,IF(H!S32&lt;&gt;H!T32,H!T32,),),)</f>
        <v>0</v>
      </c>
      <c r="U32" s="797">
        <f>IF(H!Q32&lt;&gt;H!R32,IF(H!Q32&lt;&gt;0,IF(H!S32&lt;&gt;H!T32,H!U32,),),)</f>
        <v>0</v>
      </c>
      <c r="V32" s="875">
        <f>IF(H!Q32&lt;&gt;H!R32,IF(H!Q32&lt;&gt;0,IF(H!S32&lt;&gt;H!T32,H!V32,),),)</f>
        <v>0</v>
      </c>
      <c r="W32" s="622">
        <f>IF(Q32="","",$W$5-SUM($Q$7:Q32))</f>
        <v>0</v>
      </c>
      <c r="X32" s="389"/>
      <c r="Y32" s="906" t="str">
        <f>IF(H!Y32&lt;&gt;"",H!Y32,)</f>
        <v>Clothing and Shoes</v>
      </c>
      <c r="Z32" s="457">
        <f>H!Z32</f>
        <v>0</v>
      </c>
      <c r="AA32" s="20">
        <f t="shared" si="0"/>
        <v>0</v>
      </c>
      <c r="AB32" s="723"/>
      <c r="AC32" s="723"/>
      <c r="AD32" s="36">
        <f t="shared" si="1"/>
        <v>0</v>
      </c>
      <c r="AE32" s="23">
        <f t="shared" si="5"/>
        <v>0</v>
      </c>
      <c r="AF32" s="367"/>
      <c r="AG32" s="728">
        <f t="shared" si="2"/>
        <v>0</v>
      </c>
      <c r="AH32" s="367"/>
      <c r="AI32" s="375">
        <v>0</v>
      </c>
      <c r="AJ32" s="367"/>
      <c r="AK32" s="530" t="s">
        <v>36</v>
      </c>
      <c r="AL32" s="534" t="s">
        <v>33</v>
      </c>
      <c r="AM32" s="367"/>
      <c r="AN32" s="367"/>
      <c r="AO32" s="86"/>
      <c r="AP32" s="51">
        <f t="shared" si="3"/>
        <v>0</v>
      </c>
      <c r="AQ32" s="476">
        <f>H!AQ32+H!AP32</f>
        <v>0</v>
      </c>
      <c r="AR32" s="476">
        <f t="shared" si="4"/>
        <v>0</v>
      </c>
      <c r="AS32" s="477">
        <f>AD32+H!AS32</f>
        <v>0</v>
      </c>
      <c r="AT32" s="477">
        <f>AA32+H!AT32</f>
        <v>0</v>
      </c>
      <c r="AU32" s="476"/>
      <c r="AV32" s="477">
        <f>H!AV32-H!AD32+I!Z32-H!AP32</f>
        <v>0</v>
      </c>
      <c r="AW32" s="476">
        <f t="shared" si="6"/>
        <v>0</v>
      </c>
      <c r="AX32" s="52">
        <f>IF(Z32=H!Z32,H!AE32-AD32,H!AE32+(Z32-H!Z32)*$AW$16-AD32)</f>
        <v>0</v>
      </c>
      <c r="AZ32" s="726">
        <f t="shared" si="7"/>
        <v>0</v>
      </c>
    </row>
    <row r="33" spans="1:52" ht="15" customHeight="1">
      <c r="A33" s="367"/>
      <c r="B33" s="850">
        <f ca="1">IF(H!B33&lt;&gt;"",H!B33,)</f>
        <v>0</v>
      </c>
      <c r="C33" s="454">
        <f ca="1">H!C33</f>
        <v>0</v>
      </c>
      <c r="D33" s="74"/>
      <c r="E33" s="521"/>
      <c r="F33" s="858"/>
      <c r="G33" s="367"/>
      <c r="H33" s="543"/>
      <c r="I33" s="853"/>
      <c r="J33" s="6"/>
      <c r="K33" s="541"/>
      <c r="L33" s="860"/>
      <c r="M33" s="20" t="str">
        <f>IF(J33="","",$M$5-SUM($J$7:J33))</f>
        <v/>
      </c>
      <c r="N33" s="367"/>
      <c r="O33" s="7"/>
      <c r="P33" s="871">
        <f>IF(H!Q33&lt;&gt;H!R33,IF(H!Q33&lt;&gt;0,IF(H!S33&lt;&gt;H!T33,H!P33,),),)</f>
        <v>0</v>
      </c>
      <c r="Q33" s="795">
        <f>IF(H!Q33&lt;&gt;H!R33,IF(H!Q33&lt;&gt;0,IF(H!S33&lt;&gt;H!T33,H!Q33,),),)</f>
        <v>0</v>
      </c>
      <c r="R33" s="628">
        <f>IF(H!Q33&lt;&gt;H!R33,IF(H!Q33&lt;&gt;0,IF(H!S33&lt;&gt;H!T33,0,Q33),Q33),Q33)</f>
        <v>0</v>
      </c>
      <c r="S33" s="796">
        <f>IF(H!Q33&lt;&gt;H!R33,IF(H!Q33&lt;&gt;0,IF(H!S33&lt;&gt;H!T33,H!S33+1,),),)</f>
        <v>0</v>
      </c>
      <c r="T33" s="796">
        <f>IF(H!Q33&lt;&gt;H!R33,IF(H!Q33&lt;&gt;0,IF(H!S33&lt;&gt;H!T33,H!T33,),),)</f>
        <v>0</v>
      </c>
      <c r="U33" s="797">
        <f>IF(H!Q33&lt;&gt;H!R33,IF(H!Q33&lt;&gt;0,IF(H!S33&lt;&gt;H!T33,H!U33,),),)</f>
        <v>0</v>
      </c>
      <c r="V33" s="875">
        <f>IF(H!Q33&lt;&gt;H!R33,IF(H!Q33&lt;&gt;0,IF(H!S33&lt;&gt;H!T33,H!V33,),),)</f>
        <v>0</v>
      </c>
      <c r="W33" s="622">
        <f>IF(Q33="","",$W$5-SUM($Q$7:Q33))</f>
        <v>0</v>
      </c>
      <c r="X33" s="10"/>
      <c r="Y33" s="906" t="str">
        <f>IF(H!Y33&lt;&gt;"",H!Y33,)</f>
        <v>Medicine/Treatment</v>
      </c>
      <c r="Z33" s="457">
        <f>H!Z33</f>
        <v>0</v>
      </c>
      <c r="AA33" s="20">
        <f t="shared" si="0"/>
        <v>0</v>
      </c>
      <c r="AB33" s="723"/>
      <c r="AC33" s="723"/>
      <c r="AD33" s="36">
        <f t="shared" si="1"/>
        <v>0</v>
      </c>
      <c r="AE33" s="23">
        <f t="shared" si="5"/>
        <v>0</v>
      </c>
      <c r="AF33" s="367"/>
      <c r="AG33" s="728">
        <f t="shared" si="2"/>
        <v>0</v>
      </c>
      <c r="AH33" s="367"/>
      <c r="AI33" s="375">
        <v>0</v>
      </c>
      <c r="AJ33" s="367"/>
      <c r="AK33" s="530" t="s">
        <v>37</v>
      </c>
      <c r="AL33" s="535" t="s">
        <v>33</v>
      </c>
      <c r="AM33" s="367"/>
      <c r="AN33" s="367"/>
      <c r="AO33" s="86"/>
      <c r="AP33" s="51">
        <f t="shared" si="3"/>
        <v>0</v>
      </c>
      <c r="AQ33" s="476">
        <f>H!AQ33+H!AP33</f>
        <v>0</v>
      </c>
      <c r="AR33" s="476">
        <f t="shared" si="4"/>
        <v>0</v>
      </c>
      <c r="AS33" s="477">
        <f>AD33+H!AS33</f>
        <v>0</v>
      </c>
      <c r="AT33" s="477">
        <f>AA33+H!AT33</f>
        <v>0</v>
      </c>
      <c r="AU33" s="476"/>
      <c r="AV33" s="477">
        <f>H!AV33-H!AD33+I!Z33-H!AP33</f>
        <v>0</v>
      </c>
      <c r="AW33" s="476">
        <f t="shared" si="6"/>
        <v>0</v>
      </c>
      <c r="AX33" s="52">
        <f>IF(Z33=H!Z33,H!AE33-AD33,H!AE33+(Z33-H!Z33)*$AW$16-AD33)</f>
        <v>0</v>
      </c>
      <c r="AZ33" s="726">
        <f t="shared" si="7"/>
        <v>0</v>
      </c>
    </row>
    <row r="34" spans="1:52" ht="15" customHeight="1">
      <c r="A34" s="367"/>
      <c r="B34" s="850">
        <f ca="1">IF(H!B34&lt;&gt;"",H!B34,)</f>
        <v>0</v>
      </c>
      <c r="C34" s="454">
        <f ca="1">H!C34</f>
        <v>0</v>
      </c>
      <c r="D34" s="74"/>
      <c r="E34" s="521"/>
      <c r="F34" s="858"/>
      <c r="G34" s="367"/>
      <c r="H34" s="543"/>
      <c r="I34" s="853"/>
      <c r="J34" s="6"/>
      <c r="K34" s="541"/>
      <c r="L34" s="860"/>
      <c r="M34" s="20" t="str">
        <f>IF(J34="","",$M$5-SUM($J$7:J34))</f>
        <v/>
      </c>
      <c r="N34" s="367"/>
      <c r="O34" s="7"/>
      <c r="P34" s="873">
        <f>IF(H!Q34&lt;&gt;H!R34,IF(H!Q34&lt;&gt;0,IF(H!S34&lt;&gt;H!T34,H!P34,),),)</f>
        <v>0</v>
      </c>
      <c r="Q34" s="795">
        <f>IF(H!Q34&lt;&gt;H!R34,IF(H!Q34&lt;&gt;0,IF(H!S34&lt;&gt;H!T34,H!Q34,),),)</f>
        <v>0</v>
      </c>
      <c r="R34" s="628">
        <f>IF(H!Q34&lt;&gt;H!R34,IF(H!Q34&lt;&gt;0,IF(H!S34&lt;&gt;H!T34,0,Q34),Q34),Q34)</f>
        <v>0</v>
      </c>
      <c r="S34" s="796">
        <f>IF(H!Q34&lt;&gt;H!R34,IF(H!Q34&lt;&gt;0,IF(H!S34&lt;&gt;H!T34,H!S34+1,),),)</f>
        <v>0</v>
      </c>
      <c r="T34" s="796">
        <f>IF(H!Q34&lt;&gt;H!R34,IF(H!Q34&lt;&gt;0,IF(H!S34&lt;&gt;H!T34,H!T34,),),)</f>
        <v>0</v>
      </c>
      <c r="U34" s="797">
        <f>IF(H!Q34&lt;&gt;H!R34,IF(H!Q34&lt;&gt;0,IF(H!S34&lt;&gt;H!T34,H!U34,),),)</f>
        <v>0</v>
      </c>
      <c r="V34" s="875">
        <f>IF(H!Q34&lt;&gt;H!R34,IF(H!Q34&lt;&gt;0,IF(H!S34&lt;&gt;H!T34,H!V34,),),)</f>
        <v>0</v>
      </c>
      <c r="W34" s="622">
        <f>IF(Q34="","",$W$5-SUM($Q$7:Q34))</f>
        <v>0</v>
      </c>
      <c r="X34" s="10"/>
      <c r="Y34" s="905" t="str">
        <f>IF(H!Y34&lt;&gt;"",H!Y34,)</f>
        <v>Bank Interest and Fees</v>
      </c>
      <c r="Z34" s="457">
        <f>H!Z34</f>
        <v>0</v>
      </c>
      <c r="AA34" s="20">
        <f t="shared" si="0"/>
        <v>0</v>
      </c>
      <c r="AB34" s="723"/>
      <c r="AC34" s="723"/>
      <c r="AD34" s="36">
        <f t="shared" si="1"/>
        <v>0</v>
      </c>
      <c r="AE34" s="23">
        <f t="shared" si="5"/>
        <v>0</v>
      </c>
      <c r="AF34" s="367"/>
      <c r="AG34" s="728">
        <f t="shared" si="2"/>
        <v>0</v>
      </c>
      <c r="AH34" s="367"/>
      <c r="AI34" s="375">
        <v>0</v>
      </c>
      <c r="AJ34" s="367"/>
      <c r="AK34" s="530" t="s">
        <v>38</v>
      </c>
      <c r="AL34" s="536" t="s">
        <v>33</v>
      </c>
      <c r="AM34" s="367"/>
      <c r="AN34" s="367"/>
      <c r="AO34" s="86"/>
      <c r="AP34" s="51">
        <f t="shared" si="3"/>
        <v>0</v>
      </c>
      <c r="AQ34" s="476">
        <f>H!AQ34+H!AP34</f>
        <v>0</v>
      </c>
      <c r="AR34" s="476">
        <f t="shared" si="4"/>
        <v>0</v>
      </c>
      <c r="AS34" s="477">
        <f>AD34+H!AS34</f>
        <v>0</v>
      </c>
      <c r="AT34" s="477">
        <f>AA34+H!AT34</f>
        <v>0</v>
      </c>
      <c r="AU34" s="476"/>
      <c r="AV34" s="477">
        <f>H!AV34-H!AD34+I!Z34-H!AP34</f>
        <v>0</v>
      </c>
      <c r="AW34" s="476">
        <f t="shared" si="6"/>
        <v>0</v>
      </c>
      <c r="AX34" s="52">
        <f>IF(Z34=H!Z34,H!AE34-AD34,H!AE34+(Z34-H!Z34)*$AW$16-AD34)</f>
        <v>0</v>
      </c>
      <c r="AZ34" s="726">
        <f t="shared" si="7"/>
        <v>0</v>
      </c>
    </row>
    <row r="35" spans="1:52" ht="15" customHeight="1">
      <c r="A35" s="367"/>
      <c r="B35" s="850">
        <f ca="1">IF(H!B35&lt;&gt;"",H!B35,)</f>
        <v>0</v>
      </c>
      <c r="C35" s="454">
        <f ca="1">H!C35</f>
        <v>0</v>
      </c>
      <c r="D35" s="74"/>
      <c r="E35" s="521"/>
      <c r="F35" s="858"/>
      <c r="G35" s="367"/>
      <c r="H35" s="543"/>
      <c r="I35" s="853"/>
      <c r="J35" s="6"/>
      <c r="K35" s="541"/>
      <c r="L35" s="860"/>
      <c r="M35" s="20" t="str">
        <f>IF(J35="","",$M$5-SUM($J$7:J35))</f>
        <v/>
      </c>
      <c r="N35" s="367"/>
      <c r="O35" s="7"/>
      <c r="P35" s="871">
        <f>IF(H!Q35&lt;&gt;H!R35,IF(H!Q35&lt;&gt;0,IF(H!S35&lt;&gt;H!T35,H!P35,),),)</f>
        <v>0</v>
      </c>
      <c r="Q35" s="799">
        <f>IF(H!Q35&lt;&gt;H!R35,IF(H!Q35&lt;&gt;0,IF(H!S35&lt;&gt;H!T35,H!Q35,),),)</f>
        <v>0</v>
      </c>
      <c r="R35" s="628">
        <f>IF(H!Q35&lt;&gt;H!R35,IF(H!Q35&lt;&gt;0,IF(H!S35&lt;&gt;H!T35,0,Q35),Q35),Q35)</f>
        <v>0</v>
      </c>
      <c r="S35" s="796">
        <f>IF(H!Q35&lt;&gt;H!R35,IF(H!Q35&lt;&gt;0,IF(H!S35&lt;&gt;H!T35,H!S35+1,),),)</f>
        <v>0</v>
      </c>
      <c r="T35" s="796">
        <f>IF(H!Q35&lt;&gt;H!R35,IF(H!Q35&lt;&gt;0,IF(H!S35&lt;&gt;H!T35,H!T35,),),)</f>
        <v>0</v>
      </c>
      <c r="U35" s="797">
        <f>IF(H!Q35&lt;&gt;H!R35,IF(H!Q35&lt;&gt;0,IF(H!S35&lt;&gt;H!T35,H!U35,),),)</f>
        <v>0</v>
      </c>
      <c r="V35" s="875">
        <f>IF(H!Q35&lt;&gt;H!R35,IF(H!Q35&lt;&gt;0,IF(H!S35&lt;&gt;H!T35,H!V35,),),)</f>
        <v>0</v>
      </c>
      <c r="W35" s="626">
        <f>IF(Q35="","",$W$5-SUM($Q$7:Q35))</f>
        <v>0</v>
      </c>
      <c r="X35" s="395"/>
      <c r="Y35" s="905" t="str">
        <f>IF(H!Y35&lt;&gt;"",H!Y35,)</f>
        <v>Dental treatments</v>
      </c>
      <c r="Z35" s="457">
        <f>H!Z35</f>
        <v>0</v>
      </c>
      <c r="AA35" s="20">
        <f t="shared" si="0"/>
        <v>0</v>
      </c>
      <c r="AB35" s="723"/>
      <c r="AC35" s="723"/>
      <c r="AD35" s="36">
        <f t="shared" si="1"/>
        <v>0</v>
      </c>
      <c r="AE35" s="23">
        <f t="shared" si="5"/>
        <v>0</v>
      </c>
      <c r="AF35" s="367"/>
      <c r="AG35" s="728">
        <f t="shared" si="2"/>
        <v>0</v>
      </c>
      <c r="AH35" s="367"/>
      <c r="AI35" s="375">
        <v>0</v>
      </c>
      <c r="AJ35" s="367"/>
      <c r="AK35" s="530" t="s">
        <v>39</v>
      </c>
      <c r="AL35" s="537" t="s">
        <v>33</v>
      </c>
      <c r="AM35" s="367"/>
      <c r="AN35" s="367"/>
      <c r="AO35" s="86"/>
      <c r="AP35" s="51">
        <f t="shared" si="3"/>
        <v>0</v>
      </c>
      <c r="AQ35" s="476">
        <f>H!AQ35+H!AP35</f>
        <v>0</v>
      </c>
      <c r="AR35" s="476">
        <f t="shared" si="4"/>
        <v>0</v>
      </c>
      <c r="AS35" s="477">
        <f>AD35+H!AS35</f>
        <v>0</v>
      </c>
      <c r="AT35" s="477">
        <f>AA35+H!AT35</f>
        <v>0</v>
      </c>
      <c r="AU35" s="476"/>
      <c r="AV35" s="477">
        <f>H!AV35-H!AD35+I!Z35-H!AP35</f>
        <v>0</v>
      </c>
      <c r="AW35" s="476">
        <f t="shared" si="6"/>
        <v>0</v>
      </c>
      <c r="AX35" s="52">
        <f>IF(Z35=H!Z35,H!AE35-AD35,H!AE35+(Z35-H!Z35)*$AW$16-AD35)</f>
        <v>0</v>
      </c>
      <c r="AZ35" s="726">
        <f t="shared" si="7"/>
        <v>0</v>
      </c>
    </row>
    <row r="36" spans="1:52" ht="15" customHeight="1">
      <c r="A36" s="367"/>
      <c r="B36" s="850">
        <f ca="1">IF(H!B36&lt;&gt;"",H!B36,)</f>
        <v>0</v>
      </c>
      <c r="C36" s="454">
        <f ca="1">H!C36</f>
        <v>0</v>
      </c>
      <c r="D36" s="74"/>
      <c r="E36" s="521"/>
      <c r="F36" s="858"/>
      <c r="G36" s="367"/>
      <c r="H36" s="543"/>
      <c r="I36" s="853"/>
      <c r="J36" s="6"/>
      <c r="K36" s="541"/>
      <c r="L36" s="860"/>
      <c r="M36" s="20" t="str">
        <f>IF(J36="","",$M$5-SUM($J$7:J36))</f>
        <v/>
      </c>
      <c r="N36" s="367"/>
      <c r="O36" s="7"/>
      <c r="P36" s="873">
        <f>IF(H!Q36&lt;&gt;H!R36,IF(H!Q36&lt;&gt;0,IF(H!S36&lt;&gt;H!T36,H!P36,),),)</f>
        <v>0</v>
      </c>
      <c r="Q36" s="795">
        <f>IF(H!Q36&lt;&gt;H!R36,IF(H!Q36&lt;&gt;0,IF(H!S36&lt;&gt;H!T36,H!Q36,),),)</f>
        <v>0</v>
      </c>
      <c r="R36" s="628">
        <f>IF(H!Q36&lt;&gt;H!R36,IF(H!Q36&lt;&gt;0,IF(H!S36&lt;&gt;H!T36,0,Q36),Q36),Q36)</f>
        <v>0</v>
      </c>
      <c r="S36" s="796">
        <f>IF(H!Q36&lt;&gt;H!R36,IF(H!Q36&lt;&gt;0,IF(H!S36&lt;&gt;H!T36,H!S36+1,),),)</f>
        <v>0</v>
      </c>
      <c r="T36" s="796">
        <f>IF(H!Q36&lt;&gt;H!R36,IF(H!Q36&lt;&gt;0,IF(H!S36&lt;&gt;H!T36,H!T36,),),)</f>
        <v>0</v>
      </c>
      <c r="U36" s="797">
        <f>IF(H!Q36&lt;&gt;H!R36,IF(H!Q36&lt;&gt;0,IF(H!S36&lt;&gt;H!T36,H!U36,),),)</f>
        <v>0</v>
      </c>
      <c r="V36" s="875">
        <f>IF(H!Q36&lt;&gt;H!R36,IF(H!Q36&lt;&gt;0,IF(H!S36&lt;&gt;H!T36,H!V36,),),)</f>
        <v>0</v>
      </c>
      <c r="W36" s="622">
        <f>IF(Q36="","",$W$5-SUM($Q$7:Q36))</f>
        <v>0</v>
      </c>
      <c r="X36" s="395"/>
      <c r="Y36" s="905" t="str">
        <f>IF(H!Y36&lt;&gt;"",H!Y36,)</f>
        <v>Eyeglasses/Contact Lens</v>
      </c>
      <c r="Z36" s="457">
        <f>H!Z36</f>
        <v>0</v>
      </c>
      <c r="AA36" s="20">
        <f t="shared" si="0"/>
        <v>0</v>
      </c>
      <c r="AB36" s="723"/>
      <c r="AC36" s="723"/>
      <c r="AD36" s="36">
        <f t="shared" si="1"/>
        <v>0</v>
      </c>
      <c r="AE36" s="23">
        <f t="shared" si="5"/>
        <v>0</v>
      </c>
      <c r="AF36" s="367"/>
      <c r="AG36" s="728">
        <f t="shared" si="2"/>
        <v>0</v>
      </c>
      <c r="AH36" s="367"/>
      <c r="AI36" s="375">
        <v>0</v>
      </c>
      <c r="AJ36" s="367"/>
      <c r="AK36" s="530" t="s">
        <v>40</v>
      </c>
      <c r="AL36" s="538" t="s">
        <v>33</v>
      </c>
      <c r="AM36" s="367"/>
      <c r="AN36" s="367"/>
      <c r="AO36" s="86"/>
      <c r="AP36" s="51">
        <f t="shared" si="3"/>
        <v>0</v>
      </c>
      <c r="AQ36" s="476">
        <f>H!AQ36+H!AP36</f>
        <v>0</v>
      </c>
      <c r="AR36" s="476">
        <f t="shared" si="4"/>
        <v>0</v>
      </c>
      <c r="AS36" s="477">
        <f>AD36+H!AS36</f>
        <v>0</v>
      </c>
      <c r="AT36" s="477">
        <f>AA36+H!AT36</f>
        <v>0</v>
      </c>
      <c r="AU36" s="476"/>
      <c r="AV36" s="477">
        <f>H!AV36-H!AD36+I!Z36-H!AP36</f>
        <v>0</v>
      </c>
      <c r="AW36" s="476">
        <f t="shared" si="6"/>
        <v>0</v>
      </c>
      <c r="AX36" s="52">
        <f>IF(Z36=H!Z36,H!AE36-AD36,H!AE36+(Z36-H!Z36)*$AW$16-AD36)</f>
        <v>0</v>
      </c>
      <c r="AZ36" s="726">
        <f t="shared" si="7"/>
        <v>0</v>
      </c>
    </row>
    <row r="37" spans="1:52" ht="15" customHeight="1" thickBot="1">
      <c r="A37" s="367"/>
      <c r="B37" s="850">
        <f ca="1">IF(H!B37&lt;&gt;"",H!B37,)</f>
        <v>0</v>
      </c>
      <c r="C37" s="454">
        <f ca="1">H!C37</f>
        <v>0</v>
      </c>
      <c r="D37" s="74"/>
      <c r="E37" s="521"/>
      <c r="F37" s="858"/>
      <c r="G37" s="367"/>
      <c r="H37" s="543"/>
      <c r="I37" s="853"/>
      <c r="J37" s="6"/>
      <c r="K37" s="541"/>
      <c r="L37" s="860"/>
      <c r="M37" s="20" t="str">
        <f>IF(J37="","",$M$5-SUM($J$7:J37))</f>
        <v/>
      </c>
      <c r="N37" s="367"/>
      <c r="O37" s="7"/>
      <c r="P37" s="871">
        <f>IF(H!Q37&lt;&gt;H!R37,IF(H!Q37&lt;&gt;0,IF(H!S37&lt;&gt;H!T37,H!P37,),),)</f>
        <v>0</v>
      </c>
      <c r="Q37" s="795">
        <f>IF(H!Q37&lt;&gt;H!R37,IF(H!Q37&lt;&gt;0,IF(H!S37&lt;&gt;H!T37,H!Q37,),),)</f>
        <v>0</v>
      </c>
      <c r="R37" s="628">
        <f>IF(H!Q37&lt;&gt;H!R37,IF(H!Q37&lt;&gt;0,IF(H!S37&lt;&gt;H!T37,0,Q37),Q37),Q37)</f>
        <v>0</v>
      </c>
      <c r="S37" s="796">
        <f>IF(H!Q37&lt;&gt;H!R37,IF(H!Q37&lt;&gt;0,IF(H!S37&lt;&gt;H!T37,H!S37+1,),),)</f>
        <v>0</v>
      </c>
      <c r="T37" s="796">
        <f>IF(H!Q37&lt;&gt;H!R37,IF(H!Q37&lt;&gt;0,IF(H!S37&lt;&gt;H!T37,H!T37,),),)</f>
        <v>0</v>
      </c>
      <c r="U37" s="797">
        <f>IF(H!Q37&lt;&gt;H!R37,IF(H!Q37&lt;&gt;0,IF(H!S37&lt;&gt;H!T37,H!U37,),),)</f>
        <v>0</v>
      </c>
      <c r="V37" s="875">
        <f>IF(H!Q37&lt;&gt;H!R37,IF(H!Q37&lt;&gt;0,IF(H!S37&lt;&gt;H!T37,H!V37,),),)</f>
        <v>0</v>
      </c>
      <c r="W37" s="622">
        <f>IF(Q37="","",$W$5-SUM($Q$7:Q37))</f>
        <v>0</v>
      </c>
      <c r="X37" s="395"/>
      <c r="Y37" s="905" t="str">
        <f>IF(H!Y37&lt;&gt;"",H!Y37,)</f>
        <v>Vacations</v>
      </c>
      <c r="Z37" s="457">
        <f>H!Z37</f>
        <v>0</v>
      </c>
      <c r="AA37" s="20">
        <f t="shared" si="0"/>
        <v>0</v>
      </c>
      <c r="AB37" s="723"/>
      <c r="AC37" s="723"/>
      <c r="AD37" s="36">
        <f t="shared" si="1"/>
        <v>0</v>
      </c>
      <c r="AE37" s="23">
        <f t="shared" si="5"/>
        <v>0</v>
      </c>
      <c r="AF37" s="367"/>
      <c r="AG37" s="728">
        <f t="shared" si="2"/>
        <v>0</v>
      </c>
      <c r="AH37" s="367"/>
      <c r="AI37" s="375">
        <v>0</v>
      </c>
      <c r="AJ37" s="367"/>
      <c r="AK37" s="539" t="s">
        <v>41</v>
      </c>
      <c r="AL37" s="540" t="s">
        <v>33</v>
      </c>
      <c r="AM37" s="367"/>
      <c r="AN37" s="367"/>
      <c r="AO37" s="86"/>
      <c r="AP37" s="51">
        <f t="shared" si="3"/>
        <v>0</v>
      </c>
      <c r="AQ37" s="476">
        <f>H!AQ37+H!AP37</f>
        <v>0</v>
      </c>
      <c r="AR37" s="476">
        <f t="shared" si="4"/>
        <v>0</v>
      </c>
      <c r="AS37" s="477">
        <f>AD37+H!AS37</f>
        <v>0</v>
      </c>
      <c r="AT37" s="477">
        <f>AA37+H!AT37</f>
        <v>0</v>
      </c>
      <c r="AU37" s="476"/>
      <c r="AV37" s="477">
        <f>H!AV37-H!AD37+I!Z37-H!AP37</f>
        <v>0</v>
      </c>
      <c r="AW37" s="476">
        <f t="shared" si="6"/>
        <v>0</v>
      </c>
      <c r="AX37" s="52">
        <f>IF(Z37=H!Z37,H!AE37-AD37,H!AE37+(Z37-H!Z37)*$AW$16-AD37)</f>
        <v>0</v>
      </c>
      <c r="AZ37" s="726">
        <f t="shared" si="7"/>
        <v>0</v>
      </c>
    </row>
    <row r="38" spans="1:52" ht="15" customHeight="1">
      <c r="A38" s="367"/>
      <c r="B38" s="850">
        <f ca="1">IF(H!B38&lt;&gt;"",H!B38,)</f>
        <v>0</v>
      </c>
      <c r="C38" s="454">
        <f ca="1">H!C38</f>
        <v>0</v>
      </c>
      <c r="D38" s="74"/>
      <c r="E38" s="521"/>
      <c r="F38" s="858"/>
      <c r="G38" s="367"/>
      <c r="H38" s="543"/>
      <c r="I38" s="853"/>
      <c r="J38" s="6"/>
      <c r="K38" s="541"/>
      <c r="L38" s="860"/>
      <c r="M38" s="20" t="str">
        <f>IF(J38="","",$M$5-SUM($J$7:J38))</f>
        <v/>
      </c>
      <c r="N38" s="367"/>
      <c r="O38" s="7"/>
      <c r="P38" s="873">
        <f>IF(H!Q38&lt;&gt;H!R38,IF(H!Q38&lt;&gt;0,IF(H!S38&lt;&gt;H!T38,H!P38,),),)</f>
        <v>0</v>
      </c>
      <c r="Q38" s="795">
        <f>IF(H!Q38&lt;&gt;H!R38,IF(H!Q38&lt;&gt;0,IF(H!S38&lt;&gt;H!T38,H!Q38,),),)</f>
        <v>0</v>
      </c>
      <c r="R38" s="628">
        <f>IF(H!Q38&lt;&gt;H!R38,IF(H!Q38&lt;&gt;0,IF(H!S38&lt;&gt;H!T38,0,Q38),Q38),Q38)</f>
        <v>0</v>
      </c>
      <c r="S38" s="796">
        <f>IF(H!Q38&lt;&gt;H!R38,IF(H!Q38&lt;&gt;0,IF(H!S38&lt;&gt;H!T38,H!S38+1,),),)</f>
        <v>0</v>
      </c>
      <c r="T38" s="796">
        <f>IF(H!Q38&lt;&gt;H!R38,IF(H!Q38&lt;&gt;0,IF(H!S38&lt;&gt;H!T38,H!T38,),),)</f>
        <v>0</v>
      </c>
      <c r="U38" s="797">
        <f>IF(H!Q38&lt;&gt;H!R38,IF(H!Q38&lt;&gt;0,IF(H!S38&lt;&gt;H!T38,H!U38,),),)</f>
        <v>0</v>
      </c>
      <c r="V38" s="875">
        <f>IF(H!Q38&lt;&gt;H!R38,IF(H!Q38&lt;&gt;0,IF(H!S38&lt;&gt;H!T38,H!V38,),),)</f>
        <v>0</v>
      </c>
      <c r="W38" s="625">
        <f>IF(Q38="","",$W$5-SUM($Q$7:Q38))</f>
        <v>0</v>
      </c>
      <c r="X38" s="621"/>
      <c r="Y38" s="906" t="str">
        <f>IF(H!Y38&lt;&gt;"",H!Y38,)</f>
        <v>Religious expenses</v>
      </c>
      <c r="Z38" s="457">
        <f>H!Z38</f>
        <v>0</v>
      </c>
      <c r="AA38" s="20">
        <f t="shared" si="0"/>
        <v>0</v>
      </c>
      <c r="AB38" s="723"/>
      <c r="AC38" s="723"/>
      <c r="AD38" s="36">
        <f t="shared" si="1"/>
        <v>0</v>
      </c>
      <c r="AE38" s="23">
        <f t="shared" si="5"/>
        <v>0</v>
      </c>
      <c r="AF38" s="367"/>
      <c r="AG38" s="728">
        <f t="shared" si="2"/>
        <v>0</v>
      </c>
      <c r="AH38" s="367"/>
      <c r="AI38" s="375">
        <v>0</v>
      </c>
      <c r="AJ38" s="367"/>
      <c r="AK38" s="367"/>
      <c r="AL38" s="367"/>
      <c r="AM38" s="367"/>
      <c r="AN38" s="367"/>
      <c r="AO38" s="86"/>
      <c r="AP38" s="51">
        <f t="shared" si="3"/>
        <v>0</v>
      </c>
      <c r="AQ38" s="476">
        <f>H!AQ38+H!AP38</f>
        <v>0</v>
      </c>
      <c r="AR38" s="476">
        <f t="shared" si="4"/>
        <v>0</v>
      </c>
      <c r="AS38" s="477">
        <f>AD38+H!AS38</f>
        <v>0</v>
      </c>
      <c r="AT38" s="477">
        <f>AA38+H!AT38</f>
        <v>0</v>
      </c>
      <c r="AU38" s="476"/>
      <c r="AV38" s="477">
        <f>H!AV38-H!AD38+I!Z38-H!AP38</f>
        <v>0</v>
      </c>
      <c r="AW38" s="476">
        <f t="shared" si="6"/>
        <v>0</v>
      </c>
      <c r="AX38" s="52">
        <f>IF(Z38=H!Z38,H!AE38-AD38,H!AE38+(Z38-H!Z38)*$AW$16-AD38)</f>
        <v>0</v>
      </c>
      <c r="AZ38" s="726">
        <f t="shared" si="7"/>
        <v>0</v>
      </c>
    </row>
    <row r="39" spans="1:52" ht="15" customHeight="1">
      <c r="A39" s="367"/>
      <c r="B39" s="850">
        <f ca="1">IF(H!B39&lt;&gt;"",H!B39,)</f>
        <v>0</v>
      </c>
      <c r="C39" s="454">
        <f ca="1">H!C39</f>
        <v>0</v>
      </c>
      <c r="D39" s="74"/>
      <c r="E39" s="521"/>
      <c r="F39" s="858"/>
      <c r="G39" s="367"/>
      <c r="H39" s="543"/>
      <c r="I39" s="853"/>
      <c r="J39" s="6"/>
      <c r="K39" s="541"/>
      <c r="L39" s="860"/>
      <c r="M39" s="20" t="str">
        <f>IF(J39="","",$M$5-SUM($J$7:J39))</f>
        <v/>
      </c>
      <c r="N39" s="367"/>
      <c r="O39" s="7"/>
      <c r="P39" s="872">
        <f>IF(H!Q39&lt;&gt;H!R39,IF(H!Q39&lt;&gt;0,IF(H!S39&lt;&gt;H!T39,H!P39,),),)</f>
        <v>0</v>
      </c>
      <c r="Q39" s="795">
        <f>IF(H!Q39&lt;&gt;H!R39,IF(H!Q39&lt;&gt;0,IF(H!S39&lt;&gt;H!T39,H!Q39,),),)</f>
        <v>0</v>
      </c>
      <c r="R39" s="628">
        <f>IF(H!Q39&lt;&gt;H!R39,IF(H!Q39&lt;&gt;0,IF(H!S39&lt;&gt;H!T39,0,Q39),Q39),Q39)</f>
        <v>0</v>
      </c>
      <c r="S39" s="796">
        <f>IF(H!Q39&lt;&gt;H!R39,IF(H!Q39&lt;&gt;0,IF(H!S39&lt;&gt;H!T39,H!S39+1,),),)</f>
        <v>0</v>
      </c>
      <c r="T39" s="796">
        <f>IF(H!Q39&lt;&gt;H!R39,IF(H!Q39&lt;&gt;0,IF(H!S39&lt;&gt;H!T39,H!T39,),),)</f>
        <v>0</v>
      </c>
      <c r="U39" s="797">
        <f>IF(H!Q39&lt;&gt;H!R39,IF(H!Q39&lt;&gt;0,IF(H!S39&lt;&gt;H!T39,H!U39,),),)</f>
        <v>0</v>
      </c>
      <c r="V39" s="875">
        <f>IF(H!Q39&lt;&gt;H!R39,IF(H!Q39&lt;&gt;0,IF(H!S39&lt;&gt;H!T39,H!V39,),),)</f>
        <v>0</v>
      </c>
      <c r="W39" s="622">
        <f>IF(Q39="","",$W$5-SUM($Q$7:Q39))</f>
        <v>0</v>
      </c>
      <c r="X39" s="395"/>
      <c r="Y39" s="906" t="str">
        <f>IF(H!Y39&lt;&gt;"",H!Y39,)</f>
        <v>Gifts</v>
      </c>
      <c r="Z39" s="457">
        <f>H!Z39</f>
        <v>0</v>
      </c>
      <c r="AA39" s="20">
        <f t="shared" si="0"/>
        <v>0</v>
      </c>
      <c r="AB39" s="723"/>
      <c r="AC39" s="723"/>
      <c r="AD39" s="36">
        <f t="shared" si="1"/>
        <v>0</v>
      </c>
      <c r="AE39" s="23">
        <f t="shared" si="5"/>
        <v>0</v>
      </c>
      <c r="AF39" s="367"/>
      <c r="AG39" s="728">
        <f t="shared" si="2"/>
        <v>0</v>
      </c>
      <c r="AH39" s="367"/>
      <c r="AI39" s="375">
        <v>0</v>
      </c>
      <c r="AJ39" s="367"/>
      <c r="AK39" s="367"/>
      <c r="AL39" s="367"/>
      <c r="AM39" s="367"/>
      <c r="AN39" s="367"/>
      <c r="AO39" s="86"/>
      <c r="AP39" s="51">
        <f t="shared" si="3"/>
        <v>0</v>
      </c>
      <c r="AQ39" s="476">
        <f>H!AQ39+H!AP39</f>
        <v>0</v>
      </c>
      <c r="AR39" s="476">
        <f t="shared" si="4"/>
        <v>0</v>
      </c>
      <c r="AS39" s="477">
        <f>AD39+H!AS39</f>
        <v>0</v>
      </c>
      <c r="AT39" s="477">
        <f>AA39+H!AT39</f>
        <v>0</v>
      </c>
      <c r="AU39" s="476"/>
      <c r="AV39" s="477">
        <f>H!AV39-H!AD39+I!Z39-H!AP39</f>
        <v>0</v>
      </c>
      <c r="AW39" s="476">
        <f t="shared" si="6"/>
        <v>0</v>
      </c>
      <c r="AX39" s="52">
        <f>IF(Z39=H!Z39,H!AE39-AD39,H!AE39+(Z39-H!Z39)*$AW$16-AD39)</f>
        <v>0</v>
      </c>
      <c r="AZ39" s="726">
        <f t="shared" si="7"/>
        <v>0</v>
      </c>
    </row>
    <row r="40" spans="1:52" ht="15" customHeight="1">
      <c r="A40" s="367"/>
      <c r="B40" s="16" t="s">
        <v>179</v>
      </c>
      <c r="C40" s="77">
        <f ca="1">SUM(C27:C39)+SUM(C65:C86)</f>
        <v>0</v>
      </c>
      <c r="D40" s="75">
        <f>SUM(D27:D39)+SUM(D65:D86)</f>
        <v>0</v>
      </c>
      <c r="E40" s="515"/>
      <c r="F40" s="515"/>
      <c r="G40" s="367"/>
      <c r="H40" s="543"/>
      <c r="I40" s="853"/>
      <c r="J40" s="6"/>
      <c r="K40" s="541"/>
      <c r="L40" s="860"/>
      <c r="M40" s="20" t="str">
        <f>IF(J40="","",$M$5-SUM($J$7:J40))</f>
        <v/>
      </c>
      <c r="N40" s="367"/>
      <c r="O40" s="7"/>
      <c r="P40" s="871">
        <f>IF(H!Q40&lt;&gt;H!R40,IF(H!Q40&lt;&gt;0,IF(H!S40&lt;&gt;H!T40,H!P40,),),)</f>
        <v>0</v>
      </c>
      <c r="Q40" s="795">
        <f>IF(H!Q40&lt;&gt;H!R40,IF(H!Q40&lt;&gt;0,IF(H!S40&lt;&gt;H!T40,H!Q40,),),)</f>
        <v>0</v>
      </c>
      <c r="R40" s="628">
        <f>IF(H!Q40&lt;&gt;H!R40,IF(H!Q40&lt;&gt;0,IF(H!S40&lt;&gt;H!T40,0,Q40),Q40),Q40)</f>
        <v>0</v>
      </c>
      <c r="S40" s="796">
        <f>IF(H!Q40&lt;&gt;H!R40,IF(H!Q40&lt;&gt;0,IF(H!S40&lt;&gt;H!T40,H!S40+1,),),)</f>
        <v>0</v>
      </c>
      <c r="T40" s="796">
        <f>IF(H!Q40&lt;&gt;H!R40,IF(H!Q40&lt;&gt;0,IF(H!S40&lt;&gt;H!T40,H!T40,),),)</f>
        <v>0</v>
      </c>
      <c r="U40" s="797">
        <f>IF(H!Q40&lt;&gt;H!R40,IF(H!Q40&lt;&gt;0,IF(H!S40&lt;&gt;H!T40,H!U40,),),)</f>
        <v>0</v>
      </c>
      <c r="V40" s="875">
        <f>IF(H!Q40&lt;&gt;H!R40,IF(H!Q40&lt;&gt;0,IF(H!S40&lt;&gt;H!T40,H!V40,),),)</f>
        <v>0</v>
      </c>
      <c r="W40" s="622">
        <f>IF(Q40="","",$W$5-SUM($Q$7:Q40))</f>
        <v>0</v>
      </c>
      <c r="X40" s="395"/>
      <c r="Y40" s="906" t="str">
        <f>IF(H!Y40&lt;&gt;"",H!Y40,)</f>
        <v>Small Purchases</v>
      </c>
      <c r="Z40" s="457">
        <f>H!Z40</f>
        <v>0</v>
      </c>
      <c r="AA40" s="20">
        <f t="shared" si="0"/>
        <v>0</v>
      </c>
      <c r="AB40" s="723"/>
      <c r="AC40" s="723"/>
      <c r="AD40" s="36">
        <f t="shared" si="1"/>
        <v>0</v>
      </c>
      <c r="AE40" s="23">
        <f t="shared" si="5"/>
        <v>0</v>
      </c>
      <c r="AF40" s="367"/>
      <c r="AG40" s="728">
        <f t="shared" si="2"/>
        <v>0</v>
      </c>
      <c r="AH40" s="367"/>
      <c r="AI40" s="375">
        <v>0</v>
      </c>
      <c r="AJ40" s="367"/>
      <c r="AK40" s="367"/>
      <c r="AL40" s="367"/>
      <c r="AM40" s="367"/>
      <c r="AN40" s="367"/>
      <c r="AO40" s="86"/>
      <c r="AP40" s="51">
        <f t="shared" si="3"/>
        <v>0</v>
      </c>
      <c r="AQ40" s="476">
        <f>H!AQ40+H!AP40</f>
        <v>0</v>
      </c>
      <c r="AR40" s="476">
        <f t="shared" si="4"/>
        <v>0</v>
      </c>
      <c r="AS40" s="477">
        <f>AD40+H!AS40</f>
        <v>0</v>
      </c>
      <c r="AT40" s="477">
        <f>AA40+H!AT40</f>
        <v>0</v>
      </c>
      <c r="AU40" s="476"/>
      <c r="AV40" s="477">
        <f>H!AV40-H!AD40+I!Z40-H!AP40</f>
        <v>0</v>
      </c>
      <c r="AW40" s="476">
        <f t="shared" si="6"/>
        <v>0</v>
      </c>
      <c r="AX40" s="52">
        <f>IF(Z40=H!Z40,H!AE40-AD40,H!AE40+(Z40-H!Z40)*$AW$16-AD40)</f>
        <v>0</v>
      </c>
      <c r="AZ40" s="726">
        <f t="shared" si="7"/>
        <v>0</v>
      </c>
    </row>
    <row r="41" spans="1:52" ht="15" customHeight="1" thickBot="1">
      <c r="A41" s="367"/>
      <c r="B41" s="11" t="s">
        <v>367</v>
      </c>
      <c r="C41" s="1093">
        <f ca="1">C40-D40</f>
        <v>0</v>
      </c>
      <c r="D41" s="1094"/>
      <c r="E41" s="517"/>
      <c r="F41" s="517"/>
      <c r="G41" s="367"/>
      <c r="H41" s="543"/>
      <c r="I41" s="853"/>
      <c r="J41" s="6"/>
      <c r="K41" s="541"/>
      <c r="L41" s="860"/>
      <c r="M41" s="20" t="str">
        <f>IF(J41="","",$M$5-SUM($J$7:J41))</f>
        <v/>
      </c>
      <c r="N41" s="367"/>
      <c r="O41" s="7"/>
      <c r="P41" s="871">
        <f>IF(H!Q41&lt;&gt;H!R41,IF(H!Q41&lt;&gt;0,IF(H!S41&lt;&gt;H!T41,H!P41,),),)</f>
        <v>0</v>
      </c>
      <c r="Q41" s="795">
        <f>IF(H!Q41&lt;&gt;H!R41,IF(H!Q41&lt;&gt;0,IF(H!S41&lt;&gt;H!T41,H!Q41,),),)</f>
        <v>0</v>
      </c>
      <c r="R41" s="628">
        <f>IF(H!Q41&lt;&gt;H!R41,IF(H!Q41&lt;&gt;0,IF(H!S41&lt;&gt;H!T41,0,Q41),Q41),Q41)</f>
        <v>0</v>
      </c>
      <c r="S41" s="796">
        <f>IF(H!Q41&lt;&gt;H!R41,IF(H!Q41&lt;&gt;0,IF(H!S41&lt;&gt;H!T41,H!S41+1,),),)</f>
        <v>0</v>
      </c>
      <c r="T41" s="796">
        <f>IF(H!Q41&lt;&gt;H!R41,IF(H!Q41&lt;&gt;0,IF(H!S41&lt;&gt;H!T41,H!T41,),),)</f>
        <v>0</v>
      </c>
      <c r="U41" s="797">
        <f>IF(H!Q41&lt;&gt;H!R41,IF(H!Q41&lt;&gt;0,IF(H!S41&lt;&gt;H!T41,H!U41,),),)</f>
        <v>0</v>
      </c>
      <c r="V41" s="875">
        <f>IF(H!Q41&lt;&gt;H!R41,IF(H!Q41&lt;&gt;0,IF(H!S41&lt;&gt;H!T41,H!V41,),),)</f>
        <v>0</v>
      </c>
      <c r="W41" s="622">
        <f>IF(Q41="","",$W$5-SUM($Q$7:Q41))</f>
        <v>0</v>
      </c>
      <c r="X41" s="395"/>
      <c r="Y41" s="905" t="str">
        <f>IF(H!Y41&lt;&gt;"",H!Y41,)</f>
        <v>Haircuts / Cosmetics Treatments</v>
      </c>
      <c r="Z41" s="457">
        <f>H!Z41</f>
        <v>0</v>
      </c>
      <c r="AA41" s="20">
        <f t="shared" si="0"/>
        <v>0</v>
      </c>
      <c r="AB41" s="723"/>
      <c r="AC41" s="723"/>
      <c r="AD41" s="36">
        <f t="shared" si="1"/>
        <v>0</v>
      </c>
      <c r="AE41" s="23">
        <f t="shared" si="5"/>
        <v>0</v>
      </c>
      <c r="AF41" s="367"/>
      <c r="AG41" s="728">
        <f t="shared" si="2"/>
        <v>0</v>
      </c>
      <c r="AH41" s="367"/>
      <c r="AI41" s="375">
        <v>0</v>
      </c>
      <c r="AJ41" s="367"/>
      <c r="AK41" s="367"/>
      <c r="AL41" s="367"/>
      <c r="AM41" s="367"/>
      <c r="AN41" s="367"/>
      <c r="AO41" s="86"/>
      <c r="AP41" s="51">
        <f t="shared" si="3"/>
        <v>0</v>
      </c>
      <c r="AQ41" s="476">
        <f>H!AQ41+H!AP41</f>
        <v>0</v>
      </c>
      <c r="AR41" s="476">
        <f t="shared" si="4"/>
        <v>0</v>
      </c>
      <c r="AS41" s="477">
        <f>AD41+H!AS41</f>
        <v>0</v>
      </c>
      <c r="AT41" s="477">
        <f>AA41+H!AT41</f>
        <v>0</v>
      </c>
      <c r="AU41" s="476"/>
      <c r="AV41" s="477">
        <f>H!AV41-H!AD41+I!Z41-H!AP41</f>
        <v>0</v>
      </c>
      <c r="AW41" s="476">
        <f t="shared" si="6"/>
        <v>0</v>
      </c>
      <c r="AX41" s="52">
        <f>IF(Z41=H!Z41,H!AE41-AD41,H!AE41+(Z41-H!Z41)*$AW$16-AD41)</f>
        <v>0</v>
      </c>
      <c r="AZ41" s="726">
        <f t="shared" si="7"/>
        <v>0</v>
      </c>
    </row>
    <row r="42" spans="1:52" ht="15" customHeight="1">
      <c r="A42" s="367"/>
      <c r="B42" s="1095" t="str">
        <f ca="1">IF(C41&gt;0,"Unexpected positive difference - Check why!","")</f>
        <v/>
      </c>
      <c r="C42" s="1095"/>
      <c r="D42" s="1095"/>
      <c r="E42" s="514"/>
      <c r="F42" s="514"/>
      <c r="G42" s="367"/>
      <c r="H42" s="543"/>
      <c r="I42" s="853"/>
      <c r="J42" s="6"/>
      <c r="K42" s="541"/>
      <c r="L42" s="860"/>
      <c r="M42" s="20" t="str">
        <f>IF(J42="","",$M$5-SUM($J$7:J42))</f>
        <v/>
      </c>
      <c r="N42" s="367"/>
      <c r="O42" s="7"/>
      <c r="P42" s="873">
        <f>IF(H!Q42&lt;&gt;H!R42,IF(H!Q42&lt;&gt;0,IF(H!S42&lt;&gt;H!T42,H!P42,),),)</f>
        <v>0</v>
      </c>
      <c r="Q42" s="795">
        <f>IF(H!Q42&lt;&gt;H!R42,IF(H!Q42&lt;&gt;0,IF(H!S42&lt;&gt;H!T42,H!Q42,),),)</f>
        <v>0</v>
      </c>
      <c r="R42" s="628">
        <f>IF(H!Q42&lt;&gt;H!R42,IF(H!Q42&lt;&gt;0,IF(H!S42&lt;&gt;H!T42,0,Q42),Q42),Q42)</f>
        <v>0</v>
      </c>
      <c r="S42" s="796">
        <f>IF(H!Q42&lt;&gt;H!R42,IF(H!Q42&lt;&gt;0,IF(H!S42&lt;&gt;H!T42,H!S42+1,),),)</f>
        <v>0</v>
      </c>
      <c r="T42" s="796">
        <f>IF(H!Q42&lt;&gt;H!R42,IF(H!Q42&lt;&gt;0,IF(H!S42&lt;&gt;H!T42,H!T42,),),)</f>
        <v>0</v>
      </c>
      <c r="U42" s="797">
        <f>IF(H!Q42&lt;&gt;H!R42,IF(H!Q42&lt;&gt;0,IF(H!S42&lt;&gt;H!T42,H!U42,),),)</f>
        <v>0</v>
      </c>
      <c r="V42" s="875">
        <f>IF(H!Q42&lt;&gt;H!R42,IF(H!Q42&lt;&gt;0,IF(H!S42&lt;&gt;H!T42,H!V42,),),)</f>
        <v>0</v>
      </c>
      <c r="W42" s="622">
        <f>IF(Q42="","",$W$5-SUM($Q$7:Q42))</f>
        <v>0</v>
      </c>
      <c r="X42" s="395"/>
      <c r="Y42" s="905" t="str">
        <f>IF(H!Y42&lt;&gt;"",H!Y42,)</f>
        <v>National Insurance</v>
      </c>
      <c r="Z42" s="457">
        <f>H!Z42</f>
        <v>0</v>
      </c>
      <c r="AA42" s="20">
        <f t="shared" si="0"/>
        <v>0</v>
      </c>
      <c r="AB42" s="723"/>
      <c r="AC42" s="723"/>
      <c r="AD42" s="36">
        <f t="shared" si="1"/>
        <v>0</v>
      </c>
      <c r="AE42" s="23">
        <f t="shared" si="5"/>
        <v>0</v>
      </c>
      <c r="AF42" s="367"/>
      <c r="AG42" s="728">
        <f t="shared" si="2"/>
        <v>0</v>
      </c>
      <c r="AH42" s="367"/>
      <c r="AI42" s="375">
        <v>0</v>
      </c>
      <c r="AJ42" s="367"/>
      <c r="AK42" s="367"/>
      <c r="AL42" s="367"/>
      <c r="AM42" s="367"/>
      <c r="AN42" s="367"/>
      <c r="AO42" s="86"/>
      <c r="AP42" s="51">
        <f t="shared" si="3"/>
        <v>0</v>
      </c>
      <c r="AQ42" s="476">
        <f>H!AQ42+H!AP42</f>
        <v>0</v>
      </c>
      <c r="AR42" s="476">
        <f t="shared" si="4"/>
        <v>0</v>
      </c>
      <c r="AS42" s="477">
        <f>AD42+H!AS42</f>
        <v>0</v>
      </c>
      <c r="AT42" s="477">
        <f>AA42+H!AT42</f>
        <v>0</v>
      </c>
      <c r="AU42" s="476"/>
      <c r="AV42" s="477">
        <f>H!AV42-H!AD42+I!Z42-H!AP42</f>
        <v>0</v>
      </c>
      <c r="AW42" s="476">
        <f t="shared" si="6"/>
        <v>0</v>
      </c>
      <c r="AX42" s="52">
        <f>IF(Z42=H!Z42,H!AE42-AD42,H!AE42+(Z42-H!Z42)*$AW$16-AD42)</f>
        <v>0</v>
      </c>
      <c r="AZ42" s="726">
        <f t="shared" si="7"/>
        <v>0</v>
      </c>
    </row>
    <row r="43" spans="1:52" ht="15" customHeight="1" thickBot="1">
      <c r="A43" s="367"/>
      <c r="B43" s="1117" t="s">
        <v>351</v>
      </c>
      <c r="C43" s="1117"/>
      <c r="D43" s="367"/>
      <c r="E43" s="367"/>
      <c r="F43" s="367"/>
      <c r="G43" s="367"/>
      <c r="H43" s="543"/>
      <c r="I43" s="854"/>
      <c r="J43" s="6"/>
      <c r="K43" s="541"/>
      <c r="L43" s="860"/>
      <c r="M43" s="20" t="str">
        <f>IF(J43="","",$M$5-SUM($J$7:J43))</f>
        <v/>
      </c>
      <c r="N43" s="367"/>
      <c r="O43" s="7"/>
      <c r="P43" s="871">
        <f>IF(H!Q43&lt;&gt;H!R43,IF(H!Q43&lt;&gt;0,IF(H!S43&lt;&gt;H!T43,H!P43,),),)</f>
        <v>0</v>
      </c>
      <c r="Q43" s="795">
        <f>IF(H!Q43&lt;&gt;H!R43,IF(H!Q43&lt;&gt;0,IF(H!S43&lt;&gt;H!T43,H!Q43,),),)</f>
        <v>0</v>
      </c>
      <c r="R43" s="628">
        <f>IF(H!Q43&lt;&gt;H!R43,IF(H!Q43&lt;&gt;0,IF(H!S43&lt;&gt;H!T43,0,Q43),Q43),Q43)</f>
        <v>0</v>
      </c>
      <c r="S43" s="796">
        <f>IF(H!Q43&lt;&gt;H!R43,IF(H!Q43&lt;&gt;0,IF(H!S43&lt;&gt;H!T43,H!S43+1,),),)</f>
        <v>0</v>
      </c>
      <c r="T43" s="796">
        <f>IF(H!Q43&lt;&gt;H!R43,IF(H!Q43&lt;&gt;0,IF(H!S43&lt;&gt;H!T43,H!T43,),),)</f>
        <v>0</v>
      </c>
      <c r="U43" s="797">
        <f>IF(H!Q43&lt;&gt;H!R43,IF(H!Q43&lt;&gt;0,IF(H!S43&lt;&gt;H!T43,H!U43,),),)</f>
        <v>0</v>
      </c>
      <c r="V43" s="875">
        <f>IF(H!Q43&lt;&gt;H!R43,IF(H!Q43&lt;&gt;0,IF(H!S43&lt;&gt;H!T43,H!V43,),),)</f>
        <v>0</v>
      </c>
      <c r="W43" s="622">
        <f>IF(Q43="","",$W$5-SUM($Q$7:Q43))</f>
        <v>0</v>
      </c>
      <c r="X43" s="395"/>
      <c r="Y43" s="905">
        <f>IF(H!Y43&lt;&gt;"",H!Y43,)</f>
        <v>0</v>
      </c>
      <c r="Z43" s="457">
        <f>H!Z43</f>
        <v>0</v>
      </c>
      <c r="AA43" s="20">
        <f t="shared" si="0"/>
        <v>0</v>
      </c>
      <c r="AB43" s="723"/>
      <c r="AC43" s="723"/>
      <c r="AD43" s="36">
        <f t="shared" si="1"/>
        <v>0</v>
      </c>
      <c r="AE43" s="23">
        <f t="shared" si="5"/>
        <v>0</v>
      </c>
      <c r="AF43" s="367"/>
      <c r="AG43" s="728">
        <f t="shared" si="2"/>
        <v>0</v>
      </c>
      <c r="AH43" s="367"/>
      <c r="AI43" s="375">
        <v>0</v>
      </c>
      <c r="AJ43" s="367"/>
      <c r="AK43" s="367"/>
      <c r="AL43" s="367"/>
      <c r="AM43" s="367"/>
      <c r="AN43" s="367"/>
      <c r="AO43" s="86"/>
      <c r="AP43" s="51">
        <f t="shared" si="3"/>
        <v>0</v>
      </c>
      <c r="AQ43" s="476">
        <f>H!AQ43+H!AP43</f>
        <v>0</v>
      </c>
      <c r="AR43" s="476">
        <f t="shared" si="4"/>
        <v>0</v>
      </c>
      <c r="AS43" s="477">
        <f>AD43+H!AS43</f>
        <v>0</v>
      </c>
      <c r="AT43" s="477">
        <f>AA43+H!AT43</f>
        <v>0</v>
      </c>
      <c r="AU43" s="476"/>
      <c r="AV43" s="477">
        <f>H!AV43-H!AD43+I!Z43-H!AP43</f>
        <v>0</v>
      </c>
      <c r="AW43" s="476">
        <f t="shared" si="6"/>
        <v>0</v>
      </c>
      <c r="AX43" s="52">
        <f>IF(Z43=H!Z43,H!AE43-AD43,H!AE43+(Z43-H!Z43)*$AW$16-AD43)</f>
        <v>0</v>
      </c>
      <c r="AZ43" s="726">
        <f t="shared" si="7"/>
        <v>0</v>
      </c>
    </row>
    <row r="44" spans="1:52" ht="15" customHeight="1">
      <c r="A44" s="367"/>
      <c r="B44" s="811" t="s">
        <v>353</v>
      </c>
      <c r="C44" s="100" t="s">
        <v>354</v>
      </c>
      <c r="D44" s="915" t="s">
        <v>494</v>
      </c>
      <c r="E44" s="518"/>
      <c r="F44" s="518"/>
      <c r="G44" s="367"/>
      <c r="H44" s="543"/>
      <c r="I44" s="853"/>
      <c r="J44" s="6"/>
      <c r="K44" s="541"/>
      <c r="L44" s="860"/>
      <c r="M44" s="20" t="str">
        <f>IF(J44="","",$M$5-SUM($J$7:J44))</f>
        <v/>
      </c>
      <c r="N44" s="367"/>
      <c r="O44" s="7"/>
      <c r="P44" s="871">
        <f>IF(H!Q44&lt;&gt;H!R44,IF(H!Q44&lt;&gt;0,IF(H!S44&lt;&gt;H!T44,H!P44,),),)</f>
        <v>0</v>
      </c>
      <c r="Q44" s="795">
        <f>IF(H!Q44&lt;&gt;H!R44,IF(H!Q44&lt;&gt;0,IF(H!S44&lt;&gt;H!T44,H!Q44,),),)</f>
        <v>0</v>
      </c>
      <c r="R44" s="628">
        <f>IF(H!Q44&lt;&gt;H!R44,IF(H!Q44&lt;&gt;0,IF(H!S44&lt;&gt;H!T44,0,Q44),Q44),Q44)</f>
        <v>0</v>
      </c>
      <c r="S44" s="796">
        <f>IF(H!Q44&lt;&gt;H!R44,IF(H!Q44&lt;&gt;0,IF(H!S44&lt;&gt;H!T44,H!S44+1,),),)</f>
        <v>0</v>
      </c>
      <c r="T44" s="796">
        <f>IF(H!Q44&lt;&gt;H!R44,IF(H!Q44&lt;&gt;0,IF(H!S44&lt;&gt;H!T44,H!T44,),),)</f>
        <v>0</v>
      </c>
      <c r="U44" s="797">
        <f>IF(H!Q44&lt;&gt;H!R44,IF(H!Q44&lt;&gt;0,IF(H!S44&lt;&gt;H!T44,H!U44,),),)</f>
        <v>0</v>
      </c>
      <c r="V44" s="875">
        <f>IF(H!Q44&lt;&gt;H!R44,IF(H!Q44&lt;&gt;0,IF(H!S44&lt;&gt;H!T44,H!V44,),),)</f>
        <v>0</v>
      </c>
      <c r="W44" s="622">
        <f>IF(Q44="","",$W$5-SUM($Q$7:Q44))</f>
        <v>0</v>
      </c>
      <c r="X44" s="396"/>
      <c r="Y44" s="905">
        <f>IF(H!Y44&lt;&gt;"",H!Y44,)</f>
        <v>0</v>
      </c>
      <c r="Z44" s="457">
        <f>H!Z44</f>
        <v>0</v>
      </c>
      <c r="AA44" s="20">
        <f t="shared" si="0"/>
        <v>0</v>
      </c>
      <c r="AB44" s="723"/>
      <c r="AC44" s="723"/>
      <c r="AD44" s="36">
        <f t="shared" si="1"/>
        <v>0</v>
      </c>
      <c r="AE44" s="23">
        <f t="shared" si="5"/>
        <v>0</v>
      </c>
      <c r="AF44" s="367"/>
      <c r="AG44" s="728">
        <f t="shared" si="2"/>
        <v>0</v>
      </c>
      <c r="AH44" s="367"/>
      <c r="AI44" s="375">
        <v>0</v>
      </c>
      <c r="AJ44" s="367"/>
      <c r="AK44" s="367"/>
      <c r="AL44" s="367"/>
      <c r="AM44" s="367"/>
      <c r="AN44" s="367"/>
      <c r="AO44" s="86"/>
      <c r="AP44" s="51">
        <f t="shared" si="3"/>
        <v>0</v>
      </c>
      <c r="AQ44" s="476">
        <f>H!AQ44+H!AP44</f>
        <v>0</v>
      </c>
      <c r="AR44" s="476">
        <f t="shared" si="4"/>
        <v>0</v>
      </c>
      <c r="AS44" s="477">
        <f>AD44+H!AS44</f>
        <v>0</v>
      </c>
      <c r="AT44" s="477">
        <f>AA44+H!AT44</f>
        <v>0</v>
      </c>
      <c r="AU44" s="476"/>
      <c r="AV44" s="477">
        <f>H!AV44-H!AD44+I!Z44-H!AP44</f>
        <v>0</v>
      </c>
      <c r="AW44" s="476">
        <f t="shared" si="6"/>
        <v>0</v>
      </c>
      <c r="AX44" s="52">
        <f>IF(Z44=H!Z44,H!AE44-AD44,H!AE44+(Z44-H!Z44)*$AW$16-AD44)</f>
        <v>0</v>
      </c>
      <c r="AZ44" s="727">
        <f t="shared" si="7"/>
        <v>0</v>
      </c>
    </row>
    <row r="45" spans="1:52" ht="15.75">
      <c r="A45" s="367"/>
      <c r="B45" s="850" t="str">
        <f>IF(H!B45&lt;&gt;"",H!B45,)</f>
        <v>Food</v>
      </c>
      <c r="C45" s="455">
        <f>H!C45</f>
        <v>0</v>
      </c>
      <c r="D45" s="80">
        <f t="shared" ref="D45:D56" si="8">SUMIF($I$7:$I$110,B45,$J$7:$J$110)</f>
        <v>0</v>
      </c>
      <c r="E45" s="519"/>
      <c r="F45" s="519"/>
      <c r="G45" s="367"/>
      <c r="H45" s="543"/>
      <c r="I45" s="853"/>
      <c r="J45" s="6"/>
      <c r="K45" s="541"/>
      <c r="L45" s="860"/>
      <c r="M45" s="20" t="str">
        <f>IF(J45="","",$M$5-SUM($J$7:J45))</f>
        <v/>
      </c>
      <c r="N45" s="367"/>
      <c r="O45" s="107"/>
      <c r="P45" s="873">
        <f>IF(H!Q45&lt;&gt;H!R45,IF(H!Q45&lt;&gt;0,IF(H!S45&lt;&gt;H!T45,H!P45,),),)</f>
        <v>0</v>
      </c>
      <c r="Q45" s="795">
        <f>IF(H!Q45&lt;&gt;H!R45,IF(H!Q45&lt;&gt;0,IF(H!S45&lt;&gt;H!T45,H!Q45,),),)</f>
        <v>0</v>
      </c>
      <c r="R45" s="628">
        <f>IF(H!Q45&lt;&gt;H!R45,IF(H!Q45&lt;&gt;0,IF(H!S45&lt;&gt;H!T45,0,Q45),Q45),Q45)</f>
        <v>0</v>
      </c>
      <c r="S45" s="796">
        <f>IF(H!Q45&lt;&gt;H!R45,IF(H!Q45&lt;&gt;0,IF(H!S45&lt;&gt;H!T45,H!S45+1,),),)</f>
        <v>0</v>
      </c>
      <c r="T45" s="796">
        <f>IF(H!Q45&lt;&gt;H!R45,IF(H!Q45&lt;&gt;0,IF(H!S45&lt;&gt;H!T45,H!T45,),),)</f>
        <v>0</v>
      </c>
      <c r="U45" s="797">
        <f>IF(H!Q45&lt;&gt;H!R45,IF(H!Q45&lt;&gt;0,IF(H!S45&lt;&gt;H!T45,H!U45,),),)</f>
        <v>0</v>
      </c>
      <c r="V45" s="875">
        <f>IF(H!Q45&lt;&gt;H!R45,IF(H!Q45&lt;&gt;0,IF(H!S45&lt;&gt;H!T45,H!V45,),),)</f>
        <v>0</v>
      </c>
      <c r="W45" s="622">
        <f>IF(Q45="","",$W$5-SUM($Q$7:Q45))</f>
        <v>0</v>
      </c>
      <c r="X45" s="397"/>
      <c r="Y45" s="18" t="s">
        <v>179</v>
      </c>
      <c r="Z45" s="17">
        <f>SUM(Z23:Z44)</f>
        <v>0</v>
      </c>
      <c r="AA45" s="20">
        <f>SUM(AA23:AA44)</f>
        <v>0</v>
      </c>
      <c r="AB45" s="723"/>
      <c r="AC45" s="723"/>
      <c r="AD45" s="36"/>
      <c r="AE45" s="24">
        <f>SUM(AE23:AE44)</f>
        <v>0</v>
      </c>
      <c r="AF45" s="367"/>
      <c r="AG45" s="367"/>
      <c r="AH45" s="367"/>
      <c r="AI45" s="367"/>
      <c r="AJ45" s="367"/>
      <c r="AK45" s="367"/>
      <c r="AL45" s="367"/>
      <c r="AM45" s="367"/>
      <c r="AN45" s="367"/>
      <c r="AO45" s="86"/>
      <c r="AP45" s="52">
        <f>SUM(AP23:AP44)</f>
        <v>0</v>
      </c>
      <c r="AQ45" s="476">
        <f>SUM(AQ23:AQ44)</f>
        <v>0</v>
      </c>
      <c r="AR45" s="476">
        <f>SUM(AR23:AR44)</f>
        <v>0</v>
      </c>
      <c r="AS45" s="476">
        <f>SUM(AS23:AS44)</f>
        <v>0</v>
      </c>
      <c r="AT45" s="476">
        <f>SUM(AT23:AT44)</f>
        <v>0</v>
      </c>
      <c r="AU45" s="476"/>
      <c r="AV45" s="476">
        <f>SUM(AV23:AV44)</f>
        <v>0</v>
      </c>
      <c r="AW45" s="476">
        <f>SUM(AW23:AW44)</f>
        <v>0</v>
      </c>
      <c r="AX45" s="52">
        <f>SUM(AX23:AX44)</f>
        <v>0</v>
      </c>
    </row>
    <row r="46" spans="1:52" ht="15.75" customHeight="1" thickBot="1">
      <c r="A46" s="367"/>
      <c r="B46" s="850" t="str">
        <f>IF(H!B46&lt;&gt;"",H!B46,)</f>
        <v>Public Transportation</v>
      </c>
      <c r="C46" s="455">
        <f>H!C46</f>
        <v>0</v>
      </c>
      <c r="D46" s="80">
        <f t="shared" si="8"/>
        <v>0</v>
      </c>
      <c r="E46" s="519"/>
      <c r="F46" s="519"/>
      <c r="G46" s="367"/>
      <c r="H46" s="543"/>
      <c r="I46" s="853"/>
      <c r="J46" s="6"/>
      <c r="K46" s="541"/>
      <c r="L46" s="860"/>
      <c r="M46" s="20" t="str">
        <f>IF(J46="","",$M$5-SUM($J$7:J46))</f>
        <v/>
      </c>
      <c r="N46" s="367"/>
      <c r="O46" s="652"/>
      <c r="P46" s="865" t="s">
        <v>429</v>
      </c>
      <c r="Q46" s="620"/>
      <c r="R46" s="619"/>
      <c r="S46" s="629"/>
      <c r="T46" s="629"/>
      <c r="U46" s="646"/>
      <c r="V46" s="618"/>
      <c r="W46" s="627">
        <f>W5-AA45</f>
        <v>0</v>
      </c>
      <c r="X46" s="386"/>
      <c r="Y46" s="125" t="s">
        <v>367</v>
      </c>
      <c r="Z46" s="1202">
        <f>Z45-AA45</f>
        <v>0</v>
      </c>
      <c r="AA46" s="1203"/>
      <c r="AB46" s="644"/>
      <c r="AC46" s="644"/>
      <c r="AD46" s="37"/>
      <c r="AF46" s="367"/>
      <c r="AG46" s="367"/>
      <c r="AH46" s="367"/>
      <c r="AI46" s="367"/>
      <c r="AJ46" s="367"/>
      <c r="AK46" s="367"/>
      <c r="AL46" s="367"/>
      <c r="AM46" s="367"/>
      <c r="AN46" s="367"/>
      <c r="AO46" s="86"/>
    </row>
    <row r="47" spans="1:52" ht="15.75" customHeight="1">
      <c r="A47" s="367"/>
      <c r="B47" s="850" t="str">
        <f>IF(H!B47&lt;&gt;"",H!B47,)</f>
        <v>Gas and Parking</v>
      </c>
      <c r="C47" s="455">
        <f>H!C47</f>
        <v>0</v>
      </c>
      <c r="D47" s="80">
        <f t="shared" si="8"/>
        <v>0</v>
      </c>
      <c r="E47" s="519"/>
      <c r="F47" s="519"/>
      <c r="G47" s="367"/>
      <c r="H47" s="543"/>
      <c r="I47" s="853"/>
      <c r="J47" s="6"/>
      <c r="K47" s="541"/>
      <c r="L47" s="860"/>
      <c r="M47" s="20" t="str">
        <f>IF(J47="","",$M$5-SUM($J$7:J47))</f>
        <v/>
      </c>
      <c r="N47" s="367"/>
      <c r="O47" s="385"/>
      <c r="P47" s="393"/>
      <c r="Q47" s="378"/>
      <c r="R47" s="392"/>
      <c r="S47" s="387"/>
      <c r="T47" s="387"/>
      <c r="U47" s="387"/>
      <c r="V47" s="617"/>
      <c r="W47" s="392"/>
      <c r="X47" s="386"/>
      <c r="Y47" s="388"/>
      <c r="Z47" s="389"/>
      <c r="AA47" s="389"/>
      <c r="AB47" s="389"/>
      <c r="AC47" s="389"/>
      <c r="AD47" s="389"/>
      <c r="AE47" s="367"/>
      <c r="AF47" s="367"/>
      <c r="AG47" s="367"/>
      <c r="AH47" s="367"/>
      <c r="AI47" s="367"/>
      <c r="AJ47" s="367"/>
      <c r="AK47" s="367"/>
      <c r="AL47" s="367"/>
      <c r="AM47" s="367"/>
      <c r="AN47" s="367"/>
      <c r="AO47" s="86"/>
    </row>
    <row r="48" spans="1:52" ht="19.5" thickBot="1">
      <c r="A48" s="367"/>
      <c r="B48" s="850" t="str">
        <f>IF(H!B48&lt;&gt;"",H!B48,)</f>
        <v>Telephone-Landline/Long Distance</v>
      </c>
      <c r="C48" s="455">
        <f>H!C48</f>
        <v>0</v>
      </c>
      <c r="D48" s="80">
        <f t="shared" si="8"/>
        <v>0</v>
      </c>
      <c r="E48" s="519"/>
      <c r="F48" s="519"/>
      <c r="G48" s="367"/>
      <c r="H48" s="543"/>
      <c r="I48" s="853"/>
      <c r="J48" s="6"/>
      <c r="K48" s="541"/>
      <c r="L48" s="860"/>
      <c r="M48" s="20" t="str">
        <f>IF(J48="","",$M$5-SUM($J$7:J48))</f>
        <v/>
      </c>
      <c r="N48" s="367"/>
      <c r="P48" s="819" t="s">
        <v>395</v>
      </c>
      <c r="Q48" s="94" t="str">
        <f>M2</f>
        <v/>
      </c>
      <c r="R48" s="94" t="str">
        <f>N2</f>
        <v/>
      </c>
      <c r="S48" s="1215"/>
      <c r="T48" s="1215"/>
      <c r="U48" s="390"/>
      <c r="V48" s="390"/>
      <c r="W48" s="390"/>
      <c r="X48" s="386"/>
      <c r="Y48" s="386"/>
      <c r="Z48" s="386"/>
      <c r="AA48" s="386"/>
      <c r="AB48" s="391"/>
      <c r="AC48" s="391"/>
      <c r="AD48" s="391"/>
      <c r="AE48" s="367"/>
      <c r="AF48" s="367"/>
      <c r="AG48" s="367"/>
      <c r="AH48" s="367"/>
      <c r="AI48" s="367"/>
      <c r="AJ48" s="367"/>
      <c r="AK48" s="367"/>
      <c r="AL48" s="367"/>
      <c r="AM48" s="367"/>
      <c r="AN48" s="367"/>
      <c r="AO48" s="86"/>
    </row>
    <row r="49" spans="1:92" ht="16.5" thickBot="1">
      <c r="A49" s="367"/>
      <c r="B49" s="850" t="str">
        <f>IF(H!B49&lt;&gt;"",H!B49,)</f>
        <v>Cell Phones</v>
      </c>
      <c r="C49" s="455">
        <f>H!C49</f>
        <v>0</v>
      </c>
      <c r="D49" s="80">
        <f t="shared" si="8"/>
        <v>0</v>
      </c>
      <c r="E49" s="519"/>
      <c r="F49" s="519"/>
      <c r="G49" s="367"/>
      <c r="H49" s="543"/>
      <c r="I49" s="853"/>
      <c r="J49" s="6"/>
      <c r="K49" s="541"/>
      <c r="L49" s="860"/>
      <c r="M49" s="20" t="str">
        <f>IF(J49="","",$M$5-SUM($J$7:J49))</f>
        <v/>
      </c>
      <c r="N49" s="367"/>
      <c r="O49" s="377"/>
      <c r="P49" s="653" t="s">
        <v>288</v>
      </c>
      <c r="Q49" s="654" t="s">
        <v>354</v>
      </c>
      <c r="R49" s="654" t="s">
        <v>398</v>
      </c>
      <c r="S49" s="1216" t="s">
        <v>298</v>
      </c>
      <c r="T49" s="1217"/>
      <c r="U49" s="648"/>
      <c r="V49" s="371"/>
      <c r="W49" s="371"/>
      <c r="X49" s="367"/>
      <c r="Y49" s="386"/>
      <c r="Z49" s="386"/>
      <c r="AA49" s="386"/>
      <c r="AB49" s="391"/>
      <c r="AC49" s="391"/>
      <c r="AD49" s="391"/>
      <c r="AE49" s="367"/>
      <c r="AF49" s="367"/>
      <c r="AG49" s="367"/>
      <c r="AH49" s="367"/>
      <c r="AI49" s="367"/>
      <c r="AJ49" s="367"/>
      <c r="AK49" s="367"/>
      <c r="AL49" s="367"/>
      <c r="AM49" s="367"/>
      <c r="AN49" s="367"/>
      <c r="AO49" s="86"/>
    </row>
    <row r="50" spans="1:92" ht="15.75">
      <c r="A50" s="367"/>
      <c r="B50" s="850" t="str">
        <f>IF(H!B50&lt;&gt;"",H!B50,)</f>
        <v>Home</v>
      </c>
      <c r="C50" s="455">
        <f>H!C50</f>
        <v>0</v>
      </c>
      <c r="D50" s="80">
        <f t="shared" si="8"/>
        <v>0</v>
      </c>
      <c r="E50" s="519"/>
      <c r="F50" s="519"/>
      <c r="G50" s="367"/>
      <c r="H50" s="543"/>
      <c r="I50" s="853"/>
      <c r="J50" s="6"/>
      <c r="K50" s="541"/>
      <c r="L50" s="860"/>
      <c r="M50" s="20" t="str">
        <f>IF(J50="","",$M$5-SUM($J$7:J50))</f>
        <v/>
      </c>
      <c r="N50" s="367"/>
      <c r="O50" s="377"/>
      <c r="P50" s="655" t="s">
        <v>151</v>
      </c>
      <c r="Q50" s="22">
        <f>C18</f>
        <v>0</v>
      </c>
      <c r="R50" s="22">
        <f>D18</f>
        <v>0</v>
      </c>
      <c r="S50" s="1096">
        <f>Q50-R50</f>
        <v>0</v>
      </c>
      <c r="T50" s="1097"/>
      <c r="U50" s="647"/>
      <c r="V50" s="371"/>
      <c r="W50" s="371"/>
      <c r="X50" s="367"/>
      <c r="Y50" s="386"/>
      <c r="Z50" s="386"/>
      <c r="AA50" s="386"/>
      <c r="AB50" s="386"/>
      <c r="AC50" s="386"/>
      <c r="AD50" s="386"/>
      <c r="AE50" s="367"/>
      <c r="AF50" s="367"/>
      <c r="AG50" s="367"/>
      <c r="AH50" s="367"/>
      <c r="AI50" s="367"/>
      <c r="AJ50" s="367"/>
      <c r="AK50" s="367"/>
      <c r="AL50" s="367"/>
      <c r="AM50" s="367"/>
      <c r="AN50" s="367"/>
      <c r="AO50" s="86"/>
    </row>
    <row r="51" spans="1:92" ht="15.75">
      <c r="A51" s="367"/>
      <c r="B51" s="850" t="str">
        <f>IF(H!B51&lt;&gt;"",H!B51,)</f>
        <v>Cleaning help / Babysitter</v>
      </c>
      <c r="C51" s="455">
        <f>H!C51</f>
        <v>0</v>
      </c>
      <c r="D51" s="80">
        <f t="shared" si="8"/>
        <v>0</v>
      </c>
      <c r="E51" s="519"/>
      <c r="F51" s="519"/>
      <c r="G51" s="367"/>
      <c r="H51" s="543"/>
      <c r="I51" s="853"/>
      <c r="J51" s="6"/>
      <c r="K51" s="541"/>
      <c r="L51" s="860"/>
      <c r="M51" s="20" t="str">
        <f>IF(J51="","",$M$5-SUM($J$7:J51))</f>
        <v/>
      </c>
      <c r="N51" s="367"/>
      <c r="O51" s="377"/>
      <c r="P51" s="656" t="s">
        <v>396</v>
      </c>
      <c r="Q51" s="22">
        <f>Z45</f>
        <v>0</v>
      </c>
      <c r="R51" s="22">
        <f>AA45</f>
        <v>0</v>
      </c>
      <c r="S51" s="1147">
        <f>Q51-R51</f>
        <v>0</v>
      </c>
      <c r="T51" s="1147"/>
      <c r="U51" s="647"/>
      <c r="V51" s="371"/>
      <c r="W51" s="371"/>
      <c r="X51" s="367"/>
      <c r="Y51" s="367"/>
      <c r="Z51" s="367"/>
      <c r="AA51" s="367"/>
      <c r="AB51" s="367"/>
      <c r="AC51" s="367"/>
      <c r="AD51" s="367"/>
      <c r="AE51" s="367"/>
      <c r="AF51" s="367"/>
      <c r="AG51" s="367"/>
      <c r="AH51" s="367"/>
      <c r="AI51" s="367"/>
      <c r="AJ51" s="367"/>
      <c r="AK51" s="367"/>
      <c r="AL51" s="367"/>
      <c r="AM51" s="367"/>
      <c r="AN51" s="367"/>
      <c r="AO51" s="86"/>
    </row>
    <row r="52" spans="1:92" ht="15.75">
      <c r="A52" s="367"/>
      <c r="B52" s="850" t="str">
        <f>IF(H!B52&lt;&gt;"",H!B52,)</f>
        <v>Cigarettes</v>
      </c>
      <c r="C52" s="455">
        <f>H!C52</f>
        <v>0</v>
      </c>
      <c r="D52" s="80">
        <f t="shared" si="8"/>
        <v>0</v>
      </c>
      <c r="E52" s="519"/>
      <c r="F52" s="519"/>
      <c r="G52" s="367"/>
      <c r="H52" s="543"/>
      <c r="I52" s="853"/>
      <c r="J52" s="6"/>
      <c r="K52" s="541"/>
      <c r="L52" s="860"/>
      <c r="M52" s="20" t="str">
        <f>IF(J52="","",$M$5-SUM($J$7:J52))</f>
        <v/>
      </c>
      <c r="N52" s="367"/>
      <c r="O52" s="377"/>
      <c r="P52" s="657" t="s">
        <v>397</v>
      </c>
      <c r="Q52" s="22">
        <f>C57</f>
        <v>0</v>
      </c>
      <c r="R52" s="22">
        <f>D57</f>
        <v>0</v>
      </c>
      <c r="S52" s="1098">
        <f>Q52-R52</f>
        <v>0</v>
      </c>
      <c r="T52" s="1099"/>
      <c r="U52" s="649"/>
      <c r="V52" s="371"/>
      <c r="W52" s="370"/>
      <c r="X52" s="367"/>
      <c r="Y52" s="367"/>
      <c r="Z52" s="367"/>
      <c r="AA52" s="367"/>
      <c r="AB52" s="367"/>
      <c r="AC52" s="367"/>
      <c r="AD52" s="367"/>
      <c r="AE52" s="367"/>
      <c r="AF52" s="367"/>
      <c r="AG52" s="367"/>
      <c r="AH52" s="367"/>
      <c r="AI52" s="367"/>
      <c r="AJ52" s="367"/>
      <c r="AK52" s="367"/>
      <c r="AL52" s="367"/>
      <c r="AM52" s="367"/>
      <c r="AN52" s="367"/>
      <c r="AO52" s="86"/>
    </row>
    <row r="53" spans="1:92" ht="15.75">
      <c r="A53" s="367"/>
      <c r="B53" s="850" t="str">
        <f>IF(H!B53&lt;&gt;"",H!B53,)</f>
        <v>Other</v>
      </c>
      <c r="C53" s="455">
        <f>H!C53</f>
        <v>0</v>
      </c>
      <c r="D53" s="80">
        <f t="shared" si="8"/>
        <v>0</v>
      </c>
      <c r="E53" s="519"/>
      <c r="F53" s="519"/>
      <c r="G53" s="367"/>
      <c r="H53" s="543"/>
      <c r="I53" s="853"/>
      <c r="J53" s="6"/>
      <c r="K53" s="541"/>
      <c r="L53" s="860"/>
      <c r="M53" s="20" t="str">
        <f>IF(J53="","",$M$5-SUM($J$7:J53))</f>
        <v/>
      </c>
      <c r="N53" s="1110" t="str">
        <f ca="1">IF(D19&lt;=0,IF(C41&lt;=0,"","Pass positive diff?"),"Pass positive diff?")</f>
        <v/>
      </c>
      <c r="O53" s="1233"/>
      <c r="P53" s="658" t="s">
        <v>308</v>
      </c>
      <c r="Q53" s="150">
        <f>SUM(Q50:Q52)</f>
        <v>0</v>
      </c>
      <c r="R53" s="150">
        <f>SUM(R50:R52)</f>
        <v>0</v>
      </c>
      <c r="S53" s="1100">
        <f>Q53-R53</f>
        <v>0</v>
      </c>
      <c r="T53" s="1101"/>
      <c r="U53" s="788"/>
      <c r="V53" s="371"/>
      <c r="W53" s="371"/>
      <c r="X53" s="367"/>
      <c r="Y53" s="367"/>
      <c r="Z53" s="367"/>
      <c r="AA53" s="367"/>
      <c r="AB53" s="367"/>
      <c r="AC53" s="367"/>
      <c r="AD53" s="367"/>
      <c r="AE53" s="367"/>
      <c r="AF53" s="367"/>
      <c r="AG53" s="367"/>
      <c r="AH53" s="367"/>
      <c r="AI53" s="367"/>
      <c r="AJ53" s="367"/>
      <c r="AK53" s="367"/>
      <c r="AL53" s="367"/>
      <c r="AM53" s="367"/>
      <c r="AN53" s="367"/>
      <c r="AO53" s="86"/>
    </row>
    <row r="54" spans="1:92" ht="15.75">
      <c r="A54" s="367"/>
      <c r="B54" s="850">
        <f>IF(H!B54&lt;&gt;"",H!B54,)</f>
        <v>0</v>
      </c>
      <c r="C54" s="455">
        <f>H!C54</f>
        <v>0</v>
      </c>
      <c r="D54" s="80">
        <f t="shared" si="8"/>
        <v>0</v>
      </c>
      <c r="E54" s="519"/>
      <c r="F54" s="519"/>
      <c r="G54" s="367"/>
      <c r="H54" s="1199" t="s">
        <v>392</v>
      </c>
      <c r="I54" s="855" t="s">
        <v>430</v>
      </c>
      <c r="J54" s="816"/>
      <c r="K54" s="589"/>
      <c r="L54" s="590"/>
      <c r="M54" s="102">
        <f ca="1">M5-D57</f>
        <v>0</v>
      </c>
      <c r="N54" s="1110"/>
      <c r="O54" s="1233"/>
      <c r="P54" s="659" t="s">
        <v>296</v>
      </c>
      <c r="Q54" s="22">
        <f>AA4</f>
        <v>0</v>
      </c>
      <c r="R54" s="22">
        <f>AA17</f>
        <v>0</v>
      </c>
      <c r="S54" s="1096">
        <f>R54-Q54</f>
        <v>0</v>
      </c>
      <c r="T54" s="1097"/>
      <c r="U54" s="647"/>
      <c r="V54" s="371"/>
      <c r="W54" s="371"/>
      <c r="X54" s="367"/>
      <c r="Y54" s="367"/>
      <c r="Z54" s="367"/>
      <c r="AA54" s="367"/>
      <c r="AB54" s="367"/>
      <c r="AC54" s="367"/>
      <c r="AD54" s="367"/>
      <c r="AE54" s="367"/>
      <c r="AF54" s="367"/>
      <c r="AG54" s="367"/>
      <c r="AH54" s="367"/>
      <c r="AI54" s="367"/>
      <c r="AJ54" s="367"/>
      <c r="AK54" s="367"/>
      <c r="AL54" s="367"/>
      <c r="AM54" s="367"/>
      <c r="AN54" s="367"/>
      <c r="AO54" s="86"/>
    </row>
    <row r="55" spans="1:92" ht="16.5" thickBot="1">
      <c r="A55" s="367"/>
      <c r="B55" s="850">
        <f>IF(H!B55&lt;&gt;"",H!B55,)</f>
        <v>0</v>
      </c>
      <c r="C55" s="455">
        <f>H!C55</f>
        <v>0</v>
      </c>
      <c r="D55" s="80">
        <f t="shared" si="8"/>
        <v>0</v>
      </c>
      <c r="E55" s="519"/>
      <c r="F55" s="519"/>
      <c r="G55" s="367"/>
      <c r="H55" s="1200"/>
      <c r="I55" s="856" t="s">
        <v>393</v>
      </c>
      <c r="J55" s="821"/>
      <c r="K55" s="592"/>
      <c r="L55" s="591"/>
      <c r="M55" s="99">
        <f>IF(D19&lt;=0,D19,IF(N55="Yes",D19,0))</f>
        <v>0</v>
      </c>
      <c r="N55" s="438" t="str">
        <f>IF(D19&gt;0,"No","")</f>
        <v/>
      </c>
      <c r="O55" s="377"/>
      <c r="P55" s="660" t="s">
        <v>349</v>
      </c>
      <c r="Q55" s="22">
        <f ca="1">C40</f>
        <v>0</v>
      </c>
      <c r="R55" s="22">
        <f>D40</f>
        <v>0</v>
      </c>
      <c r="S55" s="1144">
        <f ca="1">Q55-R55</f>
        <v>0</v>
      </c>
      <c r="T55" s="1146"/>
      <c r="U55" s="649"/>
      <c r="V55" s="370"/>
      <c r="W55" s="371"/>
      <c r="X55" s="367"/>
      <c r="Y55" s="367"/>
      <c r="Z55" s="367"/>
      <c r="AA55" s="367"/>
      <c r="AB55" s="367"/>
      <c r="AC55" s="367"/>
      <c r="AD55" s="367"/>
      <c r="AE55" s="367"/>
      <c r="AF55" s="367"/>
      <c r="AG55" s="367"/>
      <c r="AH55" s="367"/>
      <c r="AI55" s="367"/>
      <c r="AJ55" s="367"/>
      <c r="AK55" s="367"/>
      <c r="AL55" s="367"/>
      <c r="AM55" s="367"/>
      <c r="AN55" s="367"/>
      <c r="AO55" s="86"/>
      <c r="AP55" s="52" t="s">
        <v>408</v>
      </c>
      <c r="AQ55" s="52" t="s">
        <v>410</v>
      </c>
    </row>
    <row r="56" spans="1:92" ht="16.5" thickBot="1">
      <c r="A56" s="367"/>
      <c r="B56" s="850">
        <f>IF(H!B56&lt;&gt;"",H!B56,)</f>
        <v>0</v>
      </c>
      <c r="C56" s="455">
        <f>H!C56</f>
        <v>0</v>
      </c>
      <c r="D56" s="80">
        <f t="shared" si="8"/>
        <v>0</v>
      </c>
      <c r="E56" s="519"/>
      <c r="F56" s="519"/>
      <c r="G56" s="367"/>
      <c r="H56" s="1201"/>
      <c r="I56" s="1115" t="s">
        <v>394</v>
      </c>
      <c r="J56" s="1116"/>
      <c r="K56" s="587"/>
      <c r="L56" s="594"/>
      <c r="M56" s="1">
        <f ca="1">IF(C41&lt;=0,C41,IF(N56="Yes",C41,0))</f>
        <v>0</v>
      </c>
      <c r="N56" s="438" t="str">
        <f ca="1">IF(C41&gt;0,"No","")</f>
        <v/>
      </c>
      <c r="O56" s="377"/>
      <c r="P56" s="661" t="s">
        <v>179</v>
      </c>
      <c r="Q56" s="662">
        <f ca="1">Q54-Q53-Q55</f>
        <v>0</v>
      </c>
      <c r="R56" s="662">
        <f>R54-R53-R55</f>
        <v>0</v>
      </c>
      <c r="S56" s="1144">
        <f ca="1">SUM(S53:S55)</f>
        <v>0</v>
      </c>
      <c r="T56" s="1145"/>
      <c r="U56" s="647"/>
      <c r="V56" s="371"/>
      <c r="W56" s="371"/>
      <c r="X56" s="367"/>
      <c r="Y56" s="367"/>
      <c r="Z56" s="367"/>
      <c r="AA56" s="367"/>
      <c r="AB56" s="367"/>
      <c r="AC56" s="367"/>
      <c r="AD56" s="367"/>
      <c r="AE56" s="367"/>
      <c r="AF56" s="367"/>
      <c r="AG56" s="367"/>
      <c r="AH56" s="367"/>
      <c r="AI56" s="367"/>
      <c r="AJ56" s="367"/>
      <c r="AK56" s="367"/>
      <c r="AL56" s="367"/>
      <c r="AM56" s="367"/>
      <c r="AN56" s="367"/>
      <c r="AO56" s="86"/>
      <c r="AP56" s="52" t="s">
        <v>409</v>
      </c>
      <c r="AQ56" s="52" t="s">
        <v>411</v>
      </c>
    </row>
    <row r="57" spans="1:92" ht="16.5" thickBot="1">
      <c r="A57" s="367"/>
      <c r="B57" s="16" t="s">
        <v>179</v>
      </c>
      <c r="C57" s="77">
        <f>SUM(C45:C56)</f>
        <v>0</v>
      </c>
      <c r="D57" s="76">
        <f>SUM(D45:D56)</f>
        <v>0</v>
      </c>
      <c r="E57" s="520"/>
      <c r="F57" s="520"/>
      <c r="G57" s="367"/>
      <c r="H57" s="12"/>
      <c r="I57" s="13"/>
      <c r="J57" s="14"/>
      <c r="K57" s="593"/>
      <c r="L57" s="14"/>
      <c r="M57" s="14"/>
      <c r="N57" s="367"/>
      <c r="O57" s="377"/>
      <c r="P57" s="438"/>
      <c r="Q57" s="790"/>
      <c r="R57" s="790"/>
      <c r="S57" s="789"/>
      <c r="T57" s="370"/>
      <c r="U57" s="370"/>
      <c r="V57" s="371"/>
      <c r="W57" s="371"/>
      <c r="X57" s="367"/>
      <c r="Y57" s="367"/>
      <c r="Z57" s="367"/>
      <c r="AA57" s="367"/>
      <c r="AB57" s="367"/>
      <c r="AC57" s="367"/>
      <c r="AD57" s="367"/>
      <c r="AE57" s="367"/>
      <c r="AF57" s="367"/>
      <c r="AG57" s="367"/>
      <c r="AH57" s="367"/>
      <c r="AI57" s="367"/>
      <c r="AJ57" s="367"/>
      <c r="AK57" s="367"/>
      <c r="AL57" s="367"/>
      <c r="AM57" s="367"/>
      <c r="AN57" s="367"/>
      <c r="AO57" s="86"/>
    </row>
    <row r="58" spans="1:92" ht="16.5" customHeight="1" thickBot="1">
      <c r="A58" s="367"/>
      <c r="B58" s="101" t="s">
        <v>367</v>
      </c>
      <c r="C58" s="1113">
        <f>C57-D57</f>
        <v>0</v>
      </c>
      <c r="D58" s="1114"/>
      <c r="E58" s="517"/>
      <c r="F58" s="517"/>
      <c r="G58" s="367"/>
      <c r="H58" s="818" t="s">
        <v>431</v>
      </c>
      <c r="I58" s="817"/>
      <c r="J58" s="817"/>
      <c r="K58" s="588"/>
      <c r="L58" s="588"/>
      <c r="M58" s="103">
        <f ca="1">SUM(M54:M56)</f>
        <v>0</v>
      </c>
      <c r="N58" s="729" t="str">
        <f>AQ55</f>
        <v>Pass</v>
      </c>
      <c r="O58" s="377"/>
      <c r="P58" s="663" t="s">
        <v>400</v>
      </c>
      <c r="Q58" s="664" t="str">
        <f>IF(Z56="","","Expected")</f>
        <v/>
      </c>
      <c r="R58" s="664" t="s">
        <v>398</v>
      </c>
      <c r="S58" s="1236" t="str">
        <f>IF(Z56="","","Diff")</f>
        <v/>
      </c>
      <c r="T58" s="1237"/>
      <c r="U58" s="651"/>
      <c r="V58" s="370"/>
      <c r="W58" s="371"/>
      <c r="X58" s="367"/>
      <c r="Y58" s="367"/>
      <c r="Z58" s="367"/>
      <c r="AA58" s="367"/>
      <c r="AB58" s="367"/>
      <c r="AC58" s="367"/>
      <c r="AD58" s="367"/>
      <c r="AE58" s="367"/>
      <c r="AF58" s="367"/>
      <c r="AG58" s="367"/>
      <c r="AH58" s="367"/>
      <c r="AI58" s="367"/>
      <c r="AJ58" s="367"/>
      <c r="AK58" s="367"/>
      <c r="AL58" s="367"/>
      <c r="AM58" s="367"/>
      <c r="AN58" s="367"/>
      <c r="AO58" s="86"/>
    </row>
    <row r="59" spans="1:92" ht="16.5" thickTop="1" thickBot="1">
      <c r="A59" s="367"/>
      <c r="B59" s="880" t="s">
        <v>382</v>
      </c>
      <c r="C59" s="367"/>
      <c r="D59" s="367"/>
      <c r="E59" s="367"/>
      <c r="F59" s="367"/>
      <c r="G59" s="367"/>
      <c r="H59" s="367"/>
      <c r="I59" s="367"/>
      <c r="J59" s="367"/>
      <c r="K59" s="367"/>
      <c r="L59" s="367"/>
      <c r="M59" s="367"/>
      <c r="N59" s="367"/>
      <c r="O59" s="377"/>
      <c r="P59" s="665" t="s">
        <v>399</v>
      </c>
      <c r="Q59" s="666">
        <f>H!R59+I!R56</f>
        <v>0</v>
      </c>
      <c r="R59" s="667"/>
      <c r="S59" s="1235">
        <f>Q59-R59</f>
        <v>0</v>
      </c>
      <c r="T59" s="1146"/>
      <c r="U59" s="649"/>
      <c r="V59" s="371"/>
      <c r="W59" s="371"/>
      <c r="X59" s="367"/>
      <c r="Y59" s="367"/>
      <c r="Z59" s="367"/>
      <c r="AA59" s="367"/>
      <c r="AB59" s="367"/>
      <c r="AC59" s="367"/>
      <c r="AD59" s="367"/>
      <c r="AE59" s="367"/>
      <c r="AF59" s="367"/>
      <c r="AG59" s="367"/>
      <c r="AH59" s="367"/>
      <c r="AI59" s="367"/>
      <c r="AJ59" s="367"/>
      <c r="AK59" s="367"/>
      <c r="AL59" s="367"/>
      <c r="AM59" s="367"/>
      <c r="AN59" s="367"/>
      <c r="AO59" s="86"/>
    </row>
    <row r="60" spans="1:92" ht="15">
      <c r="A60" s="367"/>
      <c r="B60" s="807" t="s">
        <v>383</v>
      </c>
      <c r="C60" s="367"/>
      <c r="D60" s="882" t="s">
        <v>384</v>
      </c>
      <c r="E60" s="367"/>
      <c r="F60" s="367"/>
      <c r="G60" s="367"/>
      <c r="I60" s="367"/>
      <c r="J60" s="367"/>
      <c r="K60" s="367"/>
      <c r="L60" s="367"/>
      <c r="M60" s="367"/>
      <c r="N60" s="367"/>
      <c r="O60" s="377"/>
      <c r="P60" s="367"/>
      <c r="Q60" s="367"/>
      <c r="R60" s="367"/>
      <c r="S60" s="371"/>
      <c r="T60" s="371"/>
      <c r="U60" s="371"/>
      <c r="V60" s="371"/>
      <c r="W60" s="367"/>
      <c r="X60" s="367"/>
      <c r="Y60" s="367"/>
      <c r="Z60" s="367"/>
      <c r="AA60" s="367"/>
      <c r="AB60" s="367"/>
      <c r="AC60" s="367"/>
      <c r="AD60" s="367"/>
      <c r="AE60" s="367"/>
      <c r="AF60" s="367"/>
      <c r="AG60" s="367"/>
      <c r="AH60" s="367"/>
      <c r="AI60" s="367"/>
      <c r="AJ60" s="367"/>
      <c r="AK60" s="367"/>
      <c r="AL60" s="367"/>
      <c r="AM60" s="367"/>
      <c r="AN60" s="367"/>
      <c r="AO60" s="86"/>
    </row>
    <row r="61" spans="1:92" ht="15.75" collapsed="1" thickBot="1">
      <c r="A61" s="367"/>
      <c r="B61" s="884" t="s">
        <v>385</v>
      </c>
      <c r="C61" s="367"/>
      <c r="D61" s="367"/>
      <c r="E61" s="367"/>
      <c r="F61" s="367"/>
      <c r="G61" s="367"/>
      <c r="I61" s="367"/>
      <c r="K61" s="510"/>
      <c r="L61" s="510"/>
      <c r="M61" s="510"/>
      <c r="N61" s="367"/>
      <c r="O61" s="511"/>
      <c r="Q61" s="367"/>
      <c r="R61" s="367"/>
      <c r="S61" s="371"/>
      <c r="T61" s="371"/>
      <c r="U61" s="371"/>
      <c r="V61" s="371"/>
      <c r="W61" s="367"/>
      <c r="X61" s="367"/>
      <c r="Y61" s="367"/>
      <c r="Z61" s="367"/>
      <c r="AA61" s="367"/>
      <c r="AB61" s="367"/>
      <c r="AC61" s="367"/>
      <c r="AD61" s="367"/>
      <c r="AE61" s="367"/>
      <c r="AF61" s="367"/>
      <c r="AG61" s="367"/>
      <c r="AH61" s="367"/>
      <c r="AI61" s="367"/>
      <c r="AJ61" s="367"/>
      <c r="AK61" s="367"/>
      <c r="AL61" s="367"/>
      <c r="AM61" s="367"/>
      <c r="AN61" s="367"/>
      <c r="AO61" s="86"/>
    </row>
    <row r="62" spans="1:92" ht="15.75" hidden="1" customHeight="1" outlineLevel="1" thickBot="1">
      <c r="A62" s="367"/>
      <c r="B62" s="367"/>
      <c r="C62" s="367"/>
      <c r="D62" s="367"/>
      <c r="E62" s="367"/>
      <c r="F62" s="367"/>
      <c r="G62" s="367"/>
      <c r="H62" s="505"/>
      <c r="I62" s="367"/>
      <c r="J62" s="367"/>
      <c r="K62" s="581"/>
      <c r="L62" s="367"/>
      <c r="M62" s="367"/>
      <c r="N62" s="367"/>
      <c r="O62" s="511"/>
      <c r="P62" s="505"/>
      <c r="Q62" s="367"/>
      <c r="R62" s="367"/>
      <c r="S62" s="371"/>
      <c r="T62" s="371"/>
      <c r="U62" s="371"/>
      <c r="V62" s="631"/>
      <c r="W62" s="367"/>
      <c r="X62" s="367"/>
      <c r="Y62" s="367"/>
      <c r="Z62" s="367"/>
      <c r="AA62" s="367"/>
      <c r="AB62" s="367"/>
      <c r="AC62" s="367"/>
      <c r="AD62" s="367"/>
      <c r="AE62" s="367"/>
      <c r="AF62" s="367"/>
      <c r="AG62" s="367"/>
      <c r="AH62" s="367"/>
      <c r="AI62" s="367"/>
      <c r="AJ62" s="367"/>
      <c r="AK62" s="367"/>
      <c r="AL62" s="367"/>
      <c r="AM62" s="367"/>
      <c r="AN62" s="367"/>
      <c r="AO62" s="86"/>
    </row>
    <row r="63" spans="1:92" s="367" customFormat="1" ht="33.75" hidden="1" customHeight="1" outlineLevel="1">
      <c r="B63" s="1120" t="s">
        <v>388</v>
      </c>
      <c r="C63" s="1122" t="s">
        <v>354</v>
      </c>
      <c r="D63" s="1124" t="s">
        <v>358</v>
      </c>
      <c r="E63" s="1126" t="s">
        <v>380</v>
      </c>
      <c r="F63" s="1127" t="s">
        <v>335</v>
      </c>
      <c r="H63" s="503" t="s">
        <v>356</v>
      </c>
      <c r="I63" s="682" t="s">
        <v>357</v>
      </c>
      <c r="J63" s="812" t="s">
        <v>358</v>
      </c>
      <c r="K63" s="598" t="s">
        <v>380</v>
      </c>
      <c r="L63" s="600" t="s">
        <v>335</v>
      </c>
      <c r="M63" s="504" t="s">
        <v>389</v>
      </c>
      <c r="O63" s="506" t="s">
        <v>356</v>
      </c>
      <c r="P63" s="507" t="s">
        <v>357</v>
      </c>
      <c r="Q63" s="813" t="s">
        <v>358</v>
      </c>
      <c r="R63" s="507" t="s">
        <v>359</v>
      </c>
      <c r="S63" s="814" t="s">
        <v>390</v>
      </c>
      <c r="T63" s="815" t="s">
        <v>391</v>
      </c>
      <c r="U63" s="637" t="s">
        <v>380</v>
      </c>
      <c r="V63" s="616" t="s">
        <v>335</v>
      </c>
      <c r="W63" s="632" t="s">
        <v>389</v>
      </c>
      <c r="AO63" s="86"/>
      <c r="AP63" s="86"/>
      <c r="AQ63" s="86"/>
      <c r="AR63" s="86"/>
      <c r="AS63" s="86"/>
      <c r="AT63" s="86"/>
      <c r="AU63" s="86"/>
      <c r="AV63" s="86"/>
      <c r="AW63" s="86"/>
      <c r="AX63" s="86"/>
      <c r="AY63" s="86"/>
      <c r="CM63" s="86"/>
      <c r="CN63" s="86"/>
    </row>
    <row r="64" spans="1:92" s="367" customFormat="1" ht="15" hidden="1" customHeight="1" outlineLevel="1">
      <c r="B64" s="1121"/>
      <c r="C64" s="1123"/>
      <c r="D64" s="1125"/>
      <c r="E64" s="1126"/>
      <c r="F64" s="1127"/>
      <c r="H64" s="543"/>
      <c r="I64" s="853"/>
      <c r="J64" s="6"/>
      <c r="K64" s="541"/>
      <c r="L64" s="860"/>
      <c r="M64" s="20" t="str">
        <f>IF(J64="","",$M$5-SUM($J$7:J64))</f>
        <v/>
      </c>
      <c r="O64" s="106"/>
      <c r="P64" s="871">
        <f>IF(H!Q64&lt;&gt;H!R64,IF(H!Q64&lt;&gt;0,IF(H!S64&lt;&gt;H!T64,H!P64,),),)</f>
        <v>0</v>
      </c>
      <c r="Q64" s="795">
        <f>IF(H!Q64&lt;&gt;H!R64,IF(H!Q64&lt;&gt;0,IF(H!S64&lt;&gt;H!T64,H!Q64,),),)</f>
        <v>0</v>
      </c>
      <c r="R64" s="628">
        <f>IF(H!Q64&lt;&gt;H!R64,IF(H!Q64&lt;&gt;0,IF(H!S64&lt;&gt;H!T64,0,Q64),Q64),Q64)</f>
        <v>0</v>
      </c>
      <c r="S64" s="796">
        <f>IF(H!Q64&lt;&gt;H!R64,IF(H!Q64&lt;&gt;0,IF(H!S64&lt;&gt;H!T64,H!S64+1,),),)</f>
        <v>0</v>
      </c>
      <c r="T64" s="796">
        <f>IF(H!Q64&lt;&gt;H!R64,IF(H!Q64&lt;&gt;0,IF(H!S64&lt;&gt;H!T64,H!T64,),),)</f>
        <v>0</v>
      </c>
      <c r="U64" s="797">
        <f>IF(H!Q64&lt;&gt;H!R64,IF(H!Q64&lt;&gt;0,IF(H!S64&lt;&gt;H!T64,H!U64,),),)</f>
        <v>0</v>
      </c>
      <c r="V64" s="875">
        <f>IF(H!Q64&lt;&gt;H!R64,IF(H!Q64&lt;&gt;0,IF(H!S64&lt;&gt;H!T64,H!V64,),),)</f>
        <v>0</v>
      </c>
      <c r="W64" s="633">
        <f>IF(Q64="","",$W$5-SUM($Q$7:$Q$45)-SUM($Q$64:Q64))</f>
        <v>0</v>
      </c>
      <c r="AO64" s="86"/>
      <c r="AP64" s="86"/>
      <c r="AQ64" s="86"/>
      <c r="AR64" s="86"/>
      <c r="AS64" s="86"/>
      <c r="AT64" s="86"/>
      <c r="AU64" s="86"/>
      <c r="AV64" s="86"/>
      <c r="AW64" s="86"/>
      <c r="AX64" s="86"/>
      <c r="AY64" s="86"/>
      <c r="CM64" s="86"/>
      <c r="CN64" s="86"/>
    </row>
    <row r="65" spans="2:92" s="367" customFormat="1" ht="15" hidden="1" customHeight="1" outlineLevel="1">
      <c r="B65" s="852">
        <f ca="1">IF(H!B65&lt;&gt;"",H!B65,)</f>
        <v>0</v>
      </c>
      <c r="C65" s="454">
        <f ca="1">H!C65</f>
        <v>0</v>
      </c>
      <c r="D65" s="74"/>
      <c r="E65" s="521"/>
      <c r="F65" s="858"/>
      <c r="H65" s="543"/>
      <c r="I65" s="853"/>
      <c r="J65" s="6"/>
      <c r="K65" s="541"/>
      <c r="L65" s="860"/>
      <c r="M65" s="20" t="str">
        <f>IF(J65="","",$M$5-SUM($J$7:J65))</f>
        <v/>
      </c>
      <c r="O65" s="7"/>
      <c r="P65" s="872">
        <f>IF(H!Q65&lt;&gt;H!R65,IF(H!Q65&lt;&gt;0,IF(H!S65&lt;&gt;H!T65,H!P65,),),)</f>
        <v>0</v>
      </c>
      <c r="Q65" s="795">
        <f>IF(H!Q65&lt;&gt;H!R65,IF(H!Q65&lt;&gt;0,IF(H!S65&lt;&gt;H!T65,H!Q65,),),)</f>
        <v>0</v>
      </c>
      <c r="R65" s="628">
        <f>IF(H!Q65&lt;&gt;H!R65,IF(H!Q65&lt;&gt;0,IF(H!S65&lt;&gt;H!T65,0,Q65),Q65),Q65)</f>
        <v>0</v>
      </c>
      <c r="S65" s="796">
        <f>IF(H!Q65&lt;&gt;H!R65,IF(H!Q65&lt;&gt;0,IF(H!S65&lt;&gt;H!T65,H!S65+1,),),)</f>
        <v>0</v>
      </c>
      <c r="T65" s="796">
        <f>IF(H!Q65&lt;&gt;H!R65,IF(H!Q65&lt;&gt;0,IF(H!S65&lt;&gt;H!T65,H!T65,),),)</f>
        <v>0</v>
      </c>
      <c r="U65" s="797">
        <f>IF(H!Q65&lt;&gt;H!R65,IF(H!Q65&lt;&gt;0,IF(H!S65&lt;&gt;H!T65,H!U65,),),)</f>
        <v>0</v>
      </c>
      <c r="V65" s="875">
        <f>IF(H!Q65&lt;&gt;H!R65,IF(H!Q65&lt;&gt;0,IF(H!S65&lt;&gt;H!T65,H!V65,),),)</f>
        <v>0</v>
      </c>
      <c r="W65" s="633">
        <f>IF(Q65="","",$W$5-SUM($Q$7:$Q$45)-SUM($Q$64:Q65))</f>
        <v>0</v>
      </c>
      <c r="AO65" s="86"/>
      <c r="AP65" s="86"/>
      <c r="AQ65" s="86"/>
      <c r="AR65" s="86"/>
      <c r="AS65" s="86"/>
      <c r="AT65" s="86"/>
      <c r="AU65" s="86"/>
      <c r="AV65" s="86"/>
      <c r="AW65" s="86"/>
      <c r="AX65" s="86"/>
      <c r="AY65" s="86"/>
      <c r="CM65" s="86"/>
      <c r="CN65" s="86"/>
    </row>
    <row r="66" spans="2:92" s="367" customFormat="1" ht="15.75" hidden="1" customHeight="1" outlineLevel="1">
      <c r="B66" s="852">
        <f ca="1">IF(H!B66&lt;&gt;"",H!B66,)</f>
        <v>0</v>
      </c>
      <c r="C66" s="454">
        <f ca="1">H!C66</f>
        <v>0</v>
      </c>
      <c r="D66" s="74"/>
      <c r="E66" s="521"/>
      <c r="F66" s="858"/>
      <c r="H66" s="543"/>
      <c r="I66" s="853"/>
      <c r="J66" s="6"/>
      <c r="K66" s="541"/>
      <c r="L66" s="860"/>
      <c r="M66" s="20" t="str">
        <f>IF(J66="","",$M$5-SUM($J$7:J66))</f>
        <v/>
      </c>
      <c r="O66" s="7"/>
      <c r="P66" s="871">
        <f>IF(H!Q66&lt;&gt;H!R66,IF(H!Q66&lt;&gt;0,IF(H!S66&lt;&gt;H!T66,H!P66,),),)</f>
        <v>0</v>
      </c>
      <c r="Q66" s="795">
        <f>IF(H!Q66&lt;&gt;H!R66,IF(H!Q66&lt;&gt;0,IF(H!S66&lt;&gt;H!T66,H!Q66,),),)</f>
        <v>0</v>
      </c>
      <c r="R66" s="628">
        <f>IF(H!Q66&lt;&gt;H!R66,IF(H!Q66&lt;&gt;0,IF(H!S66&lt;&gt;H!T66,0,Q66),Q66),Q66)</f>
        <v>0</v>
      </c>
      <c r="S66" s="796">
        <f>IF(H!Q66&lt;&gt;H!R66,IF(H!Q66&lt;&gt;0,IF(H!S66&lt;&gt;H!T66,H!S66+1,),),)</f>
        <v>0</v>
      </c>
      <c r="T66" s="796">
        <f>IF(H!Q66&lt;&gt;H!R66,IF(H!Q66&lt;&gt;0,IF(H!S66&lt;&gt;H!T66,H!T66,),),)</f>
        <v>0</v>
      </c>
      <c r="U66" s="797">
        <f>IF(H!Q66&lt;&gt;H!R66,IF(H!Q66&lt;&gt;0,IF(H!S66&lt;&gt;H!T66,H!U66,),),)</f>
        <v>0</v>
      </c>
      <c r="V66" s="875">
        <f>IF(H!Q66&lt;&gt;H!R66,IF(H!Q66&lt;&gt;0,IF(H!S66&lt;&gt;H!T66,H!V66,),),)</f>
        <v>0</v>
      </c>
      <c r="W66" s="633">
        <f>IF(Q66="","",$W$5-SUM($Q$7:$Q$45)-SUM($Q$64:Q66))</f>
        <v>0</v>
      </c>
      <c r="AO66" s="86"/>
      <c r="AP66" s="86"/>
      <c r="AQ66" s="86"/>
      <c r="AR66" s="86"/>
      <c r="AS66" s="86"/>
      <c r="AT66" s="86"/>
      <c r="AU66" s="86"/>
      <c r="AV66" s="86"/>
      <c r="AW66" s="86"/>
      <c r="AX66" s="86"/>
      <c r="AY66" s="86"/>
      <c r="CM66" s="86"/>
      <c r="CN66" s="86"/>
    </row>
    <row r="67" spans="2:92" s="367" customFormat="1" ht="15.75" hidden="1" customHeight="1" outlineLevel="1">
      <c r="B67" s="852">
        <f ca="1">IF(H!B67&lt;&gt;"",H!B67,)</f>
        <v>0</v>
      </c>
      <c r="C67" s="454">
        <f ca="1">H!C67</f>
        <v>0</v>
      </c>
      <c r="D67" s="74"/>
      <c r="E67" s="521"/>
      <c r="F67" s="858"/>
      <c r="H67" s="543"/>
      <c r="I67" s="853"/>
      <c r="J67" s="6"/>
      <c r="K67" s="541"/>
      <c r="L67" s="860"/>
      <c r="M67" s="20" t="str">
        <f>IF(J67="","",$M$5-SUM($J$7:J67))</f>
        <v/>
      </c>
      <c r="O67" s="7"/>
      <c r="P67" s="871">
        <f>IF(H!Q67&lt;&gt;H!R67,IF(H!Q67&lt;&gt;0,IF(H!S67&lt;&gt;H!T67,H!P67,),),)</f>
        <v>0</v>
      </c>
      <c r="Q67" s="798">
        <f>IF(H!Q67&lt;&gt;H!R67,IF(H!Q67&lt;&gt;0,IF(H!S67&lt;&gt;H!T67,H!Q67,),),)</f>
        <v>0</v>
      </c>
      <c r="R67" s="628">
        <f>IF(H!Q67&lt;&gt;H!R67,IF(H!Q67&lt;&gt;0,IF(H!S67&lt;&gt;H!T67,0,Q67),Q67),Q67)</f>
        <v>0</v>
      </c>
      <c r="S67" s="796">
        <f>IF(H!Q67&lt;&gt;H!R67,IF(H!Q67&lt;&gt;0,IF(H!S67&lt;&gt;H!T67,H!S67+1,),),)</f>
        <v>0</v>
      </c>
      <c r="T67" s="796">
        <f>IF(H!Q67&lt;&gt;H!R67,IF(H!Q67&lt;&gt;0,IF(H!S67&lt;&gt;H!T67,H!T67,),),)</f>
        <v>0</v>
      </c>
      <c r="U67" s="797">
        <f>IF(H!Q67&lt;&gt;H!R67,IF(H!Q67&lt;&gt;0,IF(H!S67&lt;&gt;H!T67,H!U67,),),)</f>
        <v>0</v>
      </c>
      <c r="V67" s="875">
        <f>IF(H!Q67&lt;&gt;H!R67,IF(H!Q67&lt;&gt;0,IF(H!S67&lt;&gt;H!T67,H!V67,),),)</f>
        <v>0</v>
      </c>
      <c r="W67" s="633">
        <f>IF(Q67="","",$W$5-SUM($Q$7:$Q$45)-SUM($Q$64:Q67))</f>
        <v>0</v>
      </c>
      <c r="AO67" s="86"/>
      <c r="AP67" s="86"/>
      <c r="AQ67" s="86"/>
      <c r="AR67" s="86"/>
      <c r="AS67" s="86"/>
      <c r="AT67" s="86"/>
      <c r="AU67" s="86"/>
      <c r="AV67" s="86"/>
      <c r="AW67" s="86"/>
      <c r="AX67" s="86"/>
      <c r="AY67" s="86"/>
      <c r="CM67" s="86"/>
      <c r="CN67" s="86"/>
    </row>
    <row r="68" spans="2:92" s="367" customFormat="1" ht="15.75" hidden="1" customHeight="1" outlineLevel="1">
      <c r="B68" s="852">
        <f ca="1">IF(H!B68&lt;&gt;"",H!B68,)</f>
        <v>0</v>
      </c>
      <c r="C68" s="454">
        <f ca="1">H!C68</f>
        <v>0</v>
      </c>
      <c r="D68" s="74"/>
      <c r="E68" s="521"/>
      <c r="F68" s="858"/>
      <c r="H68" s="543"/>
      <c r="I68" s="853"/>
      <c r="J68" s="6"/>
      <c r="K68" s="541"/>
      <c r="L68" s="860"/>
      <c r="M68" s="20" t="str">
        <f>IF(J68="","",$M$5-SUM($J$7:J68))</f>
        <v/>
      </c>
      <c r="O68" s="7"/>
      <c r="P68" s="871">
        <f>IF(H!Q68&lt;&gt;H!R68,IF(H!Q68&lt;&gt;0,IF(H!S68&lt;&gt;H!T68,H!P68,),),)</f>
        <v>0</v>
      </c>
      <c r="Q68" s="795">
        <f>IF(H!Q68&lt;&gt;H!R68,IF(H!Q68&lt;&gt;0,IF(H!S68&lt;&gt;H!T68,H!Q68,),),)</f>
        <v>0</v>
      </c>
      <c r="R68" s="628">
        <f>IF(H!Q68&lt;&gt;H!R68,IF(H!Q68&lt;&gt;0,IF(H!S68&lt;&gt;H!T68,0,Q68),Q68),Q68)</f>
        <v>0</v>
      </c>
      <c r="S68" s="796">
        <f>IF(H!Q68&lt;&gt;H!R68,IF(H!Q68&lt;&gt;0,IF(H!S68&lt;&gt;H!T68,H!S68+1,),),)</f>
        <v>0</v>
      </c>
      <c r="T68" s="796">
        <f>IF(H!Q68&lt;&gt;H!R68,IF(H!Q68&lt;&gt;0,IF(H!S68&lt;&gt;H!T68,H!T68,),),)</f>
        <v>0</v>
      </c>
      <c r="U68" s="797">
        <f>IF(H!Q68&lt;&gt;H!R68,IF(H!Q68&lt;&gt;0,IF(H!S68&lt;&gt;H!T68,H!U68,),),)</f>
        <v>0</v>
      </c>
      <c r="V68" s="875">
        <f>IF(H!Q68&lt;&gt;H!R68,IF(H!Q68&lt;&gt;0,IF(H!S68&lt;&gt;H!T68,H!V68,),),)</f>
        <v>0</v>
      </c>
      <c r="W68" s="633">
        <f>IF(Q68="","",$W$5-SUM($Q$7:$Q$45)-SUM($Q$64:Q68))</f>
        <v>0</v>
      </c>
      <c r="AO68" s="86"/>
      <c r="AP68" s="86"/>
      <c r="AQ68" s="86"/>
      <c r="AR68" s="86"/>
      <c r="AS68" s="86"/>
      <c r="AT68" s="86"/>
      <c r="AU68" s="86"/>
      <c r="AV68" s="86"/>
      <c r="AW68" s="86"/>
      <c r="AX68" s="86"/>
      <c r="AY68" s="86"/>
      <c r="CM68" s="86"/>
      <c r="CN68" s="86"/>
    </row>
    <row r="69" spans="2:92" s="367" customFormat="1" ht="15.75" hidden="1" customHeight="1" outlineLevel="1">
      <c r="B69" s="852">
        <f ca="1">IF(H!B69&lt;&gt;"",H!B69,)</f>
        <v>0</v>
      </c>
      <c r="C69" s="454">
        <f ca="1">H!C69</f>
        <v>0</v>
      </c>
      <c r="D69" s="74"/>
      <c r="E69" s="521"/>
      <c r="F69" s="858"/>
      <c r="H69" s="543"/>
      <c r="I69" s="853"/>
      <c r="J69" s="6"/>
      <c r="K69" s="541"/>
      <c r="L69" s="860"/>
      <c r="M69" s="20" t="str">
        <f>IF(J69="","",$M$5-SUM($J$7:J69))</f>
        <v/>
      </c>
      <c r="O69" s="7"/>
      <c r="P69" s="871">
        <f>IF(H!Q69&lt;&gt;H!R69,IF(H!Q69&lt;&gt;0,IF(H!S69&lt;&gt;H!T69,H!P69,),),)</f>
        <v>0</v>
      </c>
      <c r="Q69" s="795">
        <f>IF(H!Q69&lt;&gt;H!R69,IF(H!Q69&lt;&gt;0,IF(H!S69&lt;&gt;H!T69,H!Q69,),),)</f>
        <v>0</v>
      </c>
      <c r="R69" s="628">
        <f>IF(H!Q69&lt;&gt;H!R69,IF(H!Q69&lt;&gt;0,IF(H!S69&lt;&gt;H!T69,0,Q69),Q69),Q69)</f>
        <v>0</v>
      </c>
      <c r="S69" s="796">
        <f>IF(H!Q69&lt;&gt;H!R69,IF(H!Q69&lt;&gt;0,IF(H!S69&lt;&gt;H!T69,H!S69+1,),),)</f>
        <v>0</v>
      </c>
      <c r="T69" s="796">
        <f>IF(H!Q69&lt;&gt;H!R69,IF(H!Q69&lt;&gt;0,IF(H!S69&lt;&gt;H!T69,H!T69,),),)</f>
        <v>0</v>
      </c>
      <c r="U69" s="797">
        <f>IF(H!Q69&lt;&gt;H!R69,IF(H!Q69&lt;&gt;0,IF(H!S69&lt;&gt;H!T69,H!U69,),),)</f>
        <v>0</v>
      </c>
      <c r="V69" s="875">
        <f>IF(H!Q69&lt;&gt;H!R69,IF(H!Q69&lt;&gt;0,IF(H!S69&lt;&gt;H!T69,H!V69,),),)</f>
        <v>0</v>
      </c>
      <c r="W69" s="633">
        <f>IF(Q69="","",$W$5-SUM($Q$7:$Q$45)-SUM($Q$64:Q69))</f>
        <v>0</v>
      </c>
      <c r="AO69" s="86"/>
      <c r="AP69" s="86"/>
      <c r="AQ69" s="86"/>
      <c r="AR69" s="86"/>
      <c r="AS69" s="86"/>
      <c r="AT69" s="86"/>
      <c r="AU69" s="86"/>
      <c r="AV69" s="86"/>
      <c r="AW69" s="86"/>
      <c r="AX69" s="86"/>
      <c r="AY69" s="86"/>
      <c r="CM69" s="86"/>
      <c r="CN69" s="86"/>
    </row>
    <row r="70" spans="2:92" s="367" customFormat="1" ht="15.75" hidden="1" customHeight="1" outlineLevel="1">
      <c r="B70" s="852">
        <f ca="1">IF(H!B70&lt;&gt;"",H!B70,)</f>
        <v>0</v>
      </c>
      <c r="C70" s="454">
        <f ca="1">H!C70</f>
        <v>0</v>
      </c>
      <c r="D70" s="74"/>
      <c r="E70" s="521"/>
      <c r="F70" s="858"/>
      <c r="H70" s="543"/>
      <c r="I70" s="853"/>
      <c r="J70" s="6"/>
      <c r="K70" s="541"/>
      <c r="L70" s="860"/>
      <c r="M70" s="20" t="str">
        <f>IF(J70="","",$M$5-SUM($J$7:J70))</f>
        <v/>
      </c>
      <c r="O70" s="7"/>
      <c r="P70" s="871">
        <f>IF(H!Q70&lt;&gt;H!R70,IF(H!Q70&lt;&gt;0,IF(H!S70&lt;&gt;H!T70,H!P70,),),)</f>
        <v>0</v>
      </c>
      <c r="Q70" s="795">
        <f>IF(H!Q70&lt;&gt;H!R70,IF(H!Q70&lt;&gt;0,IF(H!S70&lt;&gt;H!T70,H!Q70,),),)</f>
        <v>0</v>
      </c>
      <c r="R70" s="628">
        <f>IF(H!Q70&lt;&gt;H!R70,IF(H!Q70&lt;&gt;0,IF(H!S70&lt;&gt;H!T70,0,Q70),Q70),Q70)</f>
        <v>0</v>
      </c>
      <c r="S70" s="796">
        <f>IF(H!Q70&lt;&gt;H!R70,IF(H!Q70&lt;&gt;0,IF(H!S70&lt;&gt;H!T70,H!S70+1,),),)</f>
        <v>0</v>
      </c>
      <c r="T70" s="796">
        <f>IF(H!Q70&lt;&gt;H!R70,IF(H!Q70&lt;&gt;0,IF(H!S70&lt;&gt;H!T70,H!T70,),),)</f>
        <v>0</v>
      </c>
      <c r="U70" s="797">
        <f>IF(H!Q70&lt;&gt;H!R70,IF(H!Q70&lt;&gt;0,IF(H!S70&lt;&gt;H!T70,H!U70,),),)</f>
        <v>0</v>
      </c>
      <c r="V70" s="875">
        <f>IF(H!Q70&lt;&gt;H!R70,IF(H!Q70&lt;&gt;0,IF(H!S70&lt;&gt;H!T70,H!V70,),),)</f>
        <v>0</v>
      </c>
      <c r="W70" s="633">
        <f>IF(Q70="","",$W$5-SUM($Q$7:$Q$45)-SUM($Q$64:Q70))</f>
        <v>0</v>
      </c>
      <c r="AO70" s="86"/>
      <c r="AP70" s="86"/>
      <c r="AQ70" s="86"/>
      <c r="AR70" s="86"/>
      <c r="AS70" s="86"/>
      <c r="AT70" s="86"/>
      <c r="AU70" s="86"/>
      <c r="AV70" s="86"/>
      <c r="AW70" s="86"/>
      <c r="AX70" s="86"/>
      <c r="AY70" s="86"/>
      <c r="CM70" s="86"/>
      <c r="CN70" s="86"/>
    </row>
    <row r="71" spans="2:92" s="367" customFormat="1" ht="15.75" hidden="1" customHeight="1" outlineLevel="1">
      <c r="B71" s="852">
        <f ca="1">IF(H!B71&lt;&gt;"",H!B71,)</f>
        <v>0</v>
      </c>
      <c r="C71" s="454">
        <f ca="1">H!C71</f>
        <v>0</v>
      </c>
      <c r="D71" s="74"/>
      <c r="E71" s="521"/>
      <c r="F71" s="858"/>
      <c r="H71" s="543"/>
      <c r="I71" s="853"/>
      <c r="J71" s="6"/>
      <c r="K71" s="541"/>
      <c r="L71" s="860"/>
      <c r="M71" s="20" t="str">
        <f>IF(J71="","",$M$5-SUM($J$7:J71))</f>
        <v/>
      </c>
      <c r="O71" s="7"/>
      <c r="P71" s="871">
        <f>IF(H!Q71&lt;&gt;H!R71,IF(H!Q71&lt;&gt;0,IF(H!S71&lt;&gt;H!T71,H!P71,),),)</f>
        <v>0</v>
      </c>
      <c r="Q71" s="795">
        <f>IF(H!Q71&lt;&gt;H!R71,IF(H!Q71&lt;&gt;0,IF(H!S71&lt;&gt;H!T71,H!Q71,),),)</f>
        <v>0</v>
      </c>
      <c r="R71" s="628">
        <f>IF(H!Q71&lt;&gt;H!R71,IF(H!Q71&lt;&gt;0,IF(H!S71&lt;&gt;H!T71,0,Q71),Q71),Q71)</f>
        <v>0</v>
      </c>
      <c r="S71" s="796">
        <f>IF(H!Q71&lt;&gt;H!R71,IF(H!Q71&lt;&gt;0,IF(H!S71&lt;&gt;H!T71,H!S71+1,),),)</f>
        <v>0</v>
      </c>
      <c r="T71" s="796">
        <f>IF(H!Q71&lt;&gt;H!R71,IF(H!Q71&lt;&gt;0,IF(H!S71&lt;&gt;H!T71,H!T71,),),)</f>
        <v>0</v>
      </c>
      <c r="U71" s="797">
        <f>IF(H!Q71&lt;&gt;H!R71,IF(H!Q71&lt;&gt;0,IF(H!S71&lt;&gt;H!T71,H!U71,),),)</f>
        <v>0</v>
      </c>
      <c r="V71" s="875">
        <f>IF(H!Q71&lt;&gt;H!R71,IF(H!Q71&lt;&gt;0,IF(H!S71&lt;&gt;H!T71,H!V71,),),)</f>
        <v>0</v>
      </c>
      <c r="W71" s="633">
        <f>IF(Q71="","",$W$5-SUM($Q$7:$Q$45)-SUM($Q$64:Q71))</f>
        <v>0</v>
      </c>
      <c r="AO71" s="86"/>
      <c r="AP71" s="86"/>
      <c r="AQ71" s="86"/>
      <c r="AR71" s="86"/>
      <c r="AS71" s="86"/>
      <c r="AT71" s="86"/>
      <c r="AU71" s="86"/>
      <c r="AV71" s="86"/>
      <c r="AW71" s="86"/>
      <c r="AX71" s="86"/>
      <c r="AY71" s="86"/>
      <c r="CM71" s="86"/>
      <c r="CN71" s="86"/>
    </row>
    <row r="72" spans="2:92" s="367" customFormat="1" ht="15.75" hidden="1" customHeight="1" outlineLevel="1">
      <c r="B72" s="852">
        <f ca="1">IF(H!B72&lt;&gt;"",H!B72,)</f>
        <v>0</v>
      </c>
      <c r="C72" s="454">
        <f ca="1">H!C72</f>
        <v>0</v>
      </c>
      <c r="D72" s="74"/>
      <c r="E72" s="521"/>
      <c r="F72" s="858"/>
      <c r="H72" s="543"/>
      <c r="I72" s="853"/>
      <c r="J72" s="6"/>
      <c r="K72" s="541"/>
      <c r="L72" s="860"/>
      <c r="M72" s="20" t="str">
        <f>IF(J72="","",$M$5-SUM($J$7:J72))</f>
        <v/>
      </c>
      <c r="O72" s="7"/>
      <c r="P72" s="871">
        <f>IF(H!Q72&lt;&gt;H!R72,IF(H!Q72&lt;&gt;0,IF(H!S72&lt;&gt;H!T72,H!P72,),),)</f>
        <v>0</v>
      </c>
      <c r="Q72" s="795">
        <f>IF(H!Q72&lt;&gt;H!R72,IF(H!Q72&lt;&gt;0,IF(H!S72&lt;&gt;H!T72,H!Q72,),),)</f>
        <v>0</v>
      </c>
      <c r="R72" s="628">
        <f>IF(H!Q72&lt;&gt;H!R72,IF(H!Q72&lt;&gt;0,IF(H!S72&lt;&gt;H!T72,0,Q72),Q72),Q72)</f>
        <v>0</v>
      </c>
      <c r="S72" s="796">
        <f>IF(H!Q72&lt;&gt;H!R72,IF(H!Q72&lt;&gt;0,IF(H!S72&lt;&gt;H!T72,H!S72+1,),),)</f>
        <v>0</v>
      </c>
      <c r="T72" s="796">
        <f>IF(H!Q72&lt;&gt;H!R72,IF(H!Q72&lt;&gt;0,IF(H!S72&lt;&gt;H!T72,H!T72,),),)</f>
        <v>0</v>
      </c>
      <c r="U72" s="797">
        <f>IF(H!Q72&lt;&gt;H!R72,IF(H!Q72&lt;&gt;0,IF(H!S72&lt;&gt;H!T72,H!U72,),),)</f>
        <v>0</v>
      </c>
      <c r="V72" s="875">
        <f>IF(H!Q72&lt;&gt;H!R72,IF(H!Q72&lt;&gt;0,IF(H!S72&lt;&gt;H!T72,H!V72,),),)</f>
        <v>0</v>
      </c>
      <c r="W72" s="633">
        <f>IF(Q72="","",$W$5-SUM($Q$7:$Q$45)-SUM($Q$64:Q72))</f>
        <v>0</v>
      </c>
      <c r="AO72" s="86"/>
      <c r="AP72" s="86"/>
      <c r="AQ72" s="86"/>
      <c r="AR72" s="86"/>
      <c r="AS72" s="86"/>
      <c r="AT72" s="86"/>
      <c r="AU72" s="86"/>
      <c r="AV72" s="86"/>
      <c r="AW72" s="86"/>
      <c r="AX72" s="86"/>
      <c r="AY72" s="86"/>
      <c r="CM72" s="86"/>
      <c r="CN72" s="86"/>
    </row>
    <row r="73" spans="2:92" s="367" customFormat="1" ht="15.75" hidden="1" customHeight="1" outlineLevel="1">
      <c r="B73" s="852">
        <f ca="1">IF(H!B73&lt;&gt;"",H!B73,)</f>
        <v>0</v>
      </c>
      <c r="C73" s="454">
        <f ca="1">H!C73</f>
        <v>0</v>
      </c>
      <c r="D73" s="74"/>
      <c r="E73" s="521"/>
      <c r="F73" s="858"/>
      <c r="H73" s="543"/>
      <c r="I73" s="853"/>
      <c r="J73" s="6"/>
      <c r="K73" s="541"/>
      <c r="L73" s="860"/>
      <c r="M73" s="20" t="str">
        <f>IF(J73="","",$M$5-SUM($J$7:J73))</f>
        <v/>
      </c>
      <c r="O73" s="7"/>
      <c r="P73" s="873">
        <f>IF(H!Q73&lt;&gt;H!R73,IF(H!Q73&lt;&gt;0,IF(H!S73&lt;&gt;H!T73,H!P73,),),)</f>
        <v>0</v>
      </c>
      <c r="Q73" s="795">
        <f>IF(H!Q73&lt;&gt;H!R73,IF(H!Q73&lt;&gt;0,IF(H!S73&lt;&gt;H!T73,H!Q73,),),)</f>
        <v>0</v>
      </c>
      <c r="R73" s="628">
        <f>IF(H!Q73&lt;&gt;H!R73,IF(H!Q73&lt;&gt;0,IF(H!S73&lt;&gt;H!T73,0,Q73),Q73),Q73)</f>
        <v>0</v>
      </c>
      <c r="S73" s="796">
        <f>IF(H!Q73&lt;&gt;H!R73,IF(H!Q73&lt;&gt;0,IF(H!S73&lt;&gt;H!T73,H!S73+1,),),)</f>
        <v>0</v>
      </c>
      <c r="T73" s="796">
        <f>IF(H!Q73&lt;&gt;H!R73,IF(H!Q73&lt;&gt;0,IF(H!S73&lt;&gt;H!T73,H!T73,),),)</f>
        <v>0</v>
      </c>
      <c r="U73" s="797">
        <f>IF(H!Q73&lt;&gt;H!R73,IF(H!Q73&lt;&gt;0,IF(H!S73&lt;&gt;H!T73,H!U73,),),)</f>
        <v>0</v>
      </c>
      <c r="V73" s="875">
        <f>IF(H!Q73&lt;&gt;H!R73,IF(H!Q73&lt;&gt;0,IF(H!S73&lt;&gt;H!T73,H!V73,),),)</f>
        <v>0</v>
      </c>
      <c r="W73" s="633">
        <f>IF(Q73="","",$W$5-SUM($Q$7:$Q$45)-SUM($Q$64:Q73))</f>
        <v>0</v>
      </c>
      <c r="AO73" s="86"/>
      <c r="AP73" s="86"/>
      <c r="AQ73" s="86"/>
      <c r="AR73" s="86"/>
      <c r="AS73" s="86"/>
      <c r="AT73" s="86"/>
      <c r="AU73" s="86"/>
      <c r="AV73" s="86"/>
      <c r="AW73" s="86"/>
      <c r="AX73" s="86"/>
      <c r="AY73" s="86"/>
      <c r="CM73" s="86"/>
      <c r="CN73" s="86"/>
    </row>
    <row r="74" spans="2:92" s="367" customFormat="1" ht="15.75" hidden="1" customHeight="1" outlineLevel="1">
      <c r="B74" s="852">
        <f ca="1">IF(H!B74&lt;&gt;"",H!B74,)</f>
        <v>0</v>
      </c>
      <c r="C74" s="454">
        <f ca="1">H!C74</f>
        <v>0</v>
      </c>
      <c r="D74" s="74"/>
      <c r="E74" s="521"/>
      <c r="F74" s="858"/>
      <c r="H74" s="543"/>
      <c r="I74" s="853"/>
      <c r="J74" s="6"/>
      <c r="K74" s="541"/>
      <c r="L74" s="860"/>
      <c r="M74" s="20" t="str">
        <f>IF(J74="","",$M$5-SUM($J$7:J74))</f>
        <v/>
      </c>
      <c r="O74" s="7"/>
      <c r="P74" s="871">
        <f>IF(H!Q74&lt;&gt;H!R74,IF(H!Q74&lt;&gt;0,IF(H!S74&lt;&gt;H!T74,H!P74,),),)</f>
        <v>0</v>
      </c>
      <c r="Q74" s="795">
        <f>IF(H!Q74&lt;&gt;H!R74,IF(H!Q74&lt;&gt;0,IF(H!S74&lt;&gt;H!T74,H!Q74,),),)</f>
        <v>0</v>
      </c>
      <c r="R74" s="628">
        <f>IF(H!Q74&lt;&gt;H!R74,IF(H!Q74&lt;&gt;0,IF(H!S74&lt;&gt;H!T74,0,Q74),Q74),Q74)</f>
        <v>0</v>
      </c>
      <c r="S74" s="796">
        <f>IF(H!Q74&lt;&gt;H!R74,IF(H!Q74&lt;&gt;0,IF(H!S74&lt;&gt;H!T74,H!S74+1,),),)</f>
        <v>0</v>
      </c>
      <c r="T74" s="796">
        <f>IF(H!Q74&lt;&gt;H!R74,IF(H!Q74&lt;&gt;0,IF(H!S74&lt;&gt;H!T74,H!T74,),),)</f>
        <v>0</v>
      </c>
      <c r="U74" s="797">
        <f>IF(H!Q74&lt;&gt;H!R74,IF(H!Q74&lt;&gt;0,IF(H!S74&lt;&gt;H!T74,H!U74,),),)</f>
        <v>0</v>
      </c>
      <c r="V74" s="875">
        <f>IF(H!Q74&lt;&gt;H!R74,IF(H!Q74&lt;&gt;0,IF(H!S74&lt;&gt;H!T74,H!V74,),),)</f>
        <v>0</v>
      </c>
      <c r="W74" s="633">
        <f>IF(Q74="","",$W$5-SUM($Q$7:$Q$45)-SUM($Q$64:Q74))</f>
        <v>0</v>
      </c>
      <c r="AO74" s="86"/>
      <c r="AP74" s="86"/>
      <c r="AQ74" s="86"/>
      <c r="AR74" s="86"/>
      <c r="AS74" s="86"/>
      <c r="AT74" s="86"/>
      <c r="AU74" s="86"/>
      <c r="AV74" s="86"/>
      <c r="AW74" s="86"/>
      <c r="AX74" s="86"/>
      <c r="AY74" s="86"/>
      <c r="CM74" s="86"/>
      <c r="CN74" s="86"/>
    </row>
    <row r="75" spans="2:92" s="367" customFormat="1" ht="15.75" hidden="1" customHeight="1" outlineLevel="1">
      <c r="B75" s="852">
        <f ca="1">IF(H!B75&lt;&gt;"",H!B75,)</f>
        <v>0</v>
      </c>
      <c r="C75" s="454">
        <f ca="1">H!C75</f>
        <v>0</v>
      </c>
      <c r="D75" s="74"/>
      <c r="E75" s="521"/>
      <c r="F75" s="858"/>
      <c r="H75" s="543"/>
      <c r="I75" s="853"/>
      <c r="J75" s="6"/>
      <c r="K75" s="541"/>
      <c r="L75" s="860"/>
      <c r="M75" s="20" t="str">
        <f>IF(J75="","",$M$5-SUM($J$7:J75))</f>
        <v/>
      </c>
      <c r="O75" s="7"/>
      <c r="P75" s="873">
        <f>IF(H!Q75&lt;&gt;H!R75,IF(H!Q75&lt;&gt;0,IF(H!S75&lt;&gt;H!T75,H!P75,),),)</f>
        <v>0</v>
      </c>
      <c r="Q75" s="795">
        <f>IF(H!Q75&lt;&gt;H!R75,IF(H!Q75&lt;&gt;0,IF(H!S75&lt;&gt;H!T75,H!Q75,),),)</f>
        <v>0</v>
      </c>
      <c r="R75" s="628">
        <f>IF(H!Q75&lt;&gt;H!R75,IF(H!Q75&lt;&gt;0,IF(H!S75&lt;&gt;H!T75,0,Q75),Q75),Q75)</f>
        <v>0</v>
      </c>
      <c r="S75" s="796">
        <f>IF(H!Q75&lt;&gt;H!R75,IF(H!Q75&lt;&gt;0,IF(H!S75&lt;&gt;H!T75,H!S75+1,),),)</f>
        <v>0</v>
      </c>
      <c r="T75" s="796">
        <f>IF(H!Q75&lt;&gt;H!R75,IF(H!Q75&lt;&gt;0,IF(H!S75&lt;&gt;H!T75,H!T75,),),)</f>
        <v>0</v>
      </c>
      <c r="U75" s="797">
        <f>IF(H!Q75&lt;&gt;H!R75,IF(H!Q75&lt;&gt;0,IF(H!S75&lt;&gt;H!T75,H!U75,),),)</f>
        <v>0</v>
      </c>
      <c r="V75" s="875">
        <f>IF(H!Q75&lt;&gt;H!R75,IF(H!Q75&lt;&gt;0,IF(H!S75&lt;&gt;H!T75,H!V75,),),)</f>
        <v>0</v>
      </c>
      <c r="W75" s="633">
        <f>IF(Q75="","",$W$5-SUM($Q$7:$Q$45)-SUM($Q$64:Q75))</f>
        <v>0</v>
      </c>
      <c r="AO75" s="86"/>
      <c r="AP75" s="86"/>
      <c r="AQ75" s="86"/>
      <c r="AR75" s="86"/>
      <c r="AS75" s="86"/>
      <c r="AT75" s="86"/>
      <c r="AU75" s="86"/>
      <c r="AV75" s="86"/>
      <c r="AW75" s="86"/>
      <c r="AX75" s="86"/>
      <c r="AY75" s="86"/>
      <c r="CM75" s="86"/>
      <c r="CN75" s="86"/>
    </row>
    <row r="76" spans="2:92" s="367" customFormat="1" ht="15.75" hidden="1" customHeight="1" outlineLevel="1">
      <c r="B76" s="852">
        <f ca="1">IF(H!B76&lt;&gt;"",H!B76,)</f>
        <v>0</v>
      </c>
      <c r="C76" s="454">
        <f ca="1">H!C76</f>
        <v>0</v>
      </c>
      <c r="D76" s="74"/>
      <c r="E76" s="521"/>
      <c r="F76" s="858"/>
      <c r="H76" s="543"/>
      <c r="I76" s="853"/>
      <c r="J76" s="6"/>
      <c r="K76" s="541"/>
      <c r="L76" s="860"/>
      <c r="M76" s="20" t="str">
        <f>IF(J76="","",$M$5-SUM($J$7:J76))</f>
        <v/>
      </c>
      <c r="O76" s="7"/>
      <c r="P76" s="871">
        <f>IF(H!Q76&lt;&gt;H!R76,IF(H!Q76&lt;&gt;0,IF(H!S76&lt;&gt;H!T76,H!P76,),),)</f>
        <v>0</v>
      </c>
      <c r="Q76" s="795">
        <f>IF(H!Q76&lt;&gt;H!R76,IF(H!Q76&lt;&gt;0,IF(H!S76&lt;&gt;H!T76,H!Q76,),),)</f>
        <v>0</v>
      </c>
      <c r="R76" s="628">
        <f>IF(H!Q76&lt;&gt;H!R76,IF(H!Q76&lt;&gt;0,IF(H!S76&lt;&gt;H!T76,0,Q76),Q76),Q76)</f>
        <v>0</v>
      </c>
      <c r="S76" s="796">
        <f>IF(H!Q76&lt;&gt;H!R76,IF(H!Q76&lt;&gt;0,IF(H!S76&lt;&gt;H!T76,H!S76+1,),),)</f>
        <v>0</v>
      </c>
      <c r="T76" s="796">
        <f>IF(H!Q76&lt;&gt;H!R76,IF(H!Q76&lt;&gt;0,IF(H!S76&lt;&gt;H!T76,H!T76,),),)</f>
        <v>0</v>
      </c>
      <c r="U76" s="797">
        <f>IF(H!Q76&lt;&gt;H!R76,IF(H!Q76&lt;&gt;0,IF(H!S76&lt;&gt;H!T76,H!U76,),),)</f>
        <v>0</v>
      </c>
      <c r="V76" s="875">
        <f>IF(H!Q76&lt;&gt;H!R76,IF(H!Q76&lt;&gt;0,IF(H!S76&lt;&gt;H!T76,H!V76,),),)</f>
        <v>0</v>
      </c>
      <c r="W76" s="633">
        <f>IF(Q76="","",$W$5-SUM($Q$7:$Q$45)-SUM($Q$64:Q76))</f>
        <v>0</v>
      </c>
      <c r="AO76" s="86"/>
      <c r="AP76" s="86"/>
      <c r="AQ76" s="86"/>
      <c r="AR76" s="86"/>
      <c r="AS76" s="86"/>
      <c r="AT76" s="86"/>
      <c r="AU76" s="86"/>
      <c r="AV76" s="86"/>
      <c r="AW76" s="86"/>
      <c r="AX76" s="86"/>
      <c r="AY76" s="86"/>
      <c r="CM76" s="86"/>
      <c r="CN76" s="86"/>
    </row>
    <row r="77" spans="2:92" s="367" customFormat="1" ht="15.75" hidden="1" customHeight="1" outlineLevel="1">
      <c r="B77" s="852">
        <f ca="1">IF(H!B77&lt;&gt;"",H!B77,)</f>
        <v>0</v>
      </c>
      <c r="C77" s="454">
        <f ca="1">H!C77</f>
        <v>0</v>
      </c>
      <c r="D77" s="74"/>
      <c r="E77" s="521"/>
      <c r="F77" s="858"/>
      <c r="H77" s="543"/>
      <c r="I77" s="853"/>
      <c r="J77" s="6"/>
      <c r="K77" s="541"/>
      <c r="L77" s="860"/>
      <c r="M77" s="20" t="str">
        <f>IF(J77="","",$M$5-SUM($J$7:J77))</f>
        <v/>
      </c>
      <c r="O77" s="7"/>
      <c r="P77" s="871">
        <f>IF(H!Q77&lt;&gt;H!R77,IF(H!Q77&lt;&gt;0,IF(H!S77&lt;&gt;H!T77,H!P77,),),)</f>
        <v>0</v>
      </c>
      <c r="Q77" s="795">
        <f>IF(H!Q77&lt;&gt;H!R77,IF(H!Q77&lt;&gt;0,IF(H!S77&lt;&gt;H!T77,H!Q77,),),)</f>
        <v>0</v>
      </c>
      <c r="R77" s="628">
        <f>IF(H!Q77&lt;&gt;H!R77,IF(H!Q77&lt;&gt;0,IF(H!S77&lt;&gt;H!T77,0,Q77),Q77),Q77)</f>
        <v>0</v>
      </c>
      <c r="S77" s="796">
        <f>IF(H!Q77&lt;&gt;H!R77,IF(H!Q77&lt;&gt;0,IF(H!S77&lt;&gt;H!T77,H!S77+1,),),)</f>
        <v>0</v>
      </c>
      <c r="T77" s="796">
        <f>IF(H!Q77&lt;&gt;H!R77,IF(H!Q77&lt;&gt;0,IF(H!S77&lt;&gt;H!T77,H!T77,),),)</f>
        <v>0</v>
      </c>
      <c r="U77" s="797">
        <f>IF(H!Q77&lt;&gt;H!R77,IF(H!Q77&lt;&gt;0,IF(H!S77&lt;&gt;H!T77,H!U77,),),)</f>
        <v>0</v>
      </c>
      <c r="V77" s="875">
        <f>IF(H!Q77&lt;&gt;H!R77,IF(H!Q77&lt;&gt;0,IF(H!S77&lt;&gt;H!T77,H!V77,),),)</f>
        <v>0</v>
      </c>
      <c r="W77" s="633">
        <f>IF(Q77="","",$W$5-SUM($Q$7:$Q$45)-SUM($Q$64:Q77))</f>
        <v>0</v>
      </c>
      <c r="AO77" s="86"/>
      <c r="AP77" s="86"/>
      <c r="AQ77" s="86"/>
      <c r="AR77" s="86"/>
      <c r="AS77" s="86"/>
      <c r="AT77" s="86"/>
      <c r="AU77" s="86"/>
      <c r="AV77" s="86"/>
      <c r="AW77" s="86"/>
      <c r="AX77" s="86"/>
      <c r="AY77" s="86"/>
      <c r="CM77" s="86"/>
      <c r="CN77" s="86"/>
    </row>
    <row r="78" spans="2:92" s="367" customFormat="1" ht="15.75" hidden="1" customHeight="1" outlineLevel="1">
      <c r="B78" s="852">
        <f ca="1">IF(H!B78&lt;&gt;"",H!B78,)</f>
        <v>0</v>
      </c>
      <c r="C78" s="454">
        <f ca="1">H!C78</f>
        <v>0</v>
      </c>
      <c r="D78" s="74"/>
      <c r="E78" s="521"/>
      <c r="F78" s="858"/>
      <c r="H78" s="543"/>
      <c r="I78" s="853"/>
      <c r="J78" s="6"/>
      <c r="K78" s="541"/>
      <c r="L78" s="860"/>
      <c r="M78" s="20" t="str">
        <f>IF(J78="","",$M$5-SUM($J$7:J78))</f>
        <v/>
      </c>
      <c r="O78" s="7"/>
      <c r="P78" s="873">
        <f>IF(H!Q78&lt;&gt;H!R78,IF(H!Q78&lt;&gt;0,IF(H!S78&lt;&gt;H!T78,H!P78,),),)</f>
        <v>0</v>
      </c>
      <c r="Q78" s="795">
        <f>IF(H!Q78&lt;&gt;H!R78,IF(H!Q78&lt;&gt;0,IF(H!S78&lt;&gt;H!T78,H!Q78,),),)</f>
        <v>0</v>
      </c>
      <c r="R78" s="628">
        <f>IF(H!Q78&lt;&gt;H!R78,IF(H!Q78&lt;&gt;0,IF(H!S78&lt;&gt;H!T78,0,Q78),Q78),Q78)</f>
        <v>0</v>
      </c>
      <c r="S78" s="796">
        <f>IF(H!Q78&lt;&gt;H!R78,IF(H!Q78&lt;&gt;0,IF(H!S78&lt;&gt;H!T78,H!S78+1,),),)</f>
        <v>0</v>
      </c>
      <c r="T78" s="796">
        <f>IF(H!Q78&lt;&gt;H!R78,IF(H!Q78&lt;&gt;0,IF(H!S78&lt;&gt;H!T78,H!T78,),),)</f>
        <v>0</v>
      </c>
      <c r="U78" s="797">
        <f>IF(H!Q78&lt;&gt;H!R78,IF(H!Q78&lt;&gt;0,IF(H!S78&lt;&gt;H!T78,H!U78,),),)</f>
        <v>0</v>
      </c>
      <c r="V78" s="875">
        <f>IF(H!Q78&lt;&gt;H!R78,IF(H!Q78&lt;&gt;0,IF(H!S78&lt;&gt;H!T78,H!V78,),),)</f>
        <v>0</v>
      </c>
      <c r="W78" s="633">
        <f>IF(Q78="","",$W$5-SUM($Q$7:$Q$45)-SUM($Q$64:Q78))</f>
        <v>0</v>
      </c>
      <c r="AO78" s="86"/>
      <c r="AP78" s="86"/>
      <c r="AQ78" s="86"/>
      <c r="AR78" s="86"/>
      <c r="AS78" s="86"/>
      <c r="AT78" s="86"/>
      <c r="AU78" s="86"/>
      <c r="AV78" s="86"/>
      <c r="AW78" s="86"/>
      <c r="AX78" s="86"/>
      <c r="AY78" s="86"/>
      <c r="CM78" s="86"/>
      <c r="CN78" s="86"/>
    </row>
    <row r="79" spans="2:92" s="367" customFormat="1" ht="15.75" hidden="1" customHeight="1" outlineLevel="1">
      <c r="B79" s="852">
        <f ca="1">IF(H!B79&lt;&gt;"",H!B79,)</f>
        <v>0</v>
      </c>
      <c r="C79" s="454">
        <f ca="1">H!C79</f>
        <v>0</v>
      </c>
      <c r="D79" s="74"/>
      <c r="E79" s="521"/>
      <c r="F79" s="858"/>
      <c r="H79" s="543"/>
      <c r="I79" s="853"/>
      <c r="J79" s="6"/>
      <c r="K79" s="541"/>
      <c r="L79" s="860"/>
      <c r="M79" s="20" t="str">
        <f>IF(J79="","",$M$5-SUM($J$7:J79))</f>
        <v/>
      </c>
      <c r="O79" s="7"/>
      <c r="P79" s="871">
        <f>IF(H!Q79&lt;&gt;H!R79,IF(H!Q79&lt;&gt;0,IF(H!S79&lt;&gt;H!T79,H!P79,),),)</f>
        <v>0</v>
      </c>
      <c r="Q79" s="795">
        <f>IF(H!Q79&lt;&gt;H!R79,IF(H!Q79&lt;&gt;0,IF(H!S79&lt;&gt;H!T79,H!Q79,),),)</f>
        <v>0</v>
      </c>
      <c r="R79" s="628">
        <f>IF(H!Q79&lt;&gt;H!R79,IF(H!Q79&lt;&gt;0,IF(H!S79&lt;&gt;H!T79,0,Q79),Q79),Q79)</f>
        <v>0</v>
      </c>
      <c r="S79" s="796">
        <f>IF(H!Q79&lt;&gt;H!R79,IF(H!Q79&lt;&gt;0,IF(H!S79&lt;&gt;H!T79,H!S79+1,),),)</f>
        <v>0</v>
      </c>
      <c r="T79" s="796">
        <f>IF(H!Q79&lt;&gt;H!R79,IF(H!Q79&lt;&gt;0,IF(H!S79&lt;&gt;H!T79,H!T79,),),)</f>
        <v>0</v>
      </c>
      <c r="U79" s="797">
        <f>IF(H!Q79&lt;&gt;H!R79,IF(H!Q79&lt;&gt;0,IF(H!S79&lt;&gt;H!T79,H!U79,),),)</f>
        <v>0</v>
      </c>
      <c r="V79" s="875">
        <f>IF(H!Q79&lt;&gt;H!R79,IF(H!Q79&lt;&gt;0,IF(H!S79&lt;&gt;H!T79,H!V79,),),)</f>
        <v>0</v>
      </c>
      <c r="W79" s="633">
        <f>IF(Q79="","",$W$5-SUM($Q$7:$Q$45)-SUM($Q$64:Q79))</f>
        <v>0</v>
      </c>
      <c r="AO79" s="86"/>
      <c r="AP79" s="86"/>
      <c r="AQ79" s="86"/>
      <c r="AR79" s="86"/>
      <c r="AS79" s="86"/>
      <c r="AT79" s="86"/>
      <c r="AU79" s="86"/>
      <c r="AV79" s="86"/>
      <c r="AW79" s="86"/>
      <c r="AX79" s="86"/>
      <c r="AY79" s="86"/>
      <c r="CM79" s="86"/>
      <c r="CN79" s="86"/>
    </row>
    <row r="80" spans="2:92" s="367" customFormat="1" ht="15.75" hidden="1" customHeight="1" outlineLevel="1">
      <c r="B80" s="852">
        <f ca="1">IF(H!B80&lt;&gt;"",H!B80,)</f>
        <v>0</v>
      </c>
      <c r="C80" s="454">
        <f ca="1">H!C80</f>
        <v>0</v>
      </c>
      <c r="D80" s="74"/>
      <c r="E80" s="521"/>
      <c r="F80" s="858"/>
      <c r="H80" s="543"/>
      <c r="I80" s="853"/>
      <c r="J80" s="6"/>
      <c r="K80" s="541"/>
      <c r="L80" s="860"/>
      <c r="M80" s="20" t="str">
        <f>IF(J80="","",$M$5-SUM($J$7:J80))</f>
        <v/>
      </c>
      <c r="O80" s="7"/>
      <c r="P80" s="873">
        <f>IF(H!Q80&lt;&gt;H!R80,IF(H!Q80&lt;&gt;0,IF(H!S80&lt;&gt;H!T80,H!P80,),),)</f>
        <v>0</v>
      </c>
      <c r="Q80" s="795">
        <f>IF(H!Q80&lt;&gt;H!R80,IF(H!Q80&lt;&gt;0,IF(H!S80&lt;&gt;H!T80,H!Q80,),),)</f>
        <v>0</v>
      </c>
      <c r="R80" s="628">
        <f>IF(H!Q80&lt;&gt;H!R80,IF(H!Q80&lt;&gt;0,IF(H!S80&lt;&gt;H!T80,0,Q80),Q80),Q80)</f>
        <v>0</v>
      </c>
      <c r="S80" s="796">
        <f>IF(H!Q80&lt;&gt;H!R80,IF(H!Q80&lt;&gt;0,IF(H!S80&lt;&gt;H!T80,H!S80+1,),),)</f>
        <v>0</v>
      </c>
      <c r="T80" s="796">
        <f>IF(H!Q80&lt;&gt;H!R80,IF(H!Q80&lt;&gt;0,IF(H!S80&lt;&gt;H!T80,H!T80,),),)</f>
        <v>0</v>
      </c>
      <c r="U80" s="797">
        <f>IF(H!Q80&lt;&gt;H!R80,IF(H!Q80&lt;&gt;0,IF(H!S80&lt;&gt;H!T80,H!U80,),),)</f>
        <v>0</v>
      </c>
      <c r="V80" s="875">
        <f>IF(H!Q80&lt;&gt;H!R80,IF(H!Q80&lt;&gt;0,IF(H!S80&lt;&gt;H!T80,H!V80,),),)</f>
        <v>0</v>
      </c>
      <c r="W80" s="633">
        <f>IF(Q80="","",$W$5-SUM($Q$7:$Q$45)-SUM($Q$64:Q80))</f>
        <v>0</v>
      </c>
      <c r="AO80" s="86"/>
      <c r="AP80" s="86"/>
      <c r="AQ80" s="86"/>
      <c r="AR80" s="86"/>
      <c r="AS80" s="86"/>
      <c r="AT80" s="86"/>
      <c r="AU80" s="86"/>
      <c r="AV80" s="86"/>
      <c r="AW80" s="86"/>
      <c r="AX80" s="86"/>
      <c r="AY80" s="86"/>
      <c r="CM80" s="86"/>
      <c r="CN80" s="86"/>
    </row>
    <row r="81" spans="2:92" s="367" customFormat="1" ht="15.75" hidden="1" customHeight="1" outlineLevel="1">
      <c r="B81" s="852">
        <f ca="1">IF(H!B81&lt;&gt;"",H!B81,)</f>
        <v>0</v>
      </c>
      <c r="C81" s="454">
        <f ca="1">H!C81</f>
        <v>0</v>
      </c>
      <c r="D81" s="74"/>
      <c r="E81" s="521"/>
      <c r="F81" s="858"/>
      <c r="H81" s="543"/>
      <c r="I81" s="853"/>
      <c r="J81" s="6"/>
      <c r="K81" s="541"/>
      <c r="L81" s="860"/>
      <c r="M81" s="20" t="str">
        <f>IF(J81="","",$M$5-SUM($J$7:J81))</f>
        <v/>
      </c>
      <c r="O81" s="7"/>
      <c r="P81" s="873">
        <f>IF(H!Q81&lt;&gt;H!R81,IF(H!Q81&lt;&gt;0,IF(H!S81&lt;&gt;H!T81,H!P81,),),)</f>
        <v>0</v>
      </c>
      <c r="Q81" s="795">
        <f>IF(H!Q81&lt;&gt;H!R81,IF(H!Q81&lt;&gt;0,IF(H!S81&lt;&gt;H!T81,H!Q81,),),)</f>
        <v>0</v>
      </c>
      <c r="R81" s="628">
        <f>IF(H!Q81&lt;&gt;H!R81,IF(H!Q81&lt;&gt;0,IF(H!S81&lt;&gt;H!T81,0,Q81),Q81),Q81)</f>
        <v>0</v>
      </c>
      <c r="S81" s="796">
        <f>IF(H!Q81&lt;&gt;H!R81,IF(H!Q81&lt;&gt;0,IF(H!S81&lt;&gt;H!T81,H!S81+1,),),)</f>
        <v>0</v>
      </c>
      <c r="T81" s="796">
        <f>IF(H!Q81&lt;&gt;H!R81,IF(H!Q81&lt;&gt;0,IF(H!S81&lt;&gt;H!T81,H!T81,),),)</f>
        <v>0</v>
      </c>
      <c r="U81" s="797">
        <f>IF(H!Q81&lt;&gt;H!R81,IF(H!Q81&lt;&gt;0,IF(H!S81&lt;&gt;H!T81,H!U81,),),)</f>
        <v>0</v>
      </c>
      <c r="V81" s="875">
        <f>IF(H!Q81&lt;&gt;H!R81,IF(H!Q81&lt;&gt;0,IF(H!S81&lt;&gt;H!T81,H!V81,),),)</f>
        <v>0</v>
      </c>
      <c r="W81" s="633">
        <f>IF(Q81="","",$W$5-SUM($Q$7:$Q$45)-SUM($Q$64:Q81))</f>
        <v>0</v>
      </c>
      <c r="AO81" s="86"/>
      <c r="AP81" s="86"/>
      <c r="AQ81" s="86"/>
      <c r="AR81" s="86"/>
      <c r="AS81" s="86"/>
      <c r="AT81" s="86"/>
      <c r="AU81" s="86"/>
      <c r="AV81" s="86"/>
      <c r="AW81" s="86"/>
      <c r="AX81" s="86"/>
      <c r="AY81" s="86"/>
      <c r="CM81" s="86"/>
      <c r="CN81" s="86"/>
    </row>
    <row r="82" spans="2:92" s="367" customFormat="1" ht="15.75" hidden="1" customHeight="1" outlineLevel="1">
      <c r="B82" s="852">
        <f ca="1">IF(H!B82&lt;&gt;"",H!B82,)</f>
        <v>0</v>
      </c>
      <c r="C82" s="454">
        <f ca="1">H!C82</f>
        <v>0</v>
      </c>
      <c r="D82" s="74"/>
      <c r="E82" s="521"/>
      <c r="F82" s="858"/>
      <c r="H82" s="543"/>
      <c r="I82" s="853"/>
      <c r="J82" s="6"/>
      <c r="K82" s="541"/>
      <c r="L82" s="860"/>
      <c r="M82" s="20" t="str">
        <f>IF(J82="","",$M$5-SUM($J$7:J82))</f>
        <v/>
      </c>
      <c r="O82" s="7"/>
      <c r="P82" s="873">
        <f>IF(H!Q82&lt;&gt;H!R82,IF(H!Q82&lt;&gt;0,IF(H!S82&lt;&gt;H!T82,H!P82,),),)</f>
        <v>0</v>
      </c>
      <c r="Q82" s="795">
        <f>IF(H!Q82&lt;&gt;H!R82,IF(H!Q82&lt;&gt;0,IF(H!S82&lt;&gt;H!T82,H!Q82,),),)</f>
        <v>0</v>
      </c>
      <c r="R82" s="628">
        <f>IF(H!Q82&lt;&gt;H!R82,IF(H!Q82&lt;&gt;0,IF(H!S82&lt;&gt;H!T82,0,Q82),Q82),Q82)</f>
        <v>0</v>
      </c>
      <c r="S82" s="796">
        <f>IF(H!Q82&lt;&gt;H!R82,IF(H!Q82&lt;&gt;0,IF(H!S82&lt;&gt;H!T82,H!S82+1,),),)</f>
        <v>0</v>
      </c>
      <c r="T82" s="796">
        <f>IF(H!Q82&lt;&gt;H!R82,IF(H!Q82&lt;&gt;0,IF(H!S82&lt;&gt;H!T82,H!T82,),),)</f>
        <v>0</v>
      </c>
      <c r="U82" s="797">
        <f>IF(H!Q82&lt;&gt;H!R82,IF(H!Q82&lt;&gt;0,IF(H!S82&lt;&gt;H!T82,H!U82,),),)</f>
        <v>0</v>
      </c>
      <c r="V82" s="875">
        <f>IF(H!Q82&lt;&gt;H!R82,IF(H!Q82&lt;&gt;0,IF(H!S82&lt;&gt;H!T82,H!V82,),),)</f>
        <v>0</v>
      </c>
      <c r="W82" s="633">
        <f>IF(Q82="","",$W$5-SUM($Q$7:$Q$45)-SUM($Q$64:Q82))</f>
        <v>0</v>
      </c>
      <c r="AO82" s="86"/>
      <c r="AP82" s="86"/>
      <c r="AQ82" s="86"/>
      <c r="AR82" s="86"/>
      <c r="AS82" s="86"/>
      <c r="AT82" s="86"/>
      <c r="AU82" s="86"/>
      <c r="AV82" s="86"/>
      <c r="AW82" s="86"/>
      <c r="AX82" s="86"/>
      <c r="AY82" s="86"/>
      <c r="CM82" s="86"/>
      <c r="CN82" s="86"/>
    </row>
    <row r="83" spans="2:92" s="367" customFormat="1" ht="15.75" hidden="1" customHeight="1" outlineLevel="1">
      <c r="B83" s="852">
        <f ca="1">IF(H!B83&lt;&gt;"",H!B83,)</f>
        <v>0</v>
      </c>
      <c r="C83" s="454">
        <f ca="1">H!C83</f>
        <v>0</v>
      </c>
      <c r="D83" s="74"/>
      <c r="E83" s="521"/>
      <c r="F83" s="858"/>
      <c r="H83" s="543"/>
      <c r="I83" s="853"/>
      <c r="J83" s="6"/>
      <c r="K83" s="541"/>
      <c r="L83" s="860"/>
      <c r="M83" s="20" t="str">
        <f>IF(J83="","",$M$5-SUM($J$7:J83))</f>
        <v/>
      </c>
      <c r="O83" s="7"/>
      <c r="P83" s="873">
        <f>IF(H!Q83&lt;&gt;H!R83,IF(H!Q83&lt;&gt;0,IF(H!S83&lt;&gt;H!T83,H!P83,),),)</f>
        <v>0</v>
      </c>
      <c r="Q83" s="795">
        <f>IF(H!Q83&lt;&gt;H!R83,IF(H!Q83&lt;&gt;0,IF(H!S83&lt;&gt;H!T83,H!Q83,),),)</f>
        <v>0</v>
      </c>
      <c r="R83" s="628">
        <f>IF(H!Q83&lt;&gt;H!R83,IF(H!Q83&lt;&gt;0,IF(H!S83&lt;&gt;H!T83,0,Q83),Q83),Q83)</f>
        <v>0</v>
      </c>
      <c r="S83" s="796">
        <f>IF(H!Q83&lt;&gt;H!R83,IF(H!Q83&lt;&gt;0,IF(H!S83&lt;&gt;H!T83,H!S83+1,),),)</f>
        <v>0</v>
      </c>
      <c r="T83" s="796">
        <f>IF(H!Q83&lt;&gt;H!R83,IF(H!Q83&lt;&gt;0,IF(H!S83&lt;&gt;H!T83,H!T83,),),)</f>
        <v>0</v>
      </c>
      <c r="U83" s="797">
        <f>IF(H!Q83&lt;&gt;H!R83,IF(H!Q83&lt;&gt;0,IF(H!S83&lt;&gt;H!T83,H!U83,),),)</f>
        <v>0</v>
      </c>
      <c r="V83" s="875">
        <f>IF(H!Q83&lt;&gt;H!R83,IF(H!Q83&lt;&gt;0,IF(H!S83&lt;&gt;H!T83,H!V83,),),)</f>
        <v>0</v>
      </c>
      <c r="W83" s="633">
        <f>IF(Q83="","",$W$5-SUM($Q$7:$Q$45)-SUM($Q$64:Q83))</f>
        <v>0</v>
      </c>
      <c r="AO83" s="86"/>
      <c r="AP83" s="86"/>
      <c r="AQ83" s="86"/>
      <c r="AR83" s="86"/>
      <c r="AS83" s="86"/>
      <c r="AT83" s="86"/>
      <c r="AU83" s="86"/>
      <c r="AV83" s="86"/>
      <c r="AW83" s="86"/>
      <c r="AX83" s="86"/>
      <c r="AY83" s="86"/>
      <c r="CM83" s="86"/>
      <c r="CN83" s="86"/>
    </row>
    <row r="84" spans="2:92" s="367" customFormat="1" ht="15.75" hidden="1" customHeight="1" outlineLevel="1">
      <c r="B84" s="852">
        <f ca="1">IF(H!B84&lt;&gt;"",H!B84,)</f>
        <v>0</v>
      </c>
      <c r="C84" s="454">
        <f ca="1">H!C84</f>
        <v>0</v>
      </c>
      <c r="D84" s="74"/>
      <c r="E84" s="521"/>
      <c r="F84" s="858"/>
      <c r="H84" s="543"/>
      <c r="I84" s="853"/>
      <c r="J84" s="6"/>
      <c r="K84" s="541"/>
      <c r="L84" s="860"/>
      <c r="M84" s="20" t="str">
        <f>IF(J84="","",$M$5-SUM($J$7:J84))</f>
        <v/>
      </c>
      <c r="O84" s="7"/>
      <c r="P84" s="873">
        <f>IF(H!Q84&lt;&gt;H!R84,IF(H!Q84&lt;&gt;0,IF(H!S84&lt;&gt;H!T84,H!P84,),),)</f>
        <v>0</v>
      </c>
      <c r="Q84" s="795">
        <f>IF(H!Q84&lt;&gt;H!R84,IF(H!Q84&lt;&gt;0,IF(H!S84&lt;&gt;H!T84,H!Q84,),),)</f>
        <v>0</v>
      </c>
      <c r="R84" s="628">
        <f>IF(H!Q84&lt;&gt;H!R84,IF(H!Q84&lt;&gt;0,IF(H!S84&lt;&gt;H!T84,0,Q84),Q84),Q84)</f>
        <v>0</v>
      </c>
      <c r="S84" s="796">
        <f>IF(H!Q84&lt;&gt;H!R84,IF(H!Q84&lt;&gt;0,IF(H!S84&lt;&gt;H!T84,H!S84+1,),),)</f>
        <v>0</v>
      </c>
      <c r="T84" s="796">
        <f>IF(H!Q84&lt;&gt;H!R84,IF(H!Q84&lt;&gt;0,IF(H!S84&lt;&gt;H!T84,H!T84,),),)</f>
        <v>0</v>
      </c>
      <c r="U84" s="797">
        <f>IF(H!Q84&lt;&gt;H!R84,IF(H!Q84&lt;&gt;0,IF(H!S84&lt;&gt;H!T84,H!U84,),),)</f>
        <v>0</v>
      </c>
      <c r="V84" s="875">
        <f>IF(H!Q84&lt;&gt;H!R84,IF(H!Q84&lt;&gt;0,IF(H!S84&lt;&gt;H!T84,H!V84,),),)</f>
        <v>0</v>
      </c>
      <c r="W84" s="633">
        <f>IF(Q84="","",$W$5-SUM($Q$7:$Q$45)-SUM($Q$64:Q84))</f>
        <v>0</v>
      </c>
      <c r="AO84" s="86"/>
      <c r="AP84" s="86"/>
      <c r="AQ84" s="86"/>
      <c r="AR84" s="86"/>
      <c r="AS84" s="86"/>
      <c r="AT84" s="86"/>
      <c r="AU84" s="86"/>
      <c r="AV84" s="86"/>
      <c r="AW84" s="86"/>
      <c r="AX84" s="86"/>
      <c r="AY84" s="86"/>
      <c r="CM84" s="86"/>
      <c r="CN84" s="86"/>
    </row>
    <row r="85" spans="2:92" s="367" customFormat="1" ht="15.75" hidden="1" customHeight="1" outlineLevel="1">
      <c r="B85" s="852">
        <f ca="1">IF(H!B85&lt;&gt;"",H!B85,)</f>
        <v>0</v>
      </c>
      <c r="C85" s="454">
        <f ca="1">H!C85</f>
        <v>0</v>
      </c>
      <c r="D85" s="74"/>
      <c r="E85" s="521"/>
      <c r="F85" s="858"/>
      <c r="H85" s="543"/>
      <c r="I85" s="853"/>
      <c r="J85" s="6"/>
      <c r="K85" s="541"/>
      <c r="L85" s="860"/>
      <c r="M85" s="20" t="str">
        <f>IF(J85="","",$M$5-SUM($J$7:J85))</f>
        <v/>
      </c>
      <c r="O85" s="7"/>
      <c r="P85" s="873">
        <f>IF(H!Q85&lt;&gt;H!R85,IF(H!Q85&lt;&gt;0,IF(H!S85&lt;&gt;H!T85,H!P85,),),)</f>
        <v>0</v>
      </c>
      <c r="Q85" s="795">
        <f>IF(H!Q85&lt;&gt;H!R85,IF(H!Q85&lt;&gt;0,IF(H!S85&lt;&gt;H!T85,H!Q85,),),)</f>
        <v>0</v>
      </c>
      <c r="R85" s="628">
        <f>IF(H!Q85&lt;&gt;H!R85,IF(H!Q85&lt;&gt;0,IF(H!S85&lt;&gt;H!T85,0,Q85),Q85),Q85)</f>
        <v>0</v>
      </c>
      <c r="S85" s="796">
        <f>IF(H!Q85&lt;&gt;H!R85,IF(H!Q85&lt;&gt;0,IF(H!S85&lt;&gt;H!T85,H!S85+1,),),)</f>
        <v>0</v>
      </c>
      <c r="T85" s="796">
        <f>IF(H!Q85&lt;&gt;H!R85,IF(H!Q85&lt;&gt;0,IF(H!S85&lt;&gt;H!T85,H!T85,),),)</f>
        <v>0</v>
      </c>
      <c r="U85" s="797">
        <f>IF(H!Q85&lt;&gt;H!R85,IF(H!Q85&lt;&gt;0,IF(H!S85&lt;&gt;H!T85,H!U85,),),)</f>
        <v>0</v>
      </c>
      <c r="V85" s="875">
        <f>IF(H!Q85&lt;&gt;H!R85,IF(H!Q85&lt;&gt;0,IF(H!S85&lt;&gt;H!T85,H!V85,),),)</f>
        <v>0</v>
      </c>
      <c r="W85" s="633">
        <f>IF(Q85="","",$W$5-SUM($Q$7:$Q$45)-SUM($Q$64:Q85))</f>
        <v>0</v>
      </c>
      <c r="AO85" s="86"/>
      <c r="AP85" s="86"/>
      <c r="AQ85" s="86"/>
      <c r="AR85" s="86"/>
      <c r="AS85" s="86"/>
      <c r="AT85" s="86"/>
      <c r="AU85" s="86"/>
      <c r="AV85" s="86"/>
      <c r="AW85" s="86"/>
      <c r="AX85" s="86"/>
      <c r="AY85" s="86"/>
      <c r="CM85" s="86"/>
      <c r="CN85" s="86"/>
    </row>
    <row r="86" spans="2:92" s="367" customFormat="1" ht="15.75" hidden="1" customHeight="1" outlineLevel="1">
      <c r="B86" s="852">
        <f ca="1">IF(H!B86&lt;&gt;"",H!B86,)</f>
        <v>0</v>
      </c>
      <c r="C86" s="454">
        <f ca="1">H!C86</f>
        <v>0</v>
      </c>
      <c r="D86" s="74"/>
      <c r="E86" s="521"/>
      <c r="F86" s="858"/>
      <c r="H86" s="543"/>
      <c r="I86" s="854"/>
      <c r="J86" s="6"/>
      <c r="K86" s="541"/>
      <c r="L86" s="860"/>
      <c r="M86" s="20" t="str">
        <f>IF(J86="","",$M$5-SUM($J$7:J86))</f>
        <v/>
      </c>
      <c r="O86" s="7"/>
      <c r="P86" s="873">
        <f>IF(H!Q86&lt;&gt;H!R86,IF(H!Q86&lt;&gt;0,IF(H!S86&lt;&gt;H!T86,H!P86,),),)</f>
        <v>0</v>
      </c>
      <c r="Q86" s="795">
        <f>IF(H!Q86&lt;&gt;H!R86,IF(H!Q86&lt;&gt;0,IF(H!S86&lt;&gt;H!T86,H!Q86,),),)</f>
        <v>0</v>
      </c>
      <c r="R86" s="628">
        <f>IF(H!Q86&lt;&gt;H!R86,IF(H!Q86&lt;&gt;0,IF(H!S86&lt;&gt;H!T86,0,Q86),Q86),Q86)</f>
        <v>0</v>
      </c>
      <c r="S86" s="796">
        <f>IF(H!Q86&lt;&gt;H!R86,IF(H!Q86&lt;&gt;0,IF(H!S86&lt;&gt;H!T86,H!S86+1,),),)</f>
        <v>0</v>
      </c>
      <c r="T86" s="796">
        <f>IF(H!Q86&lt;&gt;H!R86,IF(H!Q86&lt;&gt;0,IF(H!S86&lt;&gt;H!T86,H!T86,),),)</f>
        <v>0</v>
      </c>
      <c r="U86" s="797">
        <f>IF(H!Q86&lt;&gt;H!R86,IF(H!Q86&lt;&gt;0,IF(H!S86&lt;&gt;H!T86,H!U86,),),)</f>
        <v>0</v>
      </c>
      <c r="V86" s="875">
        <f>IF(H!Q86&lt;&gt;H!R86,IF(H!Q86&lt;&gt;0,IF(H!S86&lt;&gt;H!T86,H!V86,),),)</f>
        <v>0</v>
      </c>
      <c r="W86" s="633">
        <f>IF(Q86="","",$W$5-SUM($Q$7:$Q$45)-SUM($Q$64:Q86))</f>
        <v>0</v>
      </c>
      <c r="AO86" s="86"/>
      <c r="AP86" s="86"/>
      <c r="AQ86" s="86"/>
      <c r="AR86" s="86"/>
      <c r="AS86" s="86"/>
      <c r="AT86" s="86"/>
      <c r="AU86" s="86"/>
      <c r="AV86" s="86"/>
      <c r="AW86" s="86"/>
      <c r="AX86" s="86"/>
      <c r="AY86" s="86"/>
      <c r="CM86" s="86"/>
      <c r="CN86" s="86"/>
    </row>
    <row r="87" spans="2:92" s="367" customFormat="1" ht="15.75" hidden="1" customHeight="1" outlineLevel="1">
      <c r="H87" s="543"/>
      <c r="I87" s="853"/>
      <c r="J87" s="6"/>
      <c r="K87" s="541"/>
      <c r="L87" s="860"/>
      <c r="M87" s="20" t="str">
        <f>IF(J87="","",$M$5-SUM($J$7:J87))</f>
        <v/>
      </c>
      <c r="O87" s="7"/>
      <c r="P87" s="873">
        <f>IF(H!Q87&lt;&gt;H!R87,IF(H!Q87&lt;&gt;0,IF(H!S87&lt;&gt;H!T87,H!P87,),),)</f>
        <v>0</v>
      </c>
      <c r="Q87" s="795">
        <f>IF(H!Q87&lt;&gt;H!R87,IF(H!Q87&lt;&gt;0,IF(H!S87&lt;&gt;H!T87,H!Q87,),),)</f>
        <v>0</v>
      </c>
      <c r="R87" s="628">
        <f>IF(H!Q87&lt;&gt;H!R87,IF(H!Q87&lt;&gt;0,IF(H!S87&lt;&gt;H!T87,0,Q87),Q87),Q87)</f>
        <v>0</v>
      </c>
      <c r="S87" s="796">
        <f>IF(H!Q87&lt;&gt;H!R87,IF(H!Q87&lt;&gt;0,IF(H!S87&lt;&gt;H!T87,H!S87+1,),),)</f>
        <v>0</v>
      </c>
      <c r="T87" s="796">
        <f>IF(H!Q87&lt;&gt;H!R87,IF(H!Q87&lt;&gt;0,IF(H!S87&lt;&gt;H!T87,H!T87,),),)</f>
        <v>0</v>
      </c>
      <c r="U87" s="797">
        <f>IF(H!Q87&lt;&gt;H!R87,IF(H!Q87&lt;&gt;0,IF(H!S87&lt;&gt;H!T87,H!U87,),),)</f>
        <v>0</v>
      </c>
      <c r="V87" s="875">
        <f>IF(H!Q87&lt;&gt;H!R87,IF(H!Q87&lt;&gt;0,IF(H!S87&lt;&gt;H!T87,H!V87,),),)</f>
        <v>0</v>
      </c>
      <c r="W87" s="633">
        <f>IF(Q87="","",$W$5-SUM($Q$7:$Q$45)-SUM($Q$64:Q87))</f>
        <v>0</v>
      </c>
      <c r="AO87" s="86"/>
      <c r="AP87" s="86"/>
      <c r="AQ87" s="86"/>
      <c r="AR87" s="86"/>
      <c r="AS87" s="86"/>
      <c r="AT87" s="86"/>
      <c r="AU87" s="86"/>
      <c r="AV87" s="86"/>
      <c r="AW87" s="86"/>
      <c r="AX87" s="86"/>
      <c r="AY87" s="86"/>
      <c r="CM87" s="86"/>
      <c r="CN87" s="86"/>
    </row>
    <row r="88" spans="2:92" s="367" customFormat="1" ht="15.75" hidden="1" customHeight="1" outlineLevel="1">
      <c r="H88" s="543"/>
      <c r="I88" s="853"/>
      <c r="J88" s="6"/>
      <c r="K88" s="541"/>
      <c r="L88" s="860"/>
      <c r="M88" s="20" t="str">
        <f>IF(J88="","",$M$5-SUM($J$7:J88))</f>
        <v/>
      </c>
      <c r="O88" s="7"/>
      <c r="P88" s="871">
        <f>IF(H!Q88&lt;&gt;H!R88,IF(H!Q88&lt;&gt;0,IF(H!S88&lt;&gt;H!T88,H!P88,),),)</f>
        <v>0</v>
      </c>
      <c r="Q88" s="795">
        <f>IF(H!Q88&lt;&gt;H!R88,IF(H!Q88&lt;&gt;0,IF(H!S88&lt;&gt;H!T88,H!Q88,),),)</f>
        <v>0</v>
      </c>
      <c r="R88" s="628">
        <f>IF(H!Q88&lt;&gt;H!R88,IF(H!Q88&lt;&gt;0,IF(H!S88&lt;&gt;H!T88,0,Q88),Q88),Q88)</f>
        <v>0</v>
      </c>
      <c r="S88" s="796">
        <f>IF(H!Q88&lt;&gt;H!R88,IF(H!Q88&lt;&gt;0,IF(H!S88&lt;&gt;H!T88,H!S88+1,),),)</f>
        <v>0</v>
      </c>
      <c r="T88" s="796">
        <f>IF(H!Q88&lt;&gt;H!R88,IF(H!Q88&lt;&gt;0,IF(H!S88&lt;&gt;H!T88,H!T88,),),)</f>
        <v>0</v>
      </c>
      <c r="U88" s="797">
        <f>IF(H!Q88&lt;&gt;H!R88,IF(H!Q88&lt;&gt;0,IF(H!S88&lt;&gt;H!T88,H!U88,),),)</f>
        <v>0</v>
      </c>
      <c r="V88" s="875">
        <f>IF(H!Q88&lt;&gt;H!R88,IF(H!Q88&lt;&gt;0,IF(H!S88&lt;&gt;H!T88,H!V88,),),)</f>
        <v>0</v>
      </c>
      <c r="W88" s="633">
        <f>IF(Q88="","",$W$5-SUM($Q$7:$Q$45)-SUM($Q$64:Q88))</f>
        <v>0</v>
      </c>
      <c r="AO88" s="86"/>
      <c r="AP88" s="86"/>
      <c r="AQ88" s="86"/>
      <c r="AR88" s="86"/>
      <c r="AS88" s="86"/>
      <c r="AT88" s="86"/>
      <c r="AU88" s="86"/>
      <c r="AV88" s="86"/>
      <c r="AW88" s="86"/>
      <c r="AX88" s="86"/>
      <c r="AY88" s="86"/>
      <c r="CM88" s="86"/>
      <c r="CN88" s="86"/>
    </row>
    <row r="89" spans="2:92" s="367" customFormat="1" ht="15.75" hidden="1" customHeight="1" outlineLevel="1">
      <c r="H89" s="543"/>
      <c r="I89" s="853"/>
      <c r="J89" s="6"/>
      <c r="K89" s="541"/>
      <c r="L89" s="860"/>
      <c r="M89" s="20" t="str">
        <f>IF(J89="","",$M$5-SUM($J$7:J89))</f>
        <v/>
      </c>
      <c r="O89" s="7"/>
      <c r="P89" s="873">
        <f>IF(H!Q89&lt;&gt;H!R89,IF(H!Q89&lt;&gt;0,IF(H!S89&lt;&gt;H!T89,H!P89,),),)</f>
        <v>0</v>
      </c>
      <c r="Q89" s="795">
        <f>IF(H!Q89&lt;&gt;H!R89,IF(H!Q89&lt;&gt;0,IF(H!S89&lt;&gt;H!T89,H!Q89,),),)</f>
        <v>0</v>
      </c>
      <c r="R89" s="628">
        <f>IF(H!Q89&lt;&gt;H!R89,IF(H!Q89&lt;&gt;0,IF(H!S89&lt;&gt;H!T89,0,Q89),Q89),Q89)</f>
        <v>0</v>
      </c>
      <c r="S89" s="796">
        <f>IF(H!Q89&lt;&gt;H!R89,IF(H!Q89&lt;&gt;0,IF(H!S89&lt;&gt;H!T89,H!S89+1,),),)</f>
        <v>0</v>
      </c>
      <c r="T89" s="796">
        <f>IF(H!Q89&lt;&gt;H!R89,IF(H!Q89&lt;&gt;0,IF(H!S89&lt;&gt;H!T89,H!T89,),),)</f>
        <v>0</v>
      </c>
      <c r="U89" s="797">
        <f>IF(H!Q89&lt;&gt;H!R89,IF(H!Q89&lt;&gt;0,IF(H!S89&lt;&gt;H!T89,H!U89,),),)</f>
        <v>0</v>
      </c>
      <c r="V89" s="875">
        <f>IF(H!Q89&lt;&gt;H!R89,IF(H!Q89&lt;&gt;0,IF(H!S89&lt;&gt;H!T89,H!V89,),),)</f>
        <v>0</v>
      </c>
      <c r="W89" s="633">
        <f>IF(Q89="","",$W$5-SUM($Q$7:$Q$45)-SUM($Q$64:Q89))</f>
        <v>0</v>
      </c>
      <c r="AO89" s="86"/>
      <c r="AP89" s="86"/>
      <c r="AQ89" s="86"/>
      <c r="AR89" s="86"/>
      <c r="AS89" s="86"/>
      <c r="AT89" s="86"/>
      <c r="AU89" s="86"/>
      <c r="AV89" s="86"/>
      <c r="AW89" s="86"/>
      <c r="AX89" s="86"/>
      <c r="AY89" s="86"/>
      <c r="CM89" s="86"/>
      <c r="CN89" s="86"/>
    </row>
    <row r="90" spans="2:92" s="367" customFormat="1" ht="15.75" hidden="1" customHeight="1" outlineLevel="1">
      <c r="H90" s="543"/>
      <c r="I90" s="853"/>
      <c r="J90" s="6"/>
      <c r="K90" s="541"/>
      <c r="L90" s="860"/>
      <c r="M90" s="20" t="str">
        <f>IF(J90="","",$M$5-SUM($J$7:J90))</f>
        <v/>
      </c>
      <c r="O90" s="7"/>
      <c r="P90" s="871">
        <f>IF(H!Q90&lt;&gt;H!R90,IF(H!Q90&lt;&gt;0,IF(H!S90&lt;&gt;H!T90,H!P90,),),)</f>
        <v>0</v>
      </c>
      <c r="Q90" s="795">
        <f>IF(H!Q90&lt;&gt;H!R90,IF(H!Q90&lt;&gt;0,IF(H!S90&lt;&gt;H!T90,H!Q90,),),)</f>
        <v>0</v>
      </c>
      <c r="R90" s="628">
        <f>IF(H!Q90&lt;&gt;H!R90,IF(H!Q90&lt;&gt;0,IF(H!S90&lt;&gt;H!T90,0,Q90),Q90),Q90)</f>
        <v>0</v>
      </c>
      <c r="S90" s="796">
        <f>IF(H!Q90&lt;&gt;H!R90,IF(H!Q90&lt;&gt;0,IF(H!S90&lt;&gt;H!T90,H!S90+1,),),)</f>
        <v>0</v>
      </c>
      <c r="T90" s="796">
        <f>IF(H!Q90&lt;&gt;H!R90,IF(H!Q90&lt;&gt;0,IF(H!S90&lt;&gt;H!T90,H!T90,),),)</f>
        <v>0</v>
      </c>
      <c r="U90" s="797">
        <f>IF(H!Q90&lt;&gt;H!R90,IF(H!Q90&lt;&gt;0,IF(H!S90&lt;&gt;H!T90,H!U90,),),)</f>
        <v>0</v>
      </c>
      <c r="V90" s="875">
        <f>IF(H!Q90&lt;&gt;H!R90,IF(H!Q90&lt;&gt;0,IF(H!S90&lt;&gt;H!T90,H!V90,),),)</f>
        <v>0</v>
      </c>
      <c r="W90" s="633">
        <f>IF(Q90="","",$W$5-SUM($Q$7:$Q$45)-SUM($Q$64:Q90))</f>
        <v>0</v>
      </c>
      <c r="AO90" s="86"/>
      <c r="AP90" s="86"/>
      <c r="AQ90" s="86"/>
      <c r="AR90" s="86"/>
      <c r="AS90" s="86"/>
      <c r="AT90" s="86"/>
      <c r="AU90" s="86"/>
      <c r="AV90" s="86"/>
      <c r="AW90" s="86"/>
      <c r="AX90" s="86"/>
      <c r="AY90" s="86"/>
      <c r="CM90" s="86"/>
      <c r="CN90" s="86"/>
    </row>
    <row r="91" spans="2:92" s="367" customFormat="1" ht="15.75" hidden="1" customHeight="1" outlineLevel="1">
      <c r="H91" s="543"/>
      <c r="I91" s="853"/>
      <c r="J91" s="6"/>
      <c r="K91" s="541"/>
      <c r="L91" s="860"/>
      <c r="M91" s="20" t="str">
        <f>IF(J91="","",$M$5-SUM($J$7:J91))</f>
        <v/>
      </c>
      <c r="O91" s="7"/>
      <c r="P91" s="873">
        <f>IF(H!Q91&lt;&gt;H!R91,IF(H!Q91&lt;&gt;0,IF(H!S91&lt;&gt;H!T91,H!P91,),),)</f>
        <v>0</v>
      </c>
      <c r="Q91" s="795">
        <f>IF(H!Q91&lt;&gt;H!R91,IF(H!Q91&lt;&gt;0,IF(H!S91&lt;&gt;H!T91,H!Q91,),),)</f>
        <v>0</v>
      </c>
      <c r="R91" s="628">
        <f>IF(H!Q91&lt;&gt;H!R91,IF(H!Q91&lt;&gt;0,IF(H!S91&lt;&gt;H!T91,0,Q91),Q91),Q91)</f>
        <v>0</v>
      </c>
      <c r="S91" s="796">
        <f>IF(H!Q91&lt;&gt;H!R91,IF(H!Q91&lt;&gt;0,IF(H!S91&lt;&gt;H!T91,H!S91+1,),),)</f>
        <v>0</v>
      </c>
      <c r="T91" s="796">
        <f>IF(H!Q91&lt;&gt;H!R91,IF(H!Q91&lt;&gt;0,IF(H!S91&lt;&gt;H!T91,H!T91,),),)</f>
        <v>0</v>
      </c>
      <c r="U91" s="797">
        <f>IF(H!Q91&lt;&gt;H!R91,IF(H!Q91&lt;&gt;0,IF(H!S91&lt;&gt;H!T91,H!U91,),),)</f>
        <v>0</v>
      </c>
      <c r="V91" s="875">
        <f>IF(H!Q91&lt;&gt;H!R91,IF(H!Q91&lt;&gt;0,IF(H!S91&lt;&gt;H!T91,H!V91,),),)</f>
        <v>0</v>
      </c>
      <c r="W91" s="633">
        <f>IF(Q91="","",$W$5-SUM($Q$7:$Q$45)-SUM($Q$64:Q91))</f>
        <v>0</v>
      </c>
      <c r="AO91" s="86"/>
      <c r="AP91" s="86"/>
      <c r="AQ91" s="86"/>
      <c r="AR91" s="86"/>
      <c r="AS91" s="86"/>
      <c r="AT91" s="86"/>
      <c r="AU91" s="86"/>
      <c r="AV91" s="86"/>
      <c r="AW91" s="86"/>
      <c r="AX91" s="86"/>
      <c r="AY91" s="86"/>
      <c r="CM91" s="86"/>
      <c r="CN91" s="86"/>
    </row>
    <row r="92" spans="2:92" s="367" customFormat="1" ht="15.75" hidden="1" customHeight="1" outlineLevel="1">
      <c r="H92" s="543"/>
      <c r="I92" s="853"/>
      <c r="J92" s="6"/>
      <c r="K92" s="541"/>
      <c r="L92" s="860"/>
      <c r="M92" s="20" t="str">
        <f>IF(J92="","",$M$5-SUM($J$7:J92))</f>
        <v/>
      </c>
      <c r="O92" s="7"/>
      <c r="P92" s="871">
        <f>IF(H!Q92&lt;&gt;H!R92,IF(H!Q92&lt;&gt;0,IF(H!S92&lt;&gt;H!T92,H!P92,),),)</f>
        <v>0</v>
      </c>
      <c r="Q92" s="799">
        <f>IF(H!Q92&lt;&gt;H!R92,IF(H!Q92&lt;&gt;0,IF(H!S92&lt;&gt;H!T92,H!Q92,),),)</f>
        <v>0</v>
      </c>
      <c r="R92" s="628">
        <f>IF(H!Q92&lt;&gt;H!R92,IF(H!Q92&lt;&gt;0,IF(H!S92&lt;&gt;H!T92,0,Q92),Q92),Q92)</f>
        <v>0</v>
      </c>
      <c r="S92" s="796">
        <f>IF(H!Q92&lt;&gt;H!R92,IF(H!Q92&lt;&gt;0,IF(H!S92&lt;&gt;H!T92,H!S92+1,),),)</f>
        <v>0</v>
      </c>
      <c r="T92" s="796">
        <f>IF(H!Q92&lt;&gt;H!R92,IF(H!Q92&lt;&gt;0,IF(H!S92&lt;&gt;H!T92,H!T92,),),)</f>
        <v>0</v>
      </c>
      <c r="U92" s="797">
        <f>IF(H!Q92&lt;&gt;H!R92,IF(H!Q92&lt;&gt;0,IF(H!S92&lt;&gt;H!T92,H!U92,),),)</f>
        <v>0</v>
      </c>
      <c r="V92" s="875">
        <f>IF(H!Q92&lt;&gt;H!R92,IF(H!Q92&lt;&gt;0,IF(H!S92&lt;&gt;H!T92,H!V92,),),)</f>
        <v>0</v>
      </c>
      <c r="W92" s="634">
        <f>IF(Q92="","",$W$5-SUM($Q$7:$Q$45)-SUM($Q$64:Q92))</f>
        <v>0</v>
      </c>
      <c r="AO92" s="86"/>
      <c r="AP92" s="86"/>
      <c r="AQ92" s="86"/>
      <c r="AR92" s="86"/>
      <c r="AS92" s="86"/>
      <c r="AT92" s="86"/>
      <c r="AU92" s="86"/>
      <c r="AV92" s="86"/>
      <c r="AW92" s="86"/>
      <c r="AX92" s="86"/>
      <c r="AY92" s="86"/>
      <c r="CM92" s="86"/>
      <c r="CN92" s="86"/>
    </row>
    <row r="93" spans="2:92" s="367" customFormat="1" ht="15.75" hidden="1" customHeight="1" outlineLevel="1">
      <c r="H93" s="543"/>
      <c r="I93" s="853"/>
      <c r="J93" s="6"/>
      <c r="K93" s="541"/>
      <c r="L93" s="860"/>
      <c r="M93" s="20" t="str">
        <f>IF(J93="","",$M$5-SUM($J$7:J93))</f>
        <v/>
      </c>
      <c r="O93" s="7"/>
      <c r="P93" s="873">
        <f>IF(H!Q93&lt;&gt;H!R93,IF(H!Q93&lt;&gt;0,IF(H!S93&lt;&gt;H!T93,H!P93,),),)</f>
        <v>0</v>
      </c>
      <c r="Q93" s="795">
        <f>IF(H!Q93&lt;&gt;H!R93,IF(H!Q93&lt;&gt;0,IF(H!S93&lt;&gt;H!T93,H!Q93,),),)</f>
        <v>0</v>
      </c>
      <c r="R93" s="628">
        <f>IF(H!Q93&lt;&gt;H!R93,IF(H!Q93&lt;&gt;0,IF(H!S93&lt;&gt;H!T93,0,Q93),Q93),Q93)</f>
        <v>0</v>
      </c>
      <c r="S93" s="796">
        <f>IF(H!Q93&lt;&gt;H!R93,IF(H!Q93&lt;&gt;0,IF(H!S93&lt;&gt;H!T93,H!S93+1,),),)</f>
        <v>0</v>
      </c>
      <c r="T93" s="796">
        <f>IF(H!Q93&lt;&gt;H!R93,IF(H!Q93&lt;&gt;0,IF(H!S93&lt;&gt;H!T93,H!T93,),),)</f>
        <v>0</v>
      </c>
      <c r="U93" s="797">
        <f>IF(H!Q93&lt;&gt;H!R93,IF(H!Q93&lt;&gt;0,IF(H!S93&lt;&gt;H!T93,H!U93,),),)</f>
        <v>0</v>
      </c>
      <c r="V93" s="875">
        <f>IF(H!Q93&lt;&gt;H!R93,IF(H!Q93&lt;&gt;0,IF(H!S93&lt;&gt;H!T93,H!V93,),),)</f>
        <v>0</v>
      </c>
      <c r="W93" s="633">
        <f>IF(Q93="","",$W$5-SUM($Q$7:$Q$45)-SUM($Q$64:Q93))</f>
        <v>0</v>
      </c>
      <c r="AO93" s="86"/>
      <c r="AP93" s="86"/>
      <c r="AQ93" s="86"/>
      <c r="AR93" s="86"/>
      <c r="AS93" s="86"/>
      <c r="AT93" s="86"/>
      <c r="AU93" s="86"/>
      <c r="AV93" s="86"/>
      <c r="AW93" s="86"/>
      <c r="AX93" s="86"/>
      <c r="AY93" s="86"/>
      <c r="CM93" s="86"/>
      <c r="CN93" s="86"/>
    </row>
    <row r="94" spans="2:92" s="367" customFormat="1" ht="15.75" hidden="1" customHeight="1" outlineLevel="1">
      <c r="H94" s="543"/>
      <c r="I94" s="853"/>
      <c r="J94" s="6"/>
      <c r="K94" s="541"/>
      <c r="L94" s="860"/>
      <c r="M94" s="20" t="str">
        <f>IF(J94="","",$M$5-SUM($J$7:J94))</f>
        <v/>
      </c>
      <c r="O94" s="7"/>
      <c r="P94" s="871">
        <f>IF(H!Q94&lt;&gt;H!R94,IF(H!Q94&lt;&gt;0,IF(H!S94&lt;&gt;H!T94,H!P94,),),)</f>
        <v>0</v>
      </c>
      <c r="Q94" s="795">
        <f>IF(H!Q94&lt;&gt;H!R94,IF(H!Q94&lt;&gt;0,IF(H!S94&lt;&gt;H!T94,H!Q94,),),)</f>
        <v>0</v>
      </c>
      <c r="R94" s="628">
        <f>IF(H!Q94&lt;&gt;H!R94,IF(H!Q94&lt;&gt;0,IF(H!S94&lt;&gt;H!T94,0,Q94),Q94),Q94)</f>
        <v>0</v>
      </c>
      <c r="S94" s="796">
        <f>IF(H!Q94&lt;&gt;H!R94,IF(H!Q94&lt;&gt;0,IF(H!S94&lt;&gt;H!T94,H!S94+1,),),)</f>
        <v>0</v>
      </c>
      <c r="T94" s="796">
        <f>IF(H!Q94&lt;&gt;H!R94,IF(H!Q94&lt;&gt;0,IF(H!S94&lt;&gt;H!T94,H!T94,),),)</f>
        <v>0</v>
      </c>
      <c r="U94" s="797">
        <f>IF(H!Q94&lt;&gt;H!R94,IF(H!Q94&lt;&gt;0,IF(H!S94&lt;&gt;H!T94,H!U94,),),)</f>
        <v>0</v>
      </c>
      <c r="V94" s="875">
        <f>IF(H!Q94&lt;&gt;H!R94,IF(H!Q94&lt;&gt;0,IF(H!S94&lt;&gt;H!T94,H!V94,),),)</f>
        <v>0</v>
      </c>
      <c r="W94" s="633">
        <f>IF(Q94="","",$W$5-SUM($Q$7:$Q$45)-SUM($Q$64:Q94))</f>
        <v>0</v>
      </c>
      <c r="AO94" s="86"/>
      <c r="AP94" s="86"/>
      <c r="AQ94" s="86"/>
      <c r="AR94" s="86"/>
      <c r="AS94" s="86"/>
      <c r="AT94" s="86"/>
      <c r="AU94" s="86"/>
      <c r="AV94" s="86"/>
      <c r="AW94" s="86"/>
      <c r="AX94" s="86"/>
      <c r="AY94" s="86"/>
      <c r="CM94" s="86"/>
      <c r="CN94" s="86"/>
    </row>
    <row r="95" spans="2:92" s="367" customFormat="1" ht="15.75" hidden="1" customHeight="1" outlineLevel="1">
      <c r="H95" s="543"/>
      <c r="I95" s="853"/>
      <c r="J95" s="6"/>
      <c r="K95" s="541"/>
      <c r="L95" s="860"/>
      <c r="M95" s="20" t="str">
        <f>IF(J95="","",$M$5-SUM($J$7:J95))</f>
        <v/>
      </c>
      <c r="O95" s="7"/>
      <c r="P95" s="873">
        <f>IF(H!Q95&lt;&gt;H!R95,IF(H!Q95&lt;&gt;0,IF(H!S95&lt;&gt;H!T95,H!P95,),),)</f>
        <v>0</v>
      </c>
      <c r="Q95" s="795">
        <f>IF(H!Q95&lt;&gt;H!R95,IF(H!Q95&lt;&gt;0,IF(H!S95&lt;&gt;H!T95,H!Q95,),),)</f>
        <v>0</v>
      </c>
      <c r="R95" s="628">
        <f>IF(H!Q95&lt;&gt;H!R95,IF(H!Q95&lt;&gt;0,IF(H!S95&lt;&gt;H!T95,0,Q95),Q95),Q95)</f>
        <v>0</v>
      </c>
      <c r="S95" s="796">
        <f>IF(H!Q95&lt;&gt;H!R95,IF(H!Q95&lt;&gt;0,IF(H!S95&lt;&gt;H!T95,H!S95+1,),),)</f>
        <v>0</v>
      </c>
      <c r="T95" s="796">
        <f>IF(H!Q95&lt;&gt;H!R95,IF(H!Q95&lt;&gt;0,IF(H!S95&lt;&gt;H!T95,H!T95,),),)</f>
        <v>0</v>
      </c>
      <c r="U95" s="797">
        <f>IF(H!Q95&lt;&gt;H!R95,IF(H!Q95&lt;&gt;0,IF(H!S95&lt;&gt;H!T95,H!U95,),),)</f>
        <v>0</v>
      </c>
      <c r="V95" s="875">
        <f>IF(H!Q95&lt;&gt;H!R95,IF(H!Q95&lt;&gt;0,IF(H!S95&lt;&gt;H!T95,H!V95,),),)</f>
        <v>0</v>
      </c>
      <c r="W95" s="633">
        <f>IF(Q95="","",$W$5-SUM($Q$7:$Q$45)-SUM($Q$64:Q95))</f>
        <v>0</v>
      </c>
      <c r="AO95" s="86"/>
      <c r="AP95" s="86"/>
      <c r="AQ95" s="86"/>
      <c r="AR95" s="86"/>
      <c r="AS95" s="86"/>
      <c r="AT95" s="86"/>
      <c r="AU95" s="86"/>
      <c r="AV95" s="86"/>
      <c r="AW95" s="86"/>
      <c r="AX95" s="86"/>
      <c r="AY95" s="86"/>
      <c r="CM95" s="86"/>
      <c r="CN95" s="86"/>
    </row>
    <row r="96" spans="2:92" s="367" customFormat="1" ht="15.75" hidden="1" customHeight="1" outlineLevel="1">
      <c r="H96" s="543"/>
      <c r="I96" s="853"/>
      <c r="J96" s="6"/>
      <c r="K96" s="541"/>
      <c r="L96" s="860"/>
      <c r="M96" s="20" t="str">
        <f>IF(J96="","",$M$5-SUM($J$7:J96))</f>
        <v/>
      </c>
      <c r="O96" s="7"/>
      <c r="P96" s="872">
        <f>IF(H!Q96&lt;&gt;H!R96,IF(H!Q96&lt;&gt;0,IF(H!S96&lt;&gt;H!T96,H!P96,),),)</f>
        <v>0</v>
      </c>
      <c r="Q96" s="795">
        <f>IF(H!Q96&lt;&gt;H!R96,IF(H!Q96&lt;&gt;0,IF(H!S96&lt;&gt;H!T96,H!Q96,),),)</f>
        <v>0</v>
      </c>
      <c r="R96" s="628">
        <f>IF(H!Q96&lt;&gt;H!R96,IF(H!Q96&lt;&gt;0,IF(H!S96&lt;&gt;H!T96,0,Q96),Q96),Q96)</f>
        <v>0</v>
      </c>
      <c r="S96" s="796">
        <f>IF(H!Q96&lt;&gt;H!R96,IF(H!Q96&lt;&gt;0,IF(H!S96&lt;&gt;H!T96,H!S96+1,),),)</f>
        <v>0</v>
      </c>
      <c r="T96" s="796">
        <f>IF(H!Q96&lt;&gt;H!R96,IF(H!Q96&lt;&gt;0,IF(H!S96&lt;&gt;H!T96,H!T96,),),)</f>
        <v>0</v>
      </c>
      <c r="U96" s="797">
        <f>IF(H!Q96&lt;&gt;H!R96,IF(H!Q96&lt;&gt;0,IF(H!S96&lt;&gt;H!T96,H!U96,),),)</f>
        <v>0</v>
      </c>
      <c r="V96" s="875">
        <f>IF(H!Q96&lt;&gt;H!R96,IF(H!Q96&lt;&gt;0,IF(H!S96&lt;&gt;H!T96,H!V96,),),)</f>
        <v>0</v>
      </c>
      <c r="W96" s="633">
        <f>IF(Q96="","",$W$5-SUM($Q$7:$Q$45)-SUM($Q$64:Q96))</f>
        <v>0</v>
      </c>
      <c r="AO96" s="86"/>
      <c r="AP96" s="86"/>
      <c r="AQ96" s="86"/>
      <c r="AR96" s="86"/>
      <c r="AS96" s="86"/>
      <c r="AT96" s="86"/>
      <c r="AU96" s="86"/>
      <c r="AV96" s="86"/>
      <c r="AW96" s="86"/>
      <c r="AX96" s="86"/>
      <c r="AY96" s="86"/>
      <c r="CM96" s="86"/>
      <c r="CN96" s="86"/>
    </row>
    <row r="97" spans="8:92" s="367" customFormat="1" ht="15.75" hidden="1" customHeight="1" outlineLevel="1">
      <c r="H97" s="543"/>
      <c r="I97" s="853"/>
      <c r="J97" s="6"/>
      <c r="K97" s="541"/>
      <c r="L97" s="860"/>
      <c r="M97" s="20" t="str">
        <f>IF(J97="","",$M$5-SUM($J$7:J97))</f>
        <v/>
      </c>
      <c r="O97" s="7"/>
      <c r="P97" s="871">
        <f>IF(H!Q97&lt;&gt;H!R97,IF(H!Q97&lt;&gt;0,IF(H!S97&lt;&gt;H!T97,H!P97,),),)</f>
        <v>0</v>
      </c>
      <c r="Q97" s="795">
        <f>IF(H!Q97&lt;&gt;H!R97,IF(H!Q97&lt;&gt;0,IF(H!S97&lt;&gt;H!T97,H!Q97,),),)</f>
        <v>0</v>
      </c>
      <c r="R97" s="628">
        <f>IF(H!Q97&lt;&gt;H!R97,IF(H!Q97&lt;&gt;0,IF(H!S97&lt;&gt;H!T97,0,Q97),Q97),Q97)</f>
        <v>0</v>
      </c>
      <c r="S97" s="796">
        <f>IF(H!Q97&lt;&gt;H!R97,IF(H!Q97&lt;&gt;0,IF(H!S97&lt;&gt;H!T97,H!S97+1,),),)</f>
        <v>0</v>
      </c>
      <c r="T97" s="796">
        <f>IF(H!Q97&lt;&gt;H!R97,IF(H!Q97&lt;&gt;0,IF(H!S97&lt;&gt;H!T97,H!T97,),),)</f>
        <v>0</v>
      </c>
      <c r="U97" s="797">
        <f>IF(H!Q97&lt;&gt;H!R97,IF(H!Q97&lt;&gt;0,IF(H!S97&lt;&gt;H!T97,H!U97,),),)</f>
        <v>0</v>
      </c>
      <c r="V97" s="875">
        <f>IF(H!Q97&lt;&gt;H!R97,IF(H!Q97&lt;&gt;0,IF(H!S97&lt;&gt;H!T97,H!V97,),),)</f>
        <v>0</v>
      </c>
      <c r="W97" s="633">
        <f>IF(Q97="","",$W$5-SUM($Q$7:$Q$45)-SUM($Q$64:Q97))</f>
        <v>0</v>
      </c>
      <c r="AO97" s="86"/>
      <c r="AP97" s="86"/>
      <c r="AQ97" s="86"/>
      <c r="AR97" s="86"/>
      <c r="AS97" s="86"/>
      <c r="AT97" s="86"/>
      <c r="AU97" s="86"/>
      <c r="AV97" s="86"/>
      <c r="AW97" s="86"/>
      <c r="AX97" s="86"/>
      <c r="AY97" s="86"/>
      <c r="CM97" s="86"/>
      <c r="CN97" s="86"/>
    </row>
    <row r="98" spans="8:92" s="367" customFormat="1" ht="15.75" hidden="1" customHeight="1" outlineLevel="1">
      <c r="H98" s="543"/>
      <c r="I98" s="853"/>
      <c r="J98" s="6"/>
      <c r="K98" s="541"/>
      <c r="L98" s="860"/>
      <c r="M98" s="20" t="str">
        <f>IF(J98="","",$M$5-SUM($J$7:J98))</f>
        <v/>
      </c>
      <c r="O98" s="7"/>
      <c r="P98" s="871">
        <f>IF(H!Q98&lt;&gt;H!R98,IF(H!Q98&lt;&gt;0,IF(H!S98&lt;&gt;H!T98,H!P98,),),)</f>
        <v>0</v>
      </c>
      <c r="Q98" s="795">
        <f>IF(H!Q98&lt;&gt;H!R98,IF(H!Q98&lt;&gt;0,IF(H!S98&lt;&gt;H!T98,H!Q98,),),)</f>
        <v>0</v>
      </c>
      <c r="R98" s="628">
        <f>IF(H!Q98&lt;&gt;H!R98,IF(H!Q98&lt;&gt;0,IF(H!S98&lt;&gt;H!T98,0,Q98),Q98),Q98)</f>
        <v>0</v>
      </c>
      <c r="S98" s="796">
        <f>IF(H!Q98&lt;&gt;H!R98,IF(H!Q98&lt;&gt;0,IF(H!S98&lt;&gt;H!T98,H!S98+1,),),)</f>
        <v>0</v>
      </c>
      <c r="T98" s="796">
        <f>IF(H!Q98&lt;&gt;H!R98,IF(H!Q98&lt;&gt;0,IF(H!S98&lt;&gt;H!T98,H!T98,),),)</f>
        <v>0</v>
      </c>
      <c r="U98" s="797">
        <f>IF(H!Q98&lt;&gt;H!R98,IF(H!Q98&lt;&gt;0,IF(H!S98&lt;&gt;H!T98,H!U98,),),)</f>
        <v>0</v>
      </c>
      <c r="V98" s="875">
        <f>IF(H!Q98&lt;&gt;H!R98,IF(H!Q98&lt;&gt;0,IF(H!S98&lt;&gt;H!T98,H!V98,),),)</f>
        <v>0</v>
      </c>
      <c r="W98" s="633">
        <f>IF(Q98="","",$W$5-SUM($Q$7:$Q$45)-SUM($Q$64:Q98))</f>
        <v>0</v>
      </c>
      <c r="AO98" s="86"/>
      <c r="AP98" s="86"/>
      <c r="AQ98" s="86"/>
      <c r="AR98" s="86"/>
      <c r="AS98" s="86"/>
      <c r="AT98" s="86"/>
      <c r="AU98" s="86"/>
      <c r="AV98" s="86"/>
      <c r="AW98" s="86"/>
      <c r="AX98" s="86"/>
      <c r="AY98" s="86"/>
      <c r="CM98" s="86"/>
      <c r="CN98" s="86"/>
    </row>
    <row r="99" spans="8:92" s="367" customFormat="1" ht="15.75" hidden="1" customHeight="1" outlineLevel="1">
      <c r="H99" s="543"/>
      <c r="I99" s="853"/>
      <c r="J99" s="6"/>
      <c r="K99" s="541"/>
      <c r="L99" s="860"/>
      <c r="M99" s="20" t="str">
        <f>IF(J99="","",$M$5-SUM($J$7:J99))</f>
        <v/>
      </c>
      <c r="O99" s="7"/>
      <c r="P99" s="873">
        <f>IF(H!Q99&lt;&gt;H!R99,IF(H!Q99&lt;&gt;0,IF(H!S99&lt;&gt;H!T99,H!P99,),),)</f>
        <v>0</v>
      </c>
      <c r="Q99" s="795">
        <f>IF(H!Q99&lt;&gt;H!R99,IF(H!Q99&lt;&gt;0,IF(H!S99&lt;&gt;H!T99,H!Q99,),),)</f>
        <v>0</v>
      </c>
      <c r="R99" s="628">
        <f>IF(H!Q99&lt;&gt;H!R99,IF(H!Q99&lt;&gt;0,IF(H!S99&lt;&gt;H!T99,0,Q99),Q99),Q99)</f>
        <v>0</v>
      </c>
      <c r="S99" s="796">
        <f>IF(H!Q99&lt;&gt;H!R99,IF(H!Q99&lt;&gt;0,IF(H!S99&lt;&gt;H!T99,H!S99+1,),),)</f>
        <v>0</v>
      </c>
      <c r="T99" s="796">
        <f>IF(H!Q99&lt;&gt;H!R99,IF(H!Q99&lt;&gt;0,IF(H!S99&lt;&gt;H!T99,H!T99,),),)</f>
        <v>0</v>
      </c>
      <c r="U99" s="797">
        <f>IF(H!Q99&lt;&gt;H!R99,IF(H!Q99&lt;&gt;0,IF(H!S99&lt;&gt;H!T99,H!U99,),),)</f>
        <v>0</v>
      </c>
      <c r="V99" s="875">
        <f>IF(H!Q99&lt;&gt;H!R99,IF(H!Q99&lt;&gt;0,IF(H!S99&lt;&gt;H!T99,H!V99,),),)</f>
        <v>0</v>
      </c>
      <c r="W99" s="633">
        <f>IF(Q99="","",$W$5-SUM($Q$7:$Q$45)-SUM($Q$64:Q99))</f>
        <v>0</v>
      </c>
      <c r="AO99" s="86"/>
      <c r="AP99" s="86"/>
      <c r="AQ99" s="86"/>
      <c r="AR99" s="86"/>
      <c r="AS99" s="86"/>
      <c r="AT99" s="86"/>
      <c r="AU99" s="86"/>
      <c r="AV99" s="86"/>
      <c r="AW99" s="86"/>
      <c r="AX99" s="86"/>
      <c r="AY99" s="86"/>
      <c r="CM99" s="86"/>
      <c r="CN99" s="86"/>
    </row>
    <row r="100" spans="8:92" s="367" customFormat="1" ht="15.75" hidden="1" customHeight="1" outlineLevel="1">
      <c r="H100" s="543"/>
      <c r="I100" s="854"/>
      <c r="J100" s="6"/>
      <c r="K100" s="541"/>
      <c r="L100" s="860"/>
      <c r="M100" s="20" t="str">
        <f>IF(J100="","",$M$5-SUM($J$7:J100))</f>
        <v/>
      </c>
      <c r="O100" s="7"/>
      <c r="P100" s="871">
        <f>IF(H!Q100&lt;&gt;H!R100,IF(H!Q100&lt;&gt;0,IF(H!S100&lt;&gt;H!T100,H!P100,),),)</f>
        <v>0</v>
      </c>
      <c r="Q100" s="795">
        <f>IF(H!Q100&lt;&gt;H!R100,IF(H!Q100&lt;&gt;0,IF(H!S100&lt;&gt;H!T100,H!Q100,),),)</f>
        <v>0</v>
      </c>
      <c r="R100" s="628">
        <f>IF(H!Q100&lt;&gt;H!R100,IF(H!Q100&lt;&gt;0,IF(H!S100&lt;&gt;H!T100,0,Q100),Q100),Q100)</f>
        <v>0</v>
      </c>
      <c r="S100" s="796">
        <f>IF(H!Q100&lt;&gt;H!R100,IF(H!Q100&lt;&gt;0,IF(H!S100&lt;&gt;H!T100,H!S100+1,),),)</f>
        <v>0</v>
      </c>
      <c r="T100" s="796">
        <f>IF(H!Q100&lt;&gt;H!R100,IF(H!Q100&lt;&gt;0,IF(H!S100&lt;&gt;H!T100,H!T100,),),)</f>
        <v>0</v>
      </c>
      <c r="U100" s="797">
        <f>IF(H!Q100&lt;&gt;H!R100,IF(H!Q100&lt;&gt;0,IF(H!S100&lt;&gt;H!T100,H!U100,),),)</f>
        <v>0</v>
      </c>
      <c r="V100" s="875">
        <f>IF(H!Q100&lt;&gt;H!R100,IF(H!Q100&lt;&gt;0,IF(H!S100&lt;&gt;H!T100,H!V100,),),)</f>
        <v>0</v>
      </c>
      <c r="W100" s="633">
        <f>IF(Q100="","",$W$5-SUM($Q$7:$Q$45)-SUM($Q$64:Q100))</f>
        <v>0</v>
      </c>
      <c r="AO100" s="86"/>
      <c r="AP100" s="86"/>
      <c r="AQ100" s="86"/>
      <c r="AR100" s="86"/>
      <c r="AS100" s="86"/>
      <c r="AT100" s="86"/>
      <c r="AU100" s="86"/>
      <c r="AV100" s="86"/>
      <c r="AW100" s="86"/>
      <c r="AX100" s="86"/>
      <c r="AY100" s="86"/>
      <c r="CM100" s="86"/>
      <c r="CN100" s="86"/>
    </row>
    <row r="101" spans="8:92" s="367" customFormat="1" ht="15.75" hidden="1" customHeight="1" outlineLevel="1">
      <c r="H101" s="543"/>
      <c r="I101" s="853"/>
      <c r="J101" s="6"/>
      <c r="K101" s="541"/>
      <c r="L101" s="860"/>
      <c r="M101" s="20" t="str">
        <f>IF(J101="","",$M$5-SUM($J$7:J101))</f>
        <v/>
      </c>
      <c r="O101" s="7"/>
      <c r="P101" s="871">
        <f>IF(H!Q101&lt;&gt;H!R101,IF(H!Q101&lt;&gt;0,IF(H!S101&lt;&gt;H!T101,H!P101,),),)</f>
        <v>0</v>
      </c>
      <c r="Q101" s="795">
        <f>IF(H!Q101&lt;&gt;H!R101,IF(H!Q101&lt;&gt;0,IF(H!S101&lt;&gt;H!T101,H!Q101,),),)</f>
        <v>0</v>
      </c>
      <c r="R101" s="628">
        <f>IF(H!Q101&lt;&gt;H!R101,IF(H!Q101&lt;&gt;0,IF(H!S101&lt;&gt;H!T101,0,Q101),Q101),Q101)</f>
        <v>0</v>
      </c>
      <c r="S101" s="796">
        <f>IF(H!Q101&lt;&gt;H!R101,IF(H!Q101&lt;&gt;0,IF(H!S101&lt;&gt;H!T101,H!S101+1,),),)</f>
        <v>0</v>
      </c>
      <c r="T101" s="796">
        <f>IF(H!Q101&lt;&gt;H!R101,IF(H!Q101&lt;&gt;0,IF(H!S101&lt;&gt;H!T101,H!T101,),),)</f>
        <v>0</v>
      </c>
      <c r="U101" s="797">
        <f>IF(H!Q101&lt;&gt;H!R101,IF(H!Q101&lt;&gt;0,IF(H!S101&lt;&gt;H!T101,H!U101,),),)</f>
        <v>0</v>
      </c>
      <c r="V101" s="875">
        <f>IF(H!Q101&lt;&gt;H!R101,IF(H!Q101&lt;&gt;0,IF(H!S101&lt;&gt;H!T101,H!V101,),),)</f>
        <v>0</v>
      </c>
      <c r="W101" s="633">
        <f>IF(Q101="","",$W$5-SUM($Q$7:$Q$45)-SUM($Q$64:Q101))</f>
        <v>0</v>
      </c>
      <c r="AO101" s="86"/>
      <c r="AP101" s="86"/>
      <c r="AQ101" s="86"/>
      <c r="AR101" s="86"/>
      <c r="AS101" s="86"/>
      <c r="AT101" s="86"/>
      <c r="AU101" s="86"/>
      <c r="AV101" s="86"/>
      <c r="AW101" s="86"/>
      <c r="AX101" s="86"/>
      <c r="AY101" s="86"/>
      <c r="CM101" s="86"/>
      <c r="CN101" s="86"/>
    </row>
    <row r="102" spans="8:92" s="367" customFormat="1" ht="15.75" hidden="1" customHeight="1" outlineLevel="1">
      <c r="H102" s="543"/>
      <c r="I102" s="853"/>
      <c r="J102" s="6"/>
      <c r="K102" s="541"/>
      <c r="L102" s="860"/>
      <c r="M102" s="20" t="str">
        <f>IF(J102="","",$M$5-SUM($J$7:J102))</f>
        <v/>
      </c>
      <c r="O102" s="7"/>
      <c r="P102" s="873">
        <f>IF(H!Q102&lt;&gt;H!R102,IF(H!Q102&lt;&gt;0,IF(H!S102&lt;&gt;H!T102,H!P102,),),)</f>
        <v>0</v>
      </c>
      <c r="Q102" s="795">
        <f>IF(H!Q102&lt;&gt;H!R102,IF(H!Q102&lt;&gt;0,IF(H!S102&lt;&gt;H!T102,H!Q102,),),)</f>
        <v>0</v>
      </c>
      <c r="R102" s="628">
        <f>IF(H!Q102&lt;&gt;H!R102,IF(H!Q102&lt;&gt;0,IF(H!S102&lt;&gt;H!T102,0,Q102),Q102),Q102)</f>
        <v>0</v>
      </c>
      <c r="S102" s="796">
        <f>IF(H!Q102&lt;&gt;H!R102,IF(H!Q102&lt;&gt;0,IF(H!S102&lt;&gt;H!T102,H!S102+1,),),)</f>
        <v>0</v>
      </c>
      <c r="T102" s="796">
        <f>IF(H!Q102&lt;&gt;H!R102,IF(H!Q102&lt;&gt;0,IF(H!S102&lt;&gt;H!T102,H!T102,),),)</f>
        <v>0</v>
      </c>
      <c r="U102" s="797">
        <f>IF(H!Q102&lt;&gt;H!R102,IF(H!Q102&lt;&gt;0,IF(H!S102&lt;&gt;H!T102,H!U102,),),)</f>
        <v>0</v>
      </c>
      <c r="V102" s="875">
        <f>IF(H!Q102&lt;&gt;H!R102,IF(H!Q102&lt;&gt;0,IF(H!S102&lt;&gt;H!T102,H!V102,),),)</f>
        <v>0</v>
      </c>
      <c r="W102" s="633">
        <f>IF(Q102="","",$W$5-SUM($Q$7:$Q$45)-SUM($Q$64:Q102))</f>
        <v>0</v>
      </c>
      <c r="AO102" s="86"/>
      <c r="AP102" s="86"/>
      <c r="AQ102" s="86"/>
      <c r="AR102" s="86"/>
      <c r="AS102" s="86"/>
      <c r="AT102" s="86"/>
      <c r="AU102" s="86"/>
      <c r="AV102" s="86"/>
      <c r="AW102" s="86"/>
      <c r="AX102" s="86"/>
      <c r="AY102" s="86"/>
      <c r="CM102" s="86"/>
      <c r="CN102" s="86"/>
    </row>
    <row r="103" spans="8:92" s="367" customFormat="1" ht="15.75" hidden="1" customHeight="1" outlineLevel="1">
      <c r="H103" s="543"/>
      <c r="I103" s="853"/>
      <c r="J103" s="6"/>
      <c r="K103" s="541"/>
      <c r="L103" s="860"/>
      <c r="M103" s="20" t="str">
        <f>IF(J103="","",$M$5-SUM($J$7:J103))</f>
        <v/>
      </c>
      <c r="O103" s="7"/>
      <c r="P103" s="871">
        <f>IF(H!Q103&lt;&gt;H!R103,IF(H!Q103&lt;&gt;0,IF(H!S103&lt;&gt;H!T103,H!P103,),),)</f>
        <v>0</v>
      </c>
      <c r="Q103" s="795">
        <f>IF(H!Q103&lt;&gt;H!R103,IF(H!Q103&lt;&gt;0,IF(H!S103&lt;&gt;H!T103,H!Q103,),),)</f>
        <v>0</v>
      </c>
      <c r="R103" s="628">
        <f>IF(H!Q103&lt;&gt;H!R103,IF(H!Q103&lt;&gt;0,IF(H!S103&lt;&gt;H!T103,0,Q103),Q103),Q103)</f>
        <v>0</v>
      </c>
      <c r="S103" s="796">
        <f>IF(H!Q103&lt;&gt;H!R103,IF(H!Q103&lt;&gt;0,IF(H!S103&lt;&gt;H!T103,H!S103+1,),),)</f>
        <v>0</v>
      </c>
      <c r="T103" s="796">
        <f>IF(H!Q103&lt;&gt;H!R103,IF(H!Q103&lt;&gt;0,IF(H!S103&lt;&gt;H!T103,H!T103,),),)</f>
        <v>0</v>
      </c>
      <c r="U103" s="797">
        <f>IF(H!Q103&lt;&gt;H!R103,IF(H!Q103&lt;&gt;0,IF(H!S103&lt;&gt;H!T103,H!U103,),),)</f>
        <v>0</v>
      </c>
      <c r="V103" s="875">
        <f>IF(H!Q103&lt;&gt;H!R103,IF(H!Q103&lt;&gt;0,IF(H!S103&lt;&gt;H!T103,H!V103,),),)</f>
        <v>0</v>
      </c>
      <c r="W103" s="633">
        <f>IF(Q103="","",$W$5-SUM($Q$7:$Q$45)-SUM($Q$64:Q103))</f>
        <v>0</v>
      </c>
      <c r="AO103" s="86"/>
      <c r="AP103" s="86"/>
      <c r="AQ103" s="86"/>
      <c r="AR103" s="86"/>
      <c r="AS103" s="86"/>
      <c r="AT103" s="86"/>
      <c r="AU103" s="86"/>
      <c r="AV103" s="86"/>
      <c r="AW103" s="86"/>
      <c r="AX103" s="86"/>
      <c r="AY103" s="86"/>
      <c r="CM103" s="86"/>
      <c r="CN103" s="86"/>
    </row>
    <row r="104" spans="8:92" s="367" customFormat="1" ht="15.75" hidden="1" customHeight="1" outlineLevel="1">
      <c r="H104" s="543"/>
      <c r="I104" s="853"/>
      <c r="J104" s="6"/>
      <c r="K104" s="541"/>
      <c r="L104" s="860"/>
      <c r="M104" s="20" t="str">
        <f>IF(J104="","",$M$5-SUM($J$7:J104))</f>
        <v/>
      </c>
      <c r="O104" s="7"/>
      <c r="P104" s="873">
        <f>IF(H!Q104&lt;&gt;H!R104,IF(H!Q104&lt;&gt;0,IF(H!S104&lt;&gt;H!T104,H!P104,),),)</f>
        <v>0</v>
      </c>
      <c r="Q104" s="795">
        <f>IF(H!Q104&lt;&gt;H!R104,IF(H!Q104&lt;&gt;0,IF(H!S104&lt;&gt;H!T104,H!Q104,),),)</f>
        <v>0</v>
      </c>
      <c r="R104" s="628">
        <f>IF(H!Q104&lt;&gt;H!R104,IF(H!Q104&lt;&gt;0,IF(H!S104&lt;&gt;H!T104,0,Q104),Q104),Q104)</f>
        <v>0</v>
      </c>
      <c r="S104" s="796">
        <f>IF(H!Q104&lt;&gt;H!R104,IF(H!Q104&lt;&gt;0,IF(H!S104&lt;&gt;H!T104,H!S104+1,),),)</f>
        <v>0</v>
      </c>
      <c r="T104" s="796">
        <f>IF(H!Q104&lt;&gt;H!R104,IF(H!Q104&lt;&gt;0,IF(H!S104&lt;&gt;H!T104,H!T104,),),)</f>
        <v>0</v>
      </c>
      <c r="U104" s="797">
        <f>IF(H!Q104&lt;&gt;H!R104,IF(H!Q104&lt;&gt;0,IF(H!S104&lt;&gt;H!T104,H!U104,),),)</f>
        <v>0</v>
      </c>
      <c r="V104" s="875">
        <f>IF(H!Q104&lt;&gt;H!R104,IF(H!Q104&lt;&gt;0,IF(H!S104&lt;&gt;H!T104,H!V104,),),)</f>
        <v>0</v>
      </c>
      <c r="W104" s="633">
        <f>IF(Q104="","",$W$5-SUM($Q$7:$Q$45)-SUM($Q$64:Q104))</f>
        <v>0</v>
      </c>
      <c r="AO104" s="86"/>
      <c r="AP104" s="86"/>
      <c r="AQ104" s="86"/>
      <c r="AR104" s="86"/>
      <c r="AS104" s="86"/>
      <c r="AT104" s="86"/>
      <c r="AU104" s="86"/>
      <c r="AV104" s="86"/>
      <c r="AW104" s="86"/>
      <c r="AX104" s="86"/>
      <c r="AY104" s="86"/>
      <c r="CM104" s="86"/>
      <c r="CN104" s="86"/>
    </row>
    <row r="105" spans="8:92" s="367" customFormat="1" ht="15.75" hidden="1" customHeight="1" outlineLevel="1">
      <c r="H105" s="543"/>
      <c r="I105" s="853"/>
      <c r="J105" s="6"/>
      <c r="K105" s="541"/>
      <c r="L105" s="860"/>
      <c r="M105" s="20" t="str">
        <f>IF(J105="","",$M$5-SUM($J$7:J105))</f>
        <v/>
      </c>
      <c r="O105" s="7"/>
      <c r="P105" s="872">
        <f>IF(H!Q105&lt;&gt;H!R105,IF(H!Q105&lt;&gt;0,IF(H!S105&lt;&gt;H!T105,H!P105,),),)</f>
        <v>0</v>
      </c>
      <c r="Q105" s="795">
        <f>IF(H!Q105&lt;&gt;H!R105,IF(H!Q105&lt;&gt;0,IF(H!S105&lt;&gt;H!T105,H!Q105,),),)</f>
        <v>0</v>
      </c>
      <c r="R105" s="628">
        <f>IF(H!Q105&lt;&gt;H!R105,IF(H!Q105&lt;&gt;0,IF(H!S105&lt;&gt;H!T105,0,Q105),Q105),Q105)</f>
        <v>0</v>
      </c>
      <c r="S105" s="796">
        <f>IF(H!Q105&lt;&gt;H!R105,IF(H!Q105&lt;&gt;0,IF(H!S105&lt;&gt;H!T105,H!S105+1,),),)</f>
        <v>0</v>
      </c>
      <c r="T105" s="796">
        <f>IF(H!Q105&lt;&gt;H!R105,IF(H!Q105&lt;&gt;0,IF(H!S105&lt;&gt;H!T105,H!T105,),),)</f>
        <v>0</v>
      </c>
      <c r="U105" s="797">
        <f>IF(H!Q105&lt;&gt;H!R105,IF(H!Q105&lt;&gt;0,IF(H!S105&lt;&gt;H!T105,H!U105,),),)</f>
        <v>0</v>
      </c>
      <c r="V105" s="875">
        <f>IF(H!Q105&lt;&gt;H!R105,IF(H!Q105&lt;&gt;0,IF(H!S105&lt;&gt;H!T105,H!V105,),),)</f>
        <v>0</v>
      </c>
      <c r="W105" s="633">
        <f>IF(Q105="","",$W$5-SUM($Q$7:$Q$45)-SUM($Q$64:Q105))</f>
        <v>0</v>
      </c>
      <c r="AO105" s="86"/>
      <c r="AP105" s="86"/>
      <c r="AQ105" s="86"/>
      <c r="AR105" s="86"/>
      <c r="AS105" s="86"/>
      <c r="AT105" s="86"/>
      <c r="AU105" s="86"/>
      <c r="AV105" s="86"/>
      <c r="AW105" s="86"/>
      <c r="AX105" s="86"/>
      <c r="AY105" s="86"/>
      <c r="CM105" s="86"/>
      <c r="CN105" s="86"/>
    </row>
    <row r="106" spans="8:92" s="367" customFormat="1" ht="15.75" hidden="1" customHeight="1" outlineLevel="1">
      <c r="H106" s="543"/>
      <c r="I106" s="853"/>
      <c r="J106" s="6"/>
      <c r="K106" s="541"/>
      <c r="L106" s="860"/>
      <c r="M106" s="20" t="str">
        <f>IF(J106="","",$M$5-SUM($J$7:J106))</f>
        <v/>
      </c>
      <c r="O106" s="7"/>
      <c r="P106" s="871">
        <f>IF(H!Q106&lt;&gt;H!R106,IF(H!Q106&lt;&gt;0,IF(H!S106&lt;&gt;H!T106,H!P106,),),)</f>
        <v>0</v>
      </c>
      <c r="Q106" s="795">
        <f>IF(H!Q106&lt;&gt;H!R106,IF(H!Q106&lt;&gt;0,IF(H!S106&lt;&gt;H!T106,H!Q106,),),)</f>
        <v>0</v>
      </c>
      <c r="R106" s="628">
        <f>IF(H!Q106&lt;&gt;H!R106,IF(H!Q106&lt;&gt;0,IF(H!S106&lt;&gt;H!T106,0,Q106),Q106),Q106)</f>
        <v>0</v>
      </c>
      <c r="S106" s="796">
        <f>IF(H!Q106&lt;&gt;H!R106,IF(H!Q106&lt;&gt;0,IF(H!S106&lt;&gt;H!T106,H!S106+1,),),)</f>
        <v>0</v>
      </c>
      <c r="T106" s="796">
        <f>IF(H!Q106&lt;&gt;H!R106,IF(H!Q106&lt;&gt;0,IF(H!S106&lt;&gt;H!T106,H!T106,),),)</f>
        <v>0</v>
      </c>
      <c r="U106" s="797">
        <f>IF(H!Q106&lt;&gt;H!R106,IF(H!Q106&lt;&gt;0,IF(H!S106&lt;&gt;H!T106,H!U106,),),)</f>
        <v>0</v>
      </c>
      <c r="V106" s="875">
        <f>IF(H!Q106&lt;&gt;H!R106,IF(H!Q106&lt;&gt;0,IF(H!S106&lt;&gt;H!T106,H!V106,),),)</f>
        <v>0</v>
      </c>
      <c r="W106" s="633">
        <f>IF(Q106="","",$W$5-SUM($Q$7:$Q$45)-SUM($Q$64:Q106))</f>
        <v>0</v>
      </c>
      <c r="AO106" s="86"/>
      <c r="AP106" s="86"/>
      <c r="AQ106" s="86"/>
      <c r="AR106" s="86"/>
      <c r="AS106" s="86"/>
      <c r="AT106" s="86"/>
      <c r="AU106" s="86"/>
      <c r="AV106" s="86"/>
      <c r="AW106" s="86"/>
      <c r="AX106" s="86"/>
      <c r="AY106" s="86"/>
      <c r="CM106" s="86"/>
      <c r="CN106" s="86"/>
    </row>
    <row r="107" spans="8:92" s="367" customFormat="1" ht="15.75" hidden="1" customHeight="1" outlineLevel="1">
      <c r="H107" s="543"/>
      <c r="I107" s="853"/>
      <c r="J107" s="6"/>
      <c r="K107" s="541"/>
      <c r="L107" s="860"/>
      <c r="M107" s="20" t="str">
        <f>IF(J107="","",$M$5-SUM($J$7:J107))</f>
        <v/>
      </c>
      <c r="O107" s="7"/>
      <c r="P107" s="871">
        <f>IF(H!Q107&lt;&gt;H!R107,IF(H!Q107&lt;&gt;0,IF(H!S107&lt;&gt;H!T107,H!P107,),),)</f>
        <v>0</v>
      </c>
      <c r="Q107" s="795">
        <f>IF(H!Q107&lt;&gt;H!R107,IF(H!Q107&lt;&gt;0,IF(H!S107&lt;&gt;H!T107,H!Q107,),),)</f>
        <v>0</v>
      </c>
      <c r="R107" s="628">
        <f>IF(H!Q107&lt;&gt;H!R107,IF(H!Q107&lt;&gt;0,IF(H!S107&lt;&gt;H!T107,0,Q107),Q107),Q107)</f>
        <v>0</v>
      </c>
      <c r="S107" s="796">
        <f>IF(H!Q107&lt;&gt;H!R107,IF(H!Q107&lt;&gt;0,IF(H!S107&lt;&gt;H!T107,H!S107+1,),),)</f>
        <v>0</v>
      </c>
      <c r="T107" s="796">
        <f>IF(H!Q107&lt;&gt;H!R107,IF(H!Q107&lt;&gt;0,IF(H!S107&lt;&gt;H!T107,H!T107,),),)</f>
        <v>0</v>
      </c>
      <c r="U107" s="797">
        <f>IF(H!Q107&lt;&gt;H!R107,IF(H!Q107&lt;&gt;0,IF(H!S107&lt;&gt;H!T107,H!U107,),),)</f>
        <v>0</v>
      </c>
      <c r="V107" s="875">
        <f>IF(H!Q107&lt;&gt;H!R107,IF(H!Q107&lt;&gt;0,IF(H!S107&lt;&gt;H!T107,H!V107,),),)</f>
        <v>0</v>
      </c>
      <c r="W107" s="633">
        <f>IF(Q107="","",$W$5-SUM($Q$7:$Q$45)-SUM($Q$64:Q107))</f>
        <v>0</v>
      </c>
      <c r="AO107" s="86"/>
      <c r="AP107" s="86"/>
      <c r="AQ107" s="86"/>
      <c r="AR107" s="86"/>
      <c r="AS107" s="86"/>
      <c r="AT107" s="86"/>
      <c r="AU107" s="86"/>
      <c r="AV107" s="86"/>
      <c r="AW107" s="86"/>
      <c r="AX107" s="86"/>
      <c r="AY107" s="86"/>
      <c r="CM107" s="86"/>
      <c r="CN107" s="86"/>
    </row>
    <row r="108" spans="8:92" s="367" customFormat="1" ht="15.75" hidden="1" customHeight="1" outlineLevel="1">
      <c r="H108" s="543"/>
      <c r="I108" s="853"/>
      <c r="J108" s="6"/>
      <c r="K108" s="541"/>
      <c r="L108" s="860"/>
      <c r="M108" s="20" t="str">
        <f>IF(J108="","",$M$5-SUM($J$7:J108))</f>
        <v/>
      </c>
      <c r="O108" s="7"/>
      <c r="P108" s="873">
        <f>IF(H!Q108&lt;&gt;H!R108,IF(H!Q108&lt;&gt;0,IF(H!S108&lt;&gt;H!T108,H!P108,),),)</f>
        <v>0</v>
      </c>
      <c r="Q108" s="795">
        <f>IF(H!Q108&lt;&gt;H!R108,IF(H!Q108&lt;&gt;0,IF(H!S108&lt;&gt;H!T108,H!Q108,),),)</f>
        <v>0</v>
      </c>
      <c r="R108" s="628">
        <f>IF(H!Q108&lt;&gt;H!R108,IF(H!Q108&lt;&gt;0,IF(H!S108&lt;&gt;H!T108,0,Q108),Q108),Q108)</f>
        <v>0</v>
      </c>
      <c r="S108" s="796">
        <f>IF(H!Q108&lt;&gt;H!R108,IF(H!Q108&lt;&gt;0,IF(H!S108&lt;&gt;H!T108,H!S108+1,),),)</f>
        <v>0</v>
      </c>
      <c r="T108" s="796">
        <f>IF(H!Q108&lt;&gt;H!R108,IF(H!Q108&lt;&gt;0,IF(H!S108&lt;&gt;H!T108,H!T108,),),)</f>
        <v>0</v>
      </c>
      <c r="U108" s="797">
        <f>IF(H!Q108&lt;&gt;H!R108,IF(H!Q108&lt;&gt;0,IF(H!S108&lt;&gt;H!T108,H!U108,),),)</f>
        <v>0</v>
      </c>
      <c r="V108" s="875">
        <f>IF(H!Q108&lt;&gt;H!R108,IF(H!Q108&lt;&gt;0,IF(H!S108&lt;&gt;H!T108,H!V108,),),)</f>
        <v>0</v>
      </c>
      <c r="W108" s="633">
        <f>IF(Q108="","",$W$5-SUM($Q$7:$Q$45)-SUM($Q$64:Q108))</f>
        <v>0</v>
      </c>
      <c r="AO108" s="86"/>
      <c r="AP108" s="86"/>
      <c r="AQ108" s="86"/>
      <c r="AR108" s="86"/>
      <c r="AS108" s="86"/>
      <c r="AT108" s="86"/>
      <c r="AU108" s="86"/>
      <c r="AV108" s="86"/>
      <c r="AW108" s="86"/>
      <c r="AX108" s="86"/>
      <c r="AY108" s="86"/>
      <c r="CM108" s="86"/>
      <c r="CN108" s="86"/>
    </row>
    <row r="109" spans="8:92" s="367" customFormat="1" ht="15.75" hidden="1" customHeight="1" outlineLevel="1">
      <c r="H109" s="543"/>
      <c r="I109" s="853"/>
      <c r="J109" s="6"/>
      <c r="K109" s="541"/>
      <c r="L109" s="860"/>
      <c r="M109" s="20" t="str">
        <f>IF(J109="","",$M$5-SUM($J$7:J109))</f>
        <v/>
      </c>
      <c r="O109" s="7"/>
      <c r="P109" s="871">
        <f>IF(H!Q109&lt;&gt;H!R109,IF(H!Q109&lt;&gt;0,IF(H!S109&lt;&gt;H!T109,H!P109,),),)</f>
        <v>0</v>
      </c>
      <c r="Q109" s="795">
        <f>IF(H!Q109&lt;&gt;H!R109,IF(H!Q109&lt;&gt;0,IF(H!S109&lt;&gt;H!T109,H!Q109,),),)</f>
        <v>0</v>
      </c>
      <c r="R109" s="628">
        <f>IF(H!Q109&lt;&gt;H!R109,IF(H!Q109&lt;&gt;0,IF(H!S109&lt;&gt;H!T109,0,Q109),Q109),Q109)</f>
        <v>0</v>
      </c>
      <c r="S109" s="796">
        <f>IF(H!Q109&lt;&gt;H!R109,IF(H!Q109&lt;&gt;0,IF(H!S109&lt;&gt;H!T109,H!S109+1,),),)</f>
        <v>0</v>
      </c>
      <c r="T109" s="796">
        <f>IF(H!Q109&lt;&gt;H!R109,IF(H!Q109&lt;&gt;0,IF(H!S109&lt;&gt;H!T109,H!T109,),),)</f>
        <v>0</v>
      </c>
      <c r="U109" s="797">
        <f>IF(H!Q109&lt;&gt;H!R109,IF(H!Q109&lt;&gt;0,IF(H!S109&lt;&gt;H!T109,H!U109,),),)</f>
        <v>0</v>
      </c>
      <c r="V109" s="875">
        <f>IF(H!Q109&lt;&gt;H!R109,IF(H!Q109&lt;&gt;0,IF(H!S109&lt;&gt;H!T109,H!V109,),),)</f>
        <v>0</v>
      </c>
      <c r="W109" s="633">
        <f>IF(Q109="","",$W$5-SUM($Q$7:$Q$45)-SUM($Q$64:Q109))</f>
        <v>0</v>
      </c>
      <c r="AO109" s="86"/>
      <c r="AP109" s="86"/>
      <c r="AQ109" s="86"/>
      <c r="AR109" s="86"/>
      <c r="AS109" s="86"/>
      <c r="AT109" s="86"/>
      <c r="AU109" s="86"/>
      <c r="AV109" s="86"/>
      <c r="AW109" s="86"/>
      <c r="AX109" s="86"/>
      <c r="AY109" s="86"/>
      <c r="CM109" s="86"/>
      <c r="CN109" s="86"/>
    </row>
    <row r="110" spans="8:92" s="367" customFormat="1" ht="16.5" hidden="1" customHeight="1" outlineLevel="1" thickBot="1">
      <c r="H110" s="544"/>
      <c r="I110" s="857"/>
      <c r="J110" s="545"/>
      <c r="K110" s="601"/>
      <c r="L110" s="861"/>
      <c r="M110" s="546" t="str">
        <f>IF(J110="","",$M$5-SUM($J$7:J110))</f>
        <v/>
      </c>
      <c r="O110" s="523"/>
      <c r="P110" s="874">
        <f>IF(H!Q110&lt;&gt;H!R110,IF(H!Q110&lt;&gt;0,IF(H!S110&lt;&gt;H!T110,H!P110,),),)</f>
        <v>0</v>
      </c>
      <c r="Q110" s="800">
        <f>IF(H!Q110&lt;&gt;H!R110,IF(H!Q110&lt;&gt;0,IF(H!S110&lt;&gt;H!T110,H!Q110,),),)</f>
        <v>0</v>
      </c>
      <c r="R110" s="630">
        <f>IF(H!Q110&lt;&gt;H!R110,IF(H!Q110&lt;&gt;0,IF(H!S110&lt;&gt;H!T110,0,Q110),Q110),Q110)</f>
        <v>0</v>
      </c>
      <c r="S110" s="801">
        <f>IF(H!Q110&lt;&gt;H!R110,IF(H!Q110&lt;&gt;0,IF(H!S110&lt;&gt;H!T110,H!S110+1,),),)</f>
        <v>0</v>
      </c>
      <c r="T110" s="801">
        <f>IF(H!Q110&lt;&gt;H!R110,IF(H!Q110&lt;&gt;0,IF(H!S110&lt;&gt;H!T110,H!T110,),),)</f>
        <v>0</v>
      </c>
      <c r="U110" s="802">
        <f>IF(H!Q110&lt;&gt;H!R110,IF(H!Q110&lt;&gt;0,IF(H!S110&lt;&gt;H!T110,H!U110,),),)</f>
        <v>0</v>
      </c>
      <c r="V110" s="876">
        <f>IF(H!Q110&lt;&gt;H!R110,IF(H!Q110&lt;&gt;0,IF(H!S110&lt;&gt;H!T110,H!V110,),),)</f>
        <v>0</v>
      </c>
      <c r="W110" s="635">
        <f>IF(Q110="","",$W$5-SUM($Q$7:$Q$45)-SUM($Q$64:Q110))</f>
        <v>0</v>
      </c>
      <c r="AO110" s="86"/>
      <c r="AP110" s="86"/>
      <c r="AQ110" s="86"/>
      <c r="AR110" s="86"/>
      <c r="AS110" s="86"/>
      <c r="AT110" s="86"/>
      <c r="AU110" s="86"/>
      <c r="AV110" s="86"/>
      <c r="AW110" s="86"/>
      <c r="AX110" s="86"/>
      <c r="AY110" s="86"/>
      <c r="CM110" s="86"/>
      <c r="CN110" s="86"/>
    </row>
    <row r="111" spans="8:92" s="367" customFormat="1">
      <c r="K111" s="593"/>
      <c r="L111" s="593"/>
      <c r="O111" s="511"/>
      <c r="S111" s="371"/>
      <c r="T111" s="371"/>
      <c r="U111" s="371"/>
      <c r="V111" s="371"/>
      <c r="AO111" s="86"/>
      <c r="AP111" s="86"/>
      <c r="AQ111" s="86"/>
      <c r="AR111" s="86"/>
      <c r="AS111" s="86"/>
      <c r="AT111" s="86"/>
      <c r="AU111" s="86"/>
      <c r="AV111" s="86"/>
      <c r="AW111" s="86"/>
      <c r="AX111" s="86"/>
      <c r="AY111" s="86"/>
      <c r="CM111" s="86"/>
      <c r="CN111" s="86"/>
    </row>
    <row r="112" spans="8:92" s="367" customFormat="1">
      <c r="O112" s="511"/>
      <c r="S112" s="371"/>
      <c r="T112" s="371"/>
      <c r="U112" s="371"/>
      <c r="V112" s="371"/>
      <c r="AO112" s="86"/>
      <c r="AP112" s="86"/>
      <c r="AQ112" s="86"/>
      <c r="AR112" s="86"/>
      <c r="AS112" s="86"/>
      <c r="AT112" s="86"/>
      <c r="AU112" s="86"/>
      <c r="AV112" s="86"/>
      <c r="AW112" s="86"/>
      <c r="AX112" s="86"/>
      <c r="AY112" s="86"/>
      <c r="CM112" s="86"/>
      <c r="CN112" s="86"/>
    </row>
    <row r="113" spans="15:92" s="367" customFormat="1">
      <c r="O113" s="511"/>
      <c r="S113" s="371"/>
      <c r="T113" s="371"/>
      <c r="U113" s="371"/>
      <c r="V113" s="371"/>
      <c r="AO113" s="86"/>
      <c r="AP113" s="86"/>
      <c r="AQ113" s="86"/>
      <c r="AR113" s="86"/>
      <c r="AS113" s="86"/>
      <c r="AT113" s="86"/>
      <c r="AU113" s="86"/>
      <c r="AV113" s="86"/>
      <c r="AW113" s="86"/>
      <c r="AX113" s="86"/>
      <c r="AY113" s="86"/>
      <c r="CM113" s="86"/>
      <c r="CN113" s="86"/>
    </row>
    <row r="114" spans="15:92" s="367" customFormat="1">
      <c r="O114" s="511"/>
      <c r="S114" s="371"/>
      <c r="T114" s="371"/>
      <c r="U114" s="371"/>
      <c r="V114" s="371"/>
      <c r="AO114" s="86"/>
      <c r="AP114" s="86"/>
      <c r="AQ114" s="86"/>
      <c r="AR114" s="86"/>
      <c r="AS114" s="86"/>
      <c r="AT114" s="86"/>
      <c r="AU114" s="86"/>
      <c r="AV114" s="86"/>
      <c r="AW114" s="86"/>
      <c r="AX114" s="86"/>
      <c r="AY114" s="86"/>
      <c r="CM114" s="86"/>
      <c r="CN114" s="86"/>
    </row>
    <row r="115" spans="15:92" s="367" customFormat="1">
      <c r="O115" s="511"/>
      <c r="S115" s="371"/>
      <c r="T115" s="371"/>
      <c r="U115" s="371"/>
      <c r="V115" s="371"/>
      <c r="AO115" s="86"/>
      <c r="AP115" s="86"/>
      <c r="AQ115" s="86"/>
      <c r="AR115" s="86"/>
      <c r="AS115" s="86"/>
      <c r="AT115" s="86"/>
      <c r="AU115" s="86"/>
      <c r="AV115" s="86"/>
      <c r="AW115" s="86"/>
      <c r="AX115" s="86"/>
      <c r="AY115" s="86"/>
      <c r="CM115" s="86"/>
      <c r="CN115" s="86"/>
    </row>
    <row r="116" spans="15:92" s="367" customFormat="1">
      <c r="O116" s="511"/>
      <c r="S116" s="371"/>
      <c r="T116" s="371"/>
      <c r="U116" s="371"/>
      <c r="V116" s="371"/>
      <c r="AO116" s="86"/>
      <c r="AP116" s="86"/>
      <c r="AQ116" s="86"/>
      <c r="AR116" s="86"/>
      <c r="AS116" s="86"/>
      <c r="AT116" s="86"/>
      <c r="AU116" s="86"/>
      <c r="AV116" s="86"/>
      <c r="AW116" s="86"/>
      <c r="AX116" s="86"/>
      <c r="AY116" s="86"/>
      <c r="CM116" s="86"/>
      <c r="CN116" s="86"/>
    </row>
    <row r="117" spans="15:92" s="367" customFormat="1">
      <c r="O117" s="511"/>
      <c r="S117" s="371"/>
      <c r="T117" s="371"/>
      <c r="U117" s="371"/>
      <c r="V117" s="371"/>
      <c r="AO117" s="86"/>
      <c r="AP117" s="86"/>
      <c r="AQ117" s="86"/>
      <c r="AR117" s="86"/>
      <c r="AS117" s="86"/>
      <c r="AT117" s="86"/>
      <c r="AU117" s="86"/>
      <c r="AV117" s="86"/>
      <c r="AW117" s="86"/>
      <c r="AX117" s="86"/>
      <c r="AY117" s="86"/>
      <c r="CM117" s="86"/>
      <c r="CN117" s="86"/>
    </row>
    <row r="118" spans="15:92" s="367" customFormat="1">
      <c r="O118" s="511"/>
      <c r="S118" s="371"/>
      <c r="T118" s="371"/>
      <c r="U118" s="371"/>
      <c r="V118" s="371"/>
      <c r="AO118" s="86"/>
      <c r="AP118" s="86"/>
      <c r="AQ118" s="86"/>
      <c r="AR118" s="86"/>
      <c r="AS118" s="86"/>
      <c r="AT118" s="86"/>
      <c r="AU118" s="86"/>
      <c r="AV118" s="86"/>
      <c r="AW118" s="86"/>
      <c r="AX118" s="86"/>
      <c r="AY118" s="86"/>
      <c r="CM118" s="86"/>
      <c r="CN118" s="86"/>
    </row>
    <row r="119" spans="15:92" s="367" customFormat="1">
      <c r="O119" s="511"/>
      <c r="S119" s="371"/>
      <c r="T119" s="371"/>
      <c r="U119" s="371"/>
      <c r="V119" s="371"/>
      <c r="AO119" s="86"/>
      <c r="AP119" s="86"/>
      <c r="AQ119" s="86"/>
      <c r="AR119" s="86"/>
      <c r="AS119" s="86"/>
      <c r="AT119" s="86"/>
      <c r="AU119" s="86"/>
      <c r="AV119" s="86"/>
      <c r="AW119" s="86"/>
      <c r="AX119" s="86"/>
      <c r="AY119" s="86"/>
      <c r="CM119" s="86"/>
      <c r="CN119" s="86"/>
    </row>
    <row r="120" spans="15:92" s="367" customFormat="1">
      <c r="O120" s="511"/>
      <c r="S120" s="371"/>
      <c r="T120" s="371"/>
      <c r="U120" s="371"/>
      <c r="V120" s="371"/>
      <c r="AO120" s="86"/>
      <c r="AP120" s="86"/>
      <c r="AQ120" s="86"/>
      <c r="AR120" s="86"/>
      <c r="AS120" s="86"/>
      <c r="AT120" s="86"/>
      <c r="AU120" s="86"/>
      <c r="AV120" s="86"/>
      <c r="AW120" s="86"/>
      <c r="AX120" s="86"/>
      <c r="AY120" s="86"/>
      <c r="CM120" s="86"/>
      <c r="CN120" s="86"/>
    </row>
    <row r="121" spans="15:92" s="367" customFormat="1">
      <c r="O121" s="511"/>
      <c r="S121" s="371"/>
      <c r="T121" s="371"/>
      <c r="U121" s="371"/>
      <c r="V121" s="371"/>
      <c r="AO121" s="86"/>
      <c r="AP121" s="86"/>
      <c r="AQ121" s="86"/>
      <c r="AR121" s="86"/>
      <c r="AS121" s="86"/>
      <c r="AT121" s="86"/>
      <c r="AU121" s="86"/>
      <c r="AV121" s="86"/>
      <c r="AW121" s="86"/>
      <c r="AX121" s="86"/>
      <c r="AY121" s="86"/>
      <c r="CM121" s="86"/>
      <c r="CN121" s="86"/>
    </row>
    <row r="122" spans="15:92" s="367" customFormat="1">
      <c r="O122" s="511"/>
      <c r="S122" s="371"/>
      <c r="T122" s="371"/>
      <c r="U122" s="371"/>
      <c r="V122" s="371"/>
      <c r="AO122" s="86"/>
      <c r="AP122" s="86"/>
      <c r="AQ122" s="86"/>
      <c r="AR122" s="86"/>
      <c r="AS122" s="86"/>
      <c r="AT122" s="86"/>
      <c r="AU122" s="86"/>
      <c r="AV122" s="86"/>
      <c r="AW122" s="86"/>
      <c r="AX122" s="86"/>
      <c r="AY122" s="86"/>
      <c r="CM122" s="86"/>
      <c r="CN122" s="86"/>
    </row>
    <row r="123" spans="15:92" s="367" customFormat="1">
      <c r="O123" s="511"/>
      <c r="S123" s="371"/>
      <c r="T123" s="371"/>
      <c r="U123" s="371"/>
      <c r="V123" s="371"/>
      <c r="AO123" s="86"/>
      <c r="AP123" s="86"/>
      <c r="AQ123" s="86"/>
      <c r="AR123" s="86"/>
      <c r="AS123" s="86"/>
      <c r="AT123" s="86"/>
      <c r="AU123" s="86"/>
      <c r="AV123" s="86"/>
      <c r="AW123" s="86"/>
      <c r="AX123" s="86"/>
      <c r="AY123" s="86"/>
      <c r="CM123" s="86"/>
      <c r="CN123" s="86"/>
    </row>
    <row r="124" spans="15:92" s="367" customFormat="1">
      <c r="O124" s="511"/>
      <c r="S124" s="371"/>
      <c r="T124" s="371"/>
      <c r="U124" s="371"/>
      <c r="V124" s="371"/>
      <c r="AO124" s="86"/>
      <c r="AP124" s="86"/>
      <c r="AQ124" s="86"/>
      <c r="AR124" s="86"/>
      <c r="AS124" s="86"/>
      <c r="AT124" s="86"/>
      <c r="AU124" s="86"/>
      <c r="AV124" s="86"/>
      <c r="AW124" s="86"/>
      <c r="AX124" s="86"/>
      <c r="AY124" s="86"/>
      <c r="CM124" s="86"/>
      <c r="CN124" s="86"/>
    </row>
    <row r="125" spans="15:92" s="367" customFormat="1">
      <c r="O125" s="511"/>
      <c r="S125" s="371"/>
      <c r="T125" s="371"/>
      <c r="U125" s="371"/>
      <c r="V125" s="371"/>
      <c r="AO125" s="86"/>
      <c r="AP125" s="86"/>
      <c r="AQ125" s="86"/>
      <c r="AR125" s="86"/>
      <c r="AS125" s="86"/>
      <c r="AT125" s="86"/>
      <c r="AU125" s="86"/>
      <c r="AV125" s="86"/>
      <c r="AW125" s="86"/>
      <c r="AX125" s="86"/>
      <c r="AY125" s="86"/>
      <c r="CM125" s="86"/>
      <c r="CN125" s="86"/>
    </row>
    <row r="126" spans="15:92" s="367" customFormat="1">
      <c r="O126" s="511"/>
      <c r="S126" s="371"/>
      <c r="T126" s="371"/>
      <c r="U126" s="371"/>
      <c r="V126" s="371"/>
      <c r="AO126" s="86"/>
      <c r="AP126" s="86"/>
      <c r="AQ126" s="86"/>
      <c r="AR126" s="86"/>
      <c r="AS126" s="86"/>
      <c r="AT126" s="86"/>
      <c r="AU126" s="86"/>
      <c r="AV126" s="86"/>
      <c r="AW126" s="86"/>
      <c r="AX126" s="86"/>
      <c r="AY126" s="86"/>
      <c r="CM126" s="86"/>
      <c r="CN126" s="86"/>
    </row>
    <row r="127" spans="15:92" s="367" customFormat="1">
      <c r="O127" s="511"/>
      <c r="S127" s="371"/>
      <c r="T127" s="371"/>
      <c r="U127" s="371"/>
      <c r="V127" s="371"/>
      <c r="AO127" s="86"/>
      <c r="AP127" s="86"/>
      <c r="AQ127" s="86"/>
      <c r="AR127" s="86"/>
      <c r="AS127" s="86"/>
      <c r="AT127" s="86"/>
      <c r="AU127" s="86"/>
      <c r="AV127" s="86"/>
      <c r="AW127" s="86"/>
      <c r="AX127" s="86"/>
      <c r="AY127" s="86"/>
      <c r="CM127" s="86"/>
      <c r="CN127" s="86"/>
    </row>
    <row r="128" spans="15:92" s="367" customFormat="1">
      <c r="O128" s="511"/>
      <c r="S128" s="371"/>
      <c r="T128" s="371"/>
      <c r="U128" s="371"/>
      <c r="V128" s="371"/>
      <c r="AO128" s="86"/>
      <c r="AP128" s="86"/>
      <c r="AQ128" s="86"/>
      <c r="AR128" s="86"/>
      <c r="AS128" s="86"/>
      <c r="AT128" s="86"/>
      <c r="AU128" s="86"/>
      <c r="AV128" s="86"/>
      <c r="AW128" s="86"/>
      <c r="AX128" s="86"/>
      <c r="AY128" s="86"/>
      <c r="CM128" s="86"/>
      <c r="CN128" s="86"/>
    </row>
    <row r="129" spans="15:92" s="367" customFormat="1">
      <c r="O129" s="511"/>
      <c r="S129" s="371"/>
      <c r="T129" s="371"/>
      <c r="U129" s="371"/>
      <c r="V129" s="371"/>
      <c r="AO129" s="86"/>
      <c r="AP129" s="86"/>
      <c r="AQ129" s="86"/>
      <c r="AR129" s="86"/>
      <c r="AS129" s="86"/>
      <c r="AT129" s="86"/>
      <c r="AU129" s="86"/>
      <c r="AV129" s="86"/>
      <c r="AW129" s="86"/>
      <c r="AX129" s="86"/>
      <c r="AY129" s="86"/>
      <c r="CM129" s="86"/>
      <c r="CN129" s="86"/>
    </row>
    <row r="130" spans="15:92" s="367" customFormat="1">
      <c r="O130" s="511"/>
      <c r="S130" s="371"/>
      <c r="T130" s="371"/>
      <c r="U130" s="371"/>
      <c r="V130" s="371"/>
      <c r="AO130" s="86"/>
      <c r="AP130" s="86"/>
      <c r="AQ130" s="86"/>
      <c r="AR130" s="86"/>
      <c r="AS130" s="86"/>
      <c r="AT130" s="86"/>
      <c r="AU130" s="86"/>
      <c r="AV130" s="86"/>
      <c r="AW130" s="86"/>
      <c r="AX130" s="86"/>
      <c r="AY130" s="86"/>
      <c r="CM130" s="86"/>
      <c r="CN130" s="86"/>
    </row>
    <row r="131" spans="15:92" s="367" customFormat="1">
      <c r="O131" s="511"/>
      <c r="S131" s="371"/>
      <c r="T131" s="371"/>
      <c r="U131" s="371"/>
      <c r="V131" s="371"/>
      <c r="AO131" s="86"/>
      <c r="AP131" s="86"/>
      <c r="AQ131" s="86"/>
      <c r="AR131" s="86"/>
      <c r="AS131" s="86"/>
      <c r="AT131" s="86"/>
      <c r="AU131" s="86"/>
      <c r="AV131" s="86"/>
      <c r="AW131" s="86"/>
      <c r="AX131" s="86"/>
      <c r="AY131" s="86"/>
      <c r="CM131" s="86"/>
      <c r="CN131" s="86"/>
    </row>
    <row r="132" spans="15:92" s="367" customFormat="1">
      <c r="O132" s="511"/>
      <c r="S132" s="371"/>
      <c r="T132" s="371"/>
      <c r="U132" s="371"/>
      <c r="V132" s="371"/>
      <c r="AO132" s="86"/>
      <c r="AP132" s="86"/>
      <c r="AQ132" s="86"/>
      <c r="AR132" s="86"/>
      <c r="AS132" s="86"/>
      <c r="AT132" s="86"/>
      <c r="AU132" s="86"/>
      <c r="AV132" s="86"/>
      <c r="AW132" s="86"/>
      <c r="AX132" s="86"/>
      <c r="AY132" s="86"/>
      <c r="CM132" s="86"/>
      <c r="CN132" s="86"/>
    </row>
    <row r="133" spans="15:92" s="367" customFormat="1">
      <c r="O133" s="511"/>
      <c r="S133" s="371"/>
      <c r="T133" s="371"/>
      <c r="U133" s="371"/>
      <c r="V133" s="371"/>
      <c r="AO133" s="86"/>
      <c r="AP133" s="86"/>
      <c r="AQ133" s="86"/>
      <c r="AR133" s="86"/>
      <c r="AS133" s="86"/>
      <c r="AT133" s="86"/>
      <c r="AU133" s="86"/>
      <c r="AV133" s="86"/>
      <c r="AW133" s="86"/>
      <c r="AX133" s="86"/>
      <c r="AY133" s="86"/>
      <c r="CM133" s="86"/>
      <c r="CN133" s="86"/>
    </row>
    <row r="134" spans="15:92" s="367" customFormat="1">
      <c r="O134" s="511"/>
      <c r="S134" s="371"/>
      <c r="T134" s="371"/>
      <c r="U134" s="371"/>
      <c r="V134" s="371"/>
      <c r="AO134" s="86"/>
      <c r="AP134" s="86"/>
      <c r="AQ134" s="86"/>
      <c r="AR134" s="86"/>
      <c r="AS134" s="86"/>
      <c r="AT134" s="86"/>
      <c r="AU134" s="86"/>
      <c r="AV134" s="86"/>
      <c r="AW134" s="86"/>
      <c r="AX134" s="86"/>
      <c r="AY134" s="86"/>
      <c r="CM134" s="86"/>
      <c r="CN134" s="86"/>
    </row>
    <row r="135" spans="15:92" s="367" customFormat="1">
      <c r="O135" s="511"/>
      <c r="S135" s="371"/>
      <c r="T135" s="371"/>
      <c r="U135" s="371"/>
      <c r="V135" s="371"/>
      <c r="AO135" s="86"/>
      <c r="AP135" s="86"/>
      <c r="AQ135" s="86"/>
      <c r="AR135" s="86"/>
      <c r="AS135" s="86"/>
      <c r="AT135" s="86"/>
      <c r="AU135" s="86"/>
      <c r="AV135" s="86"/>
      <c r="AW135" s="86"/>
      <c r="AX135" s="86"/>
      <c r="AY135" s="86"/>
      <c r="CM135" s="86"/>
      <c r="CN135" s="86"/>
    </row>
    <row r="136" spans="15:92" s="367" customFormat="1">
      <c r="O136" s="511"/>
      <c r="S136" s="371"/>
      <c r="T136" s="371"/>
      <c r="U136" s="371"/>
      <c r="V136" s="371"/>
      <c r="AO136" s="86"/>
      <c r="AP136" s="86"/>
      <c r="AQ136" s="86"/>
      <c r="AR136" s="86"/>
      <c r="AS136" s="86"/>
      <c r="AT136" s="86"/>
      <c r="AU136" s="86"/>
      <c r="AV136" s="86"/>
      <c r="AW136" s="86"/>
      <c r="AX136" s="86"/>
      <c r="AY136" s="86"/>
      <c r="CM136" s="86"/>
      <c r="CN136" s="86"/>
    </row>
    <row r="137" spans="15:92" s="367" customFormat="1">
      <c r="O137" s="511"/>
      <c r="S137" s="371"/>
      <c r="T137" s="371"/>
      <c r="U137" s="371"/>
      <c r="V137" s="371"/>
      <c r="AO137" s="86"/>
      <c r="AP137" s="86"/>
      <c r="AQ137" s="86"/>
      <c r="AR137" s="86"/>
      <c r="AS137" s="86"/>
      <c r="AT137" s="86"/>
      <c r="AU137" s="86"/>
      <c r="AV137" s="86"/>
      <c r="AW137" s="86"/>
      <c r="AX137" s="86"/>
      <c r="AY137" s="86"/>
      <c r="CM137" s="86"/>
      <c r="CN137" s="86"/>
    </row>
    <row r="138" spans="15:92" s="367" customFormat="1">
      <c r="O138" s="511"/>
      <c r="S138" s="371"/>
      <c r="T138" s="371"/>
      <c r="U138" s="371"/>
      <c r="V138" s="371"/>
      <c r="AO138" s="86"/>
      <c r="AP138" s="86"/>
      <c r="AQ138" s="86"/>
      <c r="AR138" s="86"/>
      <c r="AS138" s="86"/>
      <c r="AT138" s="86"/>
      <c r="AU138" s="86"/>
      <c r="AV138" s="86"/>
      <c r="AW138" s="86"/>
      <c r="AX138" s="86"/>
      <c r="AY138" s="86"/>
      <c r="CM138" s="86"/>
      <c r="CN138" s="86"/>
    </row>
    <row r="139" spans="15:92" s="367" customFormat="1">
      <c r="O139" s="511"/>
      <c r="S139" s="371"/>
      <c r="T139" s="371"/>
      <c r="U139" s="371"/>
      <c r="V139" s="371"/>
      <c r="AO139" s="86"/>
      <c r="AP139" s="86"/>
      <c r="AQ139" s="86"/>
      <c r="AR139" s="86"/>
      <c r="AS139" s="86"/>
      <c r="AT139" s="86"/>
      <c r="AU139" s="86"/>
      <c r="AV139" s="86"/>
      <c r="AW139" s="86"/>
      <c r="AX139" s="86"/>
      <c r="AY139" s="86"/>
      <c r="CM139" s="86"/>
      <c r="CN139" s="86"/>
    </row>
    <row r="140" spans="15:92" s="367" customFormat="1">
      <c r="O140" s="511"/>
      <c r="S140" s="371"/>
      <c r="T140" s="371"/>
      <c r="U140" s="371"/>
      <c r="V140" s="371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CM140" s="86"/>
      <c r="CN140" s="86"/>
    </row>
    <row r="141" spans="15:92" s="367" customFormat="1">
      <c r="O141" s="511"/>
      <c r="S141" s="371"/>
      <c r="T141" s="371"/>
      <c r="U141" s="371"/>
      <c r="V141" s="371"/>
      <c r="AO141" s="86"/>
      <c r="AP141" s="86"/>
      <c r="AQ141" s="86"/>
      <c r="AR141" s="86"/>
      <c r="AS141" s="86"/>
      <c r="AT141" s="86"/>
      <c r="AU141" s="86"/>
      <c r="AV141" s="86"/>
      <c r="AW141" s="86"/>
      <c r="AX141" s="86"/>
      <c r="AY141" s="86"/>
      <c r="CM141" s="86"/>
      <c r="CN141" s="86"/>
    </row>
    <row r="142" spans="15:92" s="367" customFormat="1">
      <c r="O142" s="511"/>
      <c r="S142" s="371"/>
      <c r="T142" s="371"/>
      <c r="U142" s="371"/>
      <c r="V142" s="371"/>
      <c r="AO142" s="86"/>
      <c r="AP142" s="86"/>
      <c r="AQ142" s="86"/>
      <c r="AR142" s="86"/>
      <c r="AS142" s="86"/>
      <c r="AT142" s="86"/>
      <c r="AU142" s="86"/>
      <c r="AV142" s="86"/>
      <c r="AW142" s="86"/>
      <c r="AX142" s="86"/>
      <c r="AY142" s="86"/>
      <c r="CM142" s="86"/>
      <c r="CN142" s="86"/>
    </row>
    <row r="143" spans="15:92" s="367" customFormat="1">
      <c r="O143" s="511"/>
      <c r="S143" s="371"/>
      <c r="T143" s="371"/>
      <c r="U143" s="371"/>
      <c r="V143" s="371"/>
      <c r="AO143" s="86"/>
      <c r="AP143" s="86"/>
      <c r="AQ143" s="86"/>
      <c r="AR143" s="86"/>
      <c r="AS143" s="86"/>
      <c r="AT143" s="86"/>
      <c r="AU143" s="86"/>
      <c r="AV143" s="86"/>
      <c r="AW143" s="86"/>
      <c r="AX143" s="86"/>
      <c r="AY143" s="86"/>
      <c r="CM143" s="86"/>
      <c r="CN143" s="86"/>
    </row>
    <row r="144" spans="15:92" s="367" customFormat="1">
      <c r="O144" s="511"/>
      <c r="S144" s="371"/>
      <c r="T144" s="371"/>
      <c r="U144" s="371"/>
      <c r="V144" s="371"/>
      <c r="AO144" s="86"/>
      <c r="AP144" s="86"/>
      <c r="AQ144" s="86"/>
      <c r="AR144" s="86"/>
      <c r="AS144" s="86"/>
      <c r="AT144" s="86"/>
      <c r="AU144" s="86"/>
      <c r="AV144" s="86"/>
      <c r="AW144" s="86"/>
      <c r="AX144" s="86"/>
      <c r="AY144" s="86"/>
      <c r="CM144" s="86"/>
      <c r="CN144" s="86"/>
    </row>
    <row r="145" spans="1:92" s="367" customFormat="1">
      <c r="O145" s="511"/>
      <c r="S145" s="371"/>
      <c r="T145" s="371"/>
      <c r="U145" s="371"/>
      <c r="V145" s="371"/>
      <c r="AO145" s="86"/>
      <c r="AP145" s="86"/>
      <c r="AQ145" s="86"/>
      <c r="AR145" s="86"/>
      <c r="AS145" s="86"/>
      <c r="AT145" s="86"/>
      <c r="AU145" s="86"/>
      <c r="AV145" s="86"/>
      <c r="AW145" s="86"/>
      <c r="AX145" s="86"/>
      <c r="AY145" s="86"/>
      <c r="CM145" s="86"/>
      <c r="CN145" s="86"/>
    </row>
    <row r="146" spans="1:92" s="367" customFormat="1">
      <c r="O146" s="511"/>
      <c r="S146" s="371"/>
      <c r="T146" s="371"/>
      <c r="U146" s="371"/>
      <c r="V146" s="371"/>
      <c r="AO146" s="86"/>
      <c r="AP146" s="86"/>
      <c r="AQ146" s="86"/>
      <c r="AR146" s="86"/>
      <c r="AS146" s="86"/>
      <c r="AT146" s="86"/>
      <c r="AU146" s="86"/>
      <c r="AV146" s="86"/>
      <c r="AW146" s="86"/>
      <c r="AX146" s="86"/>
      <c r="AY146" s="86"/>
      <c r="CM146" s="86"/>
      <c r="CN146" s="86"/>
    </row>
    <row r="147" spans="1:92" s="367" customFormat="1">
      <c r="O147" s="511"/>
      <c r="S147" s="371"/>
      <c r="T147" s="371"/>
      <c r="U147" s="371"/>
      <c r="V147" s="371"/>
      <c r="AO147" s="86"/>
      <c r="AP147" s="86"/>
      <c r="AQ147" s="86"/>
      <c r="AR147" s="86"/>
      <c r="AS147" s="86"/>
      <c r="AT147" s="86"/>
      <c r="AU147" s="86"/>
      <c r="AV147" s="86"/>
      <c r="AW147" s="86"/>
      <c r="AX147" s="86"/>
      <c r="AY147" s="86"/>
      <c r="CM147" s="86"/>
      <c r="CN147" s="86"/>
    </row>
    <row r="148" spans="1:92" s="367" customFormat="1">
      <c r="O148" s="511"/>
      <c r="S148" s="371"/>
      <c r="T148" s="371"/>
      <c r="U148" s="371"/>
      <c r="V148" s="371"/>
      <c r="AO148" s="86"/>
      <c r="AP148" s="86"/>
      <c r="AQ148" s="86"/>
      <c r="AR148" s="86"/>
      <c r="AS148" s="86"/>
      <c r="AT148" s="86"/>
      <c r="AU148" s="86"/>
      <c r="AV148" s="86"/>
      <c r="AW148" s="86"/>
      <c r="AX148" s="86"/>
      <c r="AY148" s="86"/>
      <c r="CM148" s="86"/>
      <c r="CN148" s="86"/>
    </row>
    <row r="149" spans="1:92" s="367" customFormat="1">
      <c r="O149" s="511"/>
      <c r="S149" s="371"/>
      <c r="T149" s="371"/>
      <c r="U149" s="371"/>
      <c r="V149" s="371"/>
      <c r="AO149" s="86"/>
      <c r="AP149" s="86"/>
      <c r="AQ149" s="86"/>
      <c r="AR149" s="86"/>
      <c r="AS149" s="86"/>
      <c r="AT149" s="86"/>
      <c r="AU149" s="86"/>
      <c r="AV149" s="86"/>
      <c r="AW149" s="86"/>
      <c r="AX149" s="86"/>
      <c r="AY149" s="86"/>
      <c r="CM149" s="86"/>
      <c r="CN149" s="86"/>
    </row>
    <row r="150" spans="1:92" s="367" customFormat="1">
      <c r="O150" s="511"/>
      <c r="S150" s="371"/>
      <c r="T150" s="371"/>
      <c r="U150" s="371"/>
      <c r="V150" s="371"/>
      <c r="AO150" s="86"/>
      <c r="AP150" s="86"/>
      <c r="AQ150" s="86"/>
      <c r="AR150" s="86"/>
      <c r="AS150" s="86"/>
      <c r="AT150" s="86"/>
      <c r="AU150" s="86"/>
      <c r="AV150" s="86"/>
      <c r="AW150" s="86"/>
      <c r="AX150" s="86"/>
      <c r="AY150" s="86"/>
      <c r="CM150" s="86"/>
      <c r="CN150" s="86"/>
    </row>
    <row r="151" spans="1:92" s="367" customFormat="1">
      <c r="O151" s="511"/>
      <c r="S151" s="371"/>
      <c r="T151" s="371"/>
      <c r="U151" s="371"/>
      <c r="V151" s="371"/>
      <c r="AO151" s="86"/>
      <c r="AP151" s="86"/>
      <c r="AQ151" s="86"/>
      <c r="AR151" s="86"/>
      <c r="AS151" s="86"/>
      <c r="AT151" s="86"/>
      <c r="AU151" s="86"/>
      <c r="AV151" s="86"/>
      <c r="AW151" s="86"/>
      <c r="AX151" s="86"/>
      <c r="AY151" s="86"/>
      <c r="CM151" s="86"/>
      <c r="CN151" s="86"/>
    </row>
    <row r="152" spans="1:92">
      <c r="A152" s="367"/>
      <c r="B152" s="367"/>
      <c r="C152" s="367"/>
      <c r="D152" s="367"/>
      <c r="E152" s="367"/>
      <c r="F152" s="367"/>
      <c r="G152" s="367"/>
      <c r="H152" s="367"/>
      <c r="I152" s="367"/>
      <c r="J152" s="367"/>
      <c r="K152" s="367"/>
      <c r="L152" s="367"/>
      <c r="M152" s="367"/>
      <c r="N152" s="367"/>
      <c r="O152" s="377"/>
      <c r="P152" s="367"/>
      <c r="Q152" s="367"/>
      <c r="R152" s="367"/>
      <c r="S152" s="371"/>
      <c r="T152" s="371"/>
      <c r="U152" s="371"/>
      <c r="V152" s="371"/>
      <c r="W152" s="367"/>
      <c r="X152" s="367"/>
      <c r="Y152" s="367"/>
      <c r="Z152" s="367"/>
      <c r="AA152" s="367"/>
      <c r="AB152" s="367"/>
      <c r="AC152" s="367"/>
      <c r="AD152" s="367"/>
      <c r="AE152" s="367"/>
      <c r="AF152" s="367"/>
      <c r="AG152" s="367"/>
      <c r="AH152" s="367"/>
      <c r="AI152" s="367"/>
      <c r="AJ152" s="367"/>
      <c r="AK152" s="367"/>
      <c r="AL152" s="367"/>
      <c r="AM152" s="367"/>
      <c r="AN152" s="367"/>
      <c r="AO152" s="86"/>
    </row>
  </sheetData>
  <sheetProtection password="D37A" sheet="1" scenarios="1" formatCells="0" formatColumns="0" formatRows="0" insertColumns="0" insertRows="0" sort="0" autoFilter="0"/>
  <mergeCells count="72">
    <mergeCell ref="S51:T51"/>
    <mergeCell ref="S52:T52"/>
    <mergeCell ref="S59:T59"/>
    <mergeCell ref="S53:T53"/>
    <mergeCell ref="S54:T54"/>
    <mergeCell ref="S55:T55"/>
    <mergeCell ref="S56:T56"/>
    <mergeCell ref="S58:T58"/>
    <mergeCell ref="N2:O2"/>
    <mergeCell ref="H54:H56"/>
    <mergeCell ref="C41:D41"/>
    <mergeCell ref="I56:J56"/>
    <mergeCell ref="B42:D42"/>
    <mergeCell ref="B3:C3"/>
    <mergeCell ref="B23:B24"/>
    <mergeCell ref="B25:B26"/>
    <mergeCell ref="N53:O54"/>
    <mergeCell ref="E5:E6"/>
    <mergeCell ref="C5:C6"/>
    <mergeCell ref="F5:F6"/>
    <mergeCell ref="K5:K6"/>
    <mergeCell ref="Y3:AA3"/>
    <mergeCell ref="C58:D58"/>
    <mergeCell ref="C23:D24"/>
    <mergeCell ref="D25:D26"/>
    <mergeCell ref="C25:C26"/>
    <mergeCell ref="F25:F26"/>
    <mergeCell ref="E25:E26"/>
    <mergeCell ref="E23:F24"/>
    <mergeCell ref="C4:D4"/>
    <mergeCell ref="Y4:Z4"/>
    <mergeCell ref="E4:F4"/>
    <mergeCell ref="D5:D6"/>
    <mergeCell ref="H5:H6"/>
    <mergeCell ref="O5:O6"/>
    <mergeCell ref="B43:C43"/>
    <mergeCell ref="L5:L6"/>
    <mergeCell ref="AR21:AR22"/>
    <mergeCell ref="AE15:AE20"/>
    <mergeCell ref="AE21:AE22"/>
    <mergeCell ref="Y21:Y22"/>
    <mergeCell ref="Z21:Z22"/>
    <mergeCell ref="AG21:AG22"/>
    <mergeCell ref="AD21:AD22"/>
    <mergeCell ref="AA21:AA22"/>
    <mergeCell ref="AP12:AX12"/>
    <mergeCell ref="Y18:Z18"/>
    <mergeCell ref="Y20:AA20"/>
    <mergeCell ref="AQ20:AT20"/>
    <mergeCell ref="P5:Q6"/>
    <mergeCell ref="AE5:AE7"/>
    <mergeCell ref="AE10:AE12"/>
    <mergeCell ref="U5:U6"/>
    <mergeCell ref="S4:S5"/>
    <mergeCell ref="R5:R6"/>
    <mergeCell ref="T4:T5"/>
    <mergeCell ref="AB4:AC4"/>
    <mergeCell ref="V5:V6"/>
    <mergeCell ref="W5:W6"/>
    <mergeCell ref="B63:B64"/>
    <mergeCell ref="C63:C64"/>
    <mergeCell ref="D63:D64"/>
    <mergeCell ref="E63:E64"/>
    <mergeCell ref="F63:F64"/>
    <mergeCell ref="S49:T49"/>
    <mergeCell ref="S50:T50"/>
    <mergeCell ref="S48:T48"/>
    <mergeCell ref="Z46:AA46"/>
    <mergeCell ref="B5:B6"/>
    <mergeCell ref="B20:D20"/>
    <mergeCell ref="I5:J6"/>
    <mergeCell ref="M5:M6"/>
  </mergeCells>
  <conditionalFormatting sqref="AE23:AE44 Q56:S56 S50:S55">
    <cfRule type="cellIs" dxfId="2298" priority="6" stopIfTrue="1" operator="lessThan">
      <formula>0</formula>
    </cfRule>
  </conditionalFormatting>
  <conditionalFormatting sqref="AE13:AE14">
    <cfRule type="containsText" dxfId="2297" priority="364" stopIfTrue="1" operator="containsText" text="חריגה">
      <formula>NOT(ISERROR(SEARCH("חריגה",AE13)))</formula>
    </cfRule>
  </conditionalFormatting>
  <conditionalFormatting sqref="AI23:AI44">
    <cfRule type="cellIs" dxfId="2296" priority="363" stopIfTrue="1" operator="equal">
      <formula>1</formula>
    </cfRule>
  </conditionalFormatting>
  <conditionalFormatting sqref="E20:F20 E42:F42">
    <cfRule type="containsText" dxfId="2295" priority="362" stopIfTrue="1" operator="containsText" text="חיובי">
      <formula>NOT(ISERROR(SEARCH("חיובי",E20)))</formula>
    </cfRule>
  </conditionalFormatting>
  <conditionalFormatting sqref="W46 K54:M54 K58:M58 D19 C41">
    <cfRule type="cellIs" dxfId="2294" priority="361" stopIfTrue="1" operator="lessThan">
      <formula>0</formula>
    </cfRule>
  </conditionalFormatting>
  <conditionalFormatting sqref="D45">
    <cfRule type="cellIs" dxfId="2293" priority="382" stopIfTrue="1" operator="greaterThan">
      <formula>$C$45</formula>
    </cfRule>
  </conditionalFormatting>
  <conditionalFormatting sqref="D46">
    <cfRule type="cellIs" dxfId="2292" priority="383" stopIfTrue="1" operator="greaterThan">
      <formula>$C$46</formula>
    </cfRule>
  </conditionalFormatting>
  <conditionalFormatting sqref="D47">
    <cfRule type="cellIs" dxfId="2291" priority="384" stopIfTrue="1" operator="greaterThan">
      <formula>$C$47</formula>
    </cfRule>
  </conditionalFormatting>
  <conditionalFormatting sqref="D48">
    <cfRule type="cellIs" dxfId="2290" priority="385" stopIfTrue="1" operator="greaterThan">
      <formula>$C$48</formula>
    </cfRule>
  </conditionalFormatting>
  <conditionalFormatting sqref="D49">
    <cfRule type="cellIs" dxfId="2289" priority="386" stopIfTrue="1" operator="greaterThan">
      <formula>$C$49</formula>
    </cfRule>
  </conditionalFormatting>
  <conditionalFormatting sqref="D50">
    <cfRule type="cellIs" dxfId="2288" priority="387" stopIfTrue="1" operator="greaterThan">
      <formula>$C$50</formula>
    </cfRule>
  </conditionalFormatting>
  <conditionalFormatting sqref="D51">
    <cfRule type="cellIs" dxfId="2287" priority="388" stopIfTrue="1" operator="greaterThan">
      <formula>$C$51</formula>
    </cfRule>
  </conditionalFormatting>
  <conditionalFormatting sqref="D52">
    <cfRule type="cellIs" dxfId="2286" priority="389" stopIfTrue="1" operator="greaterThan">
      <formula>$C$52</formula>
    </cfRule>
  </conditionalFormatting>
  <conditionalFormatting sqref="D53">
    <cfRule type="cellIs" dxfId="2285" priority="390" stopIfTrue="1" operator="greaterThan">
      <formula>$C$53</formula>
    </cfRule>
  </conditionalFormatting>
  <conditionalFormatting sqref="D54">
    <cfRule type="cellIs" dxfId="2284" priority="391" stopIfTrue="1" operator="greaterThan">
      <formula>$C$54</formula>
    </cfRule>
  </conditionalFormatting>
  <conditionalFormatting sqref="D55">
    <cfRule type="cellIs" dxfId="2283" priority="392" stopIfTrue="1" operator="greaterThan">
      <formula>$C$55</formula>
    </cfRule>
  </conditionalFormatting>
  <conditionalFormatting sqref="D56">
    <cfRule type="cellIs" dxfId="2282" priority="393" stopIfTrue="1" operator="greaterThan">
      <formula>$C$56</formula>
    </cfRule>
  </conditionalFormatting>
  <conditionalFormatting sqref="C7">
    <cfRule type="expression" dxfId="2281" priority="357" stopIfTrue="1">
      <formula>AND(C7&lt;&gt;0, NOT(ISTEXT(B7)))</formula>
    </cfRule>
    <cfRule type="cellIs" dxfId="2280" priority="358" stopIfTrue="1" operator="lessThan">
      <formula>0</formula>
    </cfRule>
  </conditionalFormatting>
  <conditionalFormatting sqref="C8">
    <cfRule type="expression" dxfId="2279" priority="355" stopIfTrue="1">
      <formula>AND(C8&lt;&gt;0, NOT(ISTEXT(B8)))</formula>
    </cfRule>
    <cfRule type="cellIs" dxfId="2278" priority="356" stopIfTrue="1" operator="lessThan">
      <formula>0</formula>
    </cfRule>
  </conditionalFormatting>
  <conditionalFormatting sqref="C9">
    <cfRule type="expression" dxfId="2277" priority="353" stopIfTrue="1">
      <formula>AND(C9&lt;&gt;0, NOT(ISTEXT(B9)))</formula>
    </cfRule>
    <cfRule type="cellIs" dxfId="2276" priority="354" stopIfTrue="1" operator="lessThan">
      <formula>0</formula>
    </cfRule>
  </conditionalFormatting>
  <conditionalFormatting sqref="C10">
    <cfRule type="expression" dxfId="2275" priority="351" stopIfTrue="1">
      <formula>AND(C10&lt;&gt;0, NOT(ISTEXT(B10)))</formula>
    </cfRule>
    <cfRule type="cellIs" dxfId="2274" priority="352" stopIfTrue="1" operator="lessThan">
      <formula>0</formula>
    </cfRule>
  </conditionalFormatting>
  <conditionalFormatting sqref="C11">
    <cfRule type="expression" dxfId="2273" priority="349" stopIfTrue="1">
      <formula>AND(C11&lt;&gt;0, NOT(ISTEXT(B11)))</formula>
    </cfRule>
    <cfRule type="cellIs" dxfId="2272" priority="350" stopIfTrue="1" operator="lessThan">
      <formula>0</formula>
    </cfRule>
  </conditionalFormatting>
  <conditionalFormatting sqref="C12">
    <cfRule type="expression" dxfId="2271" priority="347" stopIfTrue="1">
      <formula>AND(C12&lt;&gt;0, NOT(ISTEXT(B12)))</formula>
    </cfRule>
    <cfRule type="cellIs" dxfId="2270" priority="348" stopIfTrue="1" operator="lessThan">
      <formula>0</formula>
    </cfRule>
  </conditionalFormatting>
  <conditionalFormatting sqref="C13">
    <cfRule type="expression" dxfId="2269" priority="345" stopIfTrue="1">
      <formula>AND(C13&lt;&gt;0, NOT(ISTEXT(B13)))</formula>
    </cfRule>
    <cfRule type="cellIs" dxfId="2268" priority="346" stopIfTrue="1" operator="lessThan">
      <formula>0</formula>
    </cfRule>
  </conditionalFormatting>
  <conditionalFormatting sqref="C14">
    <cfRule type="expression" dxfId="2267" priority="343" stopIfTrue="1">
      <formula>AND(C14&lt;&gt;0, NOT(ISTEXT(B14)))</formula>
    </cfRule>
    <cfRule type="cellIs" dxfId="2266" priority="344" stopIfTrue="1" operator="lessThan">
      <formula>0</formula>
    </cfRule>
  </conditionalFormatting>
  <conditionalFormatting sqref="C15">
    <cfRule type="expression" dxfId="2265" priority="341" stopIfTrue="1">
      <formula>AND(C15&lt;&gt;0, NOT(ISTEXT(B15)))</formula>
    </cfRule>
    <cfRule type="cellIs" dxfId="2264" priority="342" stopIfTrue="1" operator="lessThan">
      <formula>0</formula>
    </cfRule>
  </conditionalFormatting>
  <conditionalFormatting sqref="C16">
    <cfRule type="expression" dxfId="2263" priority="339" stopIfTrue="1">
      <formula>AND(C16&lt;&gt;0, NOT(ISTEXT(B16)))</formula>
    </cfRule>
    <cfRule type="cellIs" dxfId="2262" priority="340" stopIfTrue="1" operator="lessThan">
      <formula>0</formula>
    </cfRule>
  </conditionalFormatting>
  <conditionalFormatting sqref="C17">
    <cfRule type="expression" dxfId="2261" priority="337" stopIfTrue="1">
      <formula>AND(C17&lt;&gt;0, NOT(ISTEXT(B17)))</formula>
    </cfRule>
    <cfRule type="cellIs" dxfId="2260" priority="338" stopIfTrue="1" operator="lessThan">
      <formula>0</formula>
    </cfRule>
  </conditionalFormatting>
  <conditionalFormatting sqref="C27">
    <cfRule type="expression" dxfId="2259" priority="335" stopIfTrue="1">
      <formula>AND(C27&lt;&gt;0, NOT(ISTEXT(B27)))</formula>
    </cfRule>
    <cfRule type="cellIs" dxfId="2258" priority="336" stopIfTrue="1" operator="lessThan">
      <formula>0</formula>
    </cfRule>
  </conditionalFormatting>
  <conditionalFormatting sqref="C39">
    <cfRule type="expression" dxfId="2257" priority="333" stopIfTrue="1">
      <formula>AND(C39&lt;&gt;0, NOT(ISTEXT(B39)))</formula>
    </cfRule>
    <cfRule type="cellIs" dxfId="2256" priority="334" stopIfTrue="1" operator="lessThan">
      <formula>0</formula>
    </cfRule>
  </conditionalFormatting>
  <conditionalFormatting sqref="C28">
    <cfRule type="expression" dxfId="2255" priority="331" stopIfTrue="1">
      <formula>AND(C28&lt;&gt;0, NOT(ISTEXT(B28)))</formula>
    </cfRule>
    <cfRule type="cellIs" dxfId="2254" priority="332" stopIfTrue="1" operator="lessThan">
      <formula>0</formula>
    </cfRule>
  </conditionalFormatting>
  <conditionalFormatting sqref="C29">
    <cfRule type="expression" dxfId="2253" priority="329" stopIfTrue="1">
      <formula>AND(C29&lt;&gt;0, NOT(ISTEXT(B29)))</formula>
    </cfRule>
    <cfRule type="cellIs" dxfId="2252" priority="330" stopIfTrue="1" operator="lessThan">
      <formula>0</formula>
    </cfRule>
  </conditionalFormatting>
  <conditionalFormatting sqref="C30">
    <cfRule type="expression" dxfId="2251" priority="327" stopIfTrue="1">
      <formula>AND(C30&lt;&gt;0, NOT(ISTEXT(B30)))</formula>
    </cfRule>
    <cfRule type="cellIs" dxfId="2250" priority="328" stopIfTrue="1" operator="lessThan">
      <formula>0</formula>
    </cfRule>
  </conditionalFormatting>
  <conditionalFormatting sqref="C31">
    <cfRule type="expression" dxfId="2249" priority="325" stopIfTrue="1">
      <formula>AND(C31&lt;&gt;0, NOT(ISTEXT(B31)))</formula>
    </cfRule>
    <cfRule type="cellIs" dxfId="2248" priority="326" stopIfTrue="1" operator="lessThan">
      <formula>0</formula>
    </cfRule>
  </conditionalFormatting>
  <conditionalFormatting sqref="C32">
    <cfRule type="expression" dxfId="2247" priority="323" stopIfTrue="1">
      <formula>AND(C32&lt;&gt;0, NOT(ISTEXT(B32)))</formula>
    </cfRule>
    <cfRule type="cellIs" dxfId="2246" priority="324" stopIfTrue="1" operator="lessThan">
      <formula>0</formula>
    </cfRule>
  </conditionalFormatting>
  <conditionalFormatting sqref="C33">
    <cfRule type="expression" dxfId="2245" priority="321" stopIfTrue="1">
      <formula>AND(C33&lt;&gt;0, NOT(ISTEXT(B33)))</formula>
    </cfRule>
    <cfRule type="cellIs" dxfId="2244" priority="322" stopIfTrue="1" operator="lessThan">
      <formula>0</formula>
    </cfRule>
  </conditionalFormatting>
  <conditionalFormatting sqref="C34">
    <cfRule type="expression" dxfId="2243" priority="319" stopIfTrue="1">
      <formula>AND(C34&lt;&gt;0, NOT(ISTEXT(B34)))</formula>
    </cfRule>
    <cfRule type="cellIs" dxfId="2242" priority="320" stopIfTrue="1" operator="lessThan">
      <formula>0</formula>
    </cfRule>
  </conditionalFormatting>
  <conditionalFormatting sqref="C35">
    <cfRule type="expression" dxfId="2241" priority="317" stopIfTrue="1">
      <formula>AND(C35&lt;&gt;0, NOT(ISTEXT(B35)))</formula>
    </cfRule>
    <cfRule type="cellIs" dxfId="2240" priority="318" stopIfTrue="1" operator="lessThan">
      <formula>0</formula>
    </cfRule>
  </conditionalFormatting>
  <conditionalFormatting sqref="C36">
    <cfRule type="expression" dxfId="2239" priority="315" stopIfTrue="1">
      <formula>AND(C36&lt;&gt;0, NOT(ISTEXT(B36)))</formula>
    </cfRule>
    <cfRule type="cellIs" dxfId="2238" priority="316" stopIfTrue="1" operator="lessThan">
      <formula>0</formula>
    </cfRule>
  </conditionalFormatting>
  <conditionalFormatting sqref="C37">
    <cfRule type="expression" dxfId="2237" priority="313" stopIfTrue="1">
      <formula>AND(C37&lt;&gt;0, NOT(ISTEXT(B37)))</formula>
    </cfRule>
    <cfRule type="cellIs" dxfId="2236" priority="314" stopIfTrue="1" operator="lessThan">
      <formula>0</formula>
    </cfRule>
  </conditionalFormatting>
  <conditionalFormatting sqref="C38">
    <cfRule type="expression" dxfId="2235" priority="311" stopIfTrue="1">
      <formula>AND(C38&lt;&gt;0, NOT(ISTEXT(B38)))</formula>
    </cfRule>
    <cfRule type="cellIs" dxfId="2234" priority="312" stopIfTrue="1" operator="lessThan">
      <formula>0</formula>
    </cfRule>
  </conditionalFormatting>
  <conditionalFormatting sqref="C45">
    <cfRule type="expression" dxfId="2233" priority="309" stopIfTrue="1">
      <formula>AND(C45&lt;&gt;0, NOT(ISTEXT(B45)))</formula>
    </cfRule>
    <cfRule type="cellIs" dxfId="2232" priority="310" stopIfTrue="1" operator="lessThan">
      <formula>0</formula>
    </cfRule>
  </conditionalFormatting>
  <conditionalFormatting sqref="C56">
    <cfRule type="expression" dxfId="2231" priority="307" stopIfTrue="1">
      <formula>AND(C56&lt;&gt;0, NOT(ISTEXT(B56)))</formula>
    </cfRule>
    <cfRule type="cellIs" dxfId="2230" priority="308" stopIfTrue="1" operator="lessThan">
      <formula>0</formula>
    </cfRule>
  </conditionalFormatting>
  <conditionalFormatting sqref="C46">
    <cfRule type="expression" dxfId="2229" priority="305" stopIfTrue="1">
      <formula>AND(C46&lt;&gt;0, NOT(ISTEXT(B46)))</formula>
    </cfRule>
    <cfRule type="cellIs" dxfId="2228" priority="306" stopIfTrue="1" operator="lessThan">
      <formula>0</formula>
    </cfRule>
  </conditionalFormatting>
  <conditionalFormatting sqref="C47">
    <cfRule type="expression" dxfId="2227" priority="303" stopIfTrue="1">
      <formula>AND(C47&lt;&gt;0, NOT(ISTEXT(B47)))</formula>
    </cfRule>
    <cfRule type="cellIs" dxfId="2226" priority="304" stopIfTrue="1" operator="lessThan">
      <formula>0</formula>
    </cfRule>
  </conditionalFormatting>
  <conditionalFormatting sqref="C48">
    <cfRule type="expression" dxfId="2225" priority="301" stopIfTrue="1">
      <formula>AND(C48&lt;&gt;0, NOT(ISTEXT(B48)))</formula>
    </cfRule>
    <cfRule type="cellIs" dxfId="2224" priority="302" stopIfTrue="1" operator="lessThan">
      <formula>0</formula>
    </cfRule>
  </conditionalFormatting>
  <conditionalFormatting sqref="C49">
    <cfRule type="expression" dxfId="2223" priority="299" stopIfTrue="1">
      <formula>AND(C49&lt;&gt;0, NOT(ISTEXT(B49)))</formula>
    </cfRule>
    <cfRule type="cellIs" dxfId="2222" priority="300" stopIfTrue="1" operator="lessThan">
      <formula>0</formula>
    </cfRule>
  </conditionalFormatting>
  <conditionalFormatting sqref="C50">
    <cfRule type="expression" dxfId="2221" priority="297" stopIfTrue="1">
      <formula>AND(C50&lt;&gt;0, NOT(ISTEXT(B50)))</formula>
    </cfRule>
    <cfRule type="cellIs" dxfId="2220" priority="298" stopIfTrue="1" operator="lessThan">
      <formula>0</formula>
    </cfRule>
  </conditionalFormatting>
  <conditionalFormatting sqref="C51">
    <cfRule type="expression" dxfId="2219" priority="295" stopIfTrue="1">
      <formula>AND(C51&lt;&gt;0, NOT(ISTEXT(B51)))</formula>
    </cfRule>
    <cfRule type="cellIs" dxfId="2218" priority="296" stopIfTrue="1" operator="lessThan">
      <formula>0</formula>
    </cfRule>
  </conditionalFormatting>
  <conditionalFormatting sqref="C52">
    <cfRule type="expression" dxfId="2217" priority="293" stopIfTrue="1">
      <formula>AND(C52&lt;&gt;0, NOT(ISTEXT(B52)))</formula>
    </cfRule>
    <cfRule type="cellIs" dxfId="2216" priority="294" stopIfTrue="1" operator="lessThan">
      <formula>0</formula>
    </cfRule>
  </conditionalFormatting>
  <conditionalFormatting sqref="C53">
    <cfRule type="expression" dxfId="2215" priority="291" stopIfTrue="1">
      <formula>AND(C53&lt;&gt;0, NOT(ISTEXT(B53)))</formula>
    </cfRule>
    <cfRule type="cellIs" dxfId="2214" priority="292" stopIfTrue="1" operator="lessThan">
      <formula>0</formula>
    </cfRule>
  </conditionalFormatting>
  <conditionalFormatting sqref="C54">
    <cfRule type="expression" dxfId="2213" priority="289" stopIfTrue="1">
      <formula>AND(C54&lt;&gt;0, NOT(ISTEXT(B54)))</formula>
    </cfRule>
    <cfRule type="cellIs" dxfId="2212" priority="290" stopIfTrue="1" operator="lessThan">
      <formula>0</formula>
    </cfRule>
  </conditionalFormatting>
  <conditionalFormatting sqref="C55">
    <cfRule type="expression" dxfId="2211" priority="287" stopIfTrue="1">
      <formula>AND(C55&lt;&gt;0, NOT(ISTEXT(B55)))</formula>
    </cfRule>
    <cfRule type="cellIs" dxfId="2210" priority="288" stopIfTrue="1" operator="lessThan">
      <formula>0</formula>
    </cfRule>
  </conditionalFormatting>
  <conditionalFormatting sqref="Z6">
    <cfRule type="expression" dxfId="2209" priority="285" stopIfTrue="1">
      <formula>AND(Z6&lt;&gt;0, NOT(ISTEXT(Y6)))</formula>
    </cfRule>
    <cfRule type="cellIs" dxfId="2208" priority="286" stopIfTrue="1" operator="lessThan">
      <formula>0</formula>
    </cfRule>
  </conditionalFormatting>
  <conditionalFormatting sqref="Z16">
    <cfRule type="expression" dxfId="2207" priority="283" stopIfTrue="1">
      <formula>AND(Z16&lt;&gt;0, NOT(ISTEXT(Y16)))</formula>
    </cfRule>
    <cfRule type="cellIs" dxfId="2206" priority="284" stopIfTrue="1" operator="lessThan">
      <formula>0</formula>
    </cfRule>
  </conditionalFormatting>
  <conditionalFormatting sqref="Z7">
    <cfRule type="expression" dxfId="2205" priority="281" stopIfTrue="1">
      <formula>AND(Z7&lt;&gt;0, NOT(ISTEXT(Y7)))</formula>
    </cfRule>
    <cfRule type="cellIs" dxfId="2204" priority="282" stopIfTrue="1" operator="lessThan">
      <formula>0</formula>
    </cfRule>
  </conditionalFormatting>
  <conditionalFormatting sqref="Z8">
    <cfRule type="expression" dxfId="2203" priority="279" stopIfTrue="1">
      <formula>AND(Z8&lt;&gt;0, NOT(ISTEXT(Y8)))</formula>
    </cfRule>
    <cfRule type="cellIs" dxfId="2202" priority="280" stopIfTrue="1" operator="lessThan">
      <formula>0</formula>
    </cfRule>
  </conditionalFormatting>
  <conditionalFormatting sqref="Z9">
    <cfRule type="expression" dxfId="2201" priority="277" stopIfTrue="1">
      <formula>AND(Z9&lt;&gt;0, NOT(ISTEXT(Y9)))</formula>
    </cfRule>
    <cfRule type="cellIs" dxfId="2200" priority="278" stopIfTrue="1" operator="lessThan">
      <formula>0</formula>
    </cfRule>
  </conditionalFormatting>
  <conditionalFormatting sqref="Z10">
    <cfRule type="expression" dxfId="2199" priority="275" stopIfTrue="1">
      <formula>AND(Z10&lt;&gt;0, NOT(ISTEXT(Y10)))</formula>
    </cfRule>
    <cfRule type="cellIs" dxfId="2198" priority="276" stopIfTrue="1" operator="lessThan">
      <formula>0</formula>
    </cfRule>
  </conditionalFormatting>
  <conditionalFormatting sqref="Z11">
    <cfRule type="expression" dxfId="2197" priority="273" stopIfTrue="1">
      <formula>AND(Z11&lt;&gt;0, NOT(ISTEXT(Y11)))</formula>
    </cfRule>
    <cfRule type="cellIs" dxfId="2196" priority="274" stopIfTrue="1" operator="lessThan">
      <formula>0</formula>
    </cfRule>
  </conditionalFormatting>
  <conditionalFormatting sqref="Z12">
    <cfRule type="expression" dxfId="2195" priority="271" stopIfTrue="1">
      <formula>AND(Z12&lt;&gt;0, NOT(ISTEXT(Y12)))</formula>
    </cfRule>
    <cfRule type="cellIs" dxfId="2194" priority="272" stopIfTrue="1" operator="lessThan">
      <formula>0</formula>
    </cfRule>
  </conditionalFormatting>
  <conditionalFormatting sqref="Z13">
    <cfRule type="expression" dxfId="2193" priority="269" stopIfTrue="1">
      <formula>AND(Z13&lt;&gt;0, NOT(ISTEXT(Y13)))</formula>
    </cfRule>
    <cfRule type="cellIs" dxfId="2192" priority="270" stopIfTrue="1" operator="lessThan">
      <formula>0</formula>
    </cfRule>
  </conditionalFormatting>
  <conditionalFormatting sqref="Z14">
    <cfRule type="expression" dxfId="2191" priority="267" stopIfTrue="1">
      <formula>AND(Z14&lt;&gt;0, NOT(ISTEXT(Y14)))</formula>
    </cfRule>
    <cfRule type="cellIs" dxfId="2190" priority="268" stopIfTrue="1" operator="lessThan">
      <formula>0</formula>
    </cfRule>
  </conditionalFormatting>
  <conditionalFormatting sqref="Z15">
    <cfRule type="expression" dxfId="2189" priority="265" stopIfTrue="1">
      <formula>AND(Z15&lt;&gt;0, NOT(ISTEXT(Y15)))</formula>
    </cfRule>
    <cfRule type="cellIs" dxfId="2188" priority="266" stopIfTrue="1" operator="lessThan">
      <formula>0</formula>
    </cfRule>
  </conditionalFormatting>
  <conditionalFormatting sqref="Z23">
    <cfRule type="expression" dxfId="2187" priority="263" stopIfTrue="1">
      <formula>AND(Z23&lt;&gt;0, NOT(ISTEXT(Y23)))</formula>
    </cfRule>
    <cfRule type="cellIs" dxfId="2186" priority="264" stopIfTrue="1" operator="lessThan">
      <formula>0</formula>
    </cfRule>
  </conditionalFormatting>
  <conditionalFormatting sqref="Z44">
    <cfRule type="expression" dxfId="2185" priority="261" stopIfTrue="1">
      <formula>AND(Z44&lt;&gt;0, NOT(ISTEXT(Y44)))</formula>
    </cfRule>
    <cfRule type="cellIs" dxfId="2184" priority="262" stopIfTrue="1" operator="lessThan">
      <formula>0</formula>
    </cfRule>
  </conditionalFormatting>
  <conditionalFormatting sqref="Z24">
    <cfRule type="expression" dxfId="2183" priority="259" stopIfTrue="1">
      <formula>AND(Z24&lt;&gt;0, NOT(ISTEXT(Y24)))</formula>
    </cfRule>
    <cfRule type="cellIs" dxfId="2182" priority="260" stopIfTrue="1" operator="lessThan">
      <formula>0</formula>
    </cfRule>
  </conditionalFormatting>
  <conditionalFormatting sqref="Z25">
    <cfRule type="expression" dxfId="2181" priority="257" stopIfTrue="1">
      <formula>AND(Z25&lt;&gt;0, NOT(ISTEXT(Y25)))</formula>
    </cfRule>
    <cfRule type="cellIs" dxfId="2180" priority="258" stopIfTrue="1" operator="lessThan">
      <formula>0</formula>
    </cfRule>
  </conditionalFormatting>
  <conditionalFormatting sqref="Z26">
    <cfRule type="expression" dxfId="2179" priority="255" stopIfTrue="1">
      <formula>AND(Z26&lt;&gt;0, NOT(ISTEXT(Y26)))</formula>
    </cfRule>
    <cfRule type="cellIs" dxfId="2178" priority="256" stopIfTrue="1" operator="lessThan">
      <formula>0</formula>
    </cfRule>
  </conditionalFormatting>
  <conditionalFormatting sqref="Z27">
    <cfRule type="expression" dxfId="2177" priority="253" stopIfTrue="1">
      <formula>AND(Z27&lt;&gt;0, NOT(ISTEXT(Y27)))</formula>
    </cfRule>
    <cfRule type="cellIs" dxfId="2176" priority="254" stopIfTrue="1" operator="lessThan">
      <formula>0</formula>
    </cfRule>
  </conditionalFormatting>
  <conditionalFormatting sqref="Z28">
    <cfRule type="expression" dxfId="2175" priority="251" stopIfTrue="1">
      <formula>AND(Z28&lt;&gt;0, NOT(ISTEXT(Y28)))</formula>
    </cfRule>
    <cfRule type="cellIs" dxfId="2174" priority="252" stopIfTrue="1" operator="lessThan">
      <formula>0</formula>
    </cfRule>
  </conditionalFormatting>
  <conditionalFormatting sqref="Z29">
    <cfRule type="expression" dxfId="2173" priority="249" stopIfTrue="1">
      <formula>AND(Z29&lt;&gt;0, NOT(ISTEXT(Y29)))</formula>
    </cfRule>
    <cfRule type="cellIs" dxfId="2172" priority="250" stopIfTrue="1" operator="lessThan">
      <formula>0</formula>
    </cfRule>
  </conditionalFormatting>
  <conditionalFormatting sqref="Z30">
    <cfRule type="expression" dxfId="2171" priority="247" stopIfTrue="1">
      <formula>AND(Z30&lt;&gt;0, NOT(ISTEXT(Y30)))</formula>
    </cfRule>
    <cfRule type="cellIs" dxfId="2170" priority="248" stopIfTrue="1" operator="lessThan">
      <formula>0</formula>
    </cfRule>
  </conditionalFormatting>
  <conditionalFormatting sqref="Z31">
    <cfRule type="expression" dxfId="2169" priority="245" stopIfTrue="1">
      <formula>AND(Z31&lt;&gt;0, NOT(ISTEXT(Y31)))</formula>
    </cfRule>
    <cfRule type="cellIs" dxfId="2168" priority="246" stopIfTrue="1" operator="lessThan">
      <formula>0</formula>
    </cfRule>
  </conditionalFormatting>
  <conditionalFormatting sqref="Z32">
    <cfRule type="expression" dxfId="2167" priority="243" stopIfTrue="1">
      <formula>AND(Z32&lt;&gt;0, NOT(ISTEXT(Y32)))</formula>
    </cfRule>
    <cfRule type="cellIs" dxfId="2166" priority="244" stopIfTrue="1" operator="lessThan">
      <formula>0</formula>
    </cfRule>
  </conditionalFormatting>
  <conditionalFormatting sqref="Z33">
    <cfRule type="expression" dxfId="2165" priority="241" stopIfTrue="1">
      <formula>AND(Z33&lt;&gt;0, NOT(ISTEXT(Y33)))</formula>
    </cfRule>
    <cfRule type="cellIs" dxfId="2164" priority="242" stopIfTrue="1" operator="lessThan">
      <formula>0</formula>
    </cfRule>
  </conditionalFormatting>
  <conditionalFormatting sqref="Z34">
    <cfRule type="expression" dxfId="2163" priority="239" stopIfTrue="1">
      <formula>AND(Z34&lt;&gt;0, NOT(ISTEXT(Y34)))</formula>
    </cfRule>
    <cfRule type="cellIs" dxfId="2162" priority="240" stopIfTrue="1" operator="lessThan">
      <formula>0</formula>
    </cfRule>
  </conditionalFormatting>
  <conditionalFormatting sqref="Z35">
    <cfRule type="expression" dxfId="2161" priority="237" stopIfTrue="1">
      <formula>AND(Z35&lt;&gt;0, NOT(ISTEXT(Y35)))</formula>
    </cfRule>
    <cfRule type="cellIs" dxfId="2160" priority="238" stopIfTrue="1" operator="lessThan">
      <formula>0</formula>
    </cfRule>
  </conditionalFormatting>
  <conditionalFormatting sqref="Z36">
    <cfRule type="expression" dxfId="2159" priority="235" stopIfTrue="1">
      <formula>AND(Z36&lt;&gt;0, NOT(ISTEXT(Y36)))</formula>
    </cfRule>
    <cfRule type="cellIs" dxfId="2158" priority="236" stopIfTrue="1" operator="lessThan">
      <formula>0</formula>
    </cfRule>
  </conditionalFormatting>
  <conditionalFormatting sqref="Z37">
    <cfRule type="expression" dxfId="2157" priority="233" stopIfTrue="1">
      <formula>AND(Z37&lt;&gt;0, NOT(ISTEXT(Y37)))</formula>
    </cfRule>
    <cfRule type="cellIs" dxfId="2156" priority="234" stopIfTrue="1" operator="lessThan">
      <formula>0</formula>
    </cfRule>
  </conditionalFormatting>
  <conditionalFormatting sqref="Z38">
    <cfRule type="expression" dxfId="2155" priority="231" stopIfTrue="1">
      <formula>AND(Z38&lt;&gt;0, NOT(ISTEXT(Y38)))</formula>
    </cfRule>
    <cfRule type="cellIs" dxfId="2154" priority="232" stopIfTrue="1" operator="lessThan">
      <formula>0</formula>
    </cfRule>
  </conditionalFormatting>
  <conditionalFormatting sqref="Z39">
    <cfRule type="expression" dxfId="2153" priority="229" stopIfTrue="1">
      <formula>AND(Z39&lt;&gt;0, NOT(ISTEXT(Y39)))</formula>
    </cfRule>
    <cfRule type="cellIs" dxfId="2152" priority="230" stopIfTrue="1" operator="lessThan">
      <formula>0</formula>
    </cfRule>
  </conditionalFormatting>
  <conditionalFormatting sqref="Z40">
    <cfRule type="expression" dxfId="2151" priority="227" stopIfTrue="1">
      <formula>AND(Z40&lt;&gt;0, NOT(ISTEXT(Y40)))</formula>
    </cfRule>
    <cfRule type="cellIs" dxfId="2150" priority="228" stopIfTrue="1" operator="lessThan">
      <formula>0</formula>
    </cfRule>
  </conditionalFormatting>
  <conditionalFormatting sqref="Z41">
    <cfRule type="expression" dxfId="2149" priority="225" stopIfTrue="1">
      <formula>AND(Z41&lt;&gt;0, NOT(ISTEXT(Y41)))</formula>
    </cfRule>
    <cfRule type="cellIs" dxfId="2148" priority="226" stopIfTrue="1" operator="lessThan">
      <formula>0</formula>
    </cfRule>
  </conditionalFormatting>
  <conditionalFormatting sqref="Z42">
    <cfRule type="expression" dxfId="2147" priority="223" stopIfTrue="1">
      <formula>AND(Z42&lt;&gt;0, NOT(ISTEXT(Y42)))</formula>
    </cfRule>
    <cfRule type="cellIs" dxfId="2146" priority="224" stopIfTrue="1" operator="lessThan">
      <formula>0</formula>
    </cfRule>
  </conditionalFormatting>
  <conditionalFormatting sqref="Z43">
    <cfRule type="expression" dxfId="2145" priority="221" stopIfTrue="1">
      <formula>AND(Z43&lt;&gt;0, NOT(ISTEXT(Y43)))</formula>
    </cfRule>
    <cfRule type="cellIs" dxfId="2144" priority="222" stopIfTrue="1" operator="lessThan">
      <formula>0</formula>
    </cfRule>
  </conditionalFormatting>
  <conditionalFormatting sqref="N53:O54">
    <cfRule type="containsText" dxfId="2143" priority="219" stopIfTrue="1" operator="containsText" text="הפרש">
      <formula>NOT(ISERROR(SEARCH("הפרש",N53)))</formula>
    </cfRule>
  </conditionalFormatting>
  <conditionalFormatting sqref="Z23:Z44 Q64:Q110 Q7:Q45 J7:J53 D27:D39 C45:C56 J64:J110 D65:D86 C7:D17 Z6:AA16">
    <cfRule type="expression" dxfId="2142" priority="217" stopIfTrue="1">
      <formula>ISTEXT(C6)</formula>
    </cfRule>
  </conditionalFormatting>
  <conditionalFormatting sqref="C7">
    <cfRule type="expression" dxfId="2141" priority="215" stopIfTrue="1">
      <formula>AND(C7&lt;&gt;0, NOT(ISTEXT(B7)))</formula>
    </cfRule>
    <cfRule type="cellIs" dxfId="2140" priority="216" stopIfTrue="1" operator="lessThan">
      <formula>0</formula>
    </cfRule>
  </conditionalFormatting>
  <conditionalFormatting sqref="C8">
    <cfRule type="expression" dxfId="2139" priority="213" stopIfTrue="1">
      <formula>AND(C8&lt;&gt;0, NOT(ISTEXT(B8)))</formula>
    </cfRule>
    <cfRule type="cellIs" dxfId="2138" priority="214" stopIfTrue="1" operator="lessThan">
      <formula>0</formula>
    </cfRule>
  </conditionalFormatting>
  <conditionalFormatting sqref="C9">
    <cfRule type="expression" dxfId="2137" priority="211" stopIfTrue="1">
      <formula>AND(C9&lt;&gt;0, NOT(ISTEXT(B9)))</formula>
    </cfRule>
    <cfRule type="cellIs" dxfId="2136" priority="212" stopIfTrue="1" operator="lessThan">
      <formula>0</formula>
    </cfRule>
  </conditionalFormatting>
  <conditionalFormatting sqref="C10">
    <cfRule type="expression" dxfId="2135" priority="209" stopIfTrue="1">
      <formula>AND(C10&lt;&gt;0, NOT(ISTEXT(B10)))</formula>
    </cfRule>
    <cfRule type="cellIs" dxfId="2134" priority="210" stopIfTrue="1" operator="lessThan">
      <formula>0</formula>
    </cfRule>
  </conditionalFormatting>
  <conditionalFormatting sqref="C11">
    <cfRule type="expression" dxfId="2133" priority="207" stopIfTrue="1">
      <formula>AND(C11&lt;&gt;0, NOT(ISTEXT(B11)))</formula>
    </cfRule>
    <cfRule type="cellIs" dxfId="2132" priority="208" stopIfTrue="1" operator="lessThan">
      <formula>0</formula>
    </cfRule>
  </conditionalFormatting>
  <conditionalFormatting sqref="C12">
    <cfRule type="expression" dxfId="2131" priority="205" stopIfTrue="1">
      <formula>AND(C12&lt;&gt;0, NOT(ISTEXT(B12)))</formula>
    </cfRule>
    <cfRule type="cellIs" dxfId="2130" priority="206" stopIfTrue="1" operator="lessThan">
      <formula>0</formula>
    </cfRule>
  </conditionalFormatting>
  <conditionalFormatting sqref="C13">
    <cfRule type="expression" dxfId="2129" priority="203" stopIfTrue="1">
      <formula>AND(C13&lt;&gt;0, NOT(ISTEXT(B13)))</formula>
    </cfRule>
    <cfRule type="cellIs" dxfId="2128" priority="204" stopIfTrue="1" operator="lessThan">
      <formula>0</formula>
    </cfRule>
  </conditionalFormatting>
  <conditionalFormatting sqref="C14">
    <cfRule type="expression" dxfId="2127" priority="201" stopIfTrue="1">
      <formula>AND(C14&lt;&gt;0, NOT(ISTEXT(B14)))</formula>
    </cfRule>
    <cfRule type="cellIs" dxfId="2126" priority="202" stopIfTrue="1" operator="lessThan">
      <formula>0</formula>
    </cfRule>
  </conditionalFormatting>
  <conditionalFormatting sqref="C15">
    <cfRule type="expression" dxfId="2125" priority="199" stopIfTrue="1">
      <formula>AND(C15&lt;&gt;0, NOT(ISTEXT(B15)))</formula>
    </cfRule>
    <cfRule type="cellIs" dxfId="2124" priority="200" stopIfTrue="1" operator="lessThan">
      <formula>0</formula>
    </cfRule>
  </conditionalFormatting>
  <conditionalFormatting sqref="C16">
    <cfRule type="expression" dxfId="2123" priority="197" stopIfTrue="1">
      <formula>AND(C16&lt;&gt;0, NOT(ISTEXT(B16)))</formula>
    </cfRule>
    <cfRule type="cellIs" dxfId="2122" priority="198" stopIfTrue="1" operator="lessThan">
      <formula>0</formula>
    </cfRule>
  </conditionalFormatting>
  <conditionalFormatting sqref="C17">
    <cfRule type="expression" dxfId="2121" priority="195" stopIfTrue="1">
      <formula>AND(C17&lt;&gt;0, NOT(ISTEXT(B17)))</formula>
    </cfRule>
    <cfRule type="cellIs" dxfId="2120" priority="196" stopIfTrue="1" operator="lessThan">
      <formula>0</formula>
    </cfRule>
  </conditionalFormatting>
  <conditionalFormatting sqref="C7">
    <cfRule type="expression" dxfId="2119" priority="192" stopIfTrue="1">
      <formula>AND(C7&lt;&gt;0, NOT(ISTEXT(B7)))</formula>
    </cfRule>
    <cfRule type="cellIs" dxfId="2118" priority="193" stopIfTrue="1" operator="lessThan">
      <formula>0</formula>
    </cfRule>
  </conditionalFormatting>
  <conditionalFormatting sqref="C8">
    <cfRule type="expression" dxfId="2117" priority="190" stopIfTrue="1">
      <formula>AND(C8&lt;&gt;0, NOT(ISTEXT(B8)))</formula>
    </cfRule>
    <cfRule type="cellIs" dxfId="2116" priority="191" stopIfTrue="1" operator="lessThan">
      <formula>0</formula>
    </cfRule>
  </conditionalFormatting>
  <conditionalFormatting sqref="C9">
    <cfRule type="expression" dxfId="2115" priority="188" stopIfTrue="1">
      <formula>AND(C9&lt;&gt;0, NOT(ISTEXT(B9)))</formula>
    </cfRule>
    <cfRule type="cellIs" dxfId="2114" priority="189" stopIfTrue="1" operator="lessThan">
      <formula>0</formula>
    </cfRule>
  </conditionalFormatting>
  <conditionalFormatting sqref="C10">
    <cfRule type="expression" dxfId="2113" priority="186" stopIfTrue="1">
      <formula>AND(C10&lt;&gt;0, NOT(ISTEXT(B10)))</formula>
    </cfRule>
    <cfRule type="cellIs" dxfId="2112" priority="187" stopIfTrue="1" operator="lessThan">
      <formula>0</formula>
    </cfRule>
  </conditionalFormatting>
  <conditionalFormatting sqref="C11">
    <cfRule type="expression" dxfId="2111" priority="184" stopIfTrue="1">
      <formula>AND(C11&lt;&gt;0, NOT(ISTEXT(B11)))</formula>
    </cfRule>
    <cfRule type="cellIs" dxfId="2110" priority="185" stopIfTrue="1" operator="lessThan">
      <formula>0</formula>
    </cfRule>
  </conditionalFormatting>
  <conditionalFormatting sqref="C12">
    <cfRule type="expression" dxfId="2109" priority="182" stopIfTrue="1">
      <formula>AND(C12&lt;&gt;0, NOT(ISTEXT(B12)))</formula>
    </cfRule>
    <cfRule type="cellIs" dxfId="2108" priority="183" stopIfTrue="1" operator="lessThan">
      <formula>0</formula>
    </cfRule>
  </conditionalFormatting>
  <conditionalFormatting sqref="C13">
    <cfRule type="expression" dxfId="2107" priority="180" stopIfTrue="1">
      <formula>AND(C13&lt;&gt;0, NOT(ISTEXT(B13)))</formula>
    </cfRule>
    <cfRule type="cellIs" dxfId="2106" priority="181" stopIfTrue="1" operator="lessThan">
      <formula>0</formula>
    </cfRule>
  </conditionalFormatting>
  <conditionalFormatting sqref="C14">
    <cfRule type="expression" dxfId="2105" priority="178" stopIfTrue="1">
      <formula>AND(C14&lt;&gt;0, NOT(ISTEXT(B14)))</formula>
    </cfRule>
    <cfRule type="cellIs" dxfId="2104" priority="179" stopIfTrue="1" operator="lessThan">
      <formula>0</formula>
    </cfRule>
  </conditionalFormatting>
  <conditionalFormatting sqref="C15">
    <cfRule type="expression" dxfId="2103" priority="176" stopIfTrue="1">
      <formula>AND(C15&lt;&gt;0, NOT(ISTEXT(B15)))</formula>
    </cfRule>
    <cfRule type="cellIs" dxfId="2102" priority="177" stopIfTrue="1" operator="lessThan">
      <formula>0</formula>
    </cfRule>
  </conditionalFormatting>
  <conditionalFormatting sqref="C16">
    <cfRule type="expression" dxfId="2101" priority="174" stopIfTrue="1">
      <formula>AND(C16&lt;&gt;0, NOT(ISTEXT(B16)))</formula>
    </cfRule>
    <cfRule type="cellIs" dxfId="2100" priority="175" stopIfTrue="1" operator="lessThan">
      <formula>0</formula>
    </cfRule>
  </conditionalFormatting>
  <conditionalFormatting sqref="C17">
    <cfRule type="expression" dxfId="2099" priority="172" stopIfTrue="1">
      <formula>AND(C17&lt;&gt;0, NOT(ISTEXT(B17)))</formula>
    </cfRule>
    <cfRule type="cellIs" dxfId="2098" priority="173" stopIfTrue="1" operator="lessThan">
      <formula>0</formula>
    </cfRule>
  </conditionalFormatting>
  <conditionalFormatting sqref="C45">
    <cfRule type="expression" dxfId="2097" priority="169" stopIfTrue="1">
      <formula>AND(C45&lt;&gt;0, NOT(ISTEXT(B45)))</formula>
    </cfRule>
    <cfRule type="cellIs" dxfId="2096" priority="170" stopIfTrue="1" operator="lessThan">
      <formula>0</formula>
    </cfRule>
  </conditionalFormatting>
  <conditionalFormatting sqref="C56">
    <cfRule type="expression" dxfId="2095" priority="167" stopIfTrue="1">
      <formula>AND(C56&lt;&gt;0, NOT(ISTEXT(B56)))</formula>
    </cfRule>
    <cfRule type="cellIs" dxfId="2094" priority="168" stopIfTrue="1" operator="lessThan">
      <formula>0</formula>
    </cfRule>
  </conditionalFormatting>
  <conditionalFormatting sqref="C46">
    <cfRule type="expression" dxfId="2093" priority="165" stopIfTrue="1">
      <formula>AND(C46&lt;&gt;0, NOT(ISTEXT(B46)))</formula>
    </cfRule>
    <cfRule type="cellIs" dxfId="2092" priority="166" stopIfTrue="1" operator="lessThan">
      <formula>0</formula>
    </cfRule>
  </conditionalFormatting>
  <conditionalFormatting sqref="C47">
    <cfRule type="expression" dxfId="2091" priority="163" stopIfTrue="1">
      <formula>AND(C47&lt;&gt;0, NOT(ISTEXT(B47)))</formula>
    </cfRule>
    <cfRule type="cellIs" dxfId="2090" priority="164" stopIfTrue="1" operator="lessThan">
      <formula>0</formula>
    </cfRule>
  </conditionalFormatting>
  <conditionalFormatting sqref="C48">
    <cfRule type="expression" dxfId="2089" priority="161" stopIfTrue="1">
      <formula>AND(C48&lt;&gt;0, NOT(ISTEXT(B48)))</formula>
    </cfRule>
    <cfRule type="cellIs" dxfId="2088" priority="162" stopIfTrue="1" operator="lessThan">
      <formula>0</formula>
    </cfRule>
  </conditionalFormatting>
  <conditionalFormatting sqref="C49">
    <cfRule type="expression" dxfId="2087" priority="159" stopIfTrue="1">
      <formula>AND(C49&lt;&gt;0, NOT(ISTEXT(B49)))</formula>
    </cfRule>
    <cfRule type="cellIs" dxfId="2086" priority="160" stopIfTrue="1" operator="lessThan">
      <formula>0</formula>
    </cfRule>
  </conditionalFormatting>
  <conditionalFormatting sqref="C50">
    <cfRule type="expression" dxfId="2085" priority="157" stopIfTrue="1">
      <formula>AND(C50&lt;&gt;0, NOT(ISTEXT(B50)))</formula>
    </cfRule>
    <cfRule type="cellIs" dxfId="2084" priority="158" stopIfTrue="1" operator="lessThan">
      <formula>0</formula>
    </cfRule>
  </conditionalFormatting>
  <conditionalFormatting sqref="C51">
    <cfRule type="expression" dxfId="2083" priority="155" stopIfTrue="1">
      <formula>AND(C51&lt;&gt;0, NOT(ISTEXT(B51)))</formula>
    </cfRule>
    <cfRule type="cellIs" dxfId="2082" priority="156" stopIfTrue="1" operator="lessThan">
      <formula>0</formula>
    </cfRule>
  </conditionalFormatting>
  <conditionalFormatting sqref="C52">
    <cfRule type="expression" dxfId="2081" priority="153" stopIfTrue="1">
      <formula>AND(C52&lt;&gt;0, NOT(ISTEXT(B52)))</formula>
    </cfRule>
    <cfRule type="cellIs" dxfId="2080" priority="154" stopIfTrue="1" operator="lessThan">
      <formula>0</formula>
    </cfRule>
  </conditionalFormatting>
  <conditionalFormatting sqref="C53">
    <cfRule type="expression" dxfId="2079" priority="151" stopIfTrue="1">
      <formula>AND(C53&lt;&gt;0, NOT(ISTEXT(B53)))</formula>
    </cfRule>
    <cfRule type="cellIs" dxfId="2078" priority="152" stopIfTrue="1" operator="lessThan">
      <formula>0</formula>
    </cfRule>
  </conditionalFormatting>
  <conditionalFormatting sqref="C54">
    <cfRule type="expression" dxfId="2077" priority="149" stopIfTrue="1">
      <formula>AND(C54&lt;&gt;0, NOT(ISTEXT(B54)))</formula>
    </cfRule>
    <cfRule type="cellIs" dxfId="2076" priority="150" stopIfTrue="1" operator="lessThan">
      <formula>0</formula>
    </cfRule>
  </conditionalFormatting>
  <conditionalFormatting sqref="C55">
    <cfRule type="expression" dxfId="2075" priority="147" stopIfTrue="1">
      <formula>AND(C55&lt;&gt;0, NOT(ISTEXT(B55)))</formula>
    </cfRule>
    <cfRule type="cellIs" dxfId="2074" priority="148" stopIfTrue="1" operator="lessThan">
      <formula>0</formula>
    </cfRule>
  </conditionalFormatting>
  <conditionalFormatting sqref="Z6">
    <cfRule type="expression" dxfId="2073" priority="144" stopIfTrue="1">
      <formula>AND(Z6&lt;&gt;0, NOT(ISTEXT(Y6)))</formula>
    </cfRule>
    <cfRule type="cellIs" dxfId="2072" priority="145" stopIfTrue="1" operator="lessThan">
      <formula>0</formula>
    </cfRule>
  </conditionalFormatting>
  <conditionalFormatting sqref="Z16">
    <cfRule type="expression" dxfId="2071" priority="142" stopIfTrue="1">
      <formula>AND(Z16&lt;&gt;0, NOT(ISTEXT(Y16)))</formula>
    </cfRule>
    <cfRule type="cellIs" dxfId="2070" priority="143" stopIfTrue="1" operator="lessThan">
      <formula>0</formula>
    </cfRule>
  </conditionalFormatting>
  <conditionalFormatting sqref="Z7">
    <cfRule type="expression" dxfId="2069" priority="140" stopIfTrue="1">
      <formula>AND(Z7&lt;&gt;0, NOT(ISTEXT(Y7)))</formula>
    </cfRule>
    <cfRule type="cellIs" dxfId="2068" priority="141" stopIfTrue="1" operator="lessThan">
      <formula>0</formula>
    </cfRule>
  </conditionalFormatting>
  <conditionalFormatting sqref="Z8">
    <cfRule type="expression" dxfId="2067" priority="138" stopIfTrue="1">
      <formula>AND(Z8&lt;&gt;0, NOT(ISTEXT(Y8)))</formula>
    </cfRule>
    <cfRule type="cellIs" dxfId="2066" priority="139" stopIfTrue="1" operator="lessThan">
      <formula>0</formula>
    </cfRule>
  </conditionalFormatting>
  <conditionalFormatting sqref="Z9">
    <cfRule type="expression" dxfId="2065" priority="136" stopIfTrue="1">
      <formula>AND(Z9&lt;&gt;0, NOT(ISTEXT(Y9)))</formula>
    </cfRule>
    <cfRule type="cellIs" dxfId="2064" priority="137" stopIfTrue="1" operator="lessThan">
      <formula>0</formula>
    </cfRule>
  </conditionalFormatting>
  <conditionalFormatting sqref="Z10">
    <cfRule type="expression" dxfId="2063" priority="134" stopIfTrue="1">
      <formula>AND(Z10&lt;&gt;0, NOT(ISTEXT(Y10)))</formula>
    </cfRule>
    <cfRule type="cellIs" dxfId="2062" priority="135" stopIfTrue="1" operator="lessThan">
      <formula>0</formula>
    </cfRule>
  </conditionalFormatting>
  <conditionalFormatting sqref="Z11">
    <cfRule type="expression" dxfId="2061" priority="132" stopIfTrue="1">
      <formula>AND(Z11&lt;&gt;0, NOT(ISTEXT(Y11)))</formula>
    </cfRule>
    <cfRule type="cellIs" dxfId="2060" priority="133" stopIfTrue="1" operator="lessThan">
      <formula>0</formula>
    </cfRule>
  </conditionalFormatting>
  <conditionalFormatting sqref="Z12">
    <cfRule type="expression" dxfId="2059" priority="130" stopIfTrue="1">
      <formula>AND(Z12&lt;&gt;0, NOT(ISTEXT(Y12)))</formula>
    </cfRule>
    <cfRule type="cellIs" dxfId="2058" priority="131" stopIfTrue="1" operator="lessThan">
      <formula>0</formula>
    </cfRule>
  </conditionalFormatting>
  <conditionalFormatting sqref="Z13">
    <cfRule type="expression" dxfId="2057" priority="128" stopIfTrue="1">
      <formula>AND(Z13&lt;&gt;0, NOT(ISTEXT(Y13)))</formula>
    </cfRule>
    <cfRule type="cellIs" dxfId="2056" priority="129" stopIfTrue="1" operator="lessThan">
      <formula>0</formula>
    </cfRule>
  </conditionalFormatting>
  <conditionalFormatting sqref="Z14">
    <cfRule type="expression" dxfId="2055" priority="126" stopIfTrue="1">
      <formula>AND(Z14&lt;&gt;0, NOT(ISTEXT(Y14)))</formula>
    </cfRule>
    <cfRule type="cellIs" dxfId="2054" priority="127" stopIfTrue="1" operator="lessThan">
      <formula>0</formula>
    </cfRule>
  </conditionalFormatting>
  <conditionalFormatting sqref="Z15">
    <cfRule type="expression" dxfId="2053" priority="124" stopIfTrue="1">
      <formula>AND(Z15&lt;&gt;0, NOT(ISTEXT(Y15)))</formula>
    </cfRule>
    <cfRule type="cellIs" dxfId="2052" priority="125" stopIfTrue="1" operator="lessThan">
      <formula>0</formula>
    </cfRule>
  </conditionalFormatting>
  <conditionalFormatting sqref="Z23">
    <cfRule type="expression" dxfId="2051" priority="121" stopIfTrue="1">
      <formula>AND(Z23&lt;&gt;0, NOT(ISTEXT(Y23)))</formula>
    </cfRule>
    <cfRule type="cellIs" dxfId="2050" priority="122" stopIfTrue="1" operator="lessThan">
      <formula>0</formula>
    </cfRule>
  </conditionalFormatting>
  <conditionalFormatting sqref="Z44">
    <cfRule type="expression" dxfId="2049" priority="119" stopIfTrue="1">
      <formula>AND(Z44&lt;&gt;0, NOT(ISTEXT(Y44)))</formula>
    </cfRule>
    <cfRule type="cellIs" dxfId="2048" priority="120" stopIfTrue="1" operator="lessThan">
      <formula>0</formula>
    </cfRule>
  </conditionalFormatting>
  <conditionalFormatting sqref="Z24">
    <cfRule type="expression" dxfId="2047" priority="117" stopIfTrue="1">
      <formula>AND(Z24&lt;&gt;0, NOT(ISTEXT(Y24)))</formula>
    </cfRule>
    <cfRule type="cellIs" dxfId="2046" priority="118" stopIfTrue="1" operator="lessThan">
      <formula>0</formula>
    </cfRule>
  </conditionalFormatting>
  <conditionalFormatting sqref="Z25">
    <cfRule type="expression" dxfId="2045" priority="115" stopIfTrue="1">
      <formula>AND(Z25&lt;&gt;0, NOT(ISTEXT(Y25)))</formula>
    </cfRule>
    <cfRule type="cellIs" dxfId="2044" priority="116" stopIfTrue="1" operator="lessThan">
      <formula>0</formula>
    </cfRule>
  </conditionalFormatting>
  <conditionalFormatting sqref="Z26">
    <cfRule type="expression" dxfId="2043" priority="113" stopIfTrue="1">
      <formula>AND(Z26&lt;&gt;0, NOT(ISTEXT(Y26)))</formula>
    </cfRule>
    <cfRule type="cellIs" dxfId="2042" priority="114" stopIfTrue="1" operator="lessThan">
      <formula>0</formula>
    </cfRule>
  </conditionalFormatting>
  <conditionalFormatting sqref="Z27">
    <cfRule type="expression" dxfId="2041" priority="111" stopIfTrue="1">
      <formula>AND(Z27&lt;&gt;0, NOT(ISTEXT(Y27)))</formula>
    </cfRule>
    <cfRule type="cellIs" dxfId="2040" priority="112" stopIfTrue="1" operator="lessThan">
      <formula>0</formula>
    </cfRule>
  </conditionalFormatting>
  <conditionalFormatting sqref="Z28">
    <cfRule type="expression" dxfId="2039" priority="109" stopIfTrue="1">
      <formula>AND(Z28&lt;&gt;0, NOT(ISTEXT(Y28)))</formula>
    </cfRule>
    <cfRule type="cellIs" dxfId="2038" priority="110" stopIfTrue="1" operator="lessThan">
      <formula>0</formula>
    </cfRule>
  </conditionalFormatting>
  <conditionalFormatting sqref="Z29">
    <cfRule type="expression" dxfId="2037" priority="107" stopIfTrue="1">
      <formula>AND(Z29&lt;&gt;0, NOT(ISTEXT(Y29)))</formula>
    </cfRule>
    <cfRule type="cellIs" dxfId="2036" priority="108" stopIfTrue="1" operator="lessThan">
      <formula>0</formula>
    </cfRule>
  </conditionalFormatting>
  <conditionalFormatting sqref="Z30">
    <cfRule type="expression" dxfId="2035" priority="105" stopIfTrue="1">
      <formula>AND(Z30&lt;&gt;0, NOT(ISTEXT(Y30)))</formula>
    </cfRule>
    <cfRule type="cellIs" dxfId="2034" priority="106" stopIfTrue="1" operator="lessThan">
      <formula>0</formula>
    </cfRule>
  </conditionalFormatting>
  <conditionalFormatting sqref="Z31">
    <cfRule type="expression" dxfId="2033" priority="103" stopIfTrue="1">
      <formula>AND(Z31&lt;&gt;0, NOT(ISTEXT(Y31)))</formula>
    </cfRule>
    <cfRule type="cellIs" dxfId="2032" priority="104" stopIfTrue="1" operator="lessThan">
      <formula>0</formula>
    </cfRule>
  </conditionalFormatting>
  <conditionalFormatting sqref="Z32">
    <cfRule type="expression" dxfId="2031" priority="101" stopIfTrue="1">
      <formula>AND(Z32&lt;&gt;0, NOT(ISTEXT(Y32)))</formula>
    </cfRule>
    <cfRule type="cellIs" dxfId="2030" priority="102" stopIfTrue="1" operator="lessThan">
      <formula>0</formula>
    </cfRule>
  </conditionalFormatting>
  <conditionalFormatting sqref="Z33">
    <cfRule type="expression" dxfId="2029" priority="99" stopIfTrue="1">
      <formula>AND(Z33&lt;&gt;0, NOT(ISTEXT(Y33)))</formula>
    </cfRule>
    <cfRule type="cellIs" dxfId="2028" priority="100" stopIfTrue="1" operator="lessThan">
      <formula>0</formula>
    </cfRule>
  </conditionalFormatting>
  <conditionalFormatting sqref="Z34">
    <cfRule type="expression" dxfId="2027" priority="97" stopIfTrue="1">
      <formula>AND(Z34&lt;&gt;0, NOT(ISTEXT(Y34)))</formula>
    </cfRule>
    <cfRule type="cellIs" dxfId="2026" priority="98" stopIfTrue="1" operator="lessThan">
      <formula>0</formula>
    </cfRule>
  </conditionalFormatting>
  <conditionalFormatting sqref="Z35">
    <cfRule type="expression" dxfId="2025" priority="95" stopIfTrue="1">
      <formula>AND(Z35&lt;&gt;0, NOT(ISTEXT(Y35)))</formula>
    </cfRule>
    <cfRule type="cellIs" dxfId="2024" priority="96" stopIfTrue="1" operator="lessThan">
      <formula>0</formula>
    </cfRule>
  </conditionalFormatting>
  <conditionalFormatting sqref="Z36">
    <cfRule type="expression" dxfId="2023" priority="93" stopIfTrue="1">
      <formula>AND(Z36&lt;&gt;0, NOT(ISTEXT(Y36)))</formula>
    </cfRule>
    <cfRule type="cellIs" dxfId="2022" priority="94" stopIfTrue="1" operator="lessThan">
      <formula>0</formula>
    </cfRule>
  </conditionalFormatting>
  <conditionalFormatting sqref="Z37">
    <cfRule type="expression" dxfId="2021" priority="91" stopIfTrue="1">
      <formula>AND(Z37&lt;&gt;0, NOT(ISTEXT(Y37)))</formula>
    </cfRule>
    <cfRule type="cellIs" dxfId="2020" priority="92" stopIfTrue="1" operator="lessThan">
      <formula>0</formula>
    </cfRule>
  </conditionalFormatting>
  <conditionalFormatting sqref="Z38">
    <cfRule type="expression" dxfId="2019" priority="89" stopIfTrue="1">
      <formula>AND(Z38&lt;&gt;0, NOT(ISTEXT(Y38)))</formula>
    </cfRule>
    <cfRule type="cellIs" dxfId="2018" priority="90" stopIfTrue="1" operator="lessThan">
      <formula>0</formula>
    </cfRule>
  </conditionalFormatting>
  <conditionalFormatting sqref="Z39">
    <cfRule type="expression" dxfId="2017" priority="87" stopIfTrue="1">
      <formula>AND(Z39&lt;&gt;0, NOT(ISTEXT(Y39)))</formula>
    </cfRule>
    <cfRule type="cellIs" dxfId="2016" priority="88" stopIfTrue="1" operator="lessThan">
      <formula>0</formula>
    </cfRule>
  </conditionalFormatting>
  <conditionalFormatting sqref="Z40">
    <cfRule type="expression" dxfId="2015" priority="85" stopIfTrue="1">
      <formula>AND(Z40&lt;&gt;0, NOT(ISTEXT(Y40)))</formula>
    </cfRule>
    <cfRule type="cellIs" dxfId="2014" priority="86" stopIfTrue="1" operator="lessThan">
      <formula>0</formula>
    </cfRule>
  </conditionalFormatting>
  <conditionalFormatting sqref="Z41">
    <cfRule type="expression" dxfId="2013" priority="83" stopIfTrue="1">
      <formula>AND(Z41&lt;&gt;0, NOT(ISTEXT(Y41)))</formula>
    </cfRule>
    <cfRule type="cellIs" dxfId="2012" priority="84" stopIfTrue="1" operator="lessThan">
      <formula>0</formula>
    </cfRule>
  </conditionalFormatting>
  <conditionalFormatting sqref="Z42">
    <cfRule type="expression" dxfId="2011" priority="81" stopIfTrue="1">
      <formula>AND(Z42&lt;&gt;0, NOT(ISTEXT(Y42)))</formula>
    </cfRule>
    <cfRule type="cellIs" dxfId="2010" priority="82" stopIfTrue="1" operator="lessThan">
      <formula>0</formula>
    </cfRule>
  </conditionalFormatting>
  <conditionalFormatting sqref="Z43">
    <cfRule type="expression" dxfId="2009" priority="79" stopIfTrue="1">
      <formula>AND(Z43&lt;&gt;0, NOT(ISTEXT(Y43)))</formula>
    </cfRule>
    <cfRule type="cellIs" dxfId="2008" priority="80" stopIfTrue="1" operator="lessThan">
      <formula>0</formula>
    </cfRule>
  </conditionalFormatting>
  <conditionalFormatting sqref="D7:D17 D27:D39 AA6:AA16">
    <cfRule type="expression" dxfId="2007" priority="71" stopIfTrue="1">
      <formula>AND(D6&lt;&gt;0,NOT(ISTEXT(B6)))</formula>
    </cfRule>
  </conditionalFormatting>
  <conditionalFormatting sqref="C65">
    <cfRule type="expression" dxfId="2006" priority="67" stopIfTrue="1">
      <formula>AND(C65&lt;&gt;0, NOT(ISTEXT(B65)))</formula>
    </cfRule>
    <cfRule type="cellIs" dxfId="2005" priority="68" stopIfTrue="1" operator="lessThan">
      <formula>0</formula>
    </cfRule>
  </conditionalFormatting>
  <conditionalFormatting sqref="C77">
    <cfRule type="expression" dxfId="2004" priority="65" stopIfTrue="1">
      <formula>AND(C77&lt;&gt;0, NOT(ISTEXT(B77)))</formula>
    </cfRule>
    <cfRule type="cellIs" dxfId="2003" priority="66" stopIfTrue="1" operator="lessThan">
      <formula>0</formula>
    </cfRule>
  </conditionalFormatting>
  <conditionalFormatting sqref="C66">
    <cfRule type="expression" dxfId="2002" priority="63" stopIfTrue="1">
      <formula>AND(C66&lt;&gt;0, NOT(ISTEXT(B66)))</formula>
    </cfRule>
    <cfRule type="cellIs" dxfId="2001" priority="64" stopIfTrue="1" operator="lessThan">
      <formula>0</formula>
    </cfRule>
  </conditionalFormatting>
  <conditionalFormatting sqref="C67">
    <cfRule type="expression" dxfId="2000" priority="61" stopIfTrue="1">
      <formula>AND(C67&lt;&gt;0, NOT(ISTEXT(B67)))</formula>
    </cfRule>
    <cfRule type="cellIs" dxfId="1999" priority="62" stopIfTrue="1" operator="lessThan">
      <formula>0</formula>
    </cfRule>
  </conditionalFormatting>
  <conditionalFormatting sqref="C68">
    <cfRule type="expression" dxfId="1998" priority="59" stopIfTrue="1">
      <formula>AND(C68&lt;&gt;0, NOT(ISTEXT(B68)))</formula>
    </cfRule>
    <cfRule type="cellIs" dxfId="1997" priority="60" stopIfTrue="1" operator="lessThan">
      <formula>0</formula>
    </cfRule>
  </conditionalFormatting>
  <conditionalFormatting sqref="C69">
    <cfRule type="expression" dxfId="1996" priority="57" stopIfTrue="1">
      <formula>AND(C69&lt;&gt;0, NOT(ISTEXT(B69)))</formula>
    </cfRule>
    <cfRule type="cellIs" dxfId="1995" priority="58" stopIfTrue="1" operator="lessThan">
      <formula>0</formula>
    </cfRule>
  </conditionalFormatting>
  <conditionalFormatting sqref="C70">
    <cfRule type="expression" dxfId="1994" priority="55" stopIfTrue="1">
      <formula>AND(C70&lt;&gt;0, NOT(ISTEXT(B70)))</formula>
    </cfRule>
    <cfRule type="cellIs" dxfId="1993" priority="56" stopIfTrue="1" operator="lessThan">
      <formula>0</formula>
    </cfRule>
  </conditionalFormatting>
  <conditionalFormatting sqref="C71">
    <cfRule type="expression" dxfId="1992" priority="53" stopIfTrue="1">
      <formula>AND(C71&lt;&gt;0, NOT(ISTEXT(B71)))</formula>
    </cfRule>
    <cfRule type="cellIs" dxfId="1991" priority="54" stopIfTrue="1" operator="lessThan">
      <formula>0</formula>
    </cfRule>
  </conditionalFormatting>
  <conditionalFormatting sqref="C72">
    <cfRule type="expression" dxfId="1990" priority="51" stopIfTrue="1">
      <formula>AND(C72&lt;&gt;0, NOT(ISTEXT(B72)))</formula>
    </cfRule>
    <cfRule type="cellIs" dxfId="1989" priority="52" stopIfTrue="1" operator="lessThan">
      <formula>0</formula>
    </cfRule>
  </conditionalFormatting>
  <conditionalFormatting sqref="C73">
    <cfRule type="expression" dxfId="1988" priority="49" stopIfTrue="1">
      <formula>AND(C73&lt;&gt;0, NOT(ISTEXT(B73)))</formula>
    </cfRule>
    <cfRule type="cellIs" dxfId="1987" priority="50" stopIfTrue="1" operator="lessThan">
      <formula>0</formula>
    </cfRule>
  </conditionalFormatting>
  <conditionalFormatting sqref="C74">
    <cfRule type="expression" dxfId="1986" priority="47" stopIfTrue="1">
      <formula>AND(C74&lt;&gt;0, NOT(ISTEXT(B74)))</formula>
    </cfRule>
    <cfRule type="cellIs" dxfId="1985" priority="48" stopIfTrue="1" operator="lessThan">
      <formula>0</formula>
    </cfRule>
  </conditionalFormatting>
  <conditionalFormatting sqref="C75">
    <cfRule type="expression" dxfId="1984" priority="45" stopIfTrue="1">
      <formula>AND(C75&lt;&gt;0, NOT(ISTEXT(B75)))</formula>
    </cfRule>
    <cfRule type="cellIs" dxfId="1983" priority="46" stopIfTrue="1" operator="lessThan">
      <formula>0</formula>
    </cfRule>
  </conditionalFormatting>
  <conditionalFormatting sqref="C76">
    <cfRule type="expression" dxfId="1982" priority="43" stopIfTrue="1">
      <formula>AND(C76&lt;&gt;0, NOT(ISTEXT(B76)))</formula>
    </cfRule>
    <cfRule type="cellIs" dxfId="1981" priority="44" stopIfTrue="1" operator="lessThan">
      <formula>0</formula>
    </cfRule>
  </conditionalFormatting>
  <conditionalFormatting sqref="D65:D77">
    <cfRule type="expression" dxfId="1980" priority="41" stopIfTrue="1">
      <formula>AND(D65&lt;&gt;0,NOT(ISTEXT(B65)))</formula>
    </cfRule>
  </conditionalFormatting>
  <conditionalFormatting sqref="C86">
    <cfRule type="expression" dxfId="1979" priority="37" stopIfTrue="1">
      <formula>AND(C86&lt;&gt;0, NOT(ISTEXT(B86)))</formula>
    </cfRule>
    <cfRule type="cellIs" dxfId="1978" priority="38" stopIfTrue="1" operator="lessThan">
      <formula>0</formula>
    </cfRule>
  </conditionalFormatting>
  <conditionalFormatting sqref="C78">
    <cfRule type="expression" dxfId="1977" priority="35" stopIfTrue="1">
      <formula>AND(C78&lt;&gt;0, NOT(ISTEXT(B78)))</formula>
    </cfRule>
    <cfRule type="cellIs" dxfId="1976" priority="36" stopIfTrue="1" operator="lessThan">
      <formula>0</formula>
    </cfRule>
  </conditionalFormatting>
  <conditionalFormatting sqref="C79">
    <cfRule type="expression" dxfId="1975" priority="33" stopIfTrue="1">
      <formula>AND(C79&lt;&gt;0, NOT(ISTEXT(B79)))</formula>
    </cfRule>
    <cfRule type="cellIs" dxfId="1974" priority="34" stopIfTrue="1" operator="lessThan">
      <formula>0</formula>
    </cfRule>
  </conditionalFormatting>
  <conditionalFormatting sqref="C80">
    <cfRule type="expression" dxfId="1973" priority="31" stopIfTrue="1">
      <formula>AND(C80&lt;&gt;0, NOT(ISTEXT(B80)))</formula>
    </cfRule>
    <cfRule type="cellIs" dxfId="1972" priority="32" stopIfTrue="1" operator="lessThan">
      <formula>0</formula>
    </cfRule>
  </conditionalFormatting>
  <conditionalFormatting sqref="C81">
    <cfRule type="expression" dxfId="1971" priority="29" stopIfTrue="1">
      <formula>AND(C81&lt;&gt;0, NOT(ISTEXT(B81)))</formula>
    </cfRule>
    <cfRule type="cellIs" dxfId="1970" priority="30" stopIfTrue="1" operator="lessThan">
      <formula>0</formula>
    </cfRule>
  </conditionalFormatting>
  <conditionalFormatting sqref="C82">
    <cfRule type="expression" dxfId="1969" priority="27" stopIfTrue="1">
      <formula>AND(C82&lt;&gt;0, NOT(ISTEXT(B82)))</formula>
    </cfRule>
    <cfRule type="cellIs" dxfId="1968" priority="28" stopIfTrue="1" operator="lessThan">
      <formula>0</formula>
    </cfRule>
  </conditionalFormatting>
  <conditionalFormatting sqref="C83">
    <cfRule type="expression" dxfId="1967" priority="25" stopIfTrue="1">
      <formula>AND(C83&lt;&gt;0, NOT(ISTEXT(B83)))</formula>
    </cfRule>
    <cfRule type="cellIs" dxfId="1966" priority="26" stopIfTrue="1" operator="lessThan">
      <formula>0</formula>
    </cfRule>
  </conditionalFormatting>
  <conditionalFormatting sqref="C84">
    <cfRule type="expression" dxfId="1965" priority="23" stopIfTrue="1">
      <formula>AND(C84&lt;&gt;0, NOT(ISTEXT(B84)))</formula>
    </cfRule>
    <cfRule type="cellIs" dxfId="1964" priority="24" stopIfTrue="1" operator="lessThan">
      <formula>0</formula>
    </cfRule>
  </conditionalFormatting>
  <conditionalFormatting sqref="C85">
    <cfRule type="expression" dxfId="1963" priority="21" stopIfTrue="1">
      <formula>AND(C85&lt;&gt;0, NOT(ISTEXT(B85)))</formula>
    </cfRule>
    <cfRule type="cellIs" dxfId="1962" priority="22" stopIfTrue="1" operator="lessThan">
      <formula>0</formula>
    </cfRule>
  </conditionalFormatting>
  <conditionalFormatting sqref="D78:D86">
    <cfRule type="expression" dxfId="1961" priority="19" stopIfTrue="1">
      <formula>AND(D78&lt;&gt;0,NOT(ISTEXT(B78)))</formula>
    </cfRule>
  </conditionalFormatting>
  <conditionalFormatting sqref="D7:D17 D27:D39 D65:D86">
    <cfRule type="cellIs" dxfId="1960" priority="16" stopIfTrue="1" operator="greaterThan">
      <formula>C7</formula>
    </cfRule>
  </conditionalFormatting>
  <conditionalFormatting sqref="AE23:AE44">
    <cfRule type="expression" dxfId="1959" priority="7" stopIfTrue="1">
      <formula>((Z23*(12-$AR$19))-AE23)/(Z23*(12-$AR$19)+0.00001)&gt;0.9</formula>
    </cfRule>
    <cfRule type="expression" dxfId="1958" priority="8" stopIfTrue="1">
      <formula>((Z23*(12-$AR$19))-AE23)/(Z23*(12-$AR$19)+0.00001)&gt;0.8</formula>
    </cfRule>
    <cfRule type="expression" dxfId="1957" priority="9" stopIfTrue="1">
      <formula>((Z23*(12-$AR$19))-AE23)/(Z23*(12-$AR$19)+0.00001)&gt;0.7</formula>
    </cfRule>
    <cfRule type="expression" dxfId="1956" priority="10" stopIfTrue="1">
      <formula>((Z23*(12-$AR$19))-AE23)/(Z23*(12-$AR$19)+0.00001)&gt;0.6</formula>
    </cfRule>
    <cfRule type="expression" dxfId="1955" priority="11" stopIfTrue="1">
      <formula>((Z23*(12-$AR$19))-AE23)/(Z23*(12-$AR$19)+0.00001)&gt;0.5</formula>
    </cfRule>
    <cfRule type="expression" dxfId="1954" priority="12" stopIfTrue="1">
      <formula>((Z23*(12-$AR$19))-AE23)/(Z23*(12-$AR$19)+0.00001)&gt;0.4</formula>
    </cfRule>
    <cfRule type="expression" dxfId="1953" priority="13" stopIfTrue="1">
      <formula>((Z23*(12-$AR$19))-AE23)/(Z23*(12-$AR$19)+0.00001)&gt;0.3</formula>
    </cfRule>
    <cfRule type="expression" dxfId="1952" priority="377" stopIfTrue="1">
      <formula>((Z23*(12-$AR$19))-AE23)/(Z23*(12-$AR$19)+0.00001)&gt;0.2</formula>
    </cfRule>
  </conditionalFormatting>
  <conditionalFormatting sqref="N55:N56">
    <cfRule type="containsText" dxfId="1951" priority="4" stopIfTrue="1" operator="containsText" text="No">
      <formula>NOT(ISERROR(SEARCH("No",N55)))</formula>
    </cfRule>
  </conditionalFormatting>
  <conditionalFormatting sqref="AE15:AE20">
    <cfRule type="containsText" dxfId="1950" priority="3" stopIfTrue="1" operator="containsText" text="Over">
      <formula>NOT(ISERROR(SEARCH("Over",AE15)))</formula>
    </cfRule>
  </conditionalFormatting>
  <conditionalFormatting sqref="B20:D20">
    <cfRule type="containsText" dxfId="1949" priority="2" stopIfTrue="1" operator="containsText" text="Check">
      <formula>NOT(ISERROR(SEARCH("Check",B20)))</formula>
    </cfRule>
  </conditionalFormatting>
  <conditionalFormatting sqref="B42:D42">
    <cfRule type="containsText" dxfId="1948" priority="1" stopIfTrue="1" operator="containsText" text="Check">
      <formula>NOT(ISERROR(SEARCH("Check",B42)))</formula>
    </cfRule>
  </conditionalFormatting>
  <dataValidations count="14">
    <dataValidation type="custom" showInputMessage="1" showErrorMessage="1" errorTitle="שגיאה" error="חובה למלא את שם ההוצאה לפני מילוי הסכום." sqref="J64:J110 Q7:Q45 J7:J53 Q64:Q110">
      <formula1>ISTEXT(I7)</formula1>
    </dataValidation>
    <dataValidation type="custom" showInputMessage="1" showErrorMessage="1" errorTitle="שגיאה" error="חובה לתת שם לכל סעיף שנרשם בו תקציב" sqref="C7:C17 C27:C39 C45:C56 Z6:Z16 Z23:Z44 C65:C86">
      <formula1>ISTEXT(B6)</formula1>
    </dataValidation>
    <dataValidation type="custom" showInputMessage="1" showErrorMessage="1" errorTitle="שגיאה" error="חובה לתת שם לכל סעיף שנרשם בו ביצוע" sqref="D65:D86 D7:D17 D27:D39 AA6:AA16 AC17">
      <formula1>ISTEXT(B6)</formula1>
    </dataValidation>
    <dataValidation type="whole" allowBlank="1" showInputMessage="1" showErrorMessage="1" errorTitle="ערך לא חוקי" error="התא יכול לקבל 0 או 1. ערכים אחרים אינם חוקיים." prompt="שים לב!_x000a_שינוי תא זה עלול להשפיע על התקציב המתוכנן לשוטפות בחודש הבא." sqref="AI23:AI44">
      <formula1>0</formula1>
      <formula2>1</formula2>
    </dataValidation>
    <dataValidation type="list" errorStyle="information" allowBlank="1" showInputMessage="1" sqref="K64:K110 U64:U110 U7:U45 E7:E17 E27:E39 E65:E86 K7:K53 AB6:AB16">
      <formula1>$AT$5:$AT$9</formula1>
    </dataValidation>
    <dataValidation type="whole" allowBlank="1" showInputMessage="1" showErrorMessage="1" error="מס' יום לא חוקי" sqref="O7:O45 H7:H53 H64:H110 O64:O110">
      <formula1>1</formula1>
      <formula2>31</formula2>
    </dataValidation>
    <dataValidation type="list" allowBlank="1" showInputMessage="1" showErrorMessage="1" error="חובה לבחור בהתפריט הנפתח" sqref="P7:P45 P64:P110">
      <formula1>$Y$23:$Y$44</formula1>
    </dataValidation>
    <dataValidation type="list" allowBlank="1" showInputMessage="1" showErrorMessage="1" error="חובה לבחור כן/לא." sqref="N55:N56">
      <formula1>$AP$55:$AP$56</formula1>
    </dataValidation>
    <dataValidation type="list" allowBlank="1" showInputMessage="1" showErrorMessage="1" error="חובה לבחור מהתפריט הנפתח" sqref="I7:I53 I64:I110">
      <formula1>$B$45:$B$56</formula1>
    </dataValidation>
    <dataValidation allowBlank="1" showInputMessage="1" showErrorMessage="1" prompt="שים לב! שינוי תא זה יבטל את החישוב האוטומטי לסה&quot;כ ביצוע הוצאות קבועות לחודש הנוכחי. " sqref="D18"/>
    <dataValidation allowBlank="1" showInputMessage="1" showErrorMessage="1" prompt="שים לב! שינוי תא זה יבטל את החישוב האוטומטי לסה&quot;כ ביצוע החזרי החובות לחודש הנוכחי. " sqref="D40"/>
    <dataValidation type="custom" errorStyle="warning" allowBlank="1" showInputMessage="1" showErrorMessage="1" errorTitle="סעיף כבר בשימוש" error="שם סעיף זה כבר בשימוש בקטגוריה זו או בקטגוריה אחרת. יתכן גם שנרשמה עליו שם כבר הוצאה בחודש זה." sqref="Y23:Y44 B45:B56 B27:B39 B65:B86 B7:B17">
      <formula1>(COUNTIF($B$7:$B$17,B7)+COUNTIF($B$27:$B$39,B7)+COUNTIF($B$45:$B$56,B7)+COUNTIF($I$7:$I$53,B7)+COUNTIF($Y$23:$Y$44,B7)+COUNTIF($P$7:$P$45,B7))&lt;=1</formula1>
    </dataValidation>
    <dataValidation type="list" allowBlank="1" showInputMessage="1" showErrorMessage="1" error="חובה לבחור מהתפריט הנפתח" sqref="N58">
      <formula1>$AQ$55:$AQ$56</formula1>
    </dataValidation>
    <dataValidation type="custom" errorStyle="information" allowBlank="1" showInputMessage="1" showErrorMessage="1" error="אתם מזינים עיסקת תשלומים. _x000a_חובה למלא את עמודות &quot;מספר התשלום&quot; ו- &quot;מתוך&quot; כדי שהתשלומים הבאים יוכנסו אוטומטית." prompt="שנה תא זה רק בהזנת עיסקת תשלומים._x000a_בחודש הראשון - הזן את סכום העיסקה הכולל._x000a_בחודשי התשלום הבאים - יוכנס אוטומטית 0 (יוצג כ &quot;-&quot;)." sqref="R7:R45 R64:R110">
      <formula1>R7=Q7</formula1>
    </dataValidation>
  </dataValidations>
  <hyperlinks>
    <hyperlink ref="Q3" location="I!Y21:Z46" tooltip="To Summary Table" display="List Periodic Expenses"/>
    <hyperlink ref="I3" location="I!B44:C58" tooltip="To Summary Table" display="List Everyday Expenses"/>
  </hyperlinks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FFFF00"/>
    <outlinePr summaryBelow="0" summaryRight="0"/>
  </sheetPr>
  <dimension ref="A1:CN152"/>
  <sheetViews>
    <sheetView showZeros="0" zoomScale="75" zoomScaleNormal="75" workbookViewId="0"/>
  </sheetViews>
  <sheetFormatPr defaultColWidth="9.125" defaultRowHeight="14.25" outlineLevelRow="1" outlineLevelCol="1"/>
  <cols>
    <col min="1" max="1" width="0.625" style="2" customWidth="1"/>
    <col min="2" max="2" width="22.125" style="2" customWidth="1"/>
    <col min="3" max="3" width="8.125" style="2" customWidth="1"/>
    <col min="4" max="4" width="9.75" style="2" customWidth="1" collapsed="1"/>
    <col min="5" max="5" width="12.25" style="2" hidden="1" customWidth="1" outlineLevel="1"/>
    <col min="6" max="6" width="20.75" style="2" hidden="1" customWidth="1" outlineLevel="1"/>
    <col min="7" max="7" width="1.125" style="2" customWidth="1"/>
    <col min="8" max="8" width="5.375" style="2" customWidth="1"/>
    <col min="9" max="9" width="22.125" style="2" customWidth="1"/>
    <col min="10" max="10" width="8.125" style="2" customWidth="1" collapsed="1"/>
    <col min="11" max="11" width="12.25" style="2" hidden="1" customWidth="1" outlineLevel="1"/>
    <col min="12" max="12" width="20.75" style="2" hidden="1" customWidth="1" outlineLevel="1"/>
    <col min="13" max="13" width="10.75" style="2" customWidth="1" collapsed="1"/>
    <col min="14" max="14" width="4.875" style="2" customWidth="1"/>
    <col min="15" max="15" width="5" style="3" customWidth="1"/>
    <col min="16" max="16" width="22.125" style="2" customWidth="1"/>
    <col min="17" max="17" width="10.875" style="2" customWidth="1"/>
    <col min="18" max="18" width="9.875" style="2" bestFit="1" customWidth="1"/>
    <col min="19" max="19" width="4.625" style="26" customWidth="1" collapsed="1"/>
    <col min="20" max="20" width="3.75" style="26" customWidth="1" collapsed="1"/>
    <col min="21" max="21" width="12.25" style="26" hidden="1" customWidth="1" outlineLevel="1"/>
    <col min="22" max="22" width="20.75" style="26" hidden="1" customWidth="1" outlineLevel="1"/>
    <col min="23" max="23" width="10.75" style="2" customWidth="1"/>
    <col min="24" max="24" width="1.125" style="2" customWidth="1"/>
    <col min="25" max="25" width="24.125" style="2" customWidth="1"/>
    <col min="26" max="26" width="9.875" style="2" bestFit="1" customWidth="1"/>
    <col min="27" max="27" width="10.875" style="2" bestFit="1" customWidth="1" collapsed="1"/>
    <col min="28" max="28" width="13.375" style="2" hidden="1" customWidth="1" outlineLevel="1"/>
    <col min="29" max="29" width="15" style="2" hidden="1" customWidth="1" outlineLevel="1"/>
    <col min="30" max="30" width="10.875" style="2" hidden="1" customWidth="1"/>
    <col min="31" max="31" width="13.875" style="2" customWidth="1"/>
    <col min="32" max="32" width="3" style="2" customWidth="1"/>
    <col min="33" max="33" width="9.75" style="2" customWidth="1"/>
    <col min="34" max="34" width="5.625" style="2" customWidth="1"/>
    <col min="35" max="35" width="4.25" style="2" customWidth="1"/>
    <col min="36" max="36" width="9.125" style="2"/>
    <col min="37" max="37" width="11.875" style="2" customWidth="1"/>
    <col min="38" max="38" width="13.875" style="2" customWidth="1"/>
    <col min="39" max="40" width="9.125" style="2"/>
    <col min="41" max="41" width="9.125" style="52" customWidth="1"/>
    <col min="42" max="42" width="13.875" style="52" hidden="1" customWidth="1"/>
    <col min="43" max="43" width="15.875" style="52" hidden="1" customWidth="1"/>
    <col min="44" max="44" width="18.125" style="52" hidden="1" customWidth="1"/>
    <col min="45" max="45" width="16" style="52" hidden="1" customWidth="1"/>
    <col min="46" max="46" width="11.75" style="52" hidden="1" customWidth="1"/>
    <col min="47" max="47" width="9.125" style="52" hidden="1" customWidth="1"/>
    <col min="48" max="48" width="14" style="52" hidden="1" customWidth="1"/>
    <col min="49" max="49" width="16.75" style="52" hidden="1" customWidth="1"/>
    <col min="50" max="50" width="17.375" style="52" hidden="1" customWidth="1"/>
    <col min="51" max="51" width="9.125" style="52" hidden="1" customWidth="1"/>
    <col min="52" max="53" width="9.125" style="2" hidden="1" customWidth="1"/>
    <col min="54" max="60" width="9.125" style="2"/>
    <col min="61" max="61" width="2.875" style="2" customWidth="1"/>
    <col min="62" max="90" width="9.125" style="2"/>
    <col min="91" max="92" width="0" style="52" hidden="1" customWidth="1"/>
    <col min="93" max="16384" width="9.125" style="2"/>
  </cols>
  <sheetData>
    <row r="1" spans="1:92" s="367" customFormat="1" ht="15">
      <c r="B1" s="880" t="s">
        <v>381</v>
      </c>
      <c r="O1" s="512"/>
      <c r="S1" s="371"/>
      <c r="T1" s="371"/>
      <c r="U1" s="371"/>
      <c r="V1" s="371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CM1" s="86"/>
      <c r="CN1" s="86"/>
    </row>
    <row r="2" spans="1:92" ht="20.25">
      <c r="A2" s="367"/>
      <c r="B2" s="809" t="s">
        <v>468</v>
      </c>
      <c r="C2" s="890" t="s">
        <v>475</v>
      </c>
      <c r="E2" s="367"/>
      <c r="F2" s="367"/>
      <c r="G2" s="367"/>
      <c r="H2" s="367"/>
      <c r="I2" s="367"/>
      <c r="J2" s="368"/>
      <c r="K2" s="596"/>
      <c r="L2" s="585"/>
      <c r="M2" s="67" t="str">
        <f>IF('Month A'!M2="Month","",VLOOKUP(I!M2,'Month A'!CM3:CN14,2,FALSE))</f>
        <v/>
      </c>
      <c r="N2" s="1232" t="str">
        <f>IF('Month A'!N2:O2="Year","",IF(M2="Jan",I!N2:O2+1,I!N2:O2))</f>
        <v/>
      </c>
      <c r="O2" s="1232"/>
      <c r="Q2" s="367"/>
      <c r="R2" s="878" t="s">
        <v>491</v>
      </c>
      <c r="S2" s="371"/>
      <c r="U2" s="371"/>
      <c r="V2" s="371"/>
      <c r="W2" s="367"/>
      <c r="X2" s="367"/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86"/>
    </row>
    <row r="3" spans="1:92" ht="19.5" customHeight="1" thickBot="1">
      <c r="A3" s="367"/>
      <c r="B3" s="1162" t="s">
        <v>348</v>
      </c>
      <c r="C3" s="1163"/>
      <c r="D3" s="378"/>
      <c r="E3" s="378"/>
      <c r="F3" s="378"/>
      <c r="G3" s="367"/>
      <c r="I3" s="830" t="s">
        <v>345</v>
      </c>
      <c r="J3" s="380"/>
      <c r="K3" s="367"/>
      <c r="L3" s="581"/>
      <c r="M3" s="367"/>
      <c r="N3" s="367"/>
      <c r="O3" s="377"/>
      <c r="P3" s="381"/>
      <c r="Q3" s="830" t="s">
        <v>346</v>
      </c>
      <c r="R3" s="641"/>
      <c r="S3" s="513"/>
      <c r="T3" s="381"/>
      <c r="U3" s="513"/>
      <c r="V3" s="513"/>
      <c r="W3" s="555"/>
      <c r="X3" s="382"/>
      <c r="Y3" s="1218" t="s">
        <v>296</v>
      </c>
      <c r="Z3" s="1218"/>
      <c r="AA3" s="1218"/>
      <c r="AB3" s="554"/>
      <c r="AC3" s="554"/>
      <c r="AD3" s="383"/>
      <c r="AE3" s="367"/>
      <c r="AF3" s="367"/>
      <c r="AG3" s="367"/>
      <c r="AH3" s="367"/>
      <c r="AI3" s="367"/>
      <c r="AJ3" s="367"/>
      <c r="AK3" s="367"/>
      <c r="AL3" s="367"/>
      <c r="AM3" s="367"/>
      <c r="AN3" s="367"/>
      <c r="AO3" s="86"/>
    </row>
    <row r="4" spans="1:92" s="614" customFormat="1" ht="34.5" customHeight="1" thickBot="1">
      <c r="A4" s="602"/>
      <c r="B4" s="879" t="s">
        <v>352</v>
      </c>
      <c r="C4" s="1230">
        <f>C18</f>
        <v>0</v>
      </c>
      <c r="D4" s="1167"/>
      <c r="E4" s="1158"/>
      <c r="F4" s="1159"/>
      <c r="G4" s="602"/>
      <c r="H4" s="603" t="s">
        <v>356</v>
      </c>
      <c r="I4" s="604" t="s">
        <v>357</v>
      </c>
      <c r="J4" s="605" t="s">
        <v>494</v>
      </c>
      <c r="K4" s="606" t="s">
        <v>380</v>
      </c>
      <c r="L4" s="607" t="s">
        <v>335</v>
      </c>
      <c r="M4" s="608" t="s">
        <v>389</v>
      </c>
      <c r="N4" s="602"/>
      <c r="O4" s="609" t="s">
        <v>356</v>
      </c>
      <c r="P4" s="610" t="s">
        <v>357</v>
      </c>
      <c r="Q4" s="806" t="s">
        <v>494</v>
      </c>
      <c r="R4" s="610" t="s">
        <v>359</v>
      </c>
      <c r="S4" s="1176" t="s">
        <v>360</v>
      </c>
      <c r="T4" s="1155" t="s">
        <v>361</v>
      </c>
      <c r="U4" s="787" t="s">
        <v>380</v>
      </c>
      <c r="V4" s="639" t="s">
        <v>335</v>
      </c>
      <c r="W4" s="640" t="s">
        <v>389</v>
      </c>
      <c r="X4" s="623"/>
      <c r="Y4" s="1208" t="s">
        <v>363</v>
      </c>
      <c r="Z4" s="1231"/>
      <c r="AA4" s="611">
        <f>Z17</f>
        <v>0</v>
      </c>
      <c r="AB4" s="1174"/>
      <c r="AC4" s="1175"/>
      <c r="AD4" s="612"/>
      <c r="AF4" s="602"/>
      <c r="AG4" s="602"/>
      <c r="AH4" s="602"/>
      <c r="AI4" s="602"/>
      <c r="AJ4" s="602"/>
      <c r="AK4" s="602"/>
      <c r="AL4" s="602"/>
      <c r="AM4" s="602"/>
      <c r="AN4" s="602"/>
      <c r="AO4" s="703"/>
      <c r="AP4" s="704"/>
      <c r="AQ4" s="704"/>
      <c r="AR4" s="704"/>
      <c r="AS4" s="704"/>
      <c r="AT4" s="705" t="s">
        <v>30</v>
      </c>
      <c r="AU4" s="704"/>
      <c r="AV4" s="704"/>
      <c r="AW4" s="704"/>
      <c r="AX4" s="704"/>
      <c r="AY4" s="704"/>
      <c r="CM4" s="704"/>
      <c r="CN4" s="704"/>
    </row>
    <row r="5" spans="1:92" ht="15" customHeight="1">
      <c r="A5" s="367"/>
      <c r="B5" s="1219" t="s">
        <v>353</v>
      </c>
      <c r="C5" s="1108" t="s">
        <v>354</v>
      </c>
      <c r="D5" s="1168" t="s">
        <v>494</v>
      </c>
      <c r="E5" s="1109" t="s">
        <v>380</v>
      </c>
      <c r="F5" s="1108" t="s">
        <v>335</v>
      </c>
      <c r="G5" s="367"/>
      <c r="H5" s="1157"/>
      <c r="I5" s="1221" t="s">
        <v>427</v>
      </c>
      <c r="J5" s="1150"/>
      <c r="K5" s="1193"/>
      <c r="L5" s="1160"/>
      <c r="M5" s="1153">
        <f ca="1">C57+IF(I!N58=AQ55,I!M58,0)+I!AP45</f>
        <v>0</v>
      </c>
      <c r="N5" s="14"/>
      <c r="O5" s="1182"/>
      <c r="P5" s="1183" t="s">
        <v>467</v>
      </c>
      <c r="Q5" s="1184"/>
      <c r="R5" s="1191"/>
      <c r="S5" s="1177"/>
      <c r="T5" s="1156"/>
      <c r="U5" s="1192"/>
      <c r="V5" s="1191"/>
      <c r="W5" s="1195">
        <f>I!W46+J!Z45-I!AP45</f>
        <v>0</v>
      </c>
      <c r="X5" s="621"/>
      <c r="Y5" s="5" t="s">
        <v>364</v>
      </c>
      <c r="Z5" s="105" t="s">
        <v>354</v>
      </c>
      <c r="AA5" s="914" t="s">
        <v>494</v>
      </c>
      <c r="AB5" s="803" t="s">
        <v>386</v>
      </c>
      <c r="AC5" s="718" t="s">
        <v>335</v>
      </c>
      <c r="AD5" s="31"/>
      <c r="AE5" s="1223" t="s">
        <v>365</v>
      </c>
      <c r="AF5" s="367"/>
      <c r="AG5" s="367"/>
      <c r="AH5" s="367"/>
      <c r="AI5" s="367"/>
      <c r="AJ5" s="367"/>
      <c r="AK5" s="367"/>
      <c r="AL5" s="367"/>
      <c r="AM5" s="367"/>
      <c r="AN5" s="367"/>
      <c r="AO5" s="86"/>
      <c r="AT5" s="52" t="s">
        <v>476</v>
      </c>
    </row>
    <row r="6" spans="1:92" ht="15" customHeight="1">
      <c r="A6" s="367"/>
      <c r="B6" s="1220"/>
      <c r="C6" s="1234"/>
      <c r="D6" s="1169"/>
      <c r="E6" s="1109"/>
      <c r="F6" s="1108"/>
      <c r="G6" s="367"/>
      <c r="H6" s="1157"/>
      <c r="I6" s="1222"/>
      <c r="J6" s="1152"/>
      <c r="K6" s="1194"/>
      <c r="L6" s="1161"/>
      <c r="M6" s="1154"/>
      <c r="N6" s="367"/>
      <c r="O6" s="1182"/>
      <c r="P6" s="1185"/>
      <c r="Q6" s="1186"/>
      <c r="R6" s="1192"/>
      <c r="S6" s="638"/>
      <c r="T6" s="786"/>
      <c r="U6" s="1197"/>
      <c r="V6" s="1191"/>
      <c r="W6" s="1196"/>
      <c r="X6" s="395"/>
      <c r="Y6" s="144" t="str">
        <f>IF(I!Y6&lt;&gt;"",I!Y6,)</f>
        <v>Husband job 1</v>
      </c>
      <c r="Z6" s="456">
        <f>I!Z6</f>
        <v>0</v>
      </c>
      <c r="AA6" s="69"/>
      <c r="AB6" s="715"/>
      <c r="AC6" s="877"/>
      <c r="AD6" s="32"/>
      <c r="AE6" s="1224"/>
      <c r="AF6" s="367"/>
      <c r="AG6" s="367"/>
      <c r="AH6" s="367"/>
      <c r="AI6" s="367"/>
      <c r="AJ6" s="367"/>
      <c r="AK6" s="367"/>
      <c r="AL6" s="367"/>
      <c r="AM6" s="367"/>
      <c r="AN6" s="367"/>
      <c r="AO6" s="86"/>
      <c r="AT6" s="52" t="s">
        <v>477</v>
      </c>
    </row>
    <row r="7" spans="1:92" ht="15" customHeight="1" thickBot="1">
      <c r="A7" s="367"/>
      <c r="B7" s="901" t="str">
        <f>IF(I!B7&lt;&gt;"",I!B7,)</f>
        <v>Mortgage Payments</v>
      </c>
      <c r="C7" s="451">
        <f>I!C7</f>
        <v>0</v>
      </c>
      <c r="D7" s="78"/>
      <c r="E7" s="521"/>
      <c r="F7" s="858"/>
      <c r="G7" s="367"/>
      <c r="H7" s="542"/>
      <c r="I7" s="853"/>
      <c r="J7" s="6"/>
      <c r="K7" s="541"/>
      <c r="L7" s="860"/>
      <c r="M7" s="20" t="str">
        <f>IF(J7="","",$M$5-SUM($J$7:J7))</f>
        <v/>
      </c>
      <c r="N7" s="367"/>
      <c r="O7" s="106"/>
      <c r="P7" s="871">
        <f>IF(I!Q7&lt;&gt;I!R7,IF(I!Q7&lt;&gt;0,IF(I!S7&lt;&gt;I!T7,I!P7,),),)</f>
        <v>0</v>
      </c>
      <c r="Q7" s="795">
        <f>IF(I!Q7&lt;&gt;I!R7,IF(I!Q7&lt;&gt;0,IF(I!S7&lt;&gt;I!T7,I!Q7,),),)</f>
        <v>0</v>
      </c>
      <c r="R7" s="628">
        <f>IF(I!Q7&lt;&gt;I!R7,IF(I!Q7&lt;&gt;0,IF(I!S7&lt;&gt;I!T7,0,Q7),Q7),Q7)</f>
        <v>0</v>
      </c>
      <c r="S7" s="796">
        <f>IF(I!Q7&lt;&gt;I!R7,IF(I!Q7&lt;&gt;0,IF(I!S7&lt;&gt;I!T7,I!S7+1,),),)</f>
        <v>0</v>
      </c>
      <c r="T7" s="796">
        <f>IF(I!Q7&lt;&gt;I!R7,IF(I!Q7&lt;&gt;0,IF(I!S7&lt;&gt;I!T7,I!T7,),),)</f>
        <v>0</v>
      </c>
      <c r="U7" s="797">
        <f>IF(I!Q7&lt;&gt;I!R7,IF(I!Q7&lt;&gt;0,IF(I!S7&lt;&gt;I!T7,I!U7,),),)</f>
        <v>0</v>
      </c>
      <c r="V7" s="875">
        <f>IF(I!Q7&lt;&gt;I!R7,IF(I!Q7&lt;&gt;0,IF(I!S7&lt;&gt;I!T7,I!V7,),),)</f>
        <v>0</v>
      </c>
      <c r="W7" s="622">
        <f>IF(Q7="","",$W$5-SUM($Q$7:Q7))</f>
        <v>0</v>
      </c>
      <c r="X7" s="395"/>
      <c r="Y7" s="144" t="str">
        <f>IF(I!Y7&lt;&gt;"",I!Y7,)</f>
        <v>Husband job 2</v>
      </c>
      <c r="Z7" s="456">
        <f>I!Z7</f>
        <v>0</v>
      </c>
      <c r="AA7" s="69"/>
      <c r="AB7" s="521"/>
      <c r="AC7" s="858"/>
      <c r="AD7" s="32"/>
      <c r="AE7" s="1225"/>
      <c r="AF7" s="367"/>
      <c r="AG7" s="367"/>
      <c r="AH7" s="367"/>
      <c r="AI7" s="367"/>
      <c r="AJ7" s="367"/>
      <c r="AK7" s="367"/>
      <c r="AL7" s="367"/>
      <c r="AM7" s="367"/>
      <c r="AN7" s="367"/>
      <c r="AO7" s="86"/>
      <c r="AT7" s="52" t="s">
        <v>478</v>
      </c>
    </row>
    <row r="8" spans="1:92" ht="15" customHeight="1" thickBot="1">
      <c r="A8" s="367"/>
      <c r="B8" s="901" t="str">
        <f>IF(I!B8&lt;&gt;"",I!B8,)</f>
        <v>Mortgage Insurance</v>
      </c>
      <c r="C8" s="451">
        <f>I!C8</f>
        <v>0</v>
      </c>
      <c r="D8" s="78"/>
      <c r="E8" s="521"/>
      <c r="F8" s="858"/>
      <c r="G8" s="367"/>
      <c r="H8" s="543"/>
      <c r="I8" s="853"/>
      <c r="J8" s="6"/>
      <c r="K8" s="541"/>
      <c r="L8" s="860"/>
      <c r="M8" s="20" t="str">
        <f>IF(J8="","",$M$5-SUM($J$7:J8))</f>
        <v/>
      </c>
      <c r="N8" s="367"/>
      <c r="O8" s="7"/>
      <c r="P8" s="872">
        <f>IF(I!Q8&lt;&gt;I!R8,IF(I!Q8&lt;&gt;0,IF(I!S8&lt;&gt;I!T8,I!P8,),),)</f>
        <v>0</v>
      </c>
      <c r="Q8" s="795">
        <f>IF(I!Q8&lt;&gt;I!R8,IF(I!Q8&lt;&gt;0,IF(I!S8&lt;&gt;I!T8,I!Q8,),),)</f>
        <v>0</v>
      </c>
      <c r="R8" s="628">
        <f>IF(I!Q8&lt;&gt;I!R8,IF(I!Q8&lt;&gt;0,IF(I!S8&lt;&gt;I!T8,0,Q8),Q8),Q8)</f>
        <v>0</v>
      </c>
      <c r="S8" s="796">
        <f>IF(I!Q8&lt;&gt;I!R8,IF(I!Q8&lt;&gt;0,IF(I!S8&lt;&gt;I!T8,I!S8+1,),),)</f>
        <v>0</v>
      </c>
      <c r="T8" s="796">
        <f>IF(I!Q8&lt;&gt;I!R8,IF(I!Q8&lt;&gt;0,IF(I!S8&lt;&gt;I!T8,I!T8,),),)</f>
        <v>0</v>
      </c>
      <c r="U8" s="797">
        <f>IF(I!Q8&lt;&gt;I!R8,IF(I!Q8&lt;&gt;0,IF(I!S8&lt;&gt;I!T8,I!U8,),),)</f>
        <v>0</v>
      </c>
      <c r="V8" s="875">
        <f>IF(I!Q8&lt;&gt;I!R8,IF(I!Q8&lt;&gt;0,IF(I!S8&lt;&gt;I!T8,I!V8,),),)</f>
        <v>0</v>
      </c>
      <c r="W8" s="622">
        <f>IF(Q8="","",$W$5-SUM($Q$7:Q8))</f>
        <v>0</v>
      </c>
      <c r="X8" s="395"/>
      <c r="Y8" s="144" t="str">
        <f>IF(I!Y8&lt;&gt;"",I!Y8,)</f>
        <v>Wife job 1</v>
      </c>
      <c r="Z8" s="456">
        <f>I!Z8</f>
        <v>0</v>
      </c>
      <c r="AA8" s="69"/>
      <c r="AB8" s="521"/>
      <c r="AC8" s="858"/>
      <c r="AD8" s="32"/>
      <c r="AE8" s="363">
        <f>(AA17+'Month A'!AA17+B!AA17+'C'!AA17+D!AA17+E!AA17+F!AA17+G!AA17+H!AA17+I!AA17)/AR19</f>
        <v>0</v>
      </c>
      <c r="AF8" s="367"/>
      <c r="AG8" s="367"/>
      <c r="AH8" s="367"/>
      <c r="AI8" s="367"/>
      <c r="AJ8" s="367"/>
      <c r="AK8" s="367"/>
      <c r="AL8" s="367"/>
      <c r="AM8" s="367"/>
      <c r="AN8" s="367"/>
      <c r="AO8" s="86"/>
      <c r="AT8" s="52" t="s">
        <v>480</v>
      </c>
    </row>
    <row r="9" spans="1:92" ht="15" customHeight="1" thickBot="1">
      <c r="A9" s="367"/>
      <c r="B9" s="901" t="str">
        <f>IF(I!B9&lt;&gt;"",I!B9,)</f>
        <v>Rent</v>
      </c>
      <c r="C9" s="451">
        <f>I!C9</f>
        <v>0</v>
      </c>
      <c r="D9" s="78"/>
      <c r="E9" s="521"/>
      <c r="F9" s="858"/>
      <c r="G9" s="367"/>
      <c r="H9" s="543"/>
      <c r="I9" s="853"/>
      <c r="J9" s="6"/>
      <c r="K9" s="541"/>
      <c r="L9" s="860"/>
      <c r="M9" s="20" t="str">
        <f>IF(J9="","",$M$5-SUM($J$7:J9))</f>
        <v/>
      </c>
      <c r="N9" s="367"/>
      <c r="O9" s="7"/>
      <c r="P9" s="871">
        <f>IF(I!Q9&lt;&gt;I!R9,IF(I!Q9&lt;&gt;0,IF(I!S9&lt;&gt;I!T9,I!P9,),),)</f>
        <v>0</v>
      </c>
      <c r="Q9" s="795">
        <f>IF(I!Q9&lt;&gt;I!R9,IF(I!Q9&lt;&gt;0,IF(I!S9&lt;&gt;I!T9,I!Q9,),),)</f>
        <v>0</v>
      </c>
      <c r="R9" s="628">
        <f>IF(I!Q9&lt;&gt;I!R9,IF(I!Q9&lt;&gt;0,IF(I!S9&lt;&gt;I!T9,0,Q9),Q9),Q9)</f>
        <v>0</v>
      </c>
      <c r="S9" s="796">
        <f>IF(I!Q9&lt;&gt;I!R9,IF(I!Q9&lt;&gt;0,IF(I!S9&lt;&gt;I!T9,I!S9+1,),),)</f>
        <v>0</v>
      </c>
      <c r="T9" s="796">
        <f>IF(I!Q9&lt;&gt;I!R9,IF(I!Q9&lt;&gt;0,IF(I!S9&lt;&gt;I!T9,I!T9,),),)</f>
        <v>0</v>
      </c>
      <c r="U9" s="797">
        <f>IF(I!Q9&lt;&gt;I!R9,IF(I!Q9&lt;&gt;0,IF(I!S9&lt;&gt;I!T9,I!U9,),),)</f>
        <v>0</v>
      </c>
      <c r="V9" s="875">
        <f>IF(I!Q9&lt;&gt;I!R9,IF(I!Q9&lt;&gt;0,IF(I!S9&lt;&gt;I!T9,I!V9,),),)</f>
        <v>0</v>
      </c>
      <c r="W9" s="622">
        <f>IF(Q9="","",$W$5-SUM($Q$7:Q9))</f>
        <v>0</v>
      </c>
      <c r="X9" s="395"/>
      <c r="Y9" s="144" t="str">
        <f>IF(I!Y9&lt;&gt;"",I!Y9,)</f>
        <v>Wife job 2</v>
      </c>
      <c r="Z9" s="456">
        <f>I!Z9</f>
        <v>0</v>
      </c>
      <c r="AA9" s="69"/>
      <c r="AB9" s="521"/>
      <c r="AC9" s="858"/>
      <c r="AD9" s="32"/>
      <c r="AE9" s="404"/>
      <c r="AF9" s="367"/>
      <c r="AG9" s="367"/>
      <c r="AH9" s="367"/>
      <c r="AI9" s="367"/>
      <c r="AJ9" s="367"/>
      <c r="AK9" s="367"/>
      <c r="AL9" s="367"/>
      <c r="AM9" s="367"/>
      <c r="AN9" s="367"/>
      <c r="AO9" s="86"/>
      <c r="AT9" s="52" t="s">
        <v>479</v>
      </c>
    </row>
    <row r="10" spans="1:92" ht="15" customHeight="1">
      <c r="A10" s="367"/>
      <c r="B10" s="902" t="str">
        <f>IF(I!B10&lt;&gt;"",I!B10,)</f>
        <v>Town Taxes / Maintenance Fees</v>
      </c>
      <c r="C10" s="451">
        <f>I!C10</f>
        <v>0</v>
      </c>
      <c r="D10" s="79"/>
      <c r="E10" s="522"/>
      <c r="F10" s="859"/>
      <c r="G10" s="367"/>
      <c r="H10" s="543"/>
      <c r="I10" s="853"/>
      <c r="J10" s="6"/>
      <c r="K10" s="541"/>
      <c r="L10" s="860"/>
      <c r="M10" s="20" t="str">
        <f>IF(J10="","",$M$5-SUM($J$7:J10))</f>
        <v/>
      </c>
      <c r="N10" s="367"/>
      <c r="O10" s="7"/>
      <c r="P10" s="871">
        <f>IF(I!Q10&lt;&gt;I!R10,IF(I!Q10&lt;&gt;0,IF(I!S10&lt;&gt;I!T10,I!P10,),),)</f>
        <v>0</v>
      </c>
      <c r="Q10" s="798">
        <f>IF(I!Q10&lt;&gt;I!R10,IF(I!Q10&lt;&gt;0,IF(I!S10&lt;&gt;I!T10,I!Q10,),),)</f>
        <v>0</v>
      </c>
      <c r="R10" s="628">
        <f>IF(I!Q10&lt;&gt;I!R10,IF(I!Q10&lt;&gt;0,IF(I!S10&lt;&gt;I!T10,0,Q10),Q10),Q10)</f>
        <v>0</v>
      </c>
      <c r="S10" s="796">
        <f>IF(I!Q10&lt;&gt;I!R10,IF(I!Q10&lt;&gt;0,IF(I!S10&lt;&gt;I!T10,I!S10+1,),),)</f>
        <v>0</v>
      </c>
      <c r="T10" s="796">
        <f>IF(I!Q10&lt;&gt;I!R10,IF(I!Q10&lt;&gt;0,IF(I!S10&lt;&gt;I!T10,I!T10,),),)</f>
        <v>0</v>
      </c>
      <c r="U10" s="797">
        <f>IF(I!Q10&lt;&gt;I!R10,IF(I!Q10&lt;&gt;0,IF(I!S10&lt;&gt;I!T10,I!U10,),),)</f>
        <v>0</v>
      </c>
      <c r="V10" s="875">
        <f>IF(I!Q10&lt;&gt;I!R10,IF(I!Q10&lt;&gt;0,IF(I!S10&lt;&gt;I!T10,I!V10,),),)</f>
        <v>0</v>
      </c>
      <c r="W10" s="624">
        <f>IF(Q10="","",$W$5-SUM($Q$7:Q10))</f>
        <v>0</v>
      </c>
      <c r="X10" s="621"/>
      <c r="Y10" s="144" t="str">
        <f>IF(I!Y10&lt;&gt;"",I!Y10,)</f>
        <v>National Social Security for Children</v>
      </c>
      <c r="Z10" s="456">
        <f>I!Z10</f>
        <v>0</v>
      </c>
      <c r="AA10" s="69"/>
      <c r="AB10" s="522"/>
      <c r="AC10" s="859"/>
      <c r="AD10" s="32"/>
      <c r="AE10" s="1226" t="s">
        <v>366</v>
      </c>
      <c r="AF10" s="367"/>
      <c r="AG10" s="367"/>
      <c r="AH10" s="367"/>
      <c r="AI10" s="367"/>
      <c r="AJ10" s="367"/>
      <c r="AK10" s="367"/>
      <c r="AL10" s="367"/>
      <c r="AM10" s="367"/>
      <c r="AN10" s="367"/>
      <c r="AO10" s="86"/>
    </row>
    <row r="11" spans="1:92" ht="15" customHeight="1" thickBot="1">
      <c r="A11" s="367"/>
      <c r="B11" s="901" t="str">
        <f>IF(I!B11&lt;&gt;"",I!B11,)</f>
        <v xml:space="preserve">Insurance (excl. car) </v>
      </c>
      <c r="C11" s="451">
        <f>I!C11</f>
        <v>0</v>
      </c>
      <c r="D11" s="78"/>
      <c r="E11" s="521"/>
      <c r="F11" s="858"/>
      <c r="G11" s="367"/>
      <c r="H11" s="543"/>
      <c r="I11" s="853"/>
      <c r="J11" s="6"/>
      <c r="K11" s="541"/>
      <c r="L11" s="860"/>
      <c r="M11" s="20" t="str">
        <f>IF(J11="","",$M$5-SUM($J$7:J11))</f>
        <v/>
      </c>
      <c r="N11" s="367"/>
      <c r="O11" s="7"/>
      <c r="P11" s="871">
        <f>IF(I!Q11&lt;&gt;I!R11,IF(I!Q11&lt;&gt;0,IF(I!S11&lt;&gt;I!T11,I!P11,),),)</f>
        <v>0</v>
      </c>
      <c r="Q11" s="795">
        <f>IF(I!Q11&lt;&gt;I!R11,IF(I!Q11&lt;&gt;0,IF(I!S11&lt;&gt;I!T11,I!Q11,),),)</f>
        <v>0</v>
      </c>
      <c r="R11" s="628">
        <f>IF(I!Q11&lt;&gt;I!R11,IF(I!Q11&lt;&gt;0,IF(I!S11&lt;&gt;I!T11,0,Q11),Q11),Q11)</f>
        <v>0</v>
      </c>
      <c r="S11" s="796">
        <f>IF(I!Q11&lt;&gt;I!R11,IF(I!Q11&lt;&gt;0,IF(I!S11&lt;&gt;I!T11,I!S11+1,),),)</f>
        <v>0</v>
      </c>
      <c r="T11" s="796">
        <f>IF(I!Q11&lt;&gt;I!R11,IF(I!Q11&lt;&gt;0,IF(I!S11&lt;&gt;I!T11,I!T11,),),)</f>
        <v>0</v>
      </c>
      <c r="U11" s="797">
        <f>IF(I!Q11&lt;&gt;I!R11,IF(I!Q11&lt;&gt;0,IF(I!S11&lt;&gt;I!T11,I!U11,),),)</f>
        <v>0</v>
      </c>
      <c r="V11" s="875">
        <f>IF(I!Q11&lt;&gt;I!R11,IF(I!Q11&lt;&gt;0,IF(I!S11&lt;&gt;I!T11,I!V11,),),)</f>
        <v>0</v>
      </c>
      <c r="W11" s="622">
        <f>IF(Q11="","",$W$5-SUM($Q$7:Q11))</f>
        <v>0</v>
      </c>
      <c r="X11" s="395"/>
      <c r="Y11" s="144" t="str">
        <f>IF(I!Y11&lt;&gt;"",I!Y11,)</f>
        <v>other Allowances</v>
      </c>
      <c r="Z11" s="456">
        <f>I!Z11</f>
        <v>0</v>
      </c>
      <c r="AA11" s="69"/>
      <c r="AB11" s="521"/>
      <c r="AC11" s="858"/>
      <c r="AD11" s="32"/>
      <c r="AE11" s="1227"/>
      <c r="AF11" s="367"/>
      <c r="AG11" s="367"/>
      <c r="AH11" s="367"/>
      <c r="AI11" s="367"/>
      <c r="AJ11" s="367"/>
      <c r="AK11" s="367"/>
      <c r="AL11" s="367"/>
      <c r="AM11" s="367"/>
      <c r="AN11" s="367"/>
      <c r="AO11" s="86"/>
    </row>
    <row r="12" spans="1:92" ht="15" customHeight="1" thickBot="1">
      <c r="A12" s="367"/>
      <c r="B12" s="901" t="str">
        <f>IF(I!B12&lt;&gt;"",I!B12,)</f>
        <v>Bank Savings Program</v>
      </c>
      <c r="C12" s="451">
        <f>I!C12</f>
        <v>0</v>
      </c>
      <c r="D12" s="78"/>
      <c r="E12" s="521"/>
      <c r="F12" s="858"/>
      <c r="G12" s="367"/>
      <c r="H12" s="543"/>
      <c r="I12" s="853"/>
      <c r="J12" s="6"/>
      <c r="K12" s="541"/>
      <c r="L12" s="860"/>
      <c r="M12" s="20" t="str">
        <f>IF(J12="","",$M$5-SUM($J$7:J12))</f>
        <v/>
      </c>
      <c r="N12" s="367"/>
      <c r="O12" s="7"/>
      <c r="P12" s="871">
        <f>IF(I!Q12&lt;&gt;I!R12,IF(I!Q12&lt;&gt;0,IF(I!S12&lt;&gt;I!T12,I!P12,),),)</f>
        <v>0</v>
      </c>
      <c r="Q12" s="795">
        <f>IF(I!Q12&lt;&gt;I!R12,IF(I!Q12&lt;&gt;0,IF(I!S12&lt;&gt;I!T12,I!Q12,),),)</f>
        <v>0</v>
      </c>
      <c r="R12" s="628">
        <f>IF(I!Q12&lt;&gt;I!R12,IF(I!Q12&lt;&gt;0,IF(I!S12&lt;&gt;I!T12,0,Q12),Q12),Q12)</f>
        <v>0</v>
      </c>
      <c r="S12" s="796">
        <f>IF(I!Q12&lt;&gt;I!R12,IF(I!Q12&lt;&gt;0,IF(I!S12&lt;&gt;I!T12,I!S12+1,),),)</f>
        <v>0</v>
      </c>
      <c r="T12" s="796">
        <f>IF(I!Q12&lt;&gt;I!R12,IF(I!Q12&lt;&gt;0,IF(I!S12&lt;&gt;I!T12,I!T12,),),)</f>
        <v>0</v>
      </c>
      <c r="U12" s="797">
        <f>IF(I!Q12&lt;&gt;I!R12,IF(I!Q12&lt;&gt;0,IF(I!S12&lt;&gt;I!T12,I!U12,),),)</f>
        <v>0</v>
      </c>
      <c r="V12" s="875">
        <f>IF(I!Q12&lt;&gt;I!R12,IF(I!Q12&lt;&gt;0,IF(I!S12&lt;&gt;I!T12,I!V12,),),)</f>
        <v>0</v>
      </c>
      <c r="W12" s="622">
        <f>IF(Q12="","",$W$5-SUM($Q$7:Q12))</f>
        <v>0</v>
      </c>
      <c r="X12" s="395"/>
      <c r="Y12" s="144" t="str">
        <f>IF(I!Y12&lt;&gt;"",I!Y12,)</f>
        <v>Rent Assistance</v>
      </c>
      <c r="Z12" s="456">
        <f>I!Z12</f>
        <v>0</v>
      </c>
      <c r="AA12" s="69"/>
      <c r="AB12" s="521"/>
      <c r="AC12" s="858"/>
      <c r="AD12" s="32"/>
      <c r="AE12" s="1228"/>
      <c r="AF12" s="367"/>
      <c r="AG12" s="367"/>
      <c r="AH12" s="367"/>
      <c r="AI12" s="367"/>
      <c r="AJ12" s="367"/>
      <c r="AK12" s="367"/>
      <c r="AL12" s="367"/>
      <c r="AM12" s="367"/>
      <c r="AN12" s="367"/>
      <c r="AO12" s="86"/>
      <c r="AP12" s="1138" t="s">
        <v>20</v>
      </c>
      <c r="AQ12" s="1139"/>
      <c r="AR12" s="1139"/>
      <c r="AS12" s="1139"/>
      <c r="AT12" s="1139"/>
      <c r="AU12" s="1139"/>
      <c r="AV12" s="1139"/>
      <c r="AW12" s="1139"/>
      <c r="AX12" s="1140"/>
    </row>
    <row r="13" spans="1:92" ht="15" customHeight="1" thickBot="1">
      <c r="A13" s="367"/>
      <c r="B13" s="901" t="str">
        <f>IF(I!B13&lt;&gt;"",I!B13,)</f>
        <v>Subscriptions</v>
      </c>
      <c r="C13" s="451">
        <f>I!C13</f>
        <v>0</v>
      </c>
      <c r="D13" s="78"/>
      <c r="E13" s="521"/>
      <c r="F13" s="858"/>
      <c r="G13" s="367"/>
      <c r="H13" s="543"/>
      <c r="I13" s="853"/>
      <c r="J13" s="6"/>
      <c r="K13" s="541"/>
      <c r="L13" s="860"/>
      <c r="M13" s="20" t="str">
        <f>IF(J13="","",$M$5-SUM($J$7:J13))</f>
        <v/>
      </c>
      <c r="N13" s="367"/>
      <c r="O13" s="7"/>
      <c r="P13" s="871">
        <f>IF(I!Q13&lt;&gt;I!R13,IF(I!Q13&lt;&gt;0,IF(I!S13&lt;&gt;I!T13,I!P13,),),)</f>
        <v>0</v>
      </c>
      <c r="Q13" s="795">
        <f>IF(I!Q13&lt;&gt;I!R13,IF(I!Q13&lt;&gt;0,IF(I!S13&lt;&gt;I!T13,I!Q13,),),)</f>
        <v>0</v>
      </c>
      <c r="R13" s="628">
        <f>IF(I!Q13&lt;&gt;I!R13,IF(I!Q13&lt;&gt;0,IF(I!S13&lt;&gt;I!T13,0,Q13),Q13),Q13)</f>
        <v>0</v>
      </c>
      <c r="S13" s="796">
        <f>IF(I!Q13&lt;&gt;I!R13,IF(I!Q13&lt;&gt;0,IF(I!S13&lt;&gt;I!T13,I!S13+1,),),)</f>
        <v>0</v>
      </c>
      <c r="T13" s="796">
        <f>IF(I!Q13&lt;&gt;I!R13,IF(I!Q13&lt;&gt;0,IF(I!S13&lt;&gt;I!T13,I!T13,),),)</f>
        <v>0</v>
      </c>
      <c r="U13" s="797">
        <f>IF(I!Q13&lt;&gt;I!R13,IF(I!Q13&lt;&gt;0,IF(I!S13&lt;&gt;I!T13,I!U13,),),)</f>
        <v>0</v>
      </c>
      <c r="V13" s="875">
        <f>IF(I!Q13&lt;&gt;I!R13,IF(I!Q13&lt;&gt;0,IF(I!S13&lt;&gt;I!T13,I!V13,),),)</f>
        <v>0</v>
      </c>
      <c r="W13" s="622">
        <f>IF(Q13="","",$W$5-SUM($Q$7:Q13))</f>
        <v>0</v>
      </c>
      <c r="X13" s="395"/>
      <c r="Y13" s="144" t="str">
        <f>IF(I!Y13&lt;&gt;"",I!Y13,)</f>
        <v>Food Packages</v>
      </c>
      <c r="Z13" s="456">
        <f>I!Z13</f>
        <v>0</v>
      </c>
      <c r="AA13" s="69"/>
      <c r="AB13" s="521"/>
      <c r="AC13" s="858"/>
      <c r="AD13" s="32"/>
      <c r="AE13" s="363">
        <f>AA18+'Month A'!AA18+B!AA18+'C'!AA18+D!AA18+E!AA18+F!AA18+G!AA18+H!AA18+I!AA18</f>
        <v>0</v>
      </c>
      <c r="AF13" s="367"/>
      <c r="AG13" s="367"/>
      <c r="AH13" s="367"/>
      <c r="AI13" s="367"/>
      <c r="AJ13" s="367"/>
      <c r="AK13" s="367"/>
      <c r="AL13" s="367"/>
      <c r="AM13" s="367"/>
      <c r="AN13" s="367"/>
      <c r="AO13" s="86"/>
    </row>
    <row r="14" spans="1:92" ht="15" customHeight="1">
      <c r="A14" s="367"/>
      <c r="B14" s="901" t="str">
        <f>IF(I!B14&lt;&gt;"",I!B14,)</f>
        <v>Donations</v>
      </c>
      <c r="C14" s="451">
        <f>I!C14</f>
        <v>0</v>
      </c>
      <c r="D14" s="78"/>
      <c r="E14" s="521"/>
      <c r="F14" s="858"/>
      <c r="G14" s="367"/>
      <c r="H14" s="543"/>
      <c r="I14" s="853"/>
      <c r="J14" s="6"/>
      <c r="K14" s="541"/>
      <c r="L14" s="860"/>
      <c r="M14" s="20" t="str">
        <f>IF(J14="","",$M$5-SUM($J$7:J14))</f>
        <v/>
      </c>
      <c r="N14" s="367"/>
      <c r="O14" s="7"/>
      <c r="P14" s="871">
        <f>IF(I!Q14&lt;&gt;I!R14,IF(I!Q14&lt;&gt;0,IF(I!S14&lt;&gt;I!T14,I!P14,),),)</f>
        <v>0</v>
      </c>
      <c r="Q14" s="795">
        <f>IF(I!Q14&lt;&gt;I!R14,IF(I!Q14&lt;&gt;0,IF(I!S14&lt;&gt;I!T14,I!Q14,),),)</f>
        <v>0</v>
      </c>
      <c r="R14" s="628">
        <f>IF(I!Q14&lt;&gt;I!R14,IF(I!Q14&lt;&gt;0,IF(I!S14&lt;&gt;I!T14,0,Q14),Q14),Q14)</f>
        <v>0</v>
      </c>
      <c r="S14" s="796">
        <f>IF(I!Q14&lt;&gt;I!R14,IF(I!Q14&lt;&gt;0,IF(I!S14&lt;&gt;I!T14,I!S14+1,),),)</f>
        <v>0</v>
      </c>
      <c r="T14" s="796">
        <f>IF(I!Q14&lt;&gt;I!R14,IF(I!Q14&lt;&gt;0,IF(I!S14&lt;&gt;I!T14,I!T14,),),)</f>
        <v>0</v>
      </c>
      <c r="U14" s="797">
        <f>IF(I!Q14&lt;&gt;I!R14,IF(I!Q14&lt;&gt;0,IF(I!S14&lt;&gt;I!T14,I!U14,),),)</f>
        <v>0</v>
      </c>
      <c r="V14" s="875">
        <f>IF(I!Q14&lt;&gt;I!R14,IF(I!Q14&lt;&gt;0,IF(I!S14&lt;&gt;I!T14,I!V14,),),)</f>
        <v>0</v>
      </c>
      <c r="W14" s="622">
        <f>IF(Q14="","",$W$5-SUM($Q$7:Q14))</f>
        <v>0</v>
      </c>
      <c r="X14" s="395"/>
      <c r="Y14" s="144" t="str">
        <f>IF(I!Y14&lt;&gt;"",I!Y14,)</f>
        <v>Income from Property</v>
      </c>
      <c r="Z14" s="456">
        <f>I!Z14</f>
        <v>0</v>
      </c>
      <c r="AA14" s="69"/>
      <c r="AB14" s="521"/>
      <c r="AC14" s="858"/>
      <c r="AD14" s="32"/>
      <c r="AE14" s="403"/>
      <c r="AF14" s="367"/>
      <c r="AG14" s="367"/>
      <c r="AH14" s="367"/>
      <c r="AI14" s="367"/>
      <c r="AJ14" s="367"/>
      <c r="AK14" s="367"/>
      <c r="AL14" s="367"/>
      <c r="AM14" s="367"/>
      <c r="AN14" s="367"/>
      <c r="AO14" s="86"/>
      <c r="AW14" s="52" t="s">
        <v>12</v>
      </c>
    </row>
    <row r="15" spans="1:92" ht="15" customHeight="1">
      <c r="A15" s="367"/>
      <c r="B15" s="901">
        <f>IF(I!B15&lt;&gt;"",I!B15,)</f>
        <v>0</v>
      </c>
      <c r="C15" s="451">
        <f>I!C15</f>
        <v>0</v>
      </c>
      <c r="D15" s="78"/>
      <c r="E15" s="521"/>
      <c r="F15" s="858"/>
      <c r="G15" s="367"/>
      <c r="H15" s="543"/>
      <c r="I15" s="853"/>
      <c r="J15" s="6"/>
      <c r="K15" s="541"/>
      <c r="L15" s="860"/>
      <c r="M15" s="20" t="str">
        <f>IF(J15="","",$M$5-SUM($J$7:J15))</f>
        <v/>
      </c>
      <c r="N15" s="367"/>
      <c r="O15" s="7"/>
      <c r="P15" s="871">
        <f>IF(I!Q15&lt;&gt;I!R15,IF(I!Q15&lt;&gt;0,IF(I!S15&lt;&gt;I!T15,I!P15,),),)</f>
        <v>0</v>
      </c>
      <c r="Q15" s="795">
        <f>IF(I!Q15&lt;&gt;I!R15,IF(I!Q15&lt;&gt;0,IF(I!S15&lt;&gt;I!T15,I!Q15,),),)</f>
        <v>0</v>
      </c>
      <c r="R15" s="628">
        <f>IF(I!Q15&lt;&gt;I!R15,IF(I!Q15&lt;&gt;0,IF(I!S15&lt;&gt;I!T15,0,Q15),Q15),Q15)</f>
        <v>0</v>
      </c>
      <c r="S15" s="796">
        <f>IF(I!Q15&lt;&gt;I!R15,IF(I!Q15&lt;&gt;0,IF(I!S15&lt;&gt;I!T15,I!S15+1,),),)</f>
        <v>0</v>
      </c>
      <c r="T15" s="796">
        <f>IF(I!Q15&lt;&gt;I!R15,IF(I!Q15&lt;&gt;0,IF(I!S15&lt;&gt;I!T15,I!T15,),),)</f>
        <v>0</v>
      </c>
      <c r="U15" s="797">
        <f>IF(I!Q15&lt;&gt;I!R15,IF(I!Q15&lt;&gt;0,IF(I!S15&lt;&gt;I!T15,I!U15,),),)</f>
        <v>0</v>
      </c>
      <c r="V15" s="875">
        <f>IF(I!Q15&lt;&gt;I!R15,IF(I!Q15&lt;&gt;0,IF(I!S15&lt;&gt;I!T15,I!V15,),),)</f>
        <v>0</v>
      </c>
      <c r="W15" s="625">
        <f>IF(Q15="","",$W$5-SUM($Q$7:Q15))</f>
        <v>0</v>
      </c>
      <c r="X15" s="621"/>
      <c r="Y15" s="144" t="str">
        <f>IF(I!Y15&lt;&gt;"",I!Y15,)</f>
        <v>Help from parents</v>
      </c>
      <c r="Z15" s="456">
        <f>I!Z15</f>
        <v>0</v>
      </c>
      <c r="AA15" s="69"/>
      <c r="AB15" s="521"/>
      <c r="AC15" s="858"/>
      <c r="AD15" s="32"/>
      <c r="AE15" s="1137" t="str">
        <f>IF(COUNTIF(AE23:AE44,"&lt;0")&gt;0,"Over yearly budget!
Take an action from the options to your right.","")</f>
        <v/>
      </c>
      <c r="AF15" s="367"/>
      <c r="AG15" s="367"/>
      <c r="AH15" s="367"/>
      <c r="AI15" s="367"/>
      <c r="AJ15" s="367"/>
      <c r="AK15" s="367"/>
      <c r="AL15" s="367"/>
      <c r="AM15" s="367"/>
      <c r="AN15" s="367"/>
      <c r="AO15" s="86"/>
      <c r="AW15" s="52" t="s">
        <v>13</v>
      </c>
    </row>
    <row r="16" spans="1:92" ht="15" customHeight="1">
      <c r="A16" s="367"/>
      <c r="B16" s="849">
        <f>IF(I!B16&lt;&gt;"",I!B16,)</f>
        <v>0</v>
      </c>
      <c r="C16" s="451">
        <f>I!C16</f>
        <v>0</v>
      </c>
      <c r="D16" s="78"/>
      <c r="E16" s="521"/>
      <c r="F16" s="858"/>
      <c r="G16" s="367"/>
      <c r="H16" s="543"/>
      <c r="I16" s="853"/>
      <c r="J16" s="6"/>
      <c r="K16" s="541"/>
      <c r="L16" s="860"/>
      <c r="M16" s="20" t="str">
        <f>IF(J16="","",$M$5-SUM($J$7:J16))</f>
        <v/>
      </c>
      <c r="N16" s="367"/>
      <c r="O16" s="7"/>
      <c r="P16" s="873">
        <f>IF(I!Q16&lt;&gt;I!R16,IF(I!Q16&lt;&gt;0,IF(I!S16&lt;&gt;I!T16,I!P16,),),)</f>
        <v>0</v>
      </c>
      <c r="Q16" s="795">
        <f>IF(I!Q16&lt;&gt;I!R16,IF(I!Q16&lt;&gt;0,IF(I!S16&lt;&gt;I!T16,I!Q16,),),)</f>
        <v>0</v>
      </c>
      <c r="R16" s="628">
        <f>IF(I!Q16&lt;&gt;I!R16,IF(I!Q16&lt;&gt;0,IF(I!S16&lt;&gt;I!T16,0,Q16),Q16),Q16)</f>
        <v>0</v>
      </c>
      <c r="S16" s="796">
        <f>IF(I!Q16&lt;&gt;I!R16,IF(I!Q16&lt;&gt;0,IF(I!S16&lt;&gt;I!T16,I!S16+1,),),)</f>
        <v>0</v>
      </c>
      <c r="T16" s="796">
        <f>IF(I!Q16&lt;&gt;I!R16,IF(I!Q16&lt;&gt;0,IF(I!S16&lt;&gt;I!T16,I!T16,),),)</f>
        <v>0</v>
      </c>
      <c r="U16" s="797">
        <f>IF(I!Q16&lt;&gt;I!R16,IF(I!Q16&lt;&gt;0,IF(I!S16&lt;&gt;I!T16,I!U16,),),)</f>
        <v>0</v>
      </c>
      <c r="V16" s="875">
        <f>IF(I!Q16&lt;&gt;I!R16,IF(I!Q16&lt;&gt;0,IF(I!S16&lt;&gt;I!T16,I!V16,),),)</f>
        <v>0</v>
      </c>
      <c r="W16" s="622">
        <f>IF(Q16="","",$W$5-SUM($Q$7:Q16))</f>
        <v>0</v>
      </c>
      <c r="X16" s="395"/>
      <c r="Y16" s="144" t="str">
        <f>IF(I!Y16&lt;&gt;"",I!Y16,)</f>
        <v>Other Income</v>
      </c>
      <c r="Z16" s="456">
        <f>I!Z16</f>
        <v>0</v>
      </c>
      <c r="AA16" s="69"/>
      <c r="AB16" s="645"/>
      <c r="AC16" s="870"/>
      <c r="AD16" s="32"/>
      <c r="AE16" s="1137"/>
      <c r="AF16" s="367"/>
      <c r="AG16" s="367"/>
      <c r="AH16" s="367"/>
      <c r="AI16" s="367"/>
      <c r="AJ16" s="367"/>
      <c r="AK16" s="367"/>
      <c r="AL16" s="367"/>
      <c r="AM16" s="367"/>
      <c r="AN16" s="367"/>
      <c r="AO16" s="86"/>
      <c r="AW16" s="90">
        <f>13-AR19</f>
        <v>3</v>
      </c>
    </row>
    <row r="17" spans="1:63" ht="15" customHeight="1">
      <c r="A17" s="367"/>
      <c r="B17" s="849">
        <f>IF(I!B17&lt;&gt;"",I!B17,)</f>
        <v>0</v>
      </c>
      <c r="C17" s="451">
        <f>I!C17</f>
        <v>0</v>
      </c>
      <c r="D17" s="78"/>
      <c r="E17" s="521"/>
      <c r="F17" s="858"/>
      <c r="G17" s="367"/>
      <c r="H17" s="543"/>
      <c r="I17" s="853"/>
      <c r="J17" s="6"/>
      <c r="K17" s="541"/>
      <c r="L17" s="860"/>
      <c r="M17" s="20" t="str">
        <f>IF(J17="","",$M$5-SUM($J$7:J17))</f>
        <v/>
      </c>
      <c r="N17" s="367"/>
      <c r="O17" s="7"/>
      <c r="P17" s="871">
        <f>IF(I!Q17&lt;&gt;I!R17,IF(I!Q17&lt;&gt;0,IF(I!S17&lt;&gt;I!T17,I!P17,),),)</f>
        <v>0</v>
      </c>
      <c r="Q17" s="795">
        <f>IF(I!Q17&lt;&gt;I!R17,IF(I!Q17&lt;&gt;0,IF(I!S17&lt;&gt;I!T17,I!Q17,),),)</f>
        <v>0</v>
      </c>
      <c r="R17" s="628">
        <f>IF(I!Q17&lt;&gt;I!R17,IF(I!Q17&lt;&gt;0,IF(I!S17&lt;&gt;I!T17,0,Q17),Q17),Q17)</f>
        <v>0</v>
      </c>
      <c r="S17" s="796">
        <f>IF(I!Q17&lt;&gt;I!R17,IF(I!Q17&lt;&gt;0,IF(I!S17&lt;&gt;I!T17,I!S17+1,),),)</f>
        <v>0</v>
      </c>
      <c r="T17" s="796">
        <f>IF(I!Q17&lt;&gt;I!R17,IF(I!Q17&lt;&gt;0,IF(I!S17&lt;&gt;I!T17,I!T17,),),)</f>
        <v>0</v>
      </c>
      <c r="U17" s="797">
        <f>IF(I!Q17&lt;&gt;I!R17,IF(I!Q17&lt;&gt;0,IF(I!S17&lt;&gt;I!T17,I!U17,),),)</f>
        <v>0</v>
      </c>
      <c r="V17" s="875">
        <f>IF(I!Q17&lt;&gt;I!R17,IF(I!Q17&lt;&gt;0,IF(I!S17&lt;&gt;I!T17,I!V17,),),)</f>
        <v>0</v>
      </c>
      <c r="W17" s="624">
        <f>IF(Q17="","",$W$5-SUM($Q$7:Q17))</f>
        <v>0</v>
      </c>
      <c r="X17" s="621"/>
      <c r="Y17" s="18" t="s">
        <v>179</v>
      </c>
      <c r="Z17" s="17">
        <f>SUM(Z6:Z16)</f>
        <v>0</v>
      </c>
      <c r="AA17" s="19">
        <f>SUM(AA6:AA16)</f>
        <v>0</v>
      </c>
      <c r="AB17" s="642"/>
      <c r="AC17" s="642"/>
      <c r="AD17" s="33"/>
      <c r="AE17" s="1137"/>
      <c r="AF17" s="367"/>
      <c r="AG17" s="367"/>
      <c r="AH17" s="367"/>
      <c r="AI17" s="367"/>
      <c r="AJ17" s="367"/>
      <c r="AK17" s="367"/>
      <c r="AL17" s="367"/>
      <c r="AM17" s="367"/>
      <c r="AN17" s="367"/>
      <c r="AO17" s="86"/>
    </row>
    <row r="18" spans="1:63" ht="15" customHeight="1" thickBot="1">
      <c r="A18" s="367"/>
      <c r="B18" s="16" t="s">
        <v>179</v>
      </c>
      <c r="C18" s="77">
        <f>SUM(C7:C17)</f>
        <v>0</v>
      </c>
      <c r="D18" s="75">
        <f>SUM(D7:D17)</f>
        <v>0</v>
      </c>
      <c r="E18" s="515"/>
      <c r="F18" s="515"/>
      <c r="G18" s="367"/>
      <c r="H18" s="543"/>
      <c r="I18" s="853"/>
      <c r="J18" s="6"/>
      <c r="K18" s="541"/>
      <c r="L18" s="860"/>
      <c r="M18" s="20" t="str">
        <f>IF(J18="","",$M$5-SUM($J$7:J18))</f>
        <v/>
      </c>
      <c r="N18" s="367"/>
      <c r="O18" s="7"/>
      <c r="P18" s="873">
        <f>IF(I!Q18&lt;&gt;I!R18,IF(I!Q18&lt;&gt;0,IF(I!S18&lt;&gt;I!T18,I!P18,),),)</f>
        <v>0</v>
      </c>
      <c r="Q18" s="795">
        <f>IF(I!Q18&lt;&gt;I!R18,IF(I!Q18&lt;&gt;0,IF(I!S18&lt;&gt;I!T18,I!Q18,),),)</f>
        <v>0</v>
      </c>
      <c r="R18" s="628">
        <f>IF(I!Q18&lt;&gt;I!R18,IF(I!Q18&lt;&gt;0,IF(I!S18&lt;&gt;I!T18,0,Q18),Q18),Q18)</f>
        <v>0</v>
      </c>
      <c r="S18" s="796">
        <f>IF(I!Q18&lt;&gt;I!R18,IF(I!Q18&lt;&gt;0,IF(I!S18&lt;&gt;I!T18,I!S18+1,),),)</f>
        <v>0</v>
      </c>
      <c r="T18" s="796">
        <f>IF(I!Q18&lt;&gt;I!R18,IF(I!Q18&lt;&gt;0,IF(I!S18&lt;&gt;I!T18,I!T18,),),)</f>
        <v>0</v>
      </c>
      <c r="U18" s="797">
        <f>IF(I!Q18&lt;&gt;I!R18,IF(I!Q18&lt;&gt;0,IF(I!S18&lt;&gt;I!T18,I!U18,),),)</f>
        <v>0</v>
      </c>
      <c r="V18" s="875">
        <f>IF(I!Q18&lt;&gt;I!R18,IF(I!Q18&lt;&gt;0,IF(I!S18&lt;&gt;I!T18,I!V18,),),)</f>
        <v>0</v>
      </c>
      <c r="W18" s="622">
        <f>IF(Q18="","",$W$5-SUM($Q$7:Q18))</f>
        <v>0</v>
      </c>
      <c r="X18" s="395"/>
      <c r="Y18" s="1204" t="s">
        <v>367</v>
      </c>
      <c r="Z18" s="1205"/>
      <c r="AA18" s="121">
        <f>AA17-AA4</f>
        <v>0</v>
      </c>
      <c r="AB18" s="643"/>
      <c r="AC18" s="643"/>
      <c r="AD18" s="34"/>
      <c r="AE18" s="1137"/>
      <c r="AF18" s="367"/>
      <c r="AG18" s="376"/>
      <c r="AH18" s="885" t="s">
        <v>401</v>
      </c>
      <c r="AI18" s="367"/>
      <c r="AJ18" s="367"/>
      <c r="AK18" s="367"/>
      <c r="AL18" s="367"/>
      <c r="AM18" s="367"/>
      <c r="AN18" s="367"/>
      <c r="AO18" s="86"/>
      <c r="AR18" s="52" t="s">
        <v>5</v>
      </c>
    </row>
    <row r="19" spans="1:63" ht="15" customHeight="1" thickBot="1">
      <c r="A19" s="367"/>
      <c r="B19" s="95" t="s">
        <v>367</v>
      </c>
      <c r="C19" s="98"/>
      <c r="D19" s="97">
        <f>C18-D18</f>
        <v>0</v>
      </c>
      <c r="E19" s="516"/>
      <c r="F19" s="516"/>
      <c r="G19" s="367"/>
      <c r="H19" s="543"/>
      <c r="I19" s="853"/>
      <c r="J19" s="6"/>
      <c r="K19" s="541"/>
      <c r="L19" s="860"/>
      <c r="M19" s="20" t="str">
        <f>IF(J19="","",$M$5-SUM($J$7:J19))</f>
        <v/>
      </c>
      <c r="N19" s="367"/>
      <c r="O19" s="7"/>
      <c r="P19" s="871">
        <f>IF(I!Q19&lt;&gt;I!R19,IF(I!Q19&lt;&gt;0,IF(I!S19&lt;&gt;I!T19,I!P19,),),)</f>
        <v>0</v>
      </c>
      <c r="Q19" s="795">
        <f>IF(I!Q19&lt;&gt;I!R19,IF(I!Q19&lt;&gt;0,IF(I!S19&lt;&gt;I!T19,I!Q19,),),)</f>
        <v>0</v>
      </c>
      <c r="R19" s="628">
        <f>IF(I!Q19&lt;&gt;I!R19,IF(I!Q19&lt;&gt;0,IF(I!S19&lt;&gt;I!T19,0,Q19),Q19),Q19)</f>
        <v>0</v>
      </c>
      <c r="S19" s="796">
        <f>IF(I!Q19&lt;&gt;I!R19,IF(I!Q19&lt;&gt;0,IF(I!S19&lt;&gt;I!T19,I!S19+1,),),)</f>
        <v>0</v>
      </c>
      <c r="T19" s="796">
        <f>IF(I!Q19&lt;&gt;I!R19,IF(I!Q19&lt;&gt;0,IF(I!S19&lt;&gt;I!T19,I!T19,),),)</f>
        <v>0</v>
      </c>
      <c r="U19" s="797">
        <f>IF(I!Q19&lt;&gt;I!R19,IF(I!Q19&lt;&gt;0,IF(I!S19&lt;&gt;I!T19,I!U19,),),)</f>
        <v>0</v>
      </c>
      <c r="V19" s="875">
        <f>IF(I!Q19&lt;&gt;I!R19,IF(I!Q19&lt;&gt;0,IF(I!S19&lt;&gt;I!T19,I!V19,),),)</f>
        <v>0</v>
      </c>
      <c r="W19" s="622">
        <f>IF(Q19="","",$W$5-SUM($Q$7:Q19))</f>
        <v>0</v>
      </c>
      <c r="X19" s="395"/>
      <c r="Y19" s="378"/>
      <c r="Z19" s="378"/>
      <c r="AA19" s="378"/>
      <c r="AB19" s="378"/>
      <c r="AC19" s="378"/>
      <c r="AD19" s="9"/>
      <c r="AE19" s="1137"/>
      <c r="AF19" s="367"/>
      <c r="AG19" s="373"/>
      <c r="AH19" s="886" t="s">
        <v>402</v>
      </c>
      <c r="AI19" s="367"/>
      <c r="AJ19" s="367"/>
      <c r="AK19" s="367"/>
      <c r="AL19" s="367"/>
      <c r="AM19" s="367"/>
      <c r="AN19" s="367"/>
      <c r="AO19" s="86"/>
      <c r="AR19" s="88">
        <v>10</v>
      </c>
      <c r="AV19" s="476" t="s">
        <v>14</v>
      </c>
    </row>
    <row r="20" spans="1:63" ht="15" customHeight="1" thickBot="1">
      <c r="A20" s="367"/>
      <c r="B20" s="1095" t="str">
        <f>IF(D19&gt;0,"Unexpected positive difference - Check why!","")</f>
        <v/>
      </c>
      <c r="C20" s="1095"/>
      <c r="D20" s="1095"/>
      <c r="E20" s="514"/>
      <c r="F20" s="514"/>
      <c r="G20" s="367"/>
      <c r="H20" s="543"/>
      <c r="I20" s="853"/>
      <c r="J20" s="6"/>
      <c r="K20" s="541"/>
      <c r="L20" s="860"/>
      <c r="M20" s="20" t="str">
        <f>IF(J20="","",$M$5-SUM($J$7:J20))</f>
        <v/>
      </c>
      <c r="N20" s="367"/>
      <c r="O20" s="7"/>
      <c r="P20" s="871">
        <f>IF(I!Q20&lt;&gt;I!R20,IF(I!Q20&lt;&gt;0,IF(I!S20&lt;&gt;I!T20,I!P20,),),)</f>
        <v>0</v>
      </c>
      <c r="Q20" s="795">
        <f>IF(I!Q20&lt;&gt;I!R20,IF(I!Q20&lt;&gt;0,IF(I!S20&lt;&gt;I!T20,I!Q20,),),)</f>
        <v>0</v>
      </c>
      <c r="R20" s="628">
        <f>IF(I!Q20&lt;&gt;I!R20,IF(I!Q20&lt;&gt;0,IF(I!S20&lt;&gt;I!T20,0,Q20),Q20),Q20)</f>
        <v>0</v>
      </c>
      <c r="S20" s="796">
        <f>IF(I!Q20&lt;&gt;I!R20,IF(I!Q20&lt;&gt;0,IF(I!S20&lt;&gt;I!T20,I!S20+1,),),)</f>
        <v>0</v>
      </c>
      <c r="T20" s="796">
        <f>IF(I!Q20&lt;&gt;I!R20,IF(I!Q20&lt;&gt;0,IF(I!S20&lt;&gt;I!T20,I!T20,),),)</f>
        <v>0</v>
      </c>
      <c r="U20" s="797">
        <f>IF(I!Q20&lt;&gt;I!R20,IF(I!Q20&lt;&gt;0,IF(I!S20&lt;&gt;I!T20,I!U20,),),)</f>
        <v>0</v>
      </c>
      <c r="V20" s="875">
        <f>IF(I!Q20&lt;&gt;I!R20,IF(I!Q20&lt;&gt;0,IF(I!S20&lt;&gt;I!T20,I!V20,),),)</f>
        <v>0</v>
      </c>
      <c r="W20" s="622">
        <f>IF(Q20="","",$W$5-SUM($Q$7:Q20))</f>
        <v>0</v>
      </c>
      <c r="X20" s="395"/>
      <c r="Y20" s="1206" t="s">
        <v>350</v>
      </c>
      <c r="Z20" s="1207"/>
      <c r="AA20" s="1207"/>
      <c r="AB20" s="552"/>
      <c r="AC20" s="552"/>
      <c r="AD20" s="27"/>
      <c r="AE20" s="1137"/>
      <c r="AF20" s="367"/>
      <c r="AG20" s="374"/>
      <c r="AH20" s="887" t="s">
        <v>466</v>
      </c>
      <c r="AI20" s="367"/>
      <c r="AJ20" s="367"/>
      <c r="AK20" s="367"/>
      <c r="AL20" s="367"/>
      <c r="AM20" s="367"/>
      <c r="AN20" s="367"/>
      <c r="AO20" s="86"/>
      <c r="AQ20" s="1240" t="s">
        <v>29</v>
      </c>
      <c r="AR20" s="1139"/>
      <c r="AS20" s="1139"/>
      <c r="AT20" s="1140"/>
      <c r="AV20" s="476" t="s">
        <v>15</v>
      </c>
    </row>
    <row r="21" spans="1:63" ht="15" customHeight="1">
      <c r="A21" s="367"/>
      <c r="B21" s="399"/>
      <c r="C21" s="400"/>
      <c r="D21" s="400"/>
      <c r="E21" s="400"/>
      <c r="F21" s="400"/>
      <c r="G21" s="367"/>
      <c r="H21" s="543"/>
      <c r="I21" s="853"/>
      <c r="J21" s="6"/>
      <c r="K21" s="541"/>
      <c r="L21" s="860"/>
      <c r="M21" s="20" t="str">
        <f>IF(J21="","",$M$5-SUM($J$7:J21))</f>
        <v/>
      </c>
      <c r="N21" s="367"/>
      <c r="O21" s="7"/>
      <c r="P21" s="873">
        <f>IF(I!Q21&lt;&gt;I!R21,IF(I!Q21&lt;&gt;0,IF(I!S21&lt;&gt;I!T21,I!P21,),),)</f>
        <v>0</v>
      </c>
      <c r="Q21" s="795">
        <f>IF(I!Q21&lt;&gt;I!R21,IF(I!Q21&lt;&gt;0,IF(I!S21&lt;&gt;I!T21,I!Q21,),),)</f>
        <v>0</v>
      </c>
      <c r="R21" s="628">
        <f>IF(I!Q21&lt;&gt;I!R21,IF(I!Q21&lt;&gt;0,IF(I!S21&lt;&gt;I!T21,0,Q21),Q21),Q21)</f>
        <v>0</v>
      </c>
      <c r="S21" s="796">
        <f>IF(I!Q21&lt;&gt;I!R21,IF(I!Q21&lt;&gt;0,IF(I!S21&lt;&gt;I!T21,I!S21+1,),),)</f>
        <v>0</v>
      </c>
      <c r="T21" s="796">
        <f>IF(I!Q21&lt;&gt;I!R21,IF(I!Q21&lt;&gt;0,IF(I!S21&lt;&gt;I!T21,I!T21,),),)</f>
        <v>0</v>
      </c>
      <c r="U21" s="797">
        <f>IF(I!Q21&lt;&gt;I!R21,IF(I!Q21&lt;&gt;0,IF(I!S21&lt;&gt;I!T21,I!U21,),),)</f>
        <v>0</v>
      </c>
      <c r="V21" s="875">
        <f>IF(I!Q21&lt;&gt;I!R21,IF(I!Q21&lt;&gt;0,IF(I!S21&lt;&gt;I!T21,I!V21,),),)</f>
        <v>0</v>
      </c>
      <c r="W21" s="622">
        <f>IF(Q21="","",$W$5-SUM($Q$7:Q21))</f>
        <v>0</v>
      </c>
      <c r="X21" s="395"/>
      <c r="Y21" s="1187" t="s">
        <v>353</v>
      </c>
      <c r="Z21" s="1189" t="s">
        <v>354</v>
      </c>
      <c r="AA21" s="1210" t="s">
        <v>494</v>
      </c>
      <c r="AB21" s="719"/>
      <c r="AC21" s="720"/>
      <c r="AD21" s="1148" t="s">
        <v>2</v>
      </c>
      <c r="AE21" s="1141" t="s">
        <v>406</v>
      </c>
      <c r="AG21" s="1242" t="s">
        <v>405</v>
      </c>
      <c r="AH21" s="887" t="s">
        <v>403</v>
      </c>
      <c r="AI21" s="367"/>
      <c r="AJ21" s="367"/>
      <c r="AK21" s="367"/>
      <c r="AL21" s="367"/>
      <c r="AM21" s="367"/>
      <c r="AN21" s="367"/>
      <c r="AO21" s="86"/>
      <c r="AP21" s="89" t="s">
        <v>3</v>
      </c>
      <c r="AQ21" s="475" t="s">
        <v>7</v>
      </c>
      <c r="AR21" s="1229" t="s">
        <v>11</v>
      </c>
      <c r="AS21" s="476"/>
      <c r="AT21" s="476"/>
      <c r="AU21" s="476"/>
      <c r="AV21" s="476" t="s">
        <v>16</v>
      </c>
      <c r="AW21" s="476"/>
      <c r="AX21" s="90" t="s">
        <v>0</v>
      </c>
    </row>
    <row r="22" spans="1:63" ht="15.75" customHeight="1" thickBot="1">
      <c r="A22" s="367"/>
      <c r="B22" s="401" t="s">
        <v>349</v>
      </c>
      <c r="C22" s="402"/>
      <c r="D22" s="378"/>
      <c r="E22" s="378"/>
      <c r="F22" s="378"/>
      <c r="G22" s="367"/>
      <c r="H22" s="543"/>
      <c r="I22" s="853"/>
      <c r="J22" s="6"/>
      <c r="K22" s="541"/>
      <c r="L22" s="860"/>
      <c r="M22" s="20" t="str">
        <f>IF(J22="","",$M$5-SUM($J$7:J22))</f>
        <v/>
      </c>
      <c r="N22" s="367"/>
      <c r="O22" s="7"/>
      <c r="P22" s="871">
        <f>IF(I!Q22&lt;&gt;I!R22,IF(I!Q22&lt;&gt;0,IF(I!S22&lt;&gt;I!T22,I!P22,),),)</f>
        <v>0</v>
      </c>
      <c r="Q22" s="795">
        <f>IF(I!Q22&lt;&gt;I!R22,IF(I!Q22&lt;&gt;0,IF(I!S22&lt;&gt;I!T22,I!Q22,),),)</f>
        <v>0</v>
      </c>
      <c r="R22" s="628">
        <f>IF(I!Q22&lt;&gt;I!R22,IF(I!Q22&lt;&gt;0,IF(I!S22&lt;&gt;I!T22,0,Q22),Q22),Q22)</f>
        <v>0</v>
      </c>
      <c r="S22" s="796">
        <f>IF(I!Q22&lt;&gt;I!R22,IF(I!Q22&lt;&gt;0,IF(I!S22&lt;&gt;I!T22,I!S22+1,),),)</f>
        <v>0</v>
      </c>
      <c r="T22" s="796">
        <f>IF(I!Q22&lt;&gt;I!R22,IF(I!Q22&lt;&gt;0,IF(I!S22&lt;&gt;I!T22,I!T22,),),)</f>
        <v>0</v>
      </c>
      <c r="U22" s="797">
        <f>IF(I!Q22&lt;&gt;I!R22,IF(I!Q22&lt;&gt;0,IF(I!S22&lt;&gt;I!T22,I!U22,),),)</f>
        <v>0</v>
      </c>
      <c r="V22" s="875">
        <f>IF(I!Q22&lt;&gt;I!R22,IF(I!Q22&lt;&gt;0,IF(I!S22&lt;&gt;I!T22,I!V22,),),)</f>
        <v>0</v>
      </c>
      <c r="W22" s="622">
        <f>IF(Q22="","",$W$5-SUM($Q$7:Q22))</f>
        <v>0</v>
      </c>
      <c r="X22" s="395"/>
      <c r="Y22" s="1188"/>
      <c r="Z22" s="1241"/>
      <c r="AA22" s="1211"/>
      <c r="AB22" s="719"/>
      <c r="AC22" s="721"/>
      <c r="AD22" s="1148"/>
      <c r="AE22" s="1141"/>
      <c r="AF22" s="367"/>
      <c r="AG22" s="1243"/>
      <c r="AH22" s="367"/>
      <c r="AI22" s="367"/>
      <c r="AJ22" s="367"/>
      <c r="AK22" s="367"/>
      <c r="AL22" s="367"/>
      <c r="AM22" s="367"/>
      <c r="AN22" s="367"/>
      <c r="AO22" s="86"/>
      <c r="AP22" s="90" t="s">
        <v>9</v>
      </c>
      <c r="AQ22" s="475" t="s">
        <v>10</v>
      </c>
      <c r="AR22" s="1229"/>
      <c r="AS22" s="475" t="s">
        <v>8</v>
      </c>
      <c r="AT22" s="475" t="s">
        <v>6</v>
      </c>
      <c r="AU22" s="476"/>
      <c r="AV22" s="475" t="s">
        <v>17</v>
      </c>
      <c r="AW22" s="475" t="s">
        <v>18</v>
      </c>
      <c r="AX22" s="706" t="s">
        <v>19</v>
      </c>
      <c r="AZ22" s="725" t="s">
        <v>31</v>
      </c>
      <c r="BA22" s="724"/>
      <c r="BB22" s="724"/>
      <c r="BC22" s="724"/>
      <c r="BD22" s="724"/>
      <c r="BE22" s="724"/>
      <c r="BF22" s="724"/>
      <c r="BG22" s="724"/>
      <c r="BH22" s="724"/>
      <c r="BJ22" s="724"/>
      <c r="BK22" s="724"/>
    </row>
    <row r="23" spans="1:63" ht="15.75">
      <c r="A23" s="367"/>
      <c r="B23" s="1102" t="s">
        <v>428</v>
      </c>
      <c r="C23" s="1104">
        <f ca="1">C40</f>
        <v>0</v>
      </c>
      <c r="D23" s="1105"/>
      <c r="E23" s="1091"/>
      <c r="F23" s="1092"/>
      <c r="G23" s="367"/>
      <c r="H23" s="543"/>
      <c r="I23" s="853"/>
      <c r="J23" s="6"/>
      <c r="K23" s="541"/>
      <c r="L23" s="860"/>
      <c r="M23" s="20" t="str">
        <f>IF(J23="","",$M$5-SUM($J$7:J23))</f>
        <v/>
      </c>
      <c r="N23" s="367"/>
      <c r="O23" s="7"/>
      <c r="P23" s="873">
        <f>IF(I!Q23&lt;&gt;I!R23,IF(I!Q23&lt;&gt;0,IF(I!S23&lt;&gt;I!T23,I!P23,),),)</f>
        <v>0</v>
      </c>
      <c r="Q23" s="795">
        <f>IF(I!Q23&lt;&gt;I!R23,IF(I!Q23&lt;&gt;0,IF(I!S23&lt;&gt;I!T23,I!Q23,),),)</f>
        <v>0</v>
      </c>
      <c r="R23" s="628">
        <f>IF(I!Q23&lt;&gt;I!R23,IF(I!Q23&lt;&gt;0,IF(I!S23&lt;&gt;I!T23,0,Q23),Q23),Q23)</f>
        <v>0</v>
      </c>
      <c r="S23" s="796">
        <f>IF(I!Q23&lt;&gt;I!R23,IF(I!Q23&lt;&gt;0,IF(I!S23&lt;&gt;I!T23,I!S23+1,),),)</f>
        <v>0</v>
      </c>
      <c r="T23" s="796">
        <f>IF(I!Q23&lt;&gt;I!R23,IF(I!Q23&lt;&gt;0,IF(I!S23&lt;&gt;I!T23,I!T23,),),)</f>
        <v>0</v>
      </c>
      <c r="U23" s="797">
        <f>IF(I!Q23&lt;&gt;I!R23,IF(I!Q23&lt;&gt;0,IF(I!S23&lt;&gt;I!T23,I!U23,),),)</f>
        <v>0</v>
      </c>
      <c r="V23" s="875">
        <f>IF(I!Q23&lt;&gt;I!R23,IF(I!Q23&lt;&gt;0,IF(I!S23&lt;&gt;I!T23,I!V23,),),)</f>
        <v>0</v>
      </c>
      <c r="W23" s="622">
        <f>IF(Q23="","",$W$5-SUM($Q$7:Q23))</f>
        <v>0</v>
      </c>
      <c r="X23" s="395"/>
      <c r="Y23" s="905" t="str">
        <f>IF(I!Y23&lt;&gt;"",I!Y23,)</f>
        <v>Municipal Taxes</v>
      </c>
      <c r="Z23" s="457">
        <f>I!Z23</f>
        <v>0</v>
      </c>
      <c r="AA23" s="21">
        <f t="shared" ref="AA23:AA44" si="0">SUMIF($P$7:$P$110,Y23,$Q$7:$Q$110)</f>
        <v>0</v>
      </c>
      <c r="AB23" s="722"/>
      <c r="AC23" s="722"/>
      <c r="AD23" s="35">
        <f t="shared" ref="AD23:AD44" si="1">SUMIF($P$7:$P$110,Y23,$R$7:$R$110)</f>
        <v>0</v>
      </c>
      <c r="AE23" s="23">
        <f>IF(AI23=0,AX23,0)</f>
        <v>0</v>
      </c>
      <c r="AF23" s="367"/>
      <c r="AG23" s="728">
        <f t="shared" ref="AG23:AG44" si="2">IF(AZ23&gt;1,"overrun",IF(AZ23&lt;0,"OK",AZ23))</f>
        <v>0</v>
      </c>
      <c r="AH23" s="367"/>
      <c r="AI23" s="375">
        <v>0</v>
      </c>
      <c r="AJ23" s="367"/>
      <c r="AK23" s="367"/>
      <c r="AL23" s="367"/>
      <c r="AM23" s="367"/>
      <c r="AN23" s="367"/>
      <c r="AO23" s="86"/>
      <c r="AP23" s="51">
        <f t="shared" ref="AP23:AP44" si="3">IF(AI23=1,AX23,0)</f>
        <v>0</v>
      </c>
      <c r="AQ23" s="476">
        <f>I!AQ23+I!AP23</f>
        <v>0</v>
      </c>
      <c r="AR23" s="476">
        <f t="shared" ref="AR23:AR44" si="4">Z23*12-AS23-AQ23</f>
        <v>0</v>
      </c>
      <c r="AS23" s="477">
        <f>AD23+I!AS23</f>
        <v>0</v>
      </c>
      <c r="AT23" s="477">
        <f>AA23+I!AT23</f>
        <v>0</v>
      </c>
      <c r="AU23" s="476"/>
      <c r="AV23" s="477">
        <f>I!AV23-I!AD23+J!Z23-I!AP23</f>
        <v>0</v>
      </c>
      <c r="AW23" s="476">
        <f>IF(AE23&lt;0,AE23,0)</f>
        <v>0</v>
      </c>
      <c r="AX23" s="52">
        <f>IF(Z23=I!Z23,I!AE23-AD23,I!AE23+(Z23-I!Z23)*$AW$16-AD23)</f>
        <v>0</v>
      </c>
      <c r="AZ23" s="726">
        <f>(($Z23*(12-$AR$19))-$AE23)/($Z23*(12-$AR$19)+0.00001)</f>
        <v>0</v>
      </c>
    </row>
    <row r="24" spans="1:63" ht="15.75">
      <c r="A24" s="367"/>
      <c r="B24" s="1103"/>
      <c r="C24" s="1106"/>
      <c r="D24" s="1107"/>
      <c r="E24" s="1091"/>
      <c r="F24" s="1092"/>
      <c r="G24" s="367"/>
      <c r="H24" s="543"/>
      <c r="I24" s="853"/>
      <c r="J24" s="6"/>
      <c r="K24" s="541"/>
      <c r="L24" s="860"/>
      <c r="M24" s="20" t="str">
        <f>IF(J24="","",$M$5-SUM($J$7:J24))</f>
        <v/>
      </c>
      <c r="N24" s="367"/>
      <c r="O24" s="7"/>
      <c r="P24" s="873">
        <f>IF(I!Q24&lt;&gt;I!R24,IF(I!Q24&lt;&gt;0,IF(I!S24&lt;&gt;I!T24,I!P24,),),)</f>
        <v>0</v>
      </c>
      <c r="Q24" s="795">
        <f>IF(I!Q24&lt;&gt;I!R24,IF(I!Q24&lt;&gt;0,IF(I!S24&lt;&gt;I!T24,I!Q24,),),)</f>
        <v>0</v>
      </c>
      <c r="R24" s="628">
        <f>IF(I!Q24&lt;&gt;I!R24,IF(I!Q24&lt;&gt;0,IF(I!S24&lt;&gt;I!T24,0,Q24),Q24),Q24)</f>
        <v>0</v>
      </c>
      <c r="S24" s="796">
        <f>IF(I!Q24&lt;&gt;I!R24,IF(I!Q24&lt;&gt;0,IF(I!S24&lt;&gt;I!T24,I!S24+1,),),)</f>
        <v>0</v>
      </c>
      <c r="T24" s="796">
        <f>IF(I!Q24&lt;&gt;I!R24,IF(I!Q24&lt;&gt;0,IF(I!S24&lt;&gt;I!T24,I!T24,),),)</f>
        <v>0</v>
      </c>
      <c r="U24" s="797">
        <f>IF(I!Q24&lt;&gt;I!R24,IF(I!Q24&lt;&gt;0,IF(I!S24&lt;&gt;I!T24,I!U24,),),)</f>
        <v>0</v>
      </c>
      <c r="V24" s="875">
        <f>IF(I!Q24&lt;&gt;I!R24,IF(I!Q24&lt;&gt;0,IF(I!S24&lt;&gt;I!T24,I!V24,),),)</f>
        <v>0</v>
      </c>
      <c r="W24" s="622">
        <f>IF(Q24="","",$W$5-SUM($Q$7:Q24))</f>
        <v>0</v>
      </c>
      <c r="X24" s="395"/>
      <c r="Y24" s="905" t="str">
        <f>IF(I!Y24&lt;&gt;"",I!Y24,)</f>
        <v>Water and Sewage</v>
      </c>
      <c r="Z24" s="457">
        <f>I!Z24</f>
        <v>0</v>
      </c>
      <c r="AA24" s="20">
        <f t="shared" si="0"/>
        <v>0</v>
      </c>
      <c r="AB24" s="723"/>
      <c r="AC24" s="723"/>
      <c r="AD24" s="36">
        <f t="shared" si="1"/>
        <v>0</v>
      </c>
      <c r="AE24" s="23">
        <f t="shared" ref="AE24:AE44" si="5">IF(AI24=0,AX24,0)</f>
        <v>0</v>
      </c>
      <c r="AF24" s="367"/>
      <c r="AG24" s="728">
        <f t="shared" si="2"/>
        <v>0</v>
      </c>
      <c r="AH24" s="367"/>
      <c r="AI24" s="375">
        <v>0</v>
      </c>
      <c r="AJ24" s="367"/>
      <c r="AK24" s="367"/>
      <c r="AL24" s="367"/>
      <c r="AM24" s="367"/>
      <c r="AN24" s="367"/>
      <c r="AO24" s="86"/>
      <c r="AP24" s="51">
        <f t="shared" si="3"/>
        <v>0</v>
      </c>
      <c r="AQ24" s="476">
        <f>I!AQ24+I!AP24</f>
        <v>0</v>
      </c>
      <c r="AR24" s="476">
        <f t="shared" si="4"/>
        <v>0</v>
      </c>
      <c r="AS24" s="477">
        <f>AD24+I!AS24</f>
        <v>0</v>
      </c>
      <c r="AT24" s="477">
        <f>AA24+I!AT24</f>
        <v>0</v>
      </c>
      <c r="AU24" s="476"/>
      <c r="AV24" s="477">
        <f>I!AV24-I!AD24+J!Z24-I!AP24</f>
        <v>0</v>
      </c>
      <c r="AW24" s="476">
        <f t="shared" ref="AW24:AW44" si="6">IF(AE24&lt;0,AE24,0)</f>
        <v>0</v>
      </c>
      <c r="AX24" s="52">
        <f>IF(Z24=I!Z24,I!AE24-AD24,I!AE24+(Z24-I!Z24)*$AW$16-AD24)</f>
        <v>0</v>
      </c>
      <c r="AZ24" s="726">
        <f t="shared" ref="AZ24:AZ44" si="7">(($Z24*(12-$AR$19))-$AE24)/($Z24*(12-$AR$19)+0.00001)</f>
        <v>0</v>
      </c>
    </row>
    <row r="25" spans="1:63" ht="16.5" thickBot="1">
      <c r="A25" s="367"/>
      <c r="B25" s="1178" t="s">
        <v>388</v>
      </c>
      <c r="C25" s="1118" t="s">
        <v>354</v>
      </c>
      <c r="D25" s="1180" t="s">
        <v>494</v>
      </c>
      <c r="E25" s="1109" t="s">
        <v>380</v>
      </c>
      <c r="F25" s="1108" t="s">
        <v>335</v>
      </c>
      <c r="G25" s="367"/>
      <c r="H25" s="543"/>
      <c r="I25" s="853"/>
      <c r="J25" s="6"/>
      <c r="K25" s="541"/>
      <c r="L25" s="860"/>
      <c r="M25" s="20" t="str">
        <f>IF(J25="","",$M$5-SUM($J$7:J25))</f>
        <v/>
      </c>
      <c r="N25" s="367"/>
      <c r="O25" s="7"/>
      <c r="P25" s="873">
        <f>IF(I!Q25&lt;&gt;I!R25,IF(I!Q25&lt;&gt;0,IF(I!S25&lt;&gt;I!T25,I!P25,),),)</f>
        <v>0</v>
      </c>
      <c r="Q25" s="795">
        <f>IF(I!Q25&lt;&gt;I!R25,IF(I!Q25&lt;&gt;0,IF(I!S25&lt;&gt;I!T25,I!Q25,),),)</f>
        <v>0</v>
      </c>
      <c r="R25" s="628">
        <f>IF(I!Q25&lt;&gt;I!R25,IF(I!Q25&lt;&gt;0,IF(I!S25&lt;&gt;I!T25,0,Q25),Q25),Q25)</f>
        <v>0</v>
      </c>
      <c r="S25" s="796">
        <f>IF(I!Q25&lt;&gt;I!R25,IF(I!Q25&lt;&gt;0,IF(I!S25&lt;&gt;I!T25,I!S25+1,),),)</f>
        <v>0</v>
      </c>
      <c r="T25" s="796">
        <f>IF(I!Q25&lt;&gt;I!R25,IF(I!Q25&lt;&gt;0,IF(I!S25&lt;&gt;I!T25,I!T25,),),)</f>
        <v>0</v>
      </c>
      <c r="U25" s="797">
        <f>IF(I!Q25&lt;&gt;I!R25,IF(I!Q25&lt;&gt;0,IF(I!S25&lt;&gt;I!T25,I!U25,),),)</f>
        <v>0</v>
      </c>
      <c r="V25" s="875">
        <f>IF(I!Q25&lt;&gt;I!R25,IF(I!Q25&lt;&gt;0,IF(I!S25&lt;&gt;I!T25,I!V25,),),)</f>
        <v>0</v>
      </c>
      <c r="W25" s="622">
        <f>IF(Q25="","",$W$5-SUM($Q$7:Q25))</f>
        <v>0</v>
      </c>
      <c r="X25" s="395"/>
      <c r="Y25" s="905" t="str">
        <f>IF(I!Y25&lt;&gt;"",I!Y25,)</f>
        <v>Electricity</v>
      </c>
      <c r="Z25" s="457">
        <f>I!Z25</f>
        <v>0</v>
      </c>
      <c r="AA25" s="20">
        <f t="shared" si="0"/>
        <v>0</v>
      </c>
      <c r="AB25" s="723"/>
      <c r="AC25" s="723"/>
      <c r="AD25" s="36">
        <f t="shared" si="1"/>
        <v>0</v>
      </c>
      <c r="AE25" s="23">
        <f t="shared" si="5"/>
        <v>0</v>
      </c>
      <c r="AF25" s="367"/>
      <c r="AG25" s="728">
        <f t="shared" si="2"/>
        <v>0</v>
      </c>
      <c r="AH25" s="367"/>
      <c r="AI25" s="375">
        <v>0</v>
      </c>
      <c r="AJ25" s="367"/>
      <c r="AK25" s="367"/>
      <c r="AL25" s="367"/>
      <c r="AM25" s="367"/>
      <c r="AN25" s="367"/>
      <c r="AO25" s="86"/>
      <c r="AP25" s="51">
        <f t="shared" si="3"/>
        <v>0</v>
      </c>
      <c r="AQ25" s="476">
        <f>I!AQ25+I!AP25</f>
        <v>0</v>
      </c>
      <c r="AR25" s="476">
        <f t="shared" si="4"/>
        <v>0</v>
      </c>
      <c r="AS25" s="477">
        <f>AD25+I!AS25</f>
        <v>0</v>
      </c>
      <c r="AT25" s="477">
        <f>AA25+I!AT25</f>
        <v>0</v>
      </c>
      <c r="AU25" s="476"/>
      <c r="AV25" s="477">
        <f>I!AV25-I!AD25+J!Z25-I!AP25</f>
        <v>0</v>
      </c>
      <c r="AW25" s="476">
        <f t="shared" si="6"/>
        <v>0</v>
      </c>
      <c r="AX25" s="52">
        <f>IF(Z25=I!Z25,I!AE25-AD25,I!AE25+(Z25-I!Z25)*$AW$16-AD25)</f>
        <v>0</v>
      </c>
      <c r="AZ25" s="726">
        <f t="shared" si="7"/>
        <v>0</v>
      </c>
    </row>
    <row r="26" spans="1:63" ht="15.75">
      <c r="A26" s="367"/>
      <c r="B26" s="1179"/>
      <c r="C26" s="1119"/>
      <c r="D26" s="1181"/>
      <c r="E26" s="1109"/>
      <c r="F26" s="1108"/>
      <c r="G26" s="367"/>
      <c r="H26" s="543"/>
      <c r="I26" s="853"/>
      <c r="J26" s="6"/>
      <c r="K26" s="541"/>
      <c r="L26" s="860"/>
      <c r="M26" s="20" t="str">
        <f>IF(J26="","",$M$5-SUM($J$7:J26))</f>
        <v/>
      </c>
      <c r="N26" s="367"/>
      <c r="O26" s="7"/>
      <c r="P26" s="873">
        <f>IF(I!Q26&lt;&gt;I!R26,IF(I!Q26&lt;&gt;0,IF(I!S26&lt;&gt;I!T26,I!P26,),),)</f>
        <v>0</v>
      </c>
      <c r="Q26" s="795">
        <f>IF(I!Q26&lt;&gt;I!R26,IF(I!Q26&lt;&gt;0,IF(I!S26&lt;&gt;I!T26,I!Q26,),),)</f>
        <v>0</v>
      </c>
      <c r="R26" s="628">
        <f>IF(I!Q26&lt;&gt;I!R26,IF(I!Q26&lt;&gt;0,IF(I!S26&lt;&gt;I!T26,0,Q26),Q26),Q26)</f>
        <v>0</v>
      </c>
      <c r="S26" s="796">
        <f>IF(I!Q26&lt;&gt;I!R26,IF(I!Q26&lt;&gt;0,IF(I!S26&lt;&gt;I!T26,I!S26+1,),),)</f>
        <v>0</v>
      </c>
      <c r="T26" s="796">
        <f>IF(I!Q26&lt;&gt;I!R26,IF(I!Q26&lt;&gt;0,IF(I!S26&lt;&gt;I!T26,I!T26,),),)</f>
        <v>0</v>
      </c>
      <c r="U26" s="797">
        <f>IF(I!Q26&lt;&gt;I!R26,IF(I!Q26&lt;&gt;0,IF(I!S26&lt;&gt;I!T26,I!U26,),),)</f>
        <v>0</v>
      </c>
      <c r="V26" s="875">
        <f>IF(I!Q26&lt;&gt;I!R26,IF(I!Q26&lt;&gt;0,IF(I!S26&lt;&gt;I!T26,I!V26,),),)</f>
        <v>0</v>
      </c>
      <c r="W26" s="622">
        <f>IF(Q26="","",$W$5-SUM($Q$7:Q26))</f>
        <v>0</v>
      </c>
      <c r="X26" s="395"/>
      <c r="Y26" s="905" t="str">
        <f>IF(I!Y26&lt;&gt;"",I!Y26,)</f>
        <v>Gas</v>
      </c>
      <c r="Z26" s="457">
        <f>I!Z26</f>
        <v>0</v>
      </c>
      <c r="AA26" s="20">
        <f t="shared" si="0"/>
        <v>0</v>
      </c>
      <c r="AB26" s="723"/>
      <c r="AC26" s="723"/>
      <c r="AD26" s="36">
        <f t="shared" si="1"/>
        <v>0</v>
      </c>
      <c r="AE26" s="23">
        <f t="shared" si="5"/>
        <v>0</v>
      </c>
      <c r="AF26" s="367"/>
      <c r="AG26" s="728">
        <f t="shared" si="2"/>
        <v>0</v>
      </c>
      <c r="AH26" s="367"/>
      <c r="AI26" s="375">
        <v>0</v>
      </c>
      <c r="AJ26" s="367"/>
      <c r="AK26" s="525" t="s">
        <v>404</v>
      </c>
      <c r="AL26" s="526"/>
      <c r="AM26" s="367"/>
      <c r="AN26" s="367"/>
      <c r="AO26" s="86"/>
      <c r="AP26" s="51">
        <f t="shared" si="3"/>
        <v>0</v>
      </c>
      <c r="AQ26" s="476">
        <f>I!AQ26+I!AP26</f>
        <v>0</v>
      </c>
      <c r="AR26" s="476">
        <f t="shared" si="4"/>
        <v>0</v>
      </c>
      <c r="AS26" s="477">
        <f>AD26+I!AS26</f>
        <v>0</v>
      </c>
      <c r="AT26" s="477">
        <f>AA26+I!AT26</f>
        <v>0</v>
      </c>
      <c r="AU26" s="476"/>
      <c r="AV26" s="477">
        <f>I!AV26-I!AD26+J!Z26-I!AP26</f>
        <v>0</v>
      </c>
      <c r="AW26" s="476">
        <f t="shared" si="6"/>
        <v>0</v>
      </c>
      <c r="AX26" s="52">
        <f>IF(Z26=I!Z26,I!AE26-AD26,I!AE26+(Z26-I!Z26)*$AW$16-AD26)</f>
        <v>0</v>
      </c>
      <c r="AZ26" s="726">
        <f t="shared" si="7"/>
        <v>0</v>
      </c>
    </row>
    <row r="27" spans="1:63" ht="15.75">
      <c r="A27" s="367"/>
      <c r="B27" s="850">
        <f>IF(I!B27&lt;&gt;"",I!B27,)</f>
        <v>0</v>
      </c>
      <c r="C27" s="454">
        <f>I!C27</f>
        <v>0</v>
      </c>
      <c r="D27" s="74"/>
      <c r="E27" s="521"/>
      <c r="F27" s="858"/>
      <c r="G27" s="367"/>
      <c r="H27" s="543"/>
      <c r="I27" s="853"/>
      <c r="J27" s="6"/>
      <c r="K27" s="541"/>
      <c r="L27" s="860"/>
      <c r="M27" s="20" t="str">
        <f>IF(J27="","",$M$5-SUM($J$7:J27))</f>
        <v/>
      </c>
      <c r="N27" s="367"/>
      <c r="O27" s="7"/>
      <c r="P27" s="873">
        <f>IF(I!Q27&lt;&gt;I!R27,IF(I!Q27&lt;&gt;0,IF(I!S27&lt;&gt;I!T27,I!P27,),),)</f>
        <v>0</v>
      </c>
      <c r="Q27" s="795">
        <f>IF(I!Q27&lt;&gt;I!R27,IF(I!Q27&lt;&gt;0,IF(I!S27&lt;&gt;I!T27,I!Q27,),),)</f>
        <v>0</v>
      </c>
      <c r="R27" s="628">
        <f>IF(I!Q27&lt;&gt;I!R27,IF(I!Q27&lt;&gt;0,IF(I!S27&lt;&gt;I!T27,0,Q27),Q27),Q27)</f>
        <v>0</v>
      </c>
      <c r="S27" s="796">
        <f>IF(I!Q27&lt;&gt;I!R27,IF(I!Q27&lt;&gt;0,IF(I!S27&lt;&gt;I!T27,I!S27+1,),),)</f>
        <v>0</v>
      </c>
      <c r="T27" s="796">
        <f>IF(I!Q27&lt;&gt;I!R27,IF(I!Q27&lt;&gt;0,IF(I!S27&lt;&gt;I!T27,I!T27,),),)</f>
        <v>0</v>
      </c>
      <c r="U27" s="797">
        <f>IF(I!Q27&lt;&gt;I!R27,IF(I!Q27&lt;&gt;0,IF(I!S27&lt;&gt;I!T27,I!U27,),),)</f>
        <v>0</v>
      </c>
      <c r="V27" s="875">
        <f>IF(I!Q27&lt;&gt;I!R27,IF(I!Q27&lt;&gt;0,IF(I!S27&lt;&gt;I!T27,I!V27,),),)</f>
        <v>0</v>
      </c>
      <c r="W27" s="622">
        <f>IF(Q27="","",$W$5-SUM($Q$7:Q27))</f>
        <v>0</v>
      </c>
      <c r="X27" s="395"/>
      <c r="Y27" s="905" t="str">
        <f>IF(I!Y27&lt;&gt;"",I!Y27,)</f>
        <v>Heating</v>
      </c>
      <c r="Z27" s="457">
        <f>I!Z27</f>
        <v>0</v>
      </c>
      <c r="AA27" s="20">
        <f t="shared" si="0"/>
        <v>0</v>
      </c>
      <c r="AB27" s="723"/>
      <c r="AC27" s="723"/>
      <c r="AD27" s="36">
        <f t="shared" si="1"/>
        <v>0</v>
      </c>
      <c r="AE27" s="23">
        <f t="shared" si="5"/>
        <v>0</v>
      </c>
      <c r="AF27" s="367"/>
      <c r="AG27" s="728">
        <f t="shared" si="2"/>
        <v>0</v>
      </c>
      <c r="AH27" s="367"/>
      <c r="AI27" s="375">
        <v>0</v>
      </c>
      <c r="AJ27" s="367"/>
      <c r="AK27" s="527"/>
      <c r="AL27" s="394"/>
      <c r="AM27" s="367"/>
      <c r="AN27" s="367"/>
      <c r="AO27" s="86"/>
      <c r="AP27" s="51">
        <f t="shared" si="3"/>
        <v>0</v>
      </c>
      <c r="AQ27" s="476">
        <f>I!AQ27+I!AP27</f>
        <v>0</v>
      </c>
      <c r="AR27" s="476">
        <f t="shared" si="4"/>
        <v>0</v>
      </c>
      <c r="AS27" s="477">
        <f>AD27+I!AS27</f>
        <v>0</v>
      </c>
      <c r="AT27" s="477">
        <f>AA27+I!AT27</f>
        <v>0</v>
      </c>
      <c r="AU27" s="476"/>
      <c r="AV27" s="477">
        <f>I!AV27-I!AD27+J!Z27-I!AP27</f>
        <v>0</v>
      </c>
      <c r="AW27" s="476">
        <f t="shared" si="6"/>
        <v>0</v>
      </c>
      <c r="AX27" s="52">
        <f>IF(Z27=I!Z27,I!AE27-AD27,I!AE27+(Z27-I!Z27)*$AW$16-AD27)</f>
        <v>0</v>
      </c>
      <c r="AZ27" s="726">
        <f t="shared" si="7"/>
        <v>0</v>
      </c>
    </row>
    <row r="28" spans="1:63" ht="15" customHeight="1">
      <c r="A28" s="367"/>
      <c r="B28" s="850">
        <f ca="1">IF(I!B28&lt;&gt;"",I!B28,)</f>
        <v>0</v>
      </c>
      <c r="C28" s="454">
        <f ca="1">I!C28</f>
        <v>0</v>
      </c>
      <c r="D28" s="74"/>
      <c r="E28" s="521"/>
      <c r="F28" s="858"/>
      <c r="G28" s="367"/>
      <c r="H28" s="543"/>
      <c r="I28" s="853"/>
      <c r="J28" s="6"/>
      <c r="K28" s="541"/>
      <c r="L28" s="860"/>
      <c r="M28" s="20" t="str">
        <f>IF(J28="","",$M$5-SUM($J$7:J28))</f>
        <v/>
      </c>
      <c r="N28" s="367"/>
      <c r="O28" s="7"/>
      <c r="P28" s="873">
        <f>IF(I!Q28&lt;&gt;I!R28,IF(I!Q28&lt;&gt;0,IF(I!S28&lt;&gt;I!T28,I!P28,),),)</f>
        <v>0</v>
      </c>
      <c r="Q28" s="795">
        <f>IF(I!Q28&lt;&gt;I!R28,IF(I!Q28&lt;&gt;0,IF(I!S28&lt;&gt;I!T28,I!Q28,),),)</f>
        <v>0</v>
      </c>
      <c r="R28" s="628">
        <f>IF(I!Q28&lt;&gt;I!R28,IF(I!Q28&lt;&gt;0,IF(I!S28&lt;&gt;I!T28,0,Q28),Q28),Q28)</f>
        <v>0</v>
      </c>
      <c r="S28" s="796">
        <f>IF(I!Q28&lt;&gt;I!R28,IF(I!Q28&lt;&gt;0,IF(I!S28&lt;&gt;I!T28,I!S28+1,),),)</f>
        <v>0</v>
      </c>
      <c r="T28" s="796">
        <f>IF(I!Q28&lt;&gt;I!R28,IF(I!Q28&lt;&gt;0,IF(I!S28&lt;&gt;I!T28,I!T28,),),)</f>
        <v>0</v>
      </c>
      <c r="U28" s="797">
        <f>IF(I!Q28&lt;&gt;I!R28,IF(I!Q28&lt;&gt;0,IF(I!S28&lt;&gt;I!T28,I!U28,),),)</f>
        <v>0</v>
      </c>
      <c r="V28" s="875">
        <f>IF(I!Q28&lt;&gt;I!R28,IF(I!Q28&lt;&gt;0,IF(I!S28&lt;&gt;I!T28,I!V28,),),)</f>
        <v>0</v>
      </c>
      <c r="W28" s="622">
        <f>IF(Q28="","",$W$5-SUM($Q$7:Q28))</f>
        <v>0</v>
      </c>
      <c r="X28" s="395"/>
      <c r="Y28" s="906" t="str">
        <f>IF(I!Y28&lt;&gt;"",I!Y28,)</f>
        <v>Education/Schoolbooks</v>
      </c>
      <c r="Z28" s="457">
        <f>I!Z28</f>
        <v>0</v>
      </c>
      <c r="AA28" s="20">
        <f t="shared" si="0"/>
        <v>0</v>
      </c>
      <c r="AB28" s="723"/>
      <c r="AC28" s="723"/>
      <c r="AD28" s="36">
        <f t="shared" si="1"/>
        <v>0</v>
      </c>
      <c r="AE28" s="23">
        <f>IF(AI28=0,AX28,0)</f>
        <v>0</v>
      </c>
      <c r="AF28" s="367"/>
      <c r="AG28" s="728">
        <f t="shared" si="2"/>
        <v>0</v>
      </c>
      <c r="AH28" s="367"/>
      <c r="AI28" s="375">
        <v>0</v>
      </c>
      <c r="AJ28" s="367"/>
      <c r="AK28" s="528" t="s">
        <v>405</v>
      </c>
      <c r="AL28" s="529" t="s">
        <v>407</v>
      </c>
      <c r="AM28" s="367"/>
      <c r="AN28" s="367"/>
      <c r="AO28" s="86"/>
      <c r="AP28" s="51">
        <f t="shared" si="3"/>
        <v>0</v>
      </c>
      <c r="AQ28" s="476">
        <f>I!AQ28+I!AP28</f>
        <v>0</v>
      </c>
      <c r="AR28" s="476">
        <f t="shared" si="4"/>
        <v>0</v>
      </c>
      <c r="AS28" s="477">
        <f>AD28+I!AS28</f>
        <v>0</v>
      </c>
      <c r="AT28" s="477">
        <f>AA28+I!AT28</f>
        <v>0</v>
      </c>
      <c r="AU28" s="476"/>
      <c r="AV28" s="477">
        <f>I!AV28-I!AD28+J!Z28-I!AP28</f>
        <v>0</v>
      </c>
      <c r="AW28" s="476">
        <f t="shared" si="6"/>
        <v>0</v>
      </c>
      <c r="AX28" s="52">
        <f>IF(Z28=I!Z28,I!AE28-AD28,I!AE28+(Z28-I!Z28)*$AW$16-AD28)</f>
        <v>0</v>
      </c>
      <c r="AZ28" s="726">
        <f t="shared" si="7"/>
        <v>0</v>
      </c>
    </row>
    <row r="29" spans="1:63" ht="15" customHeight="1">
      <c r="A29" s="367"/>
      <c r="B29" s="850">
        <f ca="1">IF(I!B29&lt;&gt;"",I!B29,)</f>
        <v>0</v>
      </c>
      <c r="C29" s="454">
        <f ca="1">I!C29</f>
        <v>0</v>
      </c>
      <c r="D29" s="74"/>
      <c r="E29" s="521"/>
      <c r="F29" s="858"/>
      <c r="G29" s="367"/>
      <c r="H29" s="543"/>
      <c r="I29" s="854"/>
      <c r="J29" s="6"/>
      <c r="K29" s="541"/>
      <c r="L29" s="860"/>
      <c r="M29" s="20" t="str">
        <f>IF(J29="","",$M$5-SUM($J$7:J29))</f>
        <v/>
      </c>
      <c r="N29" s="367"/>
      <c r="O29" s="7"/>
      <c r="P29" s="873">
        <f>IF(I!Q29&lt;&gt;I!R29,IF(I!Q29&lt;&gt;0,IF(I!S29&lt;&gt;I!T29,I!P29,),),)</f>
        <v>0</v>
      </c>
      <c r="Q29" s="795">
        <f>IF(I!Q29&lt;&gt;I!R29,IF(I!Q29&lt;&gt;0,IF(I!S29&lt;&gt;I!T29,I!Q29,),),)</f>
        <v>0</v>
      </c>
      <c r="R29" s="628">
        <f>IF(I!Q29&lt;&gt;I!R29,IF(I!Q29&lt;&gt;0,IF(I!S29&lt;&gt;I!T29,0,Q29),Q29),Q29)</f>
        <v>0</v>
      </c>
      <c r="S29" s="796">
        <f>IF(I!Q29&lt;&gt;I!R29,IF(I!Q29&lt;&gt;0,IF(I!S29&lt;&gt;I!T29,I!S29+1,),),)</f>
        <v>0</v>
      </c>
      <c r="T29" s="796">
        <f>IF(I!Q29&lt;&gt;I!R29,IF(I!Q29&lt;&gt;0,IF(I!S29&lt;&gt;I!T29,I!T29,),),)</f>
        <v>0</v>
      </c>
      <c r="U29" s="797">
        <f>IF(I!Q29&lt;&gt;I!R29,IF(I!Q29&lt;&gt;0,IF(I!S29&lt;&gt;I!T29,I!U29,),),)</f>
        <v>0</v>
      </c>
      <c r="V29" s="875">
        <f>IF(I!Q29&lt;&gt;I!R29,IF(I!Q29&lt;&gt;0,IF(I!S29&lt;&gt;I!T29,I!V29,),),)</f>
        <v>0</v>
      </c>
      <c r="W29" s="622">
        <f>IF(Q29="","",$W$5-SUM($Q$7:Q29))</f>
        <v>0</v>
      </c>
      <c r="X29" s="395"/>
      <c r="Y29" s="906" t="str">
        <f>IF(I!Y29&lt;&gt;"",I!Y29,)</f>
        <v>Extracurricular Activities/Camps/Pool</v>
      </c>
      <c r="Z29" s="457">
        <f>I!Z29</f>
        <v>0</v>
      </c>
      <c r="AA29" s="20">
        <f t="shared" si="0"/>
        <v>0</v>
      </c>
      <c r="AB29" s="723"/>
      <c r="AC29" s="723"/>
      <c r="AD29" s="36">
        <f t="shared" si="1"/>
        <v>0</v>
      </c>
      <c r="AE29" s="23">
        <f t="shared" si="5"/>
        <v>0</v>
      </c>
      <c r="AF29" s="367"/>
      <c r="AG29" s="728">
        <f t="shared" si="2"/>
        <v>0</v>
      </c>
      <c r="AH29" s="367"/>
      <c r="AI29" s="375">
        <v>0</v>
      </c>
      <c r="AJ29" s="367"/>
      <c r="AK29" s="530" t="s">
        <v>32</v>
      </c>
      <c r="AL29" s="531" t="s">
        <v>33</v>
      </c>
      <c r="AM29" s="367"/>
      <c r="AN29" s="367"/>
      <c r="AO29" s="86"/>
      <c r="AP29" s="51">
        <f t="shared" si="3"/>
        <v>0</v>
      </c>
      <c r="AQ29" s="476">
        <f>I!AQ29+I!AP29</f>
        <v>0</v>
      </c>
      <c r="AR29" s="476">
        <f t="shared" si="4"/>
        <v>0</v>
      </c>
      <c r="AS29" s="477">
        <f>AD29+I!AS29</f>
        <v>0</v>
      </c>
      <c r="AT29" s="477">
        <f>AA29+I!AT29</f>
        <v>0</v>
      </c>
      <c r="AU29" s="476"/>
      <c r="AV29" s="477">
        <f>I!AV29-I!AD29+J!Z29-I!AP29</f>
        <v>0</v>
      </c>
      <c r="AW29" s="476">
        <f t="shared" si="6"/>
        <v>0</v>
      </c>
      <c r="AX29" s="52">
        <f>IF(Z29=I!Z29,I!AE29-AD29,I!AE29+(Z29-I!Z29)*$AW$16-AD29)</f>
        <v>0</v>
      </c>
      <c r="AZ29" s="726">
        <f t="shared" si="7"/>
        <v>0</v>
      </c>
    </row>
    <row r="30" spans="1:63" ht="15" customHeight="1">
      <c r="A30" s="367"/>
      <c r="B30" s="850">
        <f ca="1">IF(I!B30&lt;&gt;"",I!B30,)</f>
        <v>0</v>
      </c>
      <c r="C30" s="454">
        <f ca="1">I!C30</f>
        <v>0</v>
      </c>
      <c r="D30" s="74"/>
      <c r="E30" s="521"/>
      <c r="F30" s="858"/>
      <c r="G30" s="367"/>
      <c r="H30" s="543"/>
      <c r="I30" s="853"/>
      <c r="J30" s="6"/>
      <c r="K30" s="541"/>
      <c r="L30" s="860"/>
      <c r="M30" s="20" t="str">
        <f>IF(J30="","",$M$5-SUM($J$7:J30))</f>
        <v/>
      </c>
      <c r="N30" s="367"/>
      <c r="O30" s="7"/>
      <c r="P30" s="873">
        <f>IF(I!Q30&lt;&gt;I!R30,IF(I!Q30&lt;&gt;0,IF(I!S30&lt;&gt;I!T30,I!P30,),),)</f>
        <v>0</v>
      </c>
      <c r="Q30" s="795">
        <f>IF(I!Q30&lt;&gt;I!R30,IF(I!Q30&lt;&gt;0,IF(I!S30&lt;&gt;I!T30,I!Q30,),),)</f>
        <v>0</v>
      </c>
      <c r="R30" s="628">
        <f>IF(I!Q30&lt;&gt;I!R30,IF(I!Q30&lt;&gt;0,IF(I!S30&lt;&gt;I!T30,0,Q30),Q30),Q30)</f>
        <v>0</v>
      </c>
      <c r="S30" s="796">
        <f>IF(I!Q30&lt;&gt;I!R30,IF(I!Q30&lt;&gt;0,IF(I!S30&lt;&gt;I!T30,I!S30+1,),),)</f>
        <v>0</v>
      </c>
      <c r="T30" s="796">
        <f>IF(I!Q30&lt;&gt;I!R30,IF(I!Q30&lt;&gt;0,IF(I!S30&lt;&gt;I!T30,I!T30,),),)</f>
        <v>0</v>
      </c>
      <c r="U30" s="797">
        <f>IF(I!Q30&lt;&gt;I!R30,IF(I!Q30&lt;&gt;0,IF(I!S30&lt;&gt;I!T30,I!U30,),),)</f>
        <v>0</v>
      </c>
      <c r="V30" s="875">
        <f>IF(I!Q30&lt;&gt;I!R30,IF(I!Q30&lt;&gt;0,IF(I!S30&lt;&gt;I!T30,I!V30,),),)</f>
        <v>0</v>
      </c>
      <c r="W30" s="622">
        <f>IF(Q30="","",$W$5-SUM($Q$7:Q30))</f>
        <v>0</v>
      </c>
      <c r="X30" s="395"/>
      <c r="Y30" s="906" t="str">
        <f>IF(I!Y30&lt;&gt;"",I!Y30,)</f>
        <v xml:space="preserve">  Car Insurance and Licensing</v>
      </c>
      <c r="Z30" s="457">
        <f>I!Z30</f>
        <v>0</v>
      </c>
      <c r="AA30" s="20">
        <f t="shared" si="0"/>
        <v>0</v>
      </c>
      <c r="AB30" s="723"/>
      <c r="AC30" s="723"/>
      <c r="AD30" s="36">
        <f t="shared" si="1"/>
        <v>0</v>
      </c>
      <c r="AE30" s="23">
        <f t="shared" si="5"/>
        <v>0</v>
      </c>
      <c r="AF30" s="367"/>
      <c r="AG30" s="728">
        <f t="shared" si="2"/>
        <v>0</v>
      </c>
      <c r="AH30" s="367"/>
      <c r="AI30" s="375">
        <v>0</v>
      </c>
      <c r="AJ30" s="367"/>
      <c r="AK30" s="530" t="s">
        <v>34</v>
      </c>
      <c r="AL30" s="532" t="s">
        <v>33</v>
      </c>
      <c r="AM30" s="367"/>
      <c r="AN30" s="367"/>
      <c r="AO30" s="86"/>
      <c r="AP30" s="51">
        <f t="shared" si="3"/>
        <v>0</v>
      </c>
      <c r="AQ30" s="476">
        <f>I!AQ30+I!AP30</f>
        <v>0</v>
      </c>
      <c r="AR30" s="476">
        <f t="shared" si="4"/>
        <v>0</v>
      </c>
      <c r="AS30" s="477">
        <f>AD30+I!AS30</f>
        <v>0</v>
      </c>
      <c r="AT30" s="477">
        <f>AA30+I!AT30</f>
        <v>0</v>
      </c>
      <c r="AU30" s="476"/>
      <c r="AV30" s="477">
        <f>I!AV30-I!AD30+J!Z30-I!AP30</f>
        <v>0</v>
      </c>
      <c r="AW30" s="476">
        <f t="shared" si="6"/>
        <v>0</v>
      </c>
      <c r="AX30" s="52">
        <f>IF(Z30=I!Z30,I!AE30-AD30,I!AE30+(Z30-I!Z30)*$AW$16-AD30)</f>
        <v>0</v>
      </c>
      <c r="AZ30" s="726">
        <f t="shared" si="7"/>
        <v>0</v>
      </c>
    </row>
    <row r="31" spans="1:63" ht="15" customHeight="1">
      <c r="A31" s="367"/>
      <c r="B31" s="850">
        <f ca="1">IF(I!B31&lt;&gt;"",I!B31,)</f>
        <v>0</v>
      </c>
      <c r="C31" s="454">
        <f ca="1">I!C31</f>
        <v>0</v>
      </c>
      <c r="D31" s="74"/>
      <c r="E31" s="521"/>
      <c r="F31" s="858"/>
      <c r="G31" s="367"/>
      <c r="H31" s="543"/>
      <c r="I31" s="853"/>
      <c r="J31" s="6"/>
      <c r="K31" s="541"/>
      <c r="L31" s="860"/>
      <c r="M31" s="20" t="str">
        <f>IF(J31="","",$M$5-SUM($J$7:J31))</f>
        <v/>
      </c>
      <c r="N31" s="367"/>
      <c r="O31" s="7"/>
      <c r="P31" s="871">
        <f>IF(I!Q31&lt;&gt;I!R31,IF(I!Q31&lt;&gt;0,IF(I!S31&lt;&gt;I!T31,I!P31,),),)</f>
        <v>0</v>
      </c>
      <c r="Q31" s="795">
        <f>IF(I!Q31&lt;&gt;I!R31,IF(I!Q31&lt;&gt;0,IF(I!S31&lt;&gt;I!T31,I!Q31,),),)</f>
        <v>0</v>
      </c>
      <c r="R31" s="628">
        <f>IF(I!Q31&lt;&gt;I!R31,IF(I!Q31&lt;&gt;0,IF(I!S31&lt;&gt;I!T31,0,Q31),Q31),Q31)</f>
        <v>0</v>
      </c>
      <c r="S31" s="796">
        <f>IF(I!Q31&lt;&gt;I!R31,IF(I!Q31&lt;&gt;0,IF(I!S31&lt;&gt;I!T31,I!S31+1,),),)</f>
        <v>0</v>
      </c>
      <c r="T31" s="796">
        <f>IF(I!Q31&lt;&gt;I!R31,IF(I!Q31&lt;&gt;0,IF(I!S31&lt;&gt;I!T31,I!T31,),),)</f>
        <v>0</v>
      </c>
      <c r="U31" s="797">
        <f>IF(I!Q31&lt;&gt;I!R31,IF(I!Q31&lt;&gt;0,IF(I!S31&lt;&gt;I!T31,I!U31,),),)</f>
        <v>0</v>
      </c>
      <c r="V31" s="875">
        <f>IF(I!Q31&lt;&gt;I!R31,IF(I!Q31&lt;&gt;0,IF(I!S31&lt;&gt;I!T31,I!V31,),),)</f>
        <v>0</v>
      </c>
      <c r="W31" s="622">
        <f>IF(Q31="","",$W$5-SUM($Q$7:Q31))</f>
        <v>0</v>
      </c>
      <c r="X31" s="395"/>
      <c r="Y31" s="906" t="str">
        <f>IF(I!Y31&lt;&gt;"",I!Y31,)</f>
        <v>Car Maintenance</v>
      </c>
      <c r="Z31" s="457">
        <f>I!Z31</f>
        <v>0</v>
      </c>
      <c r="AA31" s="20">
        <f t="shared" si="0"/>
        <v>0</v>
      </c>
      <c r="AB31" s="723"/>
      <c r="AC31" s="723"/>
      <c r="AD31" s="36">
        <f t="shared" si="1"/>
        <v>0</v>
      </c>
      <c r="AE31" s="23">
        <f t="shared" si="5"/>
        <v>0</v>
      </c>
      <c r="AF31" s="367"/>
      <c r="AG31" s="728">
        <f t="shared" si="2"/>
        <v>0</v>
      </c>
      <c r="AH31" s="367"/>
      <c r="AI31" s="375">
        <v>0</v>
      </c>
      <c r="AJ31" s="367"/>
      <c r="AK31" s="530" t="s">
        <v>35</v>
      </c>
      <c r="AL31" s="533" t="s">
        <v>33</v>
      </c>
      <c r="AM31" s="367"/>
      <c r="AN31" s="367"/>
      <c r="AO31" s="86"/>
      <c r="AP31" s="51">
        <f t="shared" si="3"/>
        <v>0</v>
      </c>
      <c r="AQ31" s="476">
        <f>I!AQ31+I!AP31</f>
        <v>0</v>
      </c>
      <c r="AR31" s="476">
        <f t="shared" si="4"/>
        <v>0</v>
      </c>
      <c r="AS31" s="477">
        <f>AD31+I!AS31</f>
        <v>0</v>
      </c>
      <c r="AT31" s="477">
        <f>AA31+I!AT31</f>
        <v>0</v>
      </c>
      <c r="AU31" s="476"/>
      <c r="AV31" s="477">
        <f>I!AV31-I!AD31+J!Z31-I!AP31</f>
        <v>0</v>
      </c>
      <c r="AW31" s="476">
        <f t="shared" si="6"/>
        <v>0</v>
      </c>
      <c r="AX31" s="52">
        <f>IF(Z31=I!Z31,I!AE31-AD31,I!AE31+(Z31-I!Z31)*$AW$16-AD31)</f>
        <v>0</v>
      </c>
      <c r="AZ31" s="726">
        <f t="shared" si="7"/>
        <v>0</v>
      </c>
    </row>
    <row r="32" spans="1:63" ht="15" customHeight="1">
      <c r="A32" s="367"/>
      <c r="B32" s="850">
        <f ca="1">IF(I!B32&lt;&gt;"",I!B32,)</f>
        <v>0</v>
      </c>
      <c r="C32" s="454">
        <f ca="1">I!C32</f>
        <v>0</v>
      </c>
      <c r="D32" s="74"/>
      <c r="E32" s="521"/>
      <c r="F32" s="858"/>
      <c r="G32" s="367"/>
      <c r="H32" s="543"/>
      <c r="I32" s="853"/>
      <c r="J32" s="6"/>
      <c r="K32" s="541"/>
      <c r="L32" s="860"/>
      <c r="M32" s="20" t="str">
        <f>IF(J32="","",$M$5-SUM($J$7:J32))</f>
        <v/>
      </c>
      <c r="N32" s="367"/>
      <c r="O32" s="7"/>
      <c r="P32" s="873">
        <f>IF(I!Q32&lt;&gt;I!R32,IF(I!Q32&lt;&gt;0,IF(I!S32&lt;&gt;I!T32,I!P32,),),)</f>
        <v>0</v>
      </c>
      <c r="Q32" s="795">
        <f>IF(I!Q32&lt;&gt;I!R32,IF(I!Q32&lt;&gt;0,IF(I!S32&lt;&gt;I!T32,I!Q32,),),)</f>
        <v>0</v>
      </c>
      <c r="R32" s="628">
        <f>IF(I!Q32&lt;&gt;I!R32,IF(I!Q32&lt;&gt;0,IF(I!S32&lt;&gt;I!T32,0,Q32),Q32),Q32)</f>
        <v>0</v>
      </c>
      <c r="S32" s="796">
        <f>IF(I!Q32&lt;&gt;I!R32,IF(I!Q32&lt;&gt;0,IF(I!S32&lt;&gt;I!T32,I!S32+1,),),)</f>
        <v>0</v>
      </c>
      <c r="T32" s="796">
        <f>IF(I!Q32&lt;&gt;I!R32,IF(I!Q32&lt;&gt;0,IF(I!S32&lt;&gt;I!T32,I!T32,),),)</f>
        <v>0</v>
      </c>
      <c r="U32" s="797">
        <f>IF(I!Q32&lt;&gt;I!R32,IF(I!Q32&lt;&gt;0,IF(I!S32&lt;&gt;I!T32,I!U32,),),)</f>
        <v>0</v>
      </c>
      <c r="V32" s="875">
        <f>IF(I!Q32&lt;&gt;I!R32,IF(I!Q32&lt;&gt;0,IF(I!S32&lt;&gt;I!T32,I!V32,),),)</f>
        <v>0</v>
      </c>
      <c r="W32" s="622">
        <f>IF(Q32="","",$W$5-SUM($Q$7:Q32))</f>
        <v>0</v>
      </c>
      <c r="X32" s="389"/>
      <c r="Y32" s="906" t="str">
        <f>IF(I!Y32&lt;&gt;"",I!Y32,)</f>
        <v>Clothing and Shoes</v>
      </c>
      <c r="Z32" s="457">
        <f>I!Z32</f>
        <v>0</v>
      </c>
      <c r="AA32" s="20">
        <f t="shared" si="0"/>
        <v>0</v>
      </c>
      <c r="AB32" s="723"/>
      <c r="AC32" s="723"/>
      <c r="AD32" s="36">
        <f t="shared" si="1"/>
        <v>0</v>
      </c>
      <c r="AE32" s="23">
        <f t="shared" si="5"/>
        <v>0</v>
      </c>
      <c r="AF32" s="367"/>
      <c r="AG32" s="728">
        <f t="shared" si="2"/>
        <v>0</v>
      </c>
      <c r="AH32" s="367"/>
      <c r="AI32" s="375">
        <v>0</v>
      </c>
      <c r="AJ32" s="367"/>
      <c r="AK32" s="530" t="s">
        <v>36</v>
      </c>
      <c r="AL32" s="534" t="s">
        <v>33</v>
      </c>
      <c r="AM32" s="367"/>
      <c r="AN32" s="367"/>
      <c r="AO32" s="86"/>
      <c r="AP32" s="51">
        <f t="shared" si="3"/>
        <v>0</v>
      </c>
      <c r="AQ32" s="476">
        <f>I!AQ32+I!AP32</f>
        <v>0</v>
      </c>
      <c r="AR32" s="476">
        <f t="shared" si="4"/>
        <v>0</v>
      </c>
      <c r="AS32" s="477">
        <f>AD32+I!AS32</f>
        <v>0</v>
      </c>
      <c r="AT32" s="477">
        <f>AA32+I!AT32</f>
        <v>0</v>
      </c>
      <c r="AU32" s="476"/>
      <c r="AV32" s="477">
        <f>I!AV32-I!AD32+J!Z32-I!AP32</f>
        <v>0</v>
      </c>
      <c r="AW32" s="476">
        <f t="shared" si="6"/>
        <v>0</v>
      </c>
      <c r="AX32" s="52">
        <f>IF(Z32=I!Z32,I!AE32-AD32,I!AE32+(Z32-I!Z32)*$AW$16-AD32)</f>
        <v>0</v>
      </c>
      <c r="AZ32" s="726">
        <f t="shared" si="7"/>
        <v>0</v>
      </c>
    </row>
    <row r="33" spans="1:52" ht="15" customHeight="1">
      <c r="A33" s="367"/>
      <c r="B33" s="850">
        <f ca="1">IF(I!B33&lt;&gt;"",I!B33,)</f>
        <v>0</v>
      </c>
      <c r="C33" s="454">
        <f ca="1">I!C33</f>
        <v>0</v>
      </c>
      <c r="D33" s="74"/>
      <c r="E33" s="521"/>
      <c r="F33" s="858"/>
      <c r="G33" s="367"/>
      <c r="H33" s="543"/>
      <c r="I33" s="853"/>
      <c r="J33" s="6"/>
      <c r="K33" s="541"/>
      <c r="L33" s="860"/>
      <c r="M33" s="20" t="str">
        <f>IF(J33="","",$M$5-SUM($J$7:J33))</f>
        <v/>
      </c>
      <c r="N33" s="367"/>
      <c r="O33" s="7"/>
      <c r="P33" s="871">
        <f>IF(I!Q33&lt;&gt;I!R33,IF(I!Q33&lt;&gt;0,IF(I!S33&lt;&gt;I!T33,I!P33,),),)</f>
        <v>0</v>
      </c>
      <c r="Q33" s="795">
        <f>IF(I!Q33&lt;&gt;I!R33,IF(I!Q33&lt;&gt;0,IF(I!S33&lt;&gt;I!T33,I!Q33,),),)</f>
        <v>0</v>
      </c>
      <c r="R33" s="628">
        <f>IF(I!Q33&lt;&gt;I!R33,IF(I!Q33&lt;&gt;0,IF(I!S33&lt;&gt;I!T33,0,Q33),Q33),Q33)</f>
        <v>0</v>
      </c>
      <c r="S33" s="796">
        <f>IF(I!Q33&lt;&gt;I!R33,IF(I!Q33&lt;&gt;0,IF(I!S33&lt;&gt;I!T33,I!S33+1,),),)</f>
        <v>0</v>
      </c>
      <c r="T33" s="796">
        <f>IF(I!Q33&lt;&gt;I!R33,IF(I!Q33&lt;&gt;0,IF(I!S33&lt;&gt;I!T33,I!T33,),),)</f>
        <v>0</v>
      </c>
      <c r="U33" s="797">
        <f>IF(I!Q33&lt;&gt;I!R33,IF(I!Q33&lt;&gt;0,IF(I!S33&lt;&gt;I!T33,I!U33,),),)</f>
        <v>0</v>
      </c>
      <c r="V33" s="875">
        <f>IF(I!Q33&lt;&gt;I!R33,IF(I!Q33&lt;&gt;0,IF(I!S33&lt;&gt;I!T33,I!V33,),),)</f>
        <v>0</v>
      </c>
      <c r="W33" s="622">
        <f>IF(Q33="","",$W$5-SUM($Q$7:Q33))</f>
        <v>0</v>
      </c>
      <c r="X33" s="10"/>
      <c r="Y33" s="906" t="str">
        <f>IF(I!Y33&lt;&gt;"",I!Y33,)</f>
        <v>Medicine/Treatment</v>
      </c>
      <c r="Z33" s="457">
        <f>I!Z33</f>
        <v>0</v>
      </c>
      <c r="AA33" s="20">
        <f t="shared" si="0"/>
        <v>0</v>
      </c>
      <c r="AB33" s="723"/>
      <c r="AC33" s="723"/>
      <c r="AD33" s="36">
        <f t="shared" si="1"/>
        <v>0</v>
      </c>
      <c r="AE33" s="23">
        <f t="shared" si="5"/>
        <v>0</v>
      </c>
      <c r="AF33" s="367"/>
      <c r="AG33" s="728">
        <f t="shared" si="2"/>
        <v>0</v>
      </c>
      <c r="AH33" s="367"/>
      <c r="AI33" s="375">
        <v>0</v>
      </c>
      <c r="AJ33" s="367"/>
      <c r="AK33" s="530" t="s">
        <v>37</v>
      </c>
      <c r="AL33" s="535" t="s">
        <v>33</v>
      </c>
      <c r="AM33" s="367"/>
      <c r="AN33" s="367"/>
      <c r="AO33" s="86"/>
      <c r="AP33" s="51">
        <f t="shared" si="3"/>
        <v>0</v>
      </c>
      <c r="AQ33" s="476">
        <f>I!AQ33+I!AP33</f>
        <v>0</v>
      </c>
      <c r="AR33" s="476">
        <f t="shared" si="4"/>
        <v>0</v>
      </c>
      <c r="AS33" s="477">
        <f>AD33+I!AS33</f>
        <v>0</v>
      </c>
      <c r="AT33" s="477">
        <f>AA33+I!AT33</f>
        <v>0</v>
      </c>
      <c r="AU33" s="476"/>
      <c r="AV33" s="477">
        <f>I!AV33-I!AD33+J!Z33-I!AP33</f>
        <v>0</v>
      </c>
      <c r="AW33" s="476">
        <f t="shared" si="6"/>
        <v>0</v>
      </c>
      <c r="AX33" s="52">
        <f>IF(Z33=I!Z33,I!AE33-AD33,I!AE33+(Z33-I!Z33)*$AW$16-AD33)</f>
        <v>0</v>
      </c>
      <c r="AZ33" s="726">
        <f t="shared" si="7"/>
        <v>0</v>
      </c>
    </row>
    <row r="34" spans="1:52" ht="15" customHeight="1">
      <c r="A34" s="367"/>
      <c r="B34" s="850">
        <f ca="1">IF(I!B34&lt;&gt;"",I!B34,)</f>
        <v>0</v>
      </c>
      <c r="C34" s="454">
        <f ca="1">I!C34</f>
        <v>0</v>
      </c>
      <c r="D34" s="74"/>
      <c r="E34" s="521"/>
      <c r="F34" s="858"/>
      <c r="G34" s="367"/>
      <c r="H34" s="543"/>
      <c r="I34" s="853"/>
      <c r="J34" s="6"/>
      <c r="K34" s="541"/>
      <c r="L34" s="860"/>
      <c r="M34" s="20" t="str">
        <f>IF(J34="","",$M$5-SUM($J$7:J34))</f>
        <v/>
      </c>
      <c r="N34" s="367"/>
      <c r="O34" s="7"/>
      <c r="P34" s="873">
        <f>IF(I!Q34&lt;&gt;I!R34,IF(I!Q34&lt;&gt;0,IF(I!S34&lt;&gt;I!T34,I!P34,),),)</f>
        <v>0</v>
      </c>
      <c r="Q34" s="795">
        <f>IF(I!Q34&lt;&gt;I!R34,IF(I!Q34&lt;&gt;0,IF(I!S34&lt;&gt;I!T34,I!Q34,),),)</f>
        <v>0</v>
      </c>
      <c r="R34" s="628">
        <f>IF(I!Q34&lt;&gt;I!R34,IF(I!Q34&lt;&gt;0,IF(I!S34&lt;&gt;I!T34,0,Q34),Q34),Q34)</f>
        <v>0</v>
      </c>
      <c r="S34" s="796">
        <f>IF(I!Q34&lt;&gt;I!R34,IF(I!Q34&lt;&gt;0,IF(I!S34&lt;&gt;I!T34,I!S34+1,),),)</f>
        <v>0</v>
      </c>
      <c r="T34" s="796">
        <f>IF(I!Q34&lt;&gt;I!R34,IF(I!Q34&lt;&gt;0,IF(I!S34&lt;&gt;I!T34,I!T34,),),)</f>
        <v>0</v>
      </c>
      <c r="U34" s="797">
        <f>IF(I!Q34&lt;&gt;I!R34,IF(I!Q34&lt;&gt;0,IF(I!S34&lt;&gt;I!T34,I!U34,),),)</f>
        <v>0</v>
      </c>
      <c r="V34" s="875">
        <f>IF(I!Q34&lt;&gt;I!R34,IF(I!Q34&lt;&gt;0,IF(I!S34&lt;&gt;I!T34,I!V34,),),)</f>
        <v>0</v>
      </c>
      <c r="W34" s="622">
        <f>IF(Q34="","",$W$5-SUM($Q$7:Q34))</f>
        <v>0</v>
      </c>
      <c r="X34" s="10"/>
      <c r="Y34" s="905" t="str">
        <f>IF(I!Y34&lt;&gt;"",I!Y34,)</f>
        <v>Bank Interest and Fees</v>
      </c>
      <c r="Z34" s="457">
        <f>I!Z34</f>
        <v>0</v>
      </c>
      <c r="AA34" s="20">
        <f t="shared" si="0"/>
        <v>0</v>
      </c>
      <c r="AB34" s="723"/>
      <c r="AC34" s="723"/>
      <c r="AD34" s="36">
        <f t="shared" si="1"/>
        <v>0</v>
      </c>
      <c r="AE34" s="23">
        <f t="shared" si="5"/>
        <v>0</v>
      </c>
      <c r="AF34" s="367"/>
      <c r="AG34" s="728">
        <f t="shared" si="2"/>
        <v>0</v>
      </c>
      <c r="AH34" s="367"/>
      <c r="AI34" s="375">
        <v>0</v>
      </c>
      <c r="AJ34" s="367"/>
      <c r="AK34" s="530" t="s">
        <v>38</v>
      </c>
      <c r="AL34" s="536" t="s">
        <v>33</v>
      </c>
      <c r="AM34" s="367"/>
      <c r="AN34" s="367"/>
      <c r="AO34" s="86"/>
      <c r="AP34" s="51">
        <f t="shared" si="3"/>
        <v>0</v>
      </c>
      <c r="AQ34" s="476">
        <f>I!AQ34+I!AP34</f>
        <v>0</v>
      </c>
      <c r="AR34" s="476">
        <f t="shared" si="4"/>
        <v>0</v>
      </c>
      <c r="AS34" s="477">
        <f>AD34+I!AS34</f>
        <v>0</v>
      </c>
      <c r="AT34" s="477">
        <f>AA34+I!AT34</f>
        <v>0</v>
      </c>
      <c r="AU34" s="476"/>
      <c r="AV34" s="477">
        <f>I!AV34-I!AD34+J!Z34-I!AP34</f>
        <v>0</v>
      </c>
      <c r="AW34" s="476">
        <f t="shared" si="6"/>
        <v>0</v>
      </c>
      <c r="AX34" s="52">
        <f>IF(Z34=I!Z34,I!AE34-AD34,I!AE34+(Z34-I!Z34)*$AW$16-AD34)</f>
        <v>0</v>
      </c>
      <c r="AZ34" s="726">
        <f t="shared" si="7"/>
        <v>0</v>
      </c>
    </row>
    <row r="35" spans="1:52" ht="15" customHeight="1">
      <c r="A35" s="367"/>
      <c r="B35" s="850">
        <f ca="1">IF(I!B35&lt;&gt;"",I!B35,)</f>
        <v>0</v>
      </c>
      <c r="C35" s="454">
        <f ca="1">I!C35</f>
        <v>0</v>
      </c>
      <c r="D35" s="74"/>
      <c r="E35" s="521"/>
      <c r="F35" s="858"/>
      <c r="G35" s="367"/>
      <c r="H35" s="543"/>
      <c r="I35" s="853"/>
      <c r="J35" s="6"/>
      <c r="K35" s="541"/>
      <c r="L35" s="860"/>
      <c r="M35" s="20" t="str">
        <f>IF(J35="","",$M$5-SUM($J$7:J35))</f>
        <v/>
      </c>
      <c r="N35" s="367"/>
      <c r="O35" s="7"/>
      <c r="P35" s="871">
        <f>IF(I!Q35&lt;&gt;I!R35,IF(I!Q35&lt;&gt;0,IF(I!S35&lt;&gt;I!T35,I!P35,),),)</f>
        <v>0</v>
      </c>
      <c r="Q35" s="799">
        <f>IF(I!Q35&lt;&gt;I!R35,IF(I!Q35&lt;&gt;0,IF(I!S35&lt;&gt;I!T35,I!Q35,),),)</f>
        <v>0</v>
      </c>
      <c r="R35" s="628">
        <f>IF(I!Q35&lt;&gt;I!R35,IF(I!Q35&lt;&gt;0,IF(I!S35&lt;&gt;I!T35,0,Q35),Q35),Q35)</f>
        <v>0</v>
      </c>
      <c r="S35" s="796">
        <f>IF(I!Q35&lt;&gt;I!R35,IF(I!Q35&lt;&gt;0,IF(I!S35&lt;&gt;I!T35,I!S35+1,),),)</f>
        <v>0</v>
      </c>
      <c r="T35" s="796">
        <f>IF(I!Q35&lt;&gt;I!R35,IF(I!Q35&lt;&gt;0,IF(I!S35&lt;&gt;I!T35,I!T35,),),)</f>
        <v>0</v>
      </c>
      <c r="U35" s="797">
        <f>IF(I!Q35&lt;&gt;I!R35,IF(I!Q35&lt;&gt;0,IF(I!S35&lt;&gt;I!T35,I!U35,),),)</f>
        <v>0</v>
      </c>
      <c r="V35" s="875">
        <f>IF(I!Q35&lt;&gt;I!R35,IF(I!Q35&lt;&gt;0,IF(I!S35&lt;&gt;I!T35,I!V35,),),)</f>
        <v>0</v>
      </c>
      <c r="W35" s="626">
        <f>IF(Q35="","",$W$5-SUM($Q$7:Q35))</f>
        <v>0</v>
      </c>
      <c r="X35" s="395"/>
      <c r="Y35" s="905" t="str">
        <f>IF(I!Y35&lt;&gt;"",I!Y35,)</f>
        <v>Dental treatments</v>
      </c>
      <c r="Z35" s="457">
        <f>I!Z35</f>
        <v>0</v>
      </c>
      <c r="AA35" s="20">
        <f t="shared" si="0"/>
        <v>0</v>
      </c>
      <c r="AB35" s="723"/>
      <c r="AC35" s="723"/>
      <c r="AD35" s="36">
        <f t="shared" si="1"/>
        <v>0</v>
      </c>
      <c r="AE35" s="23">
        <f t="shared" si="5"/>
        <v>0</v>
      </c>
      <c r="AF35" s="367"/>
      <c r="AG35" s="728">
        <f t="shared" si="2"/>
        <v>0</v>
      </c>
      <c r="AH35" s="367"/>
      <c r="AI35" s="375">
        <v>0</v>
      </c>
      <c r="AJ35" s="367"/>
      <c r="AK35" s="530" t="s">
        <v>39</v>
      </c>
      <c r="AL35" s="537" t="s">
        <v>33</v>
      </c>
      <c r="AM35" s="367"/>
      <c r="AN35" s="367"/>
      <c r="AO35" s="86"/>
      <c r="AP35" s="51">
        <f t="shared" si="3"/>
        <v>0</v>
      </c>
      <c r="AQ35" s="476">
        <f>I!AQ35+I!AP35</f>
        <v>0</v>
      </c>
      <c r="AR35" s="476">
        <f t="shared" si="4"/>
        <v>0</v>
      </c>
      <c r="AS35" s="477">
        <f>AD35+I!AS35</f>
        <v>0</v>
      </c>
      <c r="AT35" s="477">
        <f>AA35+I!AT35</f>
        <v>0</v>
      </c>
      <c r="AU35" s="476"/>
      <c r="AV35" s="477">
        <f>I!AV35-I!AD35+J!Z35-I!AP35</f>
        <v>0</v>
      </c>
      <c r="AW35" s="476">
        <f t="shared" si="6"/>
        <v>0</v>
      </c>
      <c r="AX35" s="52">
        <f>IF(Z35=I!Z35,I!AE35-AD35,I!AE35+(Z35-I!Z35)*$AW$16-AD35)</f>
        <v>0</v>
      </c>
      <c r="AZ35" s="726">
        <f t="shared" si="7"/>
        <v>0</v>
      </c>
    </row>
    <row r="36" spans="1:52" ht="15" customHeight="1">
      <c r="A36" s="367"/>
      <c r="B36" s="850">
        <f ca="1">IF(I!B36&lt;&gt;"",I!B36,)</f>
        <v>0</v>
      </c>
      <c r="C36" s="454">
        <f ca="1">I!C36</f>
        <v>0</v>
      </c>
      <c r="D36" s="74"/>
      <c r="E36" s="521"/>
      <c r="F36" s="858"/>
      <c r="G36" s="367"/>
      <c r="H36" s="543"/>
      <c r="I36" s="853"/>
      <c r="J36" s="6"/>
      <c r="K36" s="541"/>
      <c r="L36" s="860"/>
      <c r="M36" s="20" t="str">
        <f>IF(J36="","",$M$5-SUM($J$7:J36))</f>
        <v/>
      </c>
      <c r="N36" s="367"/>
      <c r="O36" s="7"/>
      <c r="P36" s="873">
        <f>IF(I!Q36&lt;&gt;I!R36,IF(I!Q36&lt;&gt;0,IF(I!S36&lt;&gt;I!T36,I!P36,),),)</f>
        <v>0</v>
      </c>
      <c r="Q36" s="795">
        <f>IF(I!Q36&lt;&gt;I!R36,IF(I!Q36&lt;&gt;0,IF(I!S36&lt;&gt;I!T36,I!Q36,),),)</f>
        <v>0</v>
      </c>
      <c r="R36" s="628">
        <f>IF(I!Q36&lt;&gt;I!R36,IF(I!Q36&lt;&gt;0,IF(I!S36&lt;&gt;I!T36,0,Q36),Q36),Q36)</f>
        <v>0</v>
      </c>
      <c r="S36" s="796">
        <f>IF(I!Q36&lt;&gt;I!R36,IF(I!Q36&lt;&gt;0,IF(I!S36&lt;&gt;I!T36,I!S36+1,),),)</f>
        <v>0</v>
      </c>
      <c r="T36" s="796">
        <f>IF(I!Q36&lt;&gt;I!R36,IF(I!Q36&lt;&gt;0,IF(I!S36&lt;&gt;I!T36,I!T36,),),)</f>
        <v>0</v>
      </c>
      <c r="U36" s="797">
        <f>IF(I!Q36&lt;&gt;I!R36,IF(I!Q36&lt;&gt;0,IF(I!S36&lt;&gt;I!T36,I!U36,),),)</f>
        <v>0</v>
      </c>
      <c r="V36" s="875">
        <f>IF(I!Q36&lt;&gt;I!R36,IF(I!Q36&lt;&gt;0,IF(I!S36&lt;&gt;I!T36,I!V36,),),)</f>
        <v>0</v>
      </c>
      <c r="W36" s="622">
        <f>IF(Q36="","",$W$5-SUM($Q$7:Q36))</f>
        <v>0</v>
      </c>
      <c r="X36" s="395"/>
      <c r="Y36" s="905" t="str">
        <f>IF(I!Y36&lt;&gt;"",I!Y36,)</f>
        <v>Eyeglasses/Contact Lens</v>
      </c>
      <c r="Z36" s="457">
        <f>I!Z36</f>
        <v>0</v>
      </c>
      <c r="AA36" s="20">
        <f t="shared" si="0"/>
        <v>0</v>
      </c>
      <c r="AB36" s="723"/>
      <c r="AC36" s="723"/>
      <c r="AD36" s="36">
        <f t="shared" si="1"/>
        <v>0</v>
      </c>
      <c r="AE36" s="23">
        <f t="shared" si="5"/>
        <v>0</v>
      </c>
      <c r="AF36" s="367"/>
      <c r="AG36" s="728">
        <f t="shared" si="2"/>
        <v>0</v>
      </c>
      <c r="AH36" s="367"/>
      <c r="AI36" s="375">
        <v>0</v>
      </c>
      <c r="AJ36" s="367"/>
      <c r="AK36" s="530" t="s">
        <v>40</v>
      </c>
      <c r="AL36" s="538" t="s">
        <v>33</v>
      </c>
      <c r="AM36" s="367"/>
      <c r="AN36" s="367"/>
      <c r="AO36" s="86"/>
      <c r="AP36" s="51">
        <f t="shared" si="3"/>
        <v>0</v>
      </c>
      <c r="AQ36" s="476">
        <f>I!AQ36+I!AP36</f>
        <v>0</v>
      </c>
      <c r="AR36" s="476">
        <f t="shared" si="4"/>
        <v>0</v>
      </c>
      <c r="AS36" s="477">
        <f>AD36+I!AS36</f>
        <v>0</v>
      </c>
      <c r="AT36" s="477">
        <f>AA36+I!AT36</f>
        <v>0</v>
      </c>
      <c r="AU36" s="476"/>
      <c r="AV36" s="477">
        <f>I!AV36-I!AD36+J!Z36-I!AP36</f>
        <v>0</v>
      </c>
      <c r="AW36" s="476">
        <f t="shared" si="6"/>
        <v>0</v>
      </c>
      <c r="AX36" s="52">
        <f>IF(Z36=I!Z36,I!AE36-AD36,I!AE36+(Z36-I!Z36)*$AW$16-AD36)</f>
        <v>0</v>
      </c>
      <c r="AZ36" s="726">
        <f t="shared" si="7"/>
        <v>0</v>
      </c>
    </row>
    <row r="37" spans="1:52" ht="15" customHeight="1" thickBot="1">
      <c r="A37" s="367"/>
      <c r="B37" s="850">
        <f ca="1">IF(I!B37&lt;&gt;"",I!B37,)</f>
        <v>0</v>
      </c>
      <c r="C37" s="454">
        <f ca="1">I!C37</f>
        <v>0</v>
      </c>
      <c r="D37" s="74"/>
      <c r="E37" s="521"/>
      <c r="F37" s="858"/>
      <c r="G37" s="367"/>
      <c r="H37" s="543"/>
      <c r="I37" s="853"/>
      <c r="J37" s="6"/>
      <c r="K37" s="541"/>
      <c r="L37" s="860"/>
      <c r="M37" s="20" t="str">
        <f>IF(J37="","",$M$5-SUM($J$7:J37))</f>
        <v/>
      </c>
      <c r="N37" s="367"/>
      <c r="O37" s="7"/>
      <c r="P37" s="871">
        <f>IF(I!Q37&lt;&gt;I!R37,IF(I!Q37&lt;&gt;0,IF(I!S37&lt;&gt;I!T37,I!P37,),),)</f>
        <v>0</v>
      </c>
      <c r="Q37" s="795">
        <f>IF(I!Q37&lt;&gt;I!R37,IF(I!Q37&lt;&gt;0,IF(I!S37&lt;&gt;I!T37,I!Q37,),),)</f>
        <v>0</v>
      </c>
      <c r="R37" s="628">
        <f>IF(I!Q37&lt;&gt;I!R37,IF(I!Q37&lt;&gt;0,IF(I!S37&lt;&gt;I!T37,0,Q37),Q37),Q37)</f>
        <v>0</v>
      </c>
      <c r="S37" s="796">
        <f>IF(I!Q37&lt;&gt;I!R37,IF(I!Q37&lt;&gt;0,IF(I!S37&lt;&gt;I!T37,I!S37+1,),),)</f>
        <v>0</v>
      </c>
      <c r="T37" s="796">
        <f>IF(I!Q37&lt;&gt;I!R37,IF(I!Q37&lt;&gt;0,IF(I!S37&lt;&gt;I!T37,I!T37,),),)</f>
        <v>0</v>
      </c>
      <c r="U37" s="797">
        <f>IF(I!Q37&lt;&gt;I!R37,IF(I!Q37&lt;&gt;0,IF(I!S37&lt;&gt;I!T37,I!U37,),),)</f>
        <v>0</v>
      </c>
      <c r="V37" s="875">
        <f>IF(I!Q37&lt;&gt;I!R37,IF(I!Q37&lt;&gt;0,IF(I!S37&lt;&gt;I!T37,I!V37,),),)</f>
        <v>0</v>
      </c>
      <c r="W37" s="622">
        <f>IF(Q37="","",$W$5-SUM($Q$7:Q37))</f>
        <v>0</v>
      </c>
      <c r="X37" s="395"/>
      <c r="Y37" s="905" t="str">
        <f>IF(I!Y37&lt;&gt;"",I!Y37,)</f>
        <v>Vacations</v>
      </c>
      <c r="Z37" s="457">
        <f>I!Z37</f>
        <v>0</v>
      </c>
      <c r="AA37" s="20">
        <f t="shared" si="0"/>
        <v>0</v>
      </c>
      <c r="AB37" s="723"/>
      <c r="AC37" s="723"/>
      <c r="AD37" s="36">
        <f t="shared" si="1"/>
        <v>0</v>
      </c>
      <c r="AE37" s="23">
        <f t="shared" si="5"/>
        <v>0</v>
      </c>
      <c r="AF37" s="367"/>
      <c r="AG37" s="728">
        <f t="shared" si="2"/>
        <v>0</v>
      </c>
      <c r="AH37" s="367"/>
      <c r="AI37" s="375">
        <v>0</v>
      </c>
      <c r="AJ37" s="367"/>
      <c r="AK37" s="539" t="s">
        <v>41</v>
      </c>
      <c r="AL37" s="540" t="s">
        <v>33</v>
      </c>
      <c r="AM37" s="367"/>
      <c r="AN37" s="367"/>
      <c r="AO37" s="86"/>
      <c r="AP37" s="51">
        <f t="shared" si="3"/>
        <v>0</v>
      </c>
      <c r="AQ37" s="476">
        <f>I!AQ37+I!AP37</f>
        <v>0</v>
      </c>
      <c r="AR37" s="476">
        <f t="shared" si="4"/>
        <v>0</v>
      </c>
      <c r="AS37" s="477">
        <f>AD37+I!AS37</f>
        <v>0</v>
      </c>
      <c r="AT37" s="477">
        <f>AA37+I!AT37</f>
        <v>0</v>
      </c>
      <c r="AU37" s="476"/>
      <c r="AV37" s="477">
        <f>I!AV37-I!AD37+J!Z37-I!AP37</f>
        <v>0</v>
      </c>
      <c r="AW37" s="476">
        <f t="shared" si="6"/>
        <v>0</v>
      </c>
      <c r="AX37" s="52">
        <f>IF(Z37=I!Z37,I!AE37-AD37,I!AE37+(Z37-I!Z37)*$AW$16-AD37)</f>
        <v>0</v>
      </c>
      <c r="AZ37" s="726">
        <f t="shared" si="7"/>
        <v>0</v>
      </c>
    </row>
    <row r="38" spans="1:52" ht="15" customHeight="1">
      <c r="A38" s="367"/>
      <c r="B38" s="850">
        <f ca="1">IF(I!B38&lt;&gt;"",I!B38,)</f>
        <v>0</v>
      </c>
      <c r="C38" s="454">
        <f ca="1">I!C38</f>
        <v>0</v>
      </c>
      <c r="D38" s="74"/>
      <c r="E38" s="521"/>
      <c r="F38" s="858"/>
      <c r="G38" s="367"/>
      <c r="H38" s="543"/>
      <c r="I38" s="853"/>
      <c r="J38" s="6"/>
      <c r="K38" s="541"/>
      <c r="L38" s="860"/>
      <c r="M38" s="20" t="str">
        <f>IF(J38="","",$M$5-SUM($J$7:J38))</f>
        <v/>
      </c>
      <c r="N38" s="367"/>
      <c r="O38" s="7"/>
      <c r="P38" s="873">
        <f>IF(I!Q38&lt;&gt;I!R38,IF(I!Q38&lt;&gt;0,IF(I!S38&lt;&gt;I!T38,I!P38,),),)</f>
        <v>0</v>
      </c>
      <c r="Q38" s="795">
        <f>IF(I!Q38&lt;&gt;I!R38,IF(I!Q38&lt;&gt;0,IF(I!S38&lt;&gt;I!T38,I!Q38,),),)</f>
        <v>0</v>
      </c>
      <c r="R38" s="628">
        <f>IF(I!Q38&lt;&gt;I!R38,IF(I!Q38&lt;&gt;0,IF(I!S38&lt;&gt;I!T38,0,Q38),Q38),Q38)</f>
        <v>0</v>
      </c>
      <c r="S38" s="796">
        <f>IF(I!Q38&lt;&gt;I!R38,IF(I!Q38&lt;&gt;0,IF(I!S38&lt;&gt;I!T38,I!S38+1,),),)</f>
        <v>0</v>
      </c>
      <c r="T38" s="796">
        <f>IF(I!Q38&lt;&gt;I!R38,IF(I!Q38&lt;&gt;0,IF(I!S38&lt;&gt;I!T38,I!T38,),),)</f>
        <v>0</v>
      </c>
      <c r="U38" s="797">
        <f>IF(I!Q38&lt;&gt;I!R38,IF(I!Q38&lt;&gt;0,IF(I!S38&lt;&gt;I!T38,I!U38,),),)</f>
        <v>0</v>
      </c>
      <c r="V38" s="875">
        <f>IF(I!Q38&lt;&gt;I!R38,IF(I!Q38&lt;&gt;0,IF(I!S38&lt;&gt;I!T38,I!V38,),),)</f>
        <v>0</v>
      </c>
      <c r="W38" s="625">
        <f>IF(Q38="","",$W$5-SUM($Q$7:Q38))</f>
        <v>0</v>
      </c>
      <c r="X38" s="621"/>
      <c r="Y38" s="906" t="str">
        <f>IF(I!Y38&lt;&gt;"",I!Y38,)</f>
        <v>Religious expenses</v>
      </c>
      <c r="Z38" s="457">
        <f>I!Z38</f>
        <v>0</v>
      </c>
      <c r="AA38" s="20">
        <f t="shared" si="0"/>
        <v>0</v>
      </c>
      <c r="AB38" s="723"/>
      <c r="AC38" s="723"/>
      <c r="AD38" s="36">
        <f t="shared" si="1"/>
        <v>0</v>
      </c>
      <c r="AE38" s="23">
        <f t="shared" si="5"/>
        <v>0</v>
      </c>
      <c r="AF38" s="367"/>
      <c r="AG38" s="728">
        <f t="shared" si="2"/>
        <v>0</v>
      </c>
      <c r="AH38" s="367"/>
      <c r="AI38" s="375">
        <v>0</v>
      </c>
      <c r="AJ38" s="367"/>
      <c r="AK38" s="367"/>
      <c r="AL38" s="367"/>
      <c r="AM38" s="367"/>
      <c r="AN38" s="367"/>
      <c r="AO38" s="86"/>
      <c r="AP38" s="51">
        <f t="shared" si="3"/>
        <v>0</v>
      </c>
      <c r="AQ38" s="476">
        <f>I!AQ38+I!AP38</f>
        <v>0</v>
      </c>
      <c r="AR38" s="476">
        <f t="shared" si="4"/>
        <v>0</v>
      </c>
      <c r="AS38" s="477">
        <f>AD38+I!AS38</f>
        <v>0</v>
      </c>
      <c r="AT38" s="477">
        <f>AA38+I!AT38</f>
        <v>0</v>
      </c>
      <c r="AU38" s="476"/>
      <c r="AV38" s="477">
        <f>I!AV38-I!AD38+J!Z38-I!AP38</f>
        <v>0</v>
      </c>
      <c r="AW38" s="476">
        <f t="shared" si="6"/>
        <v>0</v>
      </c>
      <c r="AX38" s="52">
        <f>IF(Z38=I!Z38,I!AE38-AD38,I!AE38+(Z38-I!Z38)*$AW$16-AD38)</f>
        <v>0</v>
      </c>
      <c r="AZ38" s="726">
        <f t="shared" si="7"/>
        <v>0</v>
      </c>
    </row>
    <row r="39" spans="1:52" ht="15" customHeight="1">
      <c r="A39" s="367"/>
      <c r="B39" s="850">
        <f ca="1">IF(I!B39&lt;&gt;"",I!B39,)</f>
        <v>0</v>
      </c>
      <c r="C39" s="454">
        <f ca="1">I!C39</f>
        <v>0</v>
      </c>
      <c r="D39" s="74"/>
      <c r="E39" s="521"/>
      <c r="F39" s="858"/>
      <c r="G39" s="367"/>
      <c r="H39" s="543"/>
      <c r="I39" s="853"/>
      <c r="J39" s="6"/>
      <c r="K39" s="541"/>
      <c r="L39" s="860"/>
      <c r="M39" s="20" t="str">
        <f>IF(J39="","",$M$5-SUM($J$7:J39))</f>
        <v/>
      </c>
      <c r="N39" s="367"/>
      <c r="O39" s="7"/>
      <c r="P39" s="872">
        <f>IF(I!Q39&lt;&gt;I!R39,IF(I!Q39&lt;&gt;0,IF(I!S39&lt;&gt;I!T39,I!P39,),),)</f>
        <v>0</v>
      </c>
      <c r="Q39" s="795">
        <f>IF(I!Q39&lt;&gt;I!R39,IF(I!Q39&lt;&gt;0,IF(I!S39&lt;&gt;I!T39,I!Q39,),),)</f>
        <v>0</v>
      </c>
      <c r="R39" s="628">
        <f>IF(I!Q39&lt;&gt;I!R39,IF(I!Q39&lt;&gt;0,IF(I!S39&lt;&gt;I!T39,0,Q39),Q39),Q39)</f>
        <v>0</v>
      </c>
      <c r="S39" s="796">
        <f>IF(I!Q39&lt;&gt;I!R39,IF(I!Q39&lt;&gt;0,IF(I!S39&lt;&gt;I!T39,I!S39+1,),),)</f>
        <v>0</v>
      </c>
      <c r="T39" s="796">
        <f>IF(I!Q39&lt;&gt;I!R39,IF(I!Q39&lt;&gt;0,IF(I!S39&lt;&gt;I!T39,I!T39,),),)</f>
        <v>0</v>
      </c>
      <c r="U39" s="797">
        <f>IF(I!Q39&lt;&gt;I!R39,IF(I!Q39&lt;&gt;0,IF(I!S39&lt;&gt;I!T39,I!U39,),),)</f>
        <v>0</v>
      </c>
      <c r="V39" s="875">
        <f>IF(I!Q39&lt;&gt;I!R39,IF(I!Q39&lt;&gt;0,IF(I!S39&lt;&gt;I!T39,I!V39,),),)</f>
        <v>0</v>
      </c>
      <c r="W39" s="622">
        <f>IF(Q39="","",$W$5-SUM($Q$7:Q39))</f>
        <v>0</v>
      </c>
      <c r="X39" s="395"/>
      <c r="Y39" s="906" t="str">
        <f>IF(I!Y39&lt;&gt;"",I!Y39,)</f>
        <v>Gifts</v>
      </c>
      <c r="Z39" s="457">
        <f>I!Z39</f>
        <v>0</v>
      </c>
      <c r="AA39" s="20">
        <f t="shared" si="0"/>
        <v>0</v>
      </c>
      <c r="AB39" s="723"/>
      <c r="AC39" s="723"/>
      <c r="AD39" s="36">
        <f t="shared" si="1"/>
        <v>0</v>
      </c>
      <c r="AE39" s="23">
        <f t="shared" si="5"/>
        <v>0</v>
      </c>
      <c r="AF39" s="367"/>
      <c r="AG39" s="728">
        <f t="shared" si="2"/>
        <v>0</v>
      </c>
      <c r="AH39" s="367"/>
      <c r="AI39" s="375">
        <v>0</v>
      </c>
      <c r="AJ39" s="367"/>
      <c r="AK39" s="367"/>
      <c r="AL39" s="367"/>
      <c r="AM39" s="367"/>
      <c r="AN39" s="367"/>
      <c r="AO39" s="86"/>
      <c r="AP39" s="51">
        <f t="shared" si="3"/>
        <v>0</v>
      </c>
      <c r="AQ39" s="476">
        <f>I!AQ39+I!AP39</f>
        <v>0</v>
      </c>
      <c r="AR39" s="476">
        <f t="shared" si="4"/>
        <v>0</v>
      </c>
      <c r="AS39" s="477">
        <f>AD39+I!AS39</f>
        <v>0</v>
      </c>
      <c r="AT39" s="477">
        <f>AA39+I!AT39</f>
        <v>0</v>
      </c>
      <c r="AU39" s="476"/>
      <c r="AV39" s="477">
        <f>I!AV39-I!AD39+J!Z39-I!AP39</f>
        <v>0</v>
      </c>
      <c r="AW39" s="476">
        <f t="shared" si="6"/>
        <v>0</v>
      </c>
      <c r="AX39" s="52">
        <f>IF(Z39=I!Z39,I!AE39-AD39,I!AE39+(Z39-I!Z39)*$AW$16-AD39)</f>
        <v>0</v>
      </c>
      <c r="AZ39" s="726">
        <f t="shared" si="7"/>
        <v>0</v>
      </c>
    </row>
    <row r="40" spans="1:52" ht="15" customHeight="1">
      <c r="A40" s="367"/>
      <c r="B40" s="16" t="s">
        <v>179</v>
      </c>
      <c r="C40" s="77">
        <f ca="1">SUM(C27:C39)+SUM(C65:C86)</f>
        <v>0</v>
      </c>
      <c r="D40" s="75">
        <f>SUM(D27:D39)+SUM(D65:D86)</f>
        <v>0</v>
      </c>
      <c r="E40" s="515"/>
      <c r="F40" s="515"/>
      <c r="G40" s="367"/>
      <c r="H40" s="543"/>
      <c r="I40" s="853"/>
      <c r="J40" s="6"/>
      <c r="K40" s="541"/>
      <c r="L40" s="860"/>
      <c r="M40" s="20" t="str">
        <f>IF(J40="","",$M$5-SUM($J$7:J40))</f>
        <v/>
      </c>
      <c r="N40" s="367"/>
      <c r="O40" s="7"/>
      <c r="P40" s="871">
        <f>IF(I!Q40&lt;&gt;I!R40,IF(I!Q40&lt;&gt;0,IF(I!S40&lt;&gt;I!T40,I!P40,),),)</f>
        <v>0</v>
      </c>
      <c r="Q40" s="795">
        <f>IF(I!Q40&lt;&gt;I!R40,IF(I!Q40&lt;&gt;0,IF(I!S40&lt;&gt;I!T40,I!Q40,),),)</f>
        <v>0</v>
      </c>
      <c r="R40" s="628">
        <f>IF(I!Q40&lt;&gt;I!R40,IF(I!Q40&lt;&gt;0,IF(I!S40&lt;&gt;I!T40,0,Q40),Q40),Q40)</f>
        <v>0</v>
      </c>
      <c r="S40" s="796">
        <f>IF(I!Q40&lt;&gt;I!R40,IF(I!Q40&lt;&gt;0,IF(I!S40&lt;&gt;I!T40,I!S40+1,),),)</f>
        <v>0</v>
      </c>
      <c r="T40" s="796">
        <f>IF(I!Q40&lt;&gt;I!R40,IF(I!Q40&lt;&gt;0,IF(I!S40&lt;&gt;I!T40,I!T40,),),)</f>
        <v>0</v>
      </c>
      <c r="U40" s="797">
        <f>IF(I!Q40&lt;&gt;I!R40,IF(I!Q40&lt;&gt;0,IF(I!S40&lt;&gt;I!T40,I!U40,),),)</f>
        <v>0</v>
      </c>
      <c r="V40" s="875">
        <f>IF(I!Q40&lt;&gt;I!R40,IF(I!Q40&lt;&gt;0,IF(I!S40&lt;&gt;I!T40,I!V40,),),)</f>
        <v>0</v>
      </c>
      <c r="W40" s="622">
        <f>IF(Q40="","",$W$5-SUM($Q$7:Q40))</f>
        <v>0</v>
      </c>
      <c r="X40" s="395"/>
      <c r="Y40" s="906" t="str">
        <f>IF(I!Y40&lt;&gt;"",I!Y40,)</f>
        <v>Small Purchases</v>
      </c>
      <c r="Z40" s="457">
        <f>I!Z40</f>
        <v>0</v>
      </c>
      <c r="AA40" s="20">
        <f t="shared" si="0"/>
        <v>0</v>
      </c>
      <c r="AB40" s="723"/>
      <c r="AC40" s="723"/>
      <c r="AD40" s="36">
        <f t="shared" si="1"/>
        <v>0</v>
      </c>
      <c r="AE40" s="23">
        <f t="shared" si="5"/>
        <v>0</v>
      </c>
      <c r="AF40" s="367"/>
      <c r="AG40" s="728">
        <f t="shared" si="2"/>
        <v>0</v>
      </c>
      <c r="AH40" s="367"/>
      <c r="AI40" s="375">
        <v>0</v>
      </c>
      <c r="AJ40" s="367"/>
      <c r="AK40" s="367"/>
      <c r="AL40" s="367"/>
      <c r="AM40" s="367"/>
      <c r="AN40" s="367"/>
      <c r="AO40" s="86"/>
      <c r="AP40" s="51">
        <f t="shared" si="3"/>
        <v>0</v>
      </c>
      <c r="AQ40" s="476">
        <f>I!AQ40+I!AP40</f>
        <v>0</v>
      </c>
      <c r="AR40" s="476">
        <f t="shared" si="4"/>
        <v>0</v>
      </c>
      <c r="AS40" s="477">
        <f>AD40+I!AS40</f>
        <v>0</v>
      </c>
      <c r="AT40" s="477">
        <f>AA40+I!AT40</f>
        <v>0</v>
      </c>
      <c r="AU40" s="476"/>
      <c r="AV40" s="477">
        <f>I!AV40-I!AD40+J!Z40-I!AP40</f>
        <v>0</v>
      </c>
      <c r="AW40" s="476">
        <f t="shared" si="6"/>
        <v>0</v>
      </c>
      <c r="AX40" s="52">
        <f>IF(Z40=I!Z40,I!AE40-AD40,I!AE40+(Z40-I!Z40)*$AW$16-AD40)</f>
        <v>0</v>
      </c>
      <c r="AZ40" s="726">
        <f t="shared" si="7"/>
        <v>0</v>
      </c>
    </row>
    <row r="41" spans="1:52" ht="15" customHeight="1" thickBot="1">
      <c r="A41" s="367"/>
      <c r="B41" s="11" t="s">
        <v>367</v>
      </c>
      <c r="C41" s="1093">
        <f ca="1">C40-D40</f>
        <v>0</v>
      </c>
      <c r="D41" s="1094"/>
      <c r="E41" s="517"/>
      <c r="F41" s="517"/>
      <c r="G41" s="367"/>
      <c r="H41" s="543"/>
      <c r="I41" s="853"/>
      <c r="J41" s="6"/>
      <c r="K41" s="541"/>
      <c r="L41" s="860"/>
      <c r="M41" s="20" t="str">
        <f>IF(J41="","",$M$5-SUM($J$7:J41))</f>
        <v/>
      </c>
      <c r="N41" s="367"/>
      <c r="O41" s="7"/>
      <c r="P41" s="871">
        <f>IF(I!Q41&lt;&gt;I!R41,IF(I!Q41&lt;&gt;0,IF(I!S41&lt;&gt;I!T41,I!P41,),),)</f>
        <v>0</v>
      </c>
      <c r="Q41" s="795">
        <f>IF(I!Q41&lt;&gt;I!R41,IF(I!Q41&lt;&gt;0,IF(I!S41&lt;&gt;I!T41,I!Q41,),),)</f>
        <v>0</v>
      </c>
      <c r="R41" s="628">
        <f>IF(I!Q41&lt;&gt;I!R41,IF(I!Q41&lt;&gt;0,IF(I!S41&lt;&gt;I!T41,0,Q41),Q41),Q41)</f>
        <v>0</v>
      </c>
      <c r="S41" s="796">
        <f>IF(I!Q41&lt;&gt;I!R41,IF(I!Q41&lt;&gt;0,IF(I!S41&lt;&gt;I!T41,I!S41+1,),),)</f>
        <v>0</v>
      </c>
      <c r="T41" s="796">
        <f>IF(I!Q41&lt;&gt;I!R41,IF(I!Q41&lt;&gt;0,IF(I!S41&lt;&gt;I!T41,I!T41,),),)</f>
        <v>0</v>
      </c>
      <c r="U41" s="797">
        <f>IF(I!Q41&lt;&gt;I!R41,IF(I!Q41&lt;&gt;0,IF(I!S41&lt;&gt;I!T41,I!U41,),),)</f>
        <v>0</v>
      </c>
      <c r="V41" s="875">
        <f>IF(I!Q41&lt;&gt;I!R41,IF(I!Q41&lt;&gt;0,IF(I!S41&lt;&gt;I!T41,I!V41,),),)</f>
        <v>0</v>
      </c>
      <c r="W41" s="622">
        <f>IF(Q41="","",$W$5-SUM($Q$7:Q41))</f>
        <v>0</v>
      </c>
      <c r="X41" s="395"/>
      <c r="Y41" s="905" t="str">
        <f>IF(I!Y41&lt;&gt;"",I!Y41,)</f>
        <v>Haircuts / Cosmetics Treatments</v>
      </c>
      <c r="Z41" s="457">
        <f>I!Z41</f>
        <v>0</v>
      </c>
      <c r="AA41" s="20">
        <f t="shared" si="0"/>
        <v>0</v>
      </c>
      <c r="AB41" s="723"/>
      <c r="AC41" s="723"/>
      <c r="AD41" s="36">
        <f t="shared" si="1"/>
        <v>0</v>
      </c>
      <c r="AE41" s="23">
        <f t="shared" si="5"/>
        <v>0</v>
      </c>
      <c r="AF41" s="367"/>
      <c r="AG41" s="728">
        <f t="shared" si="2"/>
        <v>0</v>
      </c>
      <c r="AH41" s="367"/>
      <c r="AI41" s="375">
        <v>0</v>
      </c>
      <c r="AJ41" s="367"/>
      <c r="AK41" s="367"/>
      <c r="AL41" s="367"/>
      <c r="AM41" s="367"/>
      <c r="AN41" s="367"/>
      <c r="AO41" s="86"/>
      <c r="AP41" s="51">
        <f t="shared" si="3"/>
        <v>0</v>
      </c>
      <c r="AQ41" s="476">
        <f>I!AQ41+I!AP41</f>
        <v>0</v>
      </c>
      <c r="AR41" s="476">
        <f t="shared" si="4"/>
        <v>0</v>
      </c>
      <c r="AS41" s="477">
        <f>AD41+I!AS41</f>
        <v>0</v>
      </c>
      <c r="AT41" s="477">
        <f>AA41+I!AT41</f>
        <v>0</v>
      </c>
      <c r="AU41" s="476"/>
      <c r="AV41" s="477">
        <f>I!AV41-I!AD41+J!Z41-I!AP41</f>
        <v>0</v>
      </c>
      <c r="AW41" s="476">
        <f t="shared" si="6"/>
        <v>0</v>
      </c>
      <c r="AX41" s="52">
        <f>IF(Z41=I!Z41,I!AE41-AD41,I!AE41+(Z41-I!Z41)*$AW$16-AD41)</f>
        <v>0</v>
      </c>
      <c r="AZ41" s="726">
        <f t="shared" si="7"/>
        <v>0</v>
      </c>
    </row>
    <row r="42" spans="1:52" ht="15" customHeight="1">
      <c r="A42" s="367"/>
      <c r="B42" s="1095" t="str">
        <f ca="1">IF(C41&gt;0,"Unexpected positive difference - Check why!","")</f>
        <v/>
      </c>
      <c r="C42" s="1095"/>
      <c r="D42" s="1095"/>
      <c r="E42" s="514"/>
      <c r="F42" s="514"/>
      <c r="G42" s="367"/>
      <c r="H42" s="543"/>
      <c r="I42" s="853"/>
      <c r="J42" s="6"/>
      <c r="K42" s="541"/>
      <c r="L42" s="860"/>
      <c r="M42" s="20" t="str">
        <f>IF(J42="","",$M$5-SUM($J$7:J42))</f>
        <v/>
      </c>
      <c r="N42" s="367"/>
      <c r="O42" s="7"/>
      <c r="P42" s="873">
        <f>IF(I!Q42&lt;&gt;I!R42,IF(I!Q42&lt;&gt;0,IF(I!S42&lt;&gt;I!T42,I!P42,),),)</f>
        <v>0</v>
      </c>
      <c r="Q42" s="795">
        <f>IF(I!Q42&lt;&gt;I!R42,IF(I!Q42&lt;&gt;0,IF(I!S42&lt;&gt;I!T42,I!Q42,),),)</f>
        <v>0</v>
      </c>
      <c r="R42" s="628">
        <f>IF(I!Q42&lt;&gt;I!R42,IF(I!Q42&lt;&gt;0,IF(I!S42&lt;&gt;I!T42,0,Q42),Q42),Q42)</f>
        <v>0</v>
      </c>
      <c r="S42" s="796">
        <f>IF(I!Q42&lt;&gt;I!R42,IF(I!Q42&lt;&gt;0,IF(I!S42&lt;&gt;I!T42,I!S42+1,),),)</f>
        <v>0</v>
      </c>
      <c r="T42" s="796">
        <f>IF(I!Q42&lt;&gt;I!R42,IF(I!Q42&lt;&gt;0,IF(I!S42&lt;&gt;I!T42,I!T42,),),)</f>
        <v>0</v>
      </c>
      <c r="U42" s="797">
        <f>IF(I!Q42&lt;&gt;I!R42,IF(I!Q42&lt;&gt;0,IF(I!S42&lt;&gt;I!T42,I!U42,),),)</f>
        <v>0</v>
      </c>
      <c r="V42" s="875">
        <f>IF(I!Q42&lt;&gt;I!R42,IF(I!Q42&lt;&gt;0,IF(I!S42&lt;&gt;I!T42,I!V42,),),)</f>
        <v>0</v>
      </c>
      <c r="W42" s="622">
        <f>IF(Q42="","",$W$5-SUM($Q$7:Q42))</f>
        <v>0</v>
      </c>
      <c r="X42" s="395"/>
      <c r="Y42" s="905" t="str">
        <f>IF(I!Y42&lt;&gt;"",I!Y42,)</f>
        <v>National Insurance</v>
      </c>
      <c r="Z42" s="457">
        <f>I!Z42</f>
        <v>0</v>
      </c>
      <c r="AA42" s="20">
        <f t="shared" si="0"/>
        <v>0</v>
      </c>
      <c r="AB42" s="723"/>
      <c r="AC42" s="723"/>
      <c r="AD42" s="36">
        <f t="shared" si="1"/>
        <v>0</v>
      </c>
      <c r="AE42" s="23">
        <f t="shared" si="5"/>
        <v>0</v>
      </c>
      <c r="AF42" s="367"/>
      <c r="AG42" s="728">
        <f t="shared" si="2"/>
        <v>0</v>
      </c>
      <c r="AH42" s="367"/>
      <c r="AI42" s="375">
        <v>0</v>
      </c>
      <c r="AJ42" s="367"/>
      <c r="AK42" s="367"/>
      <c r="AL42" s="367"/>
      <c r="AM42" s="367"/>
      <c r="AN42" s="367"/>
      <c r="AO42" s="86"/>
      <c r="AP42" s="51">
        <f t="shared" si="3"/>
        <v>0</v>
      </c>
      <c r="AQ42" s="476">
        <f>I!AQ42+I!AP42</f>
        <v>0</v>
      </c>
      <c r="AR42" s="476">
        <f t="shared" si="4"/>
        <v>0</v>
      </c>
      <c r="AS42" s="477">
        <f>AD42+I!AS42</f>
        <v>0</v>
      </c>
      <c r="AT42" s="477">
        <f>AA42+I!AT42</f>
        <v>0</v>
      </c>
      <c r="AU42" s="476"/>
      <c r="AV42" s="477">
        <f>I!AV42-I!AD42+J!Z42-I!AP42</f>
        <v>0</v>
      </c>
      <c r="AW42" s="476">
        <f t="shared" si="6"/>
        <v>0</v>
      </c>
      <c r="AX42" s="52">
        <f>IF(Z42=I!Z42,I!AE42-AD42,I!AE42+(Z42-I!Z42)*$AW$16-AD42)</f>
        <v>0</v>
      </c>
      <c r="AZ42" s="726">
        <f t="shared" si="7"/>
        <v>0</v>
      </c>
    </row>
    <row r="43" spans="1:52" ht="15" customHeight="1" thickBot="1">
      <c r="A43" s="367"/>
      <c r="B43" s="1117" t="s">
        <v>351</v>
      </c>
      <c r="C43" s="1117"/>
      <c r="D43" s="367"/>
      <c r="E43" s="367"/>
      <c r="F43" s="367"/>
      <c r="G43" s="367"/>
      <c r="H43" s="543"/>
      <c r="I43" s="854"/>
      <c r="J43" s="6"/>
      <c r="K43" s="541"/>
      <c r="L43" s="860"/>
      <c r="M43" s="20" t="str">
        <f>IF(J43="","",$M$5-SUM($J$7:J43))</f>
        <v/>
      </c>
      <c r="N43" s="367"/>
      <c r="O43" s="7"/>
      <c r="P43" s="871">
        <f>IF(I!Q43&lt;&gt;I!R43,IF(I!Q43&lt;&gt;0,IF(I!S43&lt;&gt;I!T43,I!P43,),),)</f>
        <v>0</v>
      </c>
      <c r="Q43" s="795">
        <f>IF(I!Q43&lt;&gt;I!R43,IF(I!Q43&lt;&gt;0,IF(I!S43&lt;&gt;I!T43,I!Q43,),),)</f>
        <v>0</v>
      </c>
      <c r="R43" s="628">
        <f>IF(I!Q43&lt;&gt;I!R43,IF(I!Q43&lt;&gt;0,IF(I!S43&lt;&gt;I!T43,0,Q43),Q43),Q43)</f>
        <v>0</v>
      </c>
      <c r="S43" s="796">
        <f>IF(I!Q43&lt;&gt;I!R43,IF(I!Q43&lt;&gt;0,IF(I!S43&lt;&gt;I!T43,I!S43+1,),),)</f>
        <v>0</v>
      </c>
      <c r="T43" s="796">
        <f>IF(I!Q43&lt;&gt;I!R43,IF(I!Q43&lt;&gt;0,IF(I!S43&lt;&gt;I!T43,I!T43,),),)</f>
        <v>0</v>
      </c>
      <c r="U43" s="797">
        <f>IF(I!Q43&lt;&gt;I!R43,IF(I!Q43&lt;&gt;0,IF(I!S43&lt;&gt;I!T43,I!U43,),),)</f>
        <v>0</v>
      </c>
      <c r="V43" s="875">
        <f>IF(I!Q43&lt;&gt;I!R43,IF(I!Q43&lt;&gt;0,IF(I!S43&lt;&gt;I!T43,I!V43,),),)</f>
        <v>0</v>
      </c>
      <c r="W43" s="622">
        <f>IF(Q43="","",$W$5-SUM($Q$7:Q43))</f>
        <v>0</v>
      </c>
      <c r="X43" s="395"/>
      <c r="Y43" s="905">
        <f>IF(I!Y43&lt;&gt;"",I!Y43,)</f>
        <v>0</v>
      </c>
      <c r="Z43" s="457">
        <f>I!Z43</f>
        <v>0</v>
      </c>
      <c r="AA43" s="20">
        <f t="shared" si="0"/>
        <v>0</v>
      </c>
      <c r="AB43" s="723"/>
      <c r="AC43" s="723"/>
      <c r="AD43" s="36">
        <f t="shared" si="1"/>
        <v>0</v>
      </c>
      <c r="AE43" s="23">
        <f t="shared" si="5"/>
        <v>0</v>
      </c>
      <c r="AF43" s="367"/>
      <c r="AG43" s="728">
        <f t="shared" si="2"/>
        <v>0</v>
      </c>
      <c r="AH43" s="367"/>
      <c r="AI43" s="375">
        <v>0</v>
      </c>
      <c r="AJ43" s="367"/>
      <c r="AK43" s="367"/>
      <c r="AL43" s="367"/>
      <c r="AM43" s="367"/>
      <c r="AN43" s="367"/>
      <c r="AO43" s="86"/>
      <c r="AP43" s="51">
        <f t="shared" si="3"/>
        <v>0</v>
      </c>
      <c r="AQ43" s="476">
        <f>I!AQ43+I!AP43</f>
        <v>0</v>
      </c>
      <c r="AR43" s="476">
        <f t="shared" si="4"/>
        <v>0</v>
      </c>
      <c r="AS43" s="477">
        <f>AD43+I!AS43</f>
        <v>0</v>
      </c>
      <c r="AT43" s="477">
        <f>AA43+I!AT43</f>
        <v>0</v>
      </c>
      <c r="AU43" s="476"/>
      <c r="AV43" s="477">
        <f>I!AV43-I!AD43+J!Z43-I!AP43</f>
        <v>0</v>
      </c>
      <c r="AW43" s="476">
        <f t="shared" si="6"/>
        <v>0</v>
      </c>
      <c r="AX43" s="52">
        <f>IF(Z43=I!Z43,I!AE43-AD43,I!AE43+(Z43-I!Z43)*$AW$16-AD43)</f>
        <v>0</v>
      </c>
      <c r="AZ43" s="726">
        <f t="shared" si="7"/>
        <v>0</v>
      </c>
    </row>
    <row r="44" spans="1:52" ht="15" customHeight="1">
      <c r="A44" s="367"/>
      <c r="B44" s="811" t="s">
        <v>353</v>
      </c>
      <c r="C44" s="100" t="s">
        <v>354</v>
      </c>
      <c r="D44" s="915" t="s">
        <v>494</v>
      </c>
      <c r="E44" s="518"/>
      <c r="F44" s="518"/>
      <c r="G44" s="367"/>
      <c r="H44" s="543"/>
      <c r="I44" s="853"/>
      <c r="J44" s="6"/>
      <c r="K44" s="541"/>
      <c r="L44" s="860"/>
      <c r="M44" s="20" t="str">
        <f>IF(J44="","",$M$5-SUM($J$7:J44))</f>
        <v/>
      </c>
      <c r="N44" s="367"/>
      <c r="O44" s="7"/>
      <c r="P44" s="871">
        <f>IF(I!Q44&lt;&gt;I!R44,IF(I!Q44&lt;&gt;0,IF(I!S44&lt;&gt;I!T44,I!P44,),),)</f>
        <v>0</v>
      </c>
      <c r="Q44" s="795">
        <f>IF(I!Q44&lt;&gt;I!R44,IF(I!Q44&lt;&gt;0,IF(I!S44&lt;&gt;I!T44,I!Q44,),),)</f>
        <v>0</v>
      </c>
      <c r="R44" s="628">
        <f>IF(I!Q44&lt;&gt;I!R44,IF(I!Q44&lt;&gt;0,IF(I!S44&lt;&gt;I!T44,0,Q44),Q44),Q44)</f>
        <v>0</v>
      </c>
      <c r="S44" s="796">
        <f>IF(I!Q44&lt;&gt;I!R44,IF(I!Q44&lt;&gt;0,IF(I!S44&lt;&gt;I!T44,I!S44+1,),),)</f>
        <v>0</v>
      </c>
      <c r="T44" s="796">
        <f>IF(I!Q44&lt;&gt;I!R44,IF(I!Q44&lt;&gt;0,IF(I!S44&lt;&gt;I!T44,I!T44,),),)</f>
        <v>0</v>
      </c>
      <c r="U44" s="797">
        <f>IF(I!Q44&lt;&gt;I!R44,IF(I!Q44&lt;&gt;0,IF(I!S44&lt;&gt;I!T44,I!U44,),),)</f>
        <v>0</v>
      </c>
      <c r="V44" s="875">
        <f>IF(I!Q44&lt;&gt;I!R44,IF(I!Q44&lt;&gt;0,IF(I!S44&lt;&gt;I!T44,I!V44,),),)</f>
        <v>0</v>
      </c>
      <c r="W44" s="622">
        <f>IF(Q44="","",$W$5-SUM($Q$7:Q44))</f>
        <v>0</v>
      </c>
      <c r="X44" s="396"/>
      <c r="Y44" s="905">
        <f>IF(I!Y44&lt;&gt;"",I!Y44,)</f>
        <v>0</v>
      </c>
      <c r="Z44" s="457">
        <f>I!Z44</f>
        <v>0</v>
      </c>
      <c r="AA44" s="20">
        <f t="shared" si="0"/>
        <v>0</v>
      </c>
      <c r="AB44" s="723"/>
      <c r="AC44" s="723"/>
      <c r="AD44" s="36">
        <f t="shared" si="1"/>
        <v>0</v>
      </c>
      <c r="AE44" s="23">
        <f t="shared" si="5"/>
        <v>0</v>
      </c>
      <c r="AF44" s="367"/>
      <c r="AG44" s="728">
        <f t="shared" si="2"/>
        <v>0</v>
      </c>
      <c r="AH44" s="367"/>
      <c r="AI44" s="375">
        <v>0</v>
      </c>
      <c r="AJ44" s="367"/>
      <c r="AK44" s="367"/>
      <c r="AL44" s="367"/>
      <c r="AM44" s="367"/>
      <c r="AN44" s="367"/>
      <c r="AO44" s="86"/>
      <c r="AP44" s="51">
        <f t="shared" si="3"/>
        <v>0</v>
      </c>
      <c r="AQ44" s="476">
        <f>I!AQ44+I!AP44</f>
        <v>0</v>
      </c>
      <c r="AR44" s="476">
        <f t="shared" si="4"/>
        <v>0</v>
      </c>
      <c r="AS44" s="477">
        <f>AD44+I!AS44</f>
        <v>0</v>
      </c>
      <c r="AT44" s="477">
        <f>AA44+I!AT44</f>
        <v>0</v>
      </c>
      <c r="AU44" s="476"/>
      <c r="AV44" s="477">
        <f>I!AV44-I!AD44+J!Z44-I!AP44</f>
        <v>0</v>
      </c>
      <c r="AW44" s="476">
        <f t="shared" si="6"/>
        <v>0</v>
      </c>
      <c r="AX44" s="52">
        <f>IF(Z44=I!Z44,I!AE44-AD44,I!AE44+(Z44-I!Z44)*$AW$16-AD44)</f>
        <v>0</v>
      </c>
      <c r="AZ44" s="727">
        <f t="shared" si="7"/>
        <v>0</v>
      </c>
    </row>
    <row r="45" spans="1:52" ht="15.75">
      <c r="A45" s="367"/>
      <c r="B45" s="850" t="str">
        <f>IF(I!B45&lt;&gt;"",I!B45,)</f>
        <v>Food</v>
      </c>
      <c r="C45" s="455">
        <f>I!C45</f>
        <v>0</v>
      </c>
      <c r="D45" s="80">
        <f t="shared" ref="D45:D56" si="8">SUMIF($I$7:$I$110,B45,$J$7:$J$110)</f>
        <v>0</v>
      </c>
      <c r="E45" s="519"/>
      <c r="F45" s="519"/>
      <c r="G45" s="367"/>
      <c r="H45" s="543"/>
      <c r="I45" s="853"/>
      <c r="J45" s="6"/>
      <c r="K45" s="541"/>
      <c r="L45" s="860"/>
      <c r="M45" s="20" t="str">
        <f>IF(J45="","",$M$5-SUM($J$7:J45))</f>
        <v/>
      </c>
      <c r="N45" s="367"/>
      <c r="O45" s="107"/>
      <c r="P45" s="873">
        <f>IF(I!Q45&lt;&gt;I!R45,IF(I!Q45&lt;&gt;0,IF(I!S45&lt;&gt;I!T45,I!P45,),),)</f>
        <v>0</v>
      </c>
      <c r="Q45" s="795">
        <f>IF(I!Q45&lt;&gt;I!R45,IF(I!Q45&lt;&gt;0,IF(I!S45&lt;&gt;I!T45,I!Q45,),),)</f>
        <v>0</v>
      </c>
      <c r="R45" s="628">
        <f>IF(I!Q45&lt;&gt;I!R45,IF(I!Q45&lt;&gt;0,IF(I!S45&lt;&gt;I!T45,0,Q45),Q45),Q45)</f>
        <v>0</v>
      </c>
      <c r="S45" s="796">
        <f>IF(I!Q45&lt;&gt;I!R45,IF(I!Q45&lt;&gt;0,IF(I!S45&lt;&gt;I!T45,I!S45+1,),),)</f>
        <v>0</v>
      </c>
      <c r="T45" s="796">
        <f>IF(I!Q45&lt;&gt;I!R45,IF(I!Q45&lt;&gt;0,IF(I!S45&lt;&gt;I!T45,I!T45,),),)</f>
        <v>0</v>
      </c>
      <c r="U45" s="797">
        <f>IF(I!Q45&lt;&gt;I!R45,IF(I!Q45&lt;&gt;0,IF(I!S45&lt;&gt;I!T45,I!U45,),),)</f>
        <v>0</v>
      </c>
      <c r="V45" s="875">
        <f>IF(I!Q45&lt;&gt;I!R45,IF(I!Q45&lt;&gt;0,IF(I!S45&lt;&gt;I!T45,I!V45,),),)</f>
        <v>0</v>
      </c>
      <c r="W45" s="622">
        <f>IF(Q45="","",$W$5-SUM($Q$7:Q45))</f>
        <v>0</v>
      </c>
      <c r="X45" s="397"/>
      <c r="Y45" s="18" t="s">
        <v>179</v>
      </c>
      <c r="Z45" s="17">
        <f>SUM(Z23:Z44)</f>
        <v>0</v>
      </c>
      <c r="AA45" s="20">
        <f>SUM(AA23:AA44)</f>
        <v>0</v>
      </c>
      <c r="AB45" s="723"/>
      <c r="AC45" s="723"/>
      <c r="AD45" s="36"/>
      <c r="AE45" s="24">
        <f>SUM(AE23:AE44)</f>
        <v>0</v>
      </c>
      <c r="AF45" s="367"/>
      <c r="AG45" s="367"/>
      <c r="AH45" s="367"/>
      <c r="AI45" s="367"/>
      <c r="AJ45" s="367"/>
      <c r="AK45" s="367"/>
      <c r="AL45" s="367"/>
      <c r="AM45" s="367"/>
      <c r="AN45" s="367"/>
      <c r="AO45" s="86"/>
      <c r="AP45" s="52">
        <f>SUM(AP23:AP44)</f>
        <v>0</v>
      </c>
      <c r="AQ45" s="476">
        <f>SUM(AQ23:AQ44)</f>
        <v>0</v>
      </c>
      <c r="AR45" s="476">
        <f>SUM(AR23:AR44)</f>
        <v>0</v>
      </c>
      <c r="AS45" s="476">
        <f>SUM(AS23:AS44)</f>
        <v>0</v>
      </c>
      <c r="AT45" s="476">
        <f>SUM(AT23:AT44)</f>
        <v>0</v>
      </c>
      <c r="AU45" s="476"/>
      <c r="AV45" s="476">
        <f>SUM(AV23:AV44)</f>
        <v>0</v>
      </c>
      <c r="AW45" s="476">
        <f>SUM(AW23:AW44)</f>
        <v>0</v>
      </c>
      <c r="AX45" s="52">
        <f>SUM(AX23:AX44)</f>
        <v>0</v>
      </c>
    </row>
    <row r="46" spans="1:52" ht="15.75" customHeight="1" thickBot="1">
      <c r="A46" s="367"/>
      <c r="B46" s="850" t="str">
        <f>IF(I!B46&lt;&gt;"",I!B46,)</f>
        <v>Public Transportation</v>
      </c>
      <c r="C46" s="455">
        <f>I!C46</f>
        <v>0</v>
      </c>
      <c r="D46" s="80">
        <f t="shared" si="8"/>
        <v>0</v>
      </c>
      <c r="E46" s="519"/>
      <c r="F46" s="519"/>
      <c r="G46" s="367"/>
      <c r="H46" s="543"/>
      <c r="I46" s="853"/>
      <c r="J46" s="6"/>
      <c r="K46" s="541"/>
      <c r="L46" s="860"/>
      <c r="M46" s="20" t="str">
        <f>IF(J46="","",$M$5-SUM($J$7:J46))</f>
        <v/>
      </c>
      <c r="N46" s="367"/>
      <c r="O46" s="652"/>
      <c r="P46" s="865" t="s">
        <v>429</v>
      </c>
      <c r="Q46" s="620"/>
      <c r="R46" s="619"/>
      <c r="S46" s="629"/>
      <c r="T46" s="629"/>
      <c r="U46" s="646"/>
      <c r="V46" s="618"/>
      <c r="W46" s="627">
        <f>W5-AA45</f>
        <v>0</v>
      </c>
      <c r="X46" s="386"/>
      <c r="Y46" s="125" t="s">
        <v>367</v>
      </c>
      <c r="Z46" s="1202">
        <f>Z45-AA45</f>
        <v>0</v>
      </c>
      <c r="AA46" s="1203"/>
      <c r="AB46" s="644"/>
      <c r="AC46" s="644"/>
      <c r="AD46" s="37"/>
      <c r="AF46" s="367"/>
      <c r="AG46" s="367"/>
      <c r="AH46" s="367"/>
      <c r="AI46" s="367"/>
      <c r="AJ46" s="367"/>
      <c r="AK46" s="367"/>
      <c r="AL46" s="367"/>
      <c r="AM46" s="367"/>
      <c r="AN46" s="367"/>
      <c r="AO46" s="86"/>
    </row>
    <row r="47" spans="1:52" ht="15.75" customHeight="1">
      <c r="A47" s="367"/>
      <c r="B47" s="850" t="str">
        <f>IF(I!B47&lt;&gt;"",I!B47,)</f>
        <v>Gas and Parking</v>
      </c>
      <c r="C47" s="455">
        <f>I!C47</f>
        <v>0</v>
      </c>
      <c r="D47" s="80">
        <f t="shared" si="8"/>
        <v>0</v>
      </c>
      <c r="E47" s="519"/>
      <c r="F47" s="519"/>
      <c r="G47" s="367"/>
      <c r="H47" s="543"/>
      <c r="I47" s="853"/>
      <c r="J47" s="6"/>
      <c r="K47" s="541"/>
      <c r="L47" s="860"/>
      <c r="M47" s="20" t="str">
        <f>IF(J47="","",$M$5-SUM($J$7:J47))</f>
        <v/>
      </c>
      <c r="N47" s="367"/>
      <c r="O47" s="385"/>
      <c r="P47" s="393"/>
      <c r="Q47" s="378"/>
      <c r="R47" s="392"/>
      <c r="S47" s="387"/>
      <c r="T47" s="387"/>
      <c r="U47" s="387"/>
      <c r="V47" s="617"/>
      <c r="W47" s="392"/>
      <c r="X47" s="386"/>
      <c r="Y47" s="388"/>
      <c r="Z47" s="389"/>
      <c r="AA47" s="389"/>
      <c r="AB47" s="389"/>
      <c r="AC47" s="389"/>
      <c r="AD47" s="389"/>
      <c r="AE47" s="367"/>
      <c r="AF47" s="367"/>
      <c r="AG47" s="367"/>
      <c r="AH47" s="367"/>
      <c r="AI47" s="367"/>
      <c r="AJ47" s="367"/>
      <c r="AK47" s="367"/>
      <c r="AL47" s="367"/>
      <c r="AM47" s="367"/>
      <c r="AN47" s="367"/>
      <c r="AO47" s="86"/>
    </row>
    <row r="48" spans="1:52" ht="19.5" thickBot="1">
      <c r="A48" s="367"/>
      <c r="B48" s="850" t="str">
        <f>IF(I!B48&lt;&gt;"",I!B48,)</f>
        <v>Telephone-Landline/Long Distance</v>
      </c>
      <c r="C48" s="455">
        <f>I!C48</f>
        <v>0</v>
      </c>
      <c r="D48" s="80">
        <f t="shared" si="8"/>
        <v>0</v>
      </c>
      <c r="E48" s="519"/>
      <c r="F48" s="519"/>
      <c r="G48" s="367"/>
      <c r="H48" s="543"/>
      <c r="I48" s="853"/>
      <c r="J48" s="6"/>
      <c r="K48" s="541"/>
      <c r="L48" s="860"/>
      <c r="M48" s="20" t="str">
        <f>IF(J48="","",$M$5-SUM($J$7:J48))</f>
        <v/>
      </c>
      <c r="N48" s="367"/>
      <c r="P48" s="819" t="s">
        <v>395</v>
      </c>
      <c r="Q48" s="94" t="str">
        <f>M2</f>
        <v/>
      </c>
      <c r="R48" s="94" t="str">
        <f>N2</f>
        <v/>
      </c>
      <c r="S48" s="1215"/>
      <c r="T48" s="1215"/>
      <c r="U48" s="390"/>
      <c r="V48" s="390"/>
      <c r="W48" s="390"/>
      <c r="X48" s="386"/>
      <c r="Y48" s="386"/>
      <c r="Z48" s="386"/>
      <c r="AA48" s="386"/>
      <c r="AB48" s="391"/>
      <c r="AC48" s="391"/>
      <c r="AD48" s="391"/>
      <c r="AE48" s="367"/>
      <c r="AF48" s="367"/>
      <c r="AG48" s="367"/>
      <c r="AH48" s="367"/>
      <c r="AI48" s="367"/>
      <c r="AJ48" s="367"/>
      <c r="AK48" s="367"/>
      <c r="AL48" s="367"/>
      <c r="AM48" s="367"/>
      <c r="AN48" s="367"/>
      <c r="AO48" s="86"/>
    </row>
    <row r="49" spans="1:92" ht="16.5" thickBot="1">
      <c r="A49" s="367"/>
      <c r="B49" s="850" t="str">
        <f>IF(I!B49&lt;&gt;"",I!B49,)</f>
        <v>Cell Phones</v>
      </c>
      <c r="C49" s="455">
        <f>I!C49</f>
        <v>0</v>
      </c>
      <c r="D49" s="80">
        <f t="shared" si="8"/>
        <v>0</v>
      </c>
      <c r="E49" s="519"/>
      <c r="F49" s="519"/>
      <c r="G49" s="367"/>
      <c r="H49" s="543"/>
      <c r="I49" s="853"/>
      <c r="J49" s="6"/>
      <c r="K49" s="541"/>
      <c r="L49" s="860"/>
      <c r="M49" s="20" t="str">
        <f>IF(J49="","",$M$5-SUM($J$7:J49))</f>
        <v/>
      </c>
      <c r="N49" s="367"/>
      <c r="O49" s="377"/>
      <c r="P49" s="653" t="s">
        <v>288</v>
      </c>
      <c r="Q49" s="654" t="s">
        <v>354</v>
      </c>
      <c r="R49" s="654" t="s">
        <v>398</v>
      </c>
      <c r="S49" s="1216" t="s">
        <v>298</v>
      </c>
      <c r="T49" s="1217"/>
      <c r="U49" s="648"/>
      <c r="V49" s="371"/>
      <c r="W49" s="371"/>
      <c r="X49" s="367"/>
      <c r="Y49" s="386"/>
      <c r="Z49" s="386"/>
      <c r="AA49" s="386"/>
      <c r="AB49" s="391"/>
      <c r="AC49" s="391"/>
      <c r="AD49" s="391"/>
      <c r="AE49" s="367"/>
      <c r="AF49" s="367"/>
      <c r="AG49" s="367"/>
      <c r="AH49" s="367"/>
      <c r="AI49" s="367"/>
      <c r="AJ49" s="367"/>
      <c r="AK49" s="367"/>
      <c r="AL49" s="367"/>
      <c r="AM49" s="367"/>
      <c r="AN49" s="367"/>
      <c r="AO49" s="86"/>
    </row>
    <row r="50" spans="1:92" ht="15.75">
      <c r="A50" s="367"/>
      <c r="B50" s="850" t="str">
        <f>IF(I!B50&lt;&gt;"",I!B50,)</f>
        <v>Home</v>
      </c>
      <c r="C50" s="455">
        <f>I!C50</f>
        <v>0</v>
      </c>
      <c r="D50" s="80">
        <f t="shared" si="8"/>
        <v>0</v>
      </c>
      <c r="E50" s="519"/>
      <c r="F50" s="519"/>
      <c r="G50" s="367"/>
      <c r="H50" s="543"/>
      <c r="I50" s="853"/>
      <c r="J50" s="6"/>
      <c r="K50" s="541"/>
      <c r="L50" s="860"/>
      <c r="M50" s="20" t="str">
        <f>IF(J50="","",$M$5-SUM($J$7:J50))</f>
        <v/>
      </c>
      <c r="N50" s="367"/>
      <c r="O50" s="377"/>
      <c r="P50" s="655" t="s">
        <v>151</v>
      </c>
      <c r="Q50" s="22">
        <f>C18</f>
        <v>0</v>
      </c>
      <c r="R50" s="22">
        <f>D18</f>
        <v>0</v>
      </c>
      <c r="S50" s="1096">
        <f>Q50-R50</f>
        <v>0</v>
      </c>
      <c r="T50" s="1097"/>
      <c r="U50" s="647"/>
      <c r="V50" s="371"/>
      <c r="W50" s="371"/>
      <c r="X50" s="367"/>
      <c r="Y50" s="386"/>
      <c r="Z50" s="386"/>
      <c r="AA50" s="386"/>
      <c r="AB50" s="386"/>
      <c r="AC50" s="386"/>
      <c r="AD50" s="386"/>
      <c r="AE50" s="367"/>
      <c r="AF50" s="367"/>
      <c r="AG50" s="367"/>
      <c r="AH50" s="367"/>
      <c r="AI50" s="367"/>
      <c r="AJ50" s="367"/>
      <c r="AK50" s="367"/>
      <c r="AL50" s="367"/>
      <c r="AM50" s="367"/>
      <c r="AN50" s="367"/>
      <c r="AO50" s="86"/>
    </row>
    <row r="51" spans="1:92" ht="15.75">
      <c r="A51" s="367"/>
      <c r="B51" s="850" t="str">
        <f>IF(I!B51&lt;&gt;"",I!B51,)</f>
        <v>Cleaning help / Babysitter</v>
      </c>
      <c r="C51" s="455">
        <f>I!C51</f>
        <v>0</v>
      </c>
      <c r="D51" s="80">
        <f t="shared" si="8"/>
        <v>0</v>
      </c>
      <c r="E51" s="519"/>
      <c r="F51" s="519"/>
      <c r="G51" s="367"/>
      <c r="H51" s="543"/>
      <c r="I51" s="853"/>
      <c r="J51" s="6"/>
      <c r="K51" s="541"/>
      <c r="L51" s="860"/>
      <c r="M51" s="20" t="str">
        <f>IF(J51="","",$M$5-SUM($J$7:J51))</f>
        <v/>
      </c>
      <c r="N51" s="367"/>
      <c r="O51" s="377"/>
      <c r="P51" s="656" t="s">
        <v>396</v>
      </c>
      <c r="Q51" s="22">
        <f>Z45</f>
        <v>0</v>
      </c>
      <c r="R51" s="22">
        <f>AA45</f>
        <v>0</v>
      </c>
      <c r="S51" s="1147">
        <f>Q51-R51</f>
        <v>0</v>
      </c>
      <c r="T51" s="1147"/>
      <c r="U51" s="647"/>
      <c r="V51" s="371"/>
      <c r="W51" s="371"/>
      <c r="X51" s="367"/>
      <c r="Y51" s="367"/>
      <c r="Z51" s="367"/>
      <c r="AA51" s="367"/>
      <c r="AB51" s="367"/>
      <c r="AC51" s="367"/>
      <c r="AD51" s="367"/>
      <c r="AE51" s="367"/>
      <c r="AF51" s="367"/>
      <c r="AG51" s="367"/>
      <c r="AH51" s="367"/>
      <c r="AI51" s="367"/>
      <c r="AJ51" s="367"/>
      <c r="AK51" s="367"/>
      <c r="AL51" s="367"/>
      <c r="AM51" s="367"/>
      <c r="AN51" s="367"/>
      <c r="AO51" s="86"/>
    </row>
    <row r="52" spans="1:92" ht="15.75">
      <c r="A52" s="367"/>
      <c r="B52" s="850" t="str">
        <f>IF(I!B52&lt;&gt;"",I!B52,)</f>
        <v>Cigarettes</v>
      </c>
      <c r="C52" s="455">
        <f>I!C52</f>
        <v>0</v>
      </c>
      <c r="D52" s="80">
        <f t="shared" si="8"/>
        <v>0</v>
      </c>
      <c r="E52" s="519"/>
      <c r="F52" s="519"/>
      <c r="G52" s="367"/>
      <c r="H52" s="543"/>
      <c r="I52" s="853"/>
      <c r="J52" s="6"/>
      <c r="K52" s="541"/>
      <c r="L52" s="860"/>
      <c r="M52" s="20" t="str">
        <f>IF(J52="","",$M$5-SUM($J$7:J52))</f>
        <v/>
      </c>
      <c r="N52" s="367"/>
      <c r="O52" s="377"/>
      <c r="P52" s="657" t="s">
        <v>397</v>
      </c>
      <c r="Q52" s="22">
        <f>C57</f>
        <v>0</v>
      </c>
      <c r="R52" s="22">
        <f>D57</f>
        <v>0</v>
      </c>
      <c r="S52" s="1098">
        <f>Q52-R52</f>
        <v>0</v>
      </c>
      <c r="T52" s="1099"/>
      <c r="U52" s="649"/>
      <c r="V52" s="371"/>
      <c r="W52" s="370"/>
      <c r="X52" s="367"/>
      <c r="Y52" s="367"/>
      <c r="Z52" s="367"/>
      <c r="AA52" s="367"/>
      <c r="AB52" s="367"/>
      <c r="AC52" s="367"/>
      <c r="AD52" s="367"/>
      <c r="AE52" s="367"/>
      <c r="AF52" s="367"/>
      <c r="AG52" s="367"/>
      <c r="AH52" s="367"/>
      <c r="AI52" s="367"/>
      <c r="AJ52" s="367"/>
      <c r="AK52" s="367"/>
      <c r="AL52" s="367"/>
      <c r="AM52" s="367"/>
      <c r="AN52" s="367"/>
      <c r="AO52" s="86"/>
    </row>
    <row r="53" spans="1:92" ht="15.75">
      <c r="A53" s="367"/>
      <c r="B53" s="850" t="str">
        <f>IF(I!B53&lt;&gt;"",I!B53,)</f>
        <v>Other</v>
      </c>
      <c r="C53" s="455">
        <f>I!C53</f>
        <v>0</v>
      </c>
      <c r="D53" s="80">
        <f t="shared" si="8"/>
        <v>0</v>
      </c>
      <c r="E53" s="519"/>
      <c r="F53" s="519"/>
      <c r="G53" s="367"/>
      <c r="H53" s="543"/>
      <c r="I53" s="853"/>
      <c r="J53" s="6"/>
      <c r="K53" s="541"/>
      <c r="L53" s="860"/>
      <c r="M53" s="20" t="str">
        <f>IF(J53="","",$M$5-SUM($J$7:J53))</f>
        <v/>
      </c>
      <c r="N53" s="1110" t="str">
        <f ca="1">IF(D19&lt;=0,IF(C41&lt;=0,"","Pass positive diff?"),"Pass positive diff?")</f>
        <v/>
      </c>
      <c r="O53" s="1233"/>
      <c r="P53" s="658" t="s">
        <v>308</v>
      </c>
      <c r="Q53" s="150">
        <f>SUM(Q50:Q52)</f>
        <v>0</v>
      </c>
      <c r="R53" s="150">
        <f>SUM(R50:R52)</f>
        <v>0</v>
      </c>
      <c r="S53" s="1100">
        <f>Q53-R53</f>
        <v>0</v>
      </c>
      <c r="T53" s="1101"/>
      <c r="U53" s="788"/>
      <c r="V53" s="371"/>
      <c r="W53" s="371"/>
      <c r="X53" s="367"/>
      <c r="Y53" s="367"/>
      <c r="Z53" s="367"/>
      <c r="AA53" s="367"/>
      <c r="AB53" s="367"/>
      <c r="AC53" s="367"/>
      <c r="AD53" s="367"/>
      <c r="AE53" s="367"/>
      <c r="AF53" s="367"/>
      <c r="AG53" s="367"/>
      <c r="AH53" s="367"/>
      <c r="AI53" s="367"/>
      <c r="AJ53" s="367"/>
      <c r="AK53" s="367"/>
      <c r="AL53" s="367"/>
      <c r="AM53" s="367"/>
      <c r="AN53" s="367"/>
      <c r="AO53" s="86"/>
    </row>
    <row r="54" spans="1:92" ht="15.75">
      <c r="A54" s="367"/>
      <c r="B54" s="850">
        <f>IF(I!B54&lt;&gt;"",I!B54,)</f>
        <v>0</v>
      </c>
      <c r="C54" s="455">
        <f>I!C54</f>
        <v>0</v>
      </c>
      <c r="D54" s="80">
        <f t="shared" si="8"/>
        <v>0</v>
      </c>
      <c r="E54" s="519"/>
      <c r="F54" s="519"/>
      <c r="G54" s="367"/>
      <c r="H54" s="1199" t="s">
        <v>392</v>
      </c>
      <c r="I54" s="855" t="s">
        <v>430</v>
      </c>
      <c r="J54" s="816"/>
      <c r="K54" s="589"/>
      <c r="L54" s="590"/>
      <c r="M54" s="102">
        <f ca="1">M5-D57</f>
        <v>0</v>
      </c>
      <c r="N54" s="1110"/>
      <c r="O54" s="1233"/>
      <c r="P54" s="659" t="s">
        <v>296</v>
      </c>
      <c r="Q54" s="22">
        <f>AA4</f>
        <v>0</v>
      </c>
      <c r="R54" s="22">
        <f>AA17</f>
        <v>0</v>
      </c>
      <c r="S54" s="1096">
        <f>R54-Q54</f>
        <v>0</v>
      </c>
      <c r="T54" s="1097"/>
      <c r="U54" s="647"/>
      <c r="V54" s="371"/>
      <c r="W54" s="371"/>
      <c r="X54" s="367"/>
      <c r="Y54" s="367"/>
      <c r="Z54" s="367"/>
      <c r="AA54" s="367"/>
      <c r="AB54" s="367"/>
      <c r="AC54" s="367"/>
      <c r="AD54" s="367"/>
      <c r="AE54" s="367"/>
      <c r="AF54" s="367"/>
      <c r="AG54" s="367"/>
      <c r="AH54" s="367"/>
      <c r="AI54" s="367"/>
      <c r="AJ54" s="367"/>
      <c r="AK54" s="367"/>
      <c r="AL54" s="367"/>
      <c r="AM54" s="367"/>
      <c r="AN54" s="367"/>
      <c r="AO54" s="86"/>
    </row>
    <row r="55" spans="1:92" ht="16.5" thickBot="1">
      <c r="A55" s="367"/>
      <c r="B55" s="850">
        <f>IF(I!B55&lt;&gt;"",I!B55,)</f>
        <v>0</v>
      </c>
      <c r="C55" s="455">
        <f>I!C55</f>
        <v>0</v>
      </c>
      <c r="D55" s="80">
        <f t="shared" si="8"/>
        <v>0</v>
      </c>
      <c r="E55" s="519"/>
      <c r="F55" s="519"/>
      <c r="G55" s="367"/>
      <c r="H55" s="1200"/>
      <c r="I55" s="856" t="s">
        <v>393</v>
      </c>
      <c r="J55" s="821"/>
      <c r="K55" s="592"/>
      <c r="L55" s="591"/>
      <c r="M55" s="99">
        <f>IF(D19&lt;=0,D19,IF(N55="Yes",D19,0))</f>
        <v>0</v>
      </c>
      <c r="N55" s="438" t="str">
        <f>IF(D19&gt;0,"No","")</f>
        <v/>
      </c>
      <c r="O55" s="377"/>
      <c r="P55" s="660" t="s">
        <v>349</v>
      </c>
      <c r="Q55" s="22">
        <f ca="1">C40</f>
        <v>0</v>
      </c>
      <c r="R55" s="22">
        <f>D40</f>
        <v>0</v>
      </c>
      <c r="S55" s="1144">
        <f ca="1">Q55-R55</f>
        <v>0</v>
      </c>
      <c r="T55" s="1146"/>
      <c r="U55" s="649"/>
      <c r="V55" s="370"/>
      <c r="W55" s="371"/>
      <c r="X55" s="367"/>
      <c r="Y55" s="367"/>
      <c r="Z55" s="367"/>
      <c r="AA55" s="367"/>
      <c r="AB55" s="367"/>
      <c r="AC55" s="367"/>
      <c r="AD55" s="367"/>
      <c r="AE55" s="367"/>
      <c r="AF55" s="367"/>
      <c r="AG55" s="367"/>
      <c r="AH55" s="367"/>
      <c r="AI55" s="367"/>
      <c r="AJ55" s="367"/>
      <c r="AK55" s="367"/>
      <c r="AL55" s="367"/>
      <c r="AM55" s="367"/>
      <c r="AN55" s="367"/>
      <c r="AO55" s="86"/>
      <c r="AP55" s="52" t="s">
        <v>408</v>
      </c>
      <c r="AQ55" s="52" t="s">
        <v>410</v>
      </c>
    </row>
    <row r="56" spans="1:92" ht="16.5" thickBot="1">
      <c r="A56" s="367"/>
      <c r="B56" s="850">
        <f>IF(I!B56&lt;&gt;"",I!B56,)</f>
        <v>0</v>
      </c>
      <c r="C56" s="455">
        <f>I!C56</f>
        <v>0</v>
      </c>
      <c r="D56" s="80">
        <f t="shared" si="8"/>
        <v>0</v>
      </c>
      <c r="E56" s="519"/>
      <c r="F56" s="519"/>
      <c r="G56" s="367"/>
      <c r="H56" s="1201"/>
      <c r="I56" s="1115" t="s">
        <v>394</v>
      </c>
      <c r="J56" s="1116"/>
      <c r="K56" s="587"/>
      <c r="L56" s="594"/>
      <c r="M56" s="1">
        <f ca="1">IF(C41&lt;=0,C41,IF(N56="Yes",C41,0))</f>
        <v>0</v>
      </c>
      <c r="N56" s="438" t="str">
        <f ca="1">IF(C41&gt;0,"No","")</f>
        <v/>
      </c>
      <c r="O56" s="377"/>
      <c r="P56" s="661" t="s">
        <v>179</v>
      </c>
      <c r="Q56" s="662">
        <f ca="1">Q54-Q53-Q55</f>
        <v>0</v>
      </c>
      <c r="R56" s="662">
        <f>R54-R53-R55</f>
        <v>0</v>
      </c>
      <c r="S56" s="1144">
        <f ca="1">SUM(S53:S55)</f>
        <v>0</v>
      </c>
      <c r="T56" s="1145"/>
      <c r="U56" s="647"/>
      <c r="V56" s="371"/>
      <c r="W56" s="371"/>
      <c r="X56" s="367"/>
      <c r="Y56" s="367"/>
      <c r="Z56" s="367"/>
      <c r="AA56" s="367"/>
      <c r="AB56" s="367"/>
      <c r="AC56" s="367"/>
      <c r="AD56" s="367"/>
      <c r="AE56" s="367"/>
      <c r="AF56" s="367"/>
      <c r="AG56" s="367"/>
      <c r="AH56" s="367"/>
      <c r="AI56" s="367"/>
      <c r="AJ56" s="367"/>
      <c r="AK56" s="367"/>
      <c r="AL56" s="367"/>
      <c r="AM56" s="367"/>
      <c r="AN56" s="367"/>
      <c r="AO56" s="86"/>
      <c r="AP56" s="52" t="s">
        <v>409</v>
      </c>
      <c r="AQ56" s="52" t="s">
        <v>411</v>
      </c>
    </row>
    <row r="57" spans="1:92" ht="16.5" thickBot="1">
      <c r="A57" s="367"/>
      <c r="B57" s="16" t="s">
        <v>179</v>
      </c>
      <c r="C57" s="77">
        <f>SUM(C45:C56)</f>
        <v>0</v>
      </c>
      <c r="D57" s="76">
        <f>SUM(D45:D56)</f>
        <v>0</v>
      </c>
      <c r="E57" s="520"/>
      <c r="F57" s="520"/>
      <c r="G57" s="367"/>
      <c r="H57" s="12"/>
      <c r="I57" s="13"/>
      <c r="J57" s="14"/>
      <c r="K57" s="593"/>
      <c r="L57" s="14"/>
      <c r="M57" s="14"/>
      <c r="N57" s="367"/>
      <c r="O57" s="377"/>
      <c r="P57" s="438"/>
      <c r="Q57" s="790"/>
      <c r="R57" s="790"/>
      <c r="S57" s="789"/>
      <c r="T57" s="370"/>
      <c r="U57" s="370"/>
      <c r="V57" s="371"/>
      <c r="W57" s="371"/>
      <c r="X57" s="367"/>
      <c r="Y57" s="367"/>
      <c r="Z57" s="367"/>
      <c r="AA57" s="367"/>
      <c r="AB57" s="367"/>
      <c r="AC57" s="367"/>
      <c r="AD57" s="367"/>
      <c r="AE57" s="367"/>
      <c r="AF57" s="367"/>
      <c r="AG57" s="367"/>
      <c r="AH57" s="367"/>
      <c r="AI57" s="367"/>
      <c r="AJ57" s="367"/>
      <c r="AK57" s="367"/>
      <c r="AL57" s="367"/>
      <c r="AM57" s="367"/>
      <c r="AN57" s="367"/>
      <c r="AO57" s="86"/>
    </row>
    <row r="58" spans="1:92" ht="16.5" customHeight="1" thickBot="1">
      <c r="A58" s="367"/>
      <c r="B58" s="101" t="s">
        <v>367</v>
      </c>
      <c r="C58" s="1113">
        <f>C57-D57</f>
        <v>0</v>
      </c>
      <c r="D58" s="1114"/>
      <c r="E58" s="517"/>
      <c r="F58" s="517"/>
      <c r="G58" s="367"/>
      <c r="H58" s="818" t="s">
        <v>431</v>
      </c>
      <c r="I58" s="817"/>
      <c r="J58" s="817"/>
      <c r="K58" s="588"/>
      <c r="L58" s="588"/>
      <c r="M58" s="103">
        <f ca="1">SUM(M54:M56)</f>
        <v>0</v>
      </c>
      <c r="N58" s="729" t="str">
        <f>AQ55</f>
        <v>Pass</v>
      </c>
      <c r="O58" s="377"/>
      <c r="P58" s="663" t="s">
        <v>400</v>
      </c>
      <c r="Q58" s="664" t="str">
        <f>IF(Z56="","","Expected")</f>
        <v/>
      </c>
      <c r="R58" s="664" t="s">
        <v>398</v>
      </c>
      <c r="S58" s="1236" t="str">
        <f>IF(Z56="","","Diff")</f>
        <v/>
      </c>
      <c r="T58" s="1237"/>
      <c r="U58" s="651"/>
      <c r="V58" s="370"/>
      <c r="W58" s="371"/>
      <c r="X58" s="367"/>
      <c r="Y58" s="367"/>
      <c r="Z58" s="367"/>
      <c r="AA58" s="367"/>
      <c r="AB58" s="367"/>
      <c r="AC58" s="367"/>
      <c r="AD58" s="367"/>
      <c r="AE58" s="367"/>
      <c r="AF58" s="367"/>
      <c r="AG58" s="367"/>
      <c r="AH58" s="367"/>
      <c r="AI58" s="367"/>
      <c r="AJ58" s="367"/>
      <c r="AK58" s="367"/>
      <c r="AL58" s="367"/>
      <c r="AM58" s="367"/>
      <c r="AN58" s="367"/>
      <c r="AO58" s="86"/>
    </row>
    <row r="59" spans="1:92" ht="16.5" thickTop="1" thickBot="1">
      <c r="A59" s="367"/>
      <c r="B59" s="880" t="s">
        <v>382</v>
      </c>
      <c r="C59" s="367"/>
      <c r="D59" s="367"/>
      <c r="E59" s="367"/>
      <c r="F59" s="367"/>
      <c r="G59" s="367"/>
      <c r="H59" s="367"/>
      <c r="I59" s="367"/>
      <c r="J59" s="367"/>
      <c r="K59" s="367"/>
      <c r="L59" s="367"/>
      <c r="M59" s="367"/>
      <c r="N59" s="367"/>
      <c r="O59" s="377"/>
      <c r="P59" s="665" t="s">
        <v>399</v>
      </c>
      <c r="Q59" s="666">
        <f>I!R59+J!R56</f>
        <v>0</v>
      </c>
      <c r="R59" s="667"/>
      <c r="S59" s="1235">
        <f>Q59-R59</f>
        <v>0</v>
      </c>
      <c r="T59" s="1146"/>
      <c r="U59" s="649"/>
      <c r="V59" s="371"/>
      <c r="W59" s="371"/>
      <c r="X59" s="367"/>
      <c r="Y59" s="367"/>
      <c r="Z59" s="367"/>
      <c r="AA59" s="367"/>
      <c r="AB59" s="367"/>
      <c r="AC59" s="367"/>
      <c r="AD59" s="367"/>
      <c r="AE59" s="367"/>
      <c r="AF59" s="367"/>
      <c r="AG59" s="367"/>
      <c r="AH59" s="367"/>
      <c r="AI59" s="367"/>
      <c r="AJ59" s="367"/>
      <c r="AK59" s="367"/>
      <c r="AL59" s="367"/>
      <c r="AM59" s="367"/>
      <c r="AN59" s="367"/>
      <c r="AO59" s="86"/>
    </row>
    <row r="60" spans="1:92" ht="15">
      <c r="A60" s="367"/>
      <c r="B60" s="807" t="s">
        <v>383</v>
      </c>
      <c r="C60" s="367"/>
      <c r="D60" s="882" t="s">
        <v>384</v>
      </c>
      <c r="E60" s="367"/>
      <c r="F60" s="367"/>
      <c r="G60" s="367"/>
      <c r="I60" s="367"/>
      <c r="J60" s="367"/>
      <c r="K60" s="367"/>
      <c r="L60" s="367"/>
      <c r="M60" s="367"/>
      <c r="N60" s="367"/>
      <c r="O60" s="377"/>
      <c r="P60" s="367"/>
      <c r="Q60" s="367"/>
      <c r="R60" s="367"/>
      <c r="S60" s="371"/>
      <c r="T60" s="371"/>
      <c r="U60" s="371"/>
      <c r="V60" s="371"/>
      <c r="W60" s="367"/>
      <c r="X60" s="367"/>
      <c r="Y60" s="367"/>
      <c r="Z60" s="367"/>
      <c r="AA60" s="367"/>
      <c r="AB60" s="367"/>
      <c r="AC60" s="367"/>
      <c r="AD60" s="367"/>
      <c r="AE60" s="367"/>
      <c r="AF60" s="367"/>
      <c r="AG60" s="367"/>
      <c r="AH60" s="367"/>
      <c r="AI60" s="367"/>
      <c r="AJ60" s="367"/>
      <c r="AK60" s="367"/>
      <c r="AL60" s="367"/>
      <c r="AM60" s="367"/>
      <c r="AN60" s="367"/>
      <c r="AO60" s="86"/>
    </row>
    <row r="61" spans="1:92" ht="15.75" collapsed="1" thickBot="1">
      <c r="A61" s="367"/>
      <c r="B61" s="884" t="s">
        <v>385</v>
      </c>
      <c r="C61" s="367"/>
      <c r="D61" s="367"/>
      <c r="E61" s="367"/>
      <c r="F61" s="367"/>
      <c r="G61" s="367"/>
      <c r="I61" s="367"/>
      <c r="K61" s="510"/>
      <c r="L61" s="510"/>
      <c r="M61" s="510"/>
      <c r="N61" s="367"/>
      <c r="O61" s="511"/>
      <c r="Q61" s="367"/>
      <c r="R61" s="367"/>
      <c r="S61" s="371"/>
      <c r="T61" s="371"/>
      <c r="U61" s="371"/>
      <c r="V61" s="371"/>
      <c r="W61" s="367"/>
      <c r="X61" s="367"/>
      <c r="Y61" s="367"/>
      <c r="Z61" s="367"/>
      <c r="AA61" s="367"/>
      <c r="AB61" s="367"/>
      <c r="AC61" s="367"/>
      <c r="AD61" s="367"/>
      <c r="AE61" s="367"/>
      <c r="AF61" s="367"/>
      <c r="AG61" s="367"/>
      <c r="AH61" s="367"/>
      <c r="AI61" s="367"/>
      <c r="AJ61" s="367"/>
      <c r="AK61" s="367"/>
      <c r="AL61" s="367"/>
      <c r="AM61" s="367"/>
      <c r="AN61" s="367"/>
      <c r="AO61" s="86"/>
    </row>
    <row r="62" spans="1:92" ht="15.75" hidden="1" customHeight="1" outlineLevel="1" thickBot="1">
      <c r="A62" s="367"/>
      <c r="B62" s="367"/>
      <c r="C62" s="367"/>
      <c r="D62" s="367"/>
      <c r="E62" s="367"/>
      <c r="F62" s="367"/>
      <c r="G62" s="367"/>
      <c r="H62" s="505"/>
      <c r="I62" s="367"/>
      <c r="J62" s="367"/>
      <c r="K62" s="581"/>
      <c r="L62" s="367"/>
      <c r="M62" s="367"/>
      <c r="N62" s="367"/>
      <c r="O62" s="511"/>
      <c r="P62" s="505"/>
      <c r="Q62" s="367"/>
      <c r="R62" s="367"/>
      <c r="S62" s="371"/>
      <c r="T62" s="371"/>
      <c r="U62" s="371"/>
      <c r="V62" s="631"/>
      <c r="W62" s="367"/>
      <c r="X62" s="367"/>
      <c r="Y62" s="367"/>
      <c r="Z62" s="367"/>
      <c r="AA62" s="367"/>
      <c r="AB62" s="367"/>
      <c r="AC62" s="367"/>
      <c r="AD62" s="367"/>
      <c r="AE62" s="367"/>
      <c r="AF62" s="367"/>
      <c r="AG62" s="367"/>
      <c r="AH62" s="367"/>
      <c r="AI62" s="367"/>
      <c r="AJ62" s="367"/>
      <c r="AK62" s="367"/>
      <c r="AL62" s="367"/>
      <c r="AM62" s="367"/>
      <c r="AN62" s="367"/>
      <c r="AO62" s="86"/>
    </row>
    <row r="63" spans="1:92" s="367" customFormat="1" ht="33.75" hidden="1" customHeight="1" outlineLevel="1">
      <c r="B63" s="1120" t="s">
        <v>388</v>
      </c>
      <c r="C63" s="1122" t="s">
        <v>354</v>
      </c>
      <c r="D63" s="1124" t="s">
        <v>358</v>
      </c>
      <c r="E63" s="1126" t="s">
        <v>380</v>
      </c>
      <c r="F63" s="1127" t="s">
        <v>335</v>
      </c>
      <c r="H63" s="503" t="s">
        <v>356</v>
      </c>
      <c r="I63" s="682" t="s">
        <v>357</v>
      </c>
      <c r="J63" s="812" t="s">
        <v>358</v>
      </c>
      <c r="K63" s="598" t="s">
        <v>380</v>
      </c>
      <c r="L63" s="600" t="s">
        <v>335</v>
      </c>
      <c r="M63" s="504" t="s">
        <v>389</v>
      </c>
      <c r="O63" s="506" t="s">
        <v>356</v>
      </c>
      <c r="P63" s="507" t="s">
        <v>357</v>
      </c>
      <c r="Q63" s="813" t="s">
        <v>358</v>
      </c>
      <c r="R63" s="507" t="s">
        <v>359</v>
      </c>
      <c r="S63" s="814" t="s">
        <v>390</v>
      </c>
      <c r="T63" s="815" t="s">
        <v>391</v>
      </c>
      <c r="U63" s="637" t="s">
        <v>380</v>
      </c>
      <c r="V63" s="616" t="s">
        <v>335</v>
      </c>
      <c r="W63" s="632" t="s">
        <v>389</v>
      </c>
      <c r="AO63" s="86"/>
      <c r="AP63" s="86"/>
      <c r="AQ63" s="86"/>
      <c r="AR63" s="86"/>
      <c r="AS63" s="86"/>
      <c r="AT63" s="86"/>
      <c r="AU63" s="86"/>
      <c r="AV63" s="86"/>
      <c r="AW63" s="86"/>
      <c r="AX63" s="86"/>
      <c r="AY63" s="86"/>
      <c r="CM63" s="86"/>
      <c r="CN63" s="86"/>
    </row>
    <row r="64" spans="1:92" s="367" customFormat="1" ht="15" hidden="1" customHeight="1" outlineLevel="1">
      <c r="B64" s="1121"/>
      <c r="C64" s="1123"/>
      <c r="D64" s="1125"/>
      <c r="E64" s="1126"/>
      <c r="F64" s="1127"/>
      <c r="H64" s="543"/>
      <c r="I64" s="853"/>
      <c r="J64" s="6"/>
      <c r="K64" s="541"/>
      <c r="L64" s="860"/>
      <c r="M64" s="20" t="str">
        <f>IF(J64="","",$M$5-SUM($J$7:J64))</f>
        <v/>
      </c>
      <c r="O64" s="106"/>
      <c r="P64" s="871">
        <f>IF(I!Q64&lt;&gt;I!R64,IF(I!Q64&lt;&gt;0,IF(I!S64&lt;&gt;I!T64,I!P64,),),)</f>
        <v>0</v>
      </c>
      <c r="Q64" s="795">
        <f>IF(I!Q64&lt;&gt;I!R64,IF(I!Q64&lt;&gt;0,IF(I!S64&lt;&gt;I!T64,I!Q64,),),)</f>
        <v>0</v>
      </c>
      <c r="R64" s="628">
        <f>IF(I!Q64&lt;&gt;I!R64,IF(I!Q64&lt;&gt;0,IF(I!S64&lt;&gt;I!T64,0,Q64),Q64),Q64)</f>
        <v>0</v>
      </c>
      <c r="S64" s="796">
        <f>IF(I!Q64&lt;&gt;I!R64,IF(I!Q64&lt;&gt;0,IF(I!S64&lt;&gt;I!T64,I!S64+1,),),)</f>
        <v>0</v>
      </c>
      <c r="T64" s="796">
        <f>IF(I!Q64&lt;&gt;I!R64,IF(I!Q64&lt;&gt;0,IF(I!S64&lt;&gt;I!T64,I!T64,),),)</f>
        <v>0</v>
      </c>
      <c r="U64" s="797">
        <f>IF(I!Q64&lt;&gt;I!R64,IF(I!Q64&lt;&gt;0,IF(I!S64&lt;&gt;I!T64,I!U64,),),)</f>
        <v>0</v>
      </c>
      <c r="V64" s="875">
        <f>IF(I!Q64&lt;&gt;I!R64,IF(I!Q64&lt;&gt;0,IF(I!S64&lt;&gt;I!T64,I!V64,),),)</f>
        <v>0</v>
      </c>
      <c r="W64" s="633">
        <f>IF(Q64="","",$W$5-SUM($Q$7:$Q$45)-SUM($Q$64:Q64))</f>
        <v>0</v>
      </c>
      <c r="AO64" s="86"/>
      <c r="AP64" s="86"/>
      <c r="AQ64" s="86"/>
      <c r="AR64" s="86"/>
      <c r="AS64" s="86"/>
      <c r="AT64" s="86"/>
      <c r="AU64" s="86"/>
      <c r="AV64" s="86"/>
      <c r="AW64" s="86"/>
      <c r="AX64" s="86"/>
      <c r="AY64" s="86"/>
      <c r="CM64" s="86"/>
      <c r="CN64" s="86"/>
    </row>
    <row r="65" spans="2:92" s="367" customFormat="1" ht="15" hidden="1" customHeight="1" outlineLevel="1">
      <c r="B65" s="852">
        <f ca="1">IF(I!B65&lt;&gt;"",I!B65,)</f>
        <v>0</v>
      </c>
      <c r="C65" s="454">
        <f ca="1">I!C65</f>
        <v>0</v>
      </c>
      <c r="D65" s="74"/>
      <c r="E65" s="521"/>
      <c r="F65" s="858"/>
      <c r="H65" s="543"/>
      <c r="I65" s="853"/>
      <c r="J65" s="6"/>
      <c r="K65" s="541"/>
      <c r="L65" s="860"/>
      <c r="M65" s="20" t="str">
        <f>IF(J65="","",$M$5-SUM($J$7:J65))</f>
        <v/>
      </c>
      <c r="O65" s="7"/>
      <c r="P65" s="872">
        <f>IF(I!Q65&lt;&gt;I!R65,IF(I!Q65&lt;&gt;0,IF(I!S65&lt;&gt;I!T65,I!P65,),),)</f>
        <v>0</v>
      </c>
      <c r="Q65" s="795">
        <f>IF(I!Q65&lt;&gt;I!R65,IF(I!Q65&lt;&gt;0,IF(I!S65&lt;&gt;I!T65,I!Q65,),),)</f>
        <v>0</v>
      </c>
      <c r="R65" s="628">
        <f>IF(I!Q65&lt;&gt;I!R65,IF(I!Q65&lt;&gt;0,IF(I!S65&lt;&gt;I!T65,0,Q65),Q65),Q65)</f>
        <v>0</v>
      </c>
      <c r="S65" s="796">
        <f>IF(I!Q65&lt;&gt;I!R65,IF(I!Q65&lt;&gt;0,IF(I!S65&lt;&gt;I!T65,I!S65+1,),),)</f>
        <v>0</v>
      </c>
      <c r="T65" s="796">
        <f>IF(I!Q65&lt;&gt;I!R65,IF(I!Q65&lt;&gt;0,IF(I!S65&lt;&gt;I!T65,I!T65,),),)</f>
        <v>0</v>
      </c>
      <c r="U65" s="797">
        <f>IF(I!Q65&lt;&gt;I!R65,IF(I!Q65&lt;&gt;0,IF(I!S65&lt;&gt;I!T65,I!U65,),),)</f>
        <v>0</v>
      </c>
      <c r="V65" s="875">
        <f>IF(I!Q65&lt;&gt;I!R65,IF(I!Q65&lt;&gt;0,IF(I!S65&lt;&gt;I!T65,I!V65,),),)</f>
        <v>0</v>
      </c>
      <c r="W65" s="633">
        <f>IF(Q65="","",$W$5-SUM($Q$7:$Q$45)-SUM($Q$64:Q65))</f>
        <v>0</v>
      </c>
      <c r="AO65" s="86"/>
      <c r="AP65" s="86"/>
      <c r="AQ65" s="86"/>
      <c r="AR65" s="86"/>
      <c r="AS65" s="86"/>
      <c r="AT65" s="86"/>
      <c r="AU65" s="86"/>
      <c r="AV65" s="86"/>
      <c r="AW65" s="86"/>
      <c r="AX65" s="86"/>
      <c r="AY65" s="86"/>
      <c r="CM65" s="86"/>
      <c r="CN65" s="86"/>
    </row>
    <row r="66" spans="2:92" s="367" customFormat="1" ht="15.75" hidden="1" customHeight="1" outlineLevel="1">
      <c r="B66" s="852">
        <f ca="1">IF(I!B66&lt;&gt;"",I!B66,)</f>
        <v>0</v>
      </c>
      <c r="C66" s="454">
        <f ca="1">I!C66</f>
        <v>0</v>
      </c>
      <c r="D66" s="74"/>
      <c r="E66" s="521"/>
      <c r="F66" s="858"/>
      <c r="H66" s="543"/>
      <c r="I66" s="853"/>
      <c r="J66" s="6"/>
      <c r="K66" s="541"/>
      <c r="L66" s="860"/>
      <c r="M66" s="20" t="str">
        <f>IF(J66="","",$M$5-SUM($J$7:J66))</f>
        <v/>
      </c>
      <c r="O66" s="7"/>
      <c r="P66" s="871">
        <f>IF(I!Q66&lt;&gt;I!R66,IF(I!Q66&lt;&gt;0,IF(I!S66&lt;&gt;I!T66,I!P66,),),)</f>
        <v>0</v>
      </c>
      <c r="Q66" s="795">
        <f>IF(I!Q66&lt;&gt;I!R66,IF(I!Q66&lt;&gt;0,IF(I!S66&lt;&gt;I!T66,I!Q66,),),)</f>
        <v>0</v>
      </c>
      <c r="R66" s="628">
        <f>IF(I!Q66&lt;&gt;I!R66,IF(I!Q66&lt;&gt;0,IF(I!S66&lt;&gt;I!T66,0,Q66),Q66),Q66)</f>
        <v>0</v>
      </c>
      <c r="S66" s="796">
        <f>IF(I!Q66&lt;&gt;I!R66,IF(I!Q66&lt;&gt;0,IF(I!S66&lt;&gt;I!T66,I!S66+1,),),)</f>
        <v>0</v>
      </c>
      <c r="T66" s="796">
        <f>IF(I!Q66&lt;&gt;I!R66,IF(I!Q66&lt;&gt;0,IF(I!S66&lt;&gt;I!T66,I!T66,),),)</f>
        <v>0</v>
      </c>
      <c r="U66" s="797">
        <f>IF(I!Q66&lt;&gt;I!R66,IF(I!Q66&lt;&gt;0,IF(I!S66&lt;&gt;I!T66,I!U66,),),)</f>
        <v>0</v>
      </c>
      <c r="V66" s="875">
        <f>IF(I!Q66&lt;&gt;I!R66,IF(I!Q66&lt;&gt;0,IF(I!S66&lt;&gt;I!T66,I!V66,),),)</f>
        <v>0</v>
      </c>
      <c r="W66" s="633">
        <f>IF(Q66="","",$W$5-SUM($Q$7:$Q$45)-SUM($Q$64:Q66))</f>
        <v>0</v>
      </c>
      <c r="AO66" s="86"/>
      <c r="AP66" s="86"/>
      <c r="AQ66" s="86"/>
      <c r="AR66" s="86"/>
      <c r="AS66" s="86"/>
      <c r="AT66" s="86"/>
      <c r="AU66" s="86"/>
      <c r="AV66" s="86"/>
      <c r="AW66" s="86"/>
      <c r="AX66" s="86"/>
      <c r="AY66" s="86"/>
      <c r="CM66" s="86"/>
      <c r="CN66" s="86"/>
    </row>
    <row r="67" spans="2:92" s="367" customFormat="1" ht="15.75" hidden="1" customHeight="1" outlineLevel="1">
      <c r="B67" s="852">
        <f ca="1">IF(I!B67&lt;&gt;"",I!B67,)</f>
        <v>0</v>
      </c>
      <c r="C67" s="454">
        <f ca="1">I!C67</f>
        <v>0</v>
      </c>
      <c r="D67" s="74"/>
      <c r="E67" s="521"/>
      <c r="F67" s="858"/>
      <c r="H67" s="543"/>
      <c r="I67" s="853"/>
      <c r="J67" s="6"/>
      <c r="K67" s="541"/>
      <c r="L67" s="860"/>
      <c r="M67" s="20" t="str">
        <f>IF(J67="","",$M$5-SUM($J$7:J67))</f>
        <v/>
      </c>
      <c r="O67" s="7"/>
      <c r="P67" s="871">
        <f>IF(I!Q67&lt;&gt;I!R67,IF(I!Q67&lt;&gt;0,IF(I!S67&lt;&gt;I!T67,I!P67,),),)</f>
        <v>0</v>
      </c>
      <c r="Q67" s="798">
        <f>IF(I!Q67&lt;&gt;I!R67,IF(I!Q67&lt;&gt;0,IF(I!S67&lt;&gt;I!T67,I!Q67,),),)</f>
        <v>0</v>
      </c>
      <c r="R67" s="628">
        <f>IF(I!Q67&lt;&gt;I!R67,IF(I!Q67&lt;&gt;0,IF(I!S67&lt;&gt;I!T67,0,Q67),Q67),Q67)</f>
        <v>0</v>
      </c>
      <c r="S67" s="796">
        <f>IF(I!Q67&lt;&gt;I!R67,IF(I!Q67&lt;&gt;0,IF(I!S67&lt;&gt;I!T67,I!S67+1,),),)</f>
        <v>0</v>
      </c>
      <c r="T67" s="796">
        <f>IF(I!Q67&lt;&gt;I!R67,IF(I!Q67&lt;&gt;0,IF(I!S67&lt;&gt;I!T67,I!T67,),),)</f>
        <v>0</v>
      </c>
      <c r="U67" s="797">
        <f>IF(I!Q67&lt;&gt;I!R67,IF(I!Q67&lt;&gt;0,IF(I!S67&lt;&gt;I!T67,I!U67,),),)</f>
        <v>0</v>
      </c>
      <c r="V67" s="875">
        <f>IF(I!Q67&lt;&gt;I!R67,IF(I!Q67&lt;&gt;0,IF(I!S67&lt;&gt;I!T67,I!V67,),),)</f>
        <v>0</v>
      </c>
      <c r="W67" s="633">
        <f>IF(Q67="","",$W$5-SUM($Q$7:$Q$45)-SUM($Q$64:Q67))</f>
        <v>0</v>
      </c>
      <c r="AO67" s="86"/>
      <c r="AP67" s="86"/>
      <c r="AQ67" s="86"/>
      <c r="AR67" s="86"/>
      <c r="AS67" s="86"/>
      <c r="AT67" s="86"/>
      <c r="AU67" s="86"/>
      <c r="AV67" s="86"/>
      <c r="AW67" s="86"/>
      <c r="AX67" s="86"/>
      <c r="AY67" s="86"/>
      <c r="CM67" s="86"/>
      <c r="CN67" s="86"/>
    </row>
    <row r="68" spans="2:92" s="367" customFormat="1" ht="15.75" hidden="1" customHeight="1" outlineLevel="1">
      <c r="B68" s="852">
        <f ca="1">IF(I!B68&lt;&gt;"",I!B68,)</f>
        <v>0</v>
      </c>
      <c r="C68" s="454">
        <f ca="1">I!C68</f>
        <v>0</v>
      </c>
      <c r="D68" s="74"/>
      <c r="E68" s="521"/>
      <c r="F68" s="858"/>
      <c r="H68" s="543"/>
      <c r="I68" s="853"/>
      <c r="J68" s="6"/>
      <c r="K68" s="541"/>
      <c r="L68" s="860"/>
      <c r="M68" s="20" t="str">
        <f>IF(J68="","",$M$5-SUM($J$7:J68))</f>
        <v/>
      </c>
      <c r="O68" s="7"/>
      <c r="P68" s="871">
        <f>IF(I!Q68&lt;&gt;I!R68,IF(I!Q68&lt;&gt;0,IF(I!S68&lt;&gt;I!T68,I!P68,),),)</f>
        <v>0</v>
      </c>
      <c r="Q68" s="795">
        <f>IF(I!Q68&lt;&gt;I!R68,IF(I!Q68&lt;&gt;0,IF(I!S68&lt;&gt;I!T68,I!Q68,),),)</f>
        <v>0</v>
      </c>
      <c r="R68" s="628">
        <f>IF(I!Q68&lt;&gt;I!R68,IF(I!Q68&lt;&gt;0,IF(I!S68&lt;&gt;I!T68,0,Q68),Q68),Q68)</f>
        <v>0</v>
      </c>
      <c r="S68" s="796">
        <f>IF(I!Q68&lt;&gt;I!R68,IF(I!Q68&lt;&gt;0,IF(I!S68&lt;&gt;I!T68,I!S68+1,),),)</f>
        <v>0</v>
      </c>
      <c r="T68" s="796">
        <f>IF(I!Q68&lt;&gt;I!R68,IF(I!Q68&lt;&gt;0,IF(I!S68&lt;&gt;I!T68,I!T68,),),)</f>
        <v>0</v>
      </c>
      <c r="U68" s="797">
        <f>IF(I!Q68&lt;&gt;I!R68,IF(I!Q68&lt;&gt;0,IF(I!S68&lt;&gt;I!T68,I!U68,),),)</f>
        <v>0</v>
      </c>
      <c r="V68" s="875">
        <f>IF(I!Q68&lt;&gt;I!R68,IF(I!Q68&lt;&gt;0,IF(I!S68&lt;&gt;I!T68,I!V68,),),)</f>
        <v>0</v>
      </c>
      <c r="W68" s="633">
        <f>IF(Q68="","",$W$5-SUM($Q$7:$Q$45)-SUM($Q$64:Q68))</f>
        <v>0</v>
      </c>
      <c r="AO68" s="86"/>
      <c r="AP68" s="86"/>
      <c r="AQ68" s="86"/>
      <c r="AR68" s="86"/>
      <c r="AS68" s="86"/>
      <c r="AT68" s="86"/>
      <c r="AU68" s="86"/>
      <c r="AV68" s="86"/>
      <c r="AW68" s="86"/>
      <c r="AX68" s="86"/>
      <c r="AY68" s="86"/>
      <c r="CM68" s="86"/>
      <c r="CN68" s="86"/>
    </row>
    <row r="69" spans="2:92" s="367" customFormat="1" ht="15.75" hidden="1" customHeight="1" outlineLevel="1">
      <c r="B69" s="852">
        <f ca="1">IF(I!B69&lt;&gt;"",I!B69,)</f>
        <v>0</v>
      </c>
      <c r="C69" s="454">
        <f ca="1">I!C69</f>
        <v>0</v>
      </c>
      <c r="D69" s="74"/>
      <c r="E69" s="521"/>
      <c r="F69" s="858"/>
      <c r="H69" s="543"/>
      <c r="I69" s="853"/>
      <c r="J69" s="6"/>
      <c r="K69" s="541"/>
      <c r="L69" s="860"/>
      <c r="M69" s="20" t="str">
        <f>IF(J69="","",$M$5-SUM($J$7:J69))</f>
        <v/>
      </c>
      <c r="O69" s="7"/>
      <c r="P69" s="871">
        <f>IF(I!Q69&lt;&gt;I!R69,IF(I!Q69&lt;&gt;0,IF(I!S69&lt;&gt;I!T69,I!P69,),),)</f>
        <v>0</v>
      </c>
      <c r="Q69" s="795">
        <f>IF(I!Q69&lt;&gt;I!R69,IF(I!Q69&lt;&gt;0,IF(I!S69&lt;&gt;I!T69,I!Q69,),),)</f>
        <v>0</v>
      </c>
      <c r="R69" s="628">
        <f>IF(I!Q69&lt;&gt;I!R69,IF(I!Q69&lt;&gt;0,IF(I!S69&lt;&gt;I!T69,0,Q69),Q69),Q69)</f>
        <v>0</v>
      </c>
      <c r="S69" s="796">
        <f>IF(I!Q69&lt;&gt;I!R69,IF(I!Q69&lt;&gt;0,IF(I!S69&lt;&gt;I!T69,I!S69+1,),),)</f>
        <v>0</v>
      </c>
      <c r="T69" s="796">
        <f>IF(I!Q69&lt;&gt;I!R69,IF(I!Q69&lt;&gt;0,IF(I!S69&lt;&gt;I!T69,I!T69,),),)</f>
        <v>0</v>
      </c>
      <c r="U69" s="797">
        <f>IF(I!Q69&lt;&gt;I!R69,IF(I!Q69&lt;&gt;0,IF(I!S69&lt;&gt;I!T69,I!U69,),),)</f>
        <v>0</v>
      </c>
      <c r="V69" s="875">
        <f>IF(I!Q69&lt;&gt;I!R69,IF(I!Q69&lt;&gt;0,IF(I!S69&lt;&gt;I!T69,I!V69,),),)</f>
        <v>0</v>
      </c>
      <c r="W69" s="633">
        <f>IF(Q69="","",$W$5-SUM($Q$7:$Q$45)-SUM($Q$64:Q69))</f>
        <v>0</v>
      </c>
      <c r="AO69" s="86"/>
      <c r="AP69" s="86"/>
      <c r="AQ69" s="86"/>
      <c r="AR69" s="86"/>
      <c r="AS69" s="86"/>
      <c r="AT69" s="86"/>
      <c r="AU69" s="86"/>
      <c r="AV69" s="86"/>
      <c r="AW69" s="86"/>
      <c r="AX69" s="86"/>
      <c r="AY69" s="86"/>
      <c r="CM69" s="86"/>
      <c r="CN69" s="86"/>
    </row>
    <row r="70" spans="2:92" s="367" customFormat="1" ht="15.75" hidden="1" customHeight="1" outlineLevel="1">
      <c r="B70" s="852">
        <f ca="1">IF(I!B70&lt;&gt;"",I!B70,)</f>
        <v>0</v>
      </c>
      <c r="C70" s="454">
        <f ca="1">I!C70</f>
        <v>0</v>
      </c>
      <c r="D70" s="74"/>
      <c r="E70" s="521"/>
      <c r="F70" s="858"/>
      <c r="H70" s="543"/>
      <c r="I70" s="853"/>
      <c r="J70" s="6"/>
      <c r="K70" s="541"/>
      <c r="L70" s="860"/>
      <c r="M70" s="20" t="str">
        <f>IF(J70="","",$M$5-SUM($J$7:J70))</f>
        <v/>
      </c>
      <c r="O70" s="7"/>
      <c r="P70" s="871">
        <f>IF(I!Q70&lt;&gt;I!R70,IF(I!Q70&lt;&gt;0,IF(I!S70&lt;&gt;I!T70,I!P70,),),)</f>
        <v>0</v>
      </c>
      <c r="Q70" s="795">
        <f>IF(I!Q70&lt;&gt;I!R70,IF(I!Q70&lt;&gt;0,IF(I!S70&lt;&gt;I!T70,I!Q70,),),)</f>
        <v>0</v>
      </c>
      <c r="R70" s="628">
        <f>IF(I!Q70&lt;&gt;I!R70,IF(I!Q70&lt;&gt;0,IF(I!S70&lt;&gt;I!T70,0,Q70),Q70),Q70)</f>
        <v>0</v>
      </c>
      <c r="S70" s="796">
        <f>IF(I!Q70&lt;&gt;I!R70,IF(I!Q70&lt;&gt;0,IF(I!S70&lt;&gt;I!T70,I!S70+1,),),)</f>
        <v>0</v>
      </c>
      <c r="T70" s="796">
        <f>IF(I!Q70&lt;&gt;I!R70,IF(I!Q70&lt;&gt;0,IF(I!S70&lt;&gt;I!T70,I!T70,),),)</f>
        <v>0</v>
      </c>
      <c r="U70" s="797">
        <f>IF(I!Q70&lt;&gt;I!R70,IF(I!Q70&lt;&gt;0,IF(I!S70&lt;&gt;I!T70,I!U70,),),)</f>
        <v>0</v>
      </c>
      <c r="V70" s="875">
        <f>IF(I!Q70&lt;&gt;I!R70,IF(I!Q70&lt;&gt;0,IF(I!S70&lt;&gt;I!T70,I!V70,),),)</f>
        <v>0</v>
      </c>
      <c r="W70" s="633">
        <f>IF(Q70="","",$W$5-SUM($Q$7:$Q$45)-SUM($Q$64:Q70))</f>
        <v>0</v>
      </c>
      <c r="AO70" s="86"/>
      <c r="AP70" s="86"/>
      <c r="AQ70" s="86"/>
      <c r="AR70" s="86"/>
      <c r="AS70" s="86"/>
      <c r="AT70" s="86"/>
      <c r="AU70" s="86"/>
      <c r="AV70" s="86"/>
      <c r="AW70" s="86"/>
      <c r="AX70" s="86"/>
      <c r="AY70" s="86"/>
      <c r="CM70" s="86"/>
      <c r="CN70" s="86"/>
    </row>
    <row r="71" spans="2:92" s="367" customFormat="1" ht="15.75" hidden="1" customHeight="1" outlineLevel="1">
      <c r="B71" s="852">
        <f ca="1">IF(I!B71&lt;&gt;"",I!B71,)</f>
        <v>0</v>
      </c>
      <c r="C71" s="454">
        <f ca="1">I!C71</f>
        <v>0</v>
      </c>
      <c r="D71" s="74"/>
      <c r="E71" s="521"/>
      <c r="F71" s="858"/>
      <c r="H71" s="543"/>
      <c r="I71" s="853"/>
      <c r="J71" s="6"/>
      <c r="K71" s="541"/>
      <c r="L71" s="860"/>
      <c r="M71" s="20" t="str">
        <f>IF(J71="","",$M$5-SUM($J$7:J71))</f>
        <v/>
      </c>
      <c r="O71" s="7"/>
      <c r="P71" s="871">
        <f>IF(I!Q71&lt;&gt;I!R71,IF(I!Q71&lt;&gt;0,IF(I!S71&lt;&gt;I!T71,I!P71,),),)</f>
        <v>0</v>
      </c>
      <c r="Q71" s="795">
        <f>IF(I!Q71&lt;&gt;I!R71,IF(I!Q71&lt;&gt;0,IF(I!S71&lt;&gt;I!T71,I!Q71,),),)</f>
        <v>0</v>
      </c>
      <c r="R71" s="628">
        <f>IF(I!Q71&lt;&gt;I!R71,IF(I!Q71&lt;&gt;0,IF(I!S71&lt;&gt;I!T71,0,Q71),Q71),Q71)</f>
        <v>0</v>
      </c>
      <c r="S71" s="796">
        <f>IF(I!Q71&lt;&gt;I!R71,IF(I!Q71&lt;&gt;0,IF(I!S71&lt;&gt;I!T71,I!S71+1,),),)</f>
        <v>0</v>
      </c>
      <c r="T71" s="796">
        <f>IF(I!Q71&lt;&gt;I!R71,IF(I!Q71&lt;&gt;0,IF(I!S71&lt;&gt;I!T71,I!T71,),),)</f>
        <v>0</v>
      </c>
      <c r="U71" s="797">
        <f>IF(I!Q71&lt;&gt;I!R71,IF(I!Q71&lt;&gt;0,IF(I!S71&lt;&gt;I!T71,I!U71,),),)</f>
        <v>0</v>
      </c>
      <c r="V71" s="875">
        <f>IF(I!Q71&lt;&gt;I!R71,IF(I!Q71&lt;&gt;0,IF(I!S71&lt;&gt;I!T71,I!V71,),),)</f>
        <v>0</v>
      </c>
      <c r="W71" s="633">
        <f>IF(Q71="","",$W$5-SUM($Q$7:$Q$45)-SUM($Q$64:Q71))</f>
        <v>0</v>
      </c>
      <c r="AO71" s="86"/>
      <c r="AP71" s="86"/>
      <c r="AQ71" s="86"/>
      <c r="AR71" s="86"/>
      <c r="AS71" s="86"/>
      <c r="AT71" s="86"/>
      <c r="AU71" s="86"/>
      <c r="AV71" s="86"/>
      <c r="AW71" s="86"/>
      <c r="AX71" s="86"/>
      <c r="AY71" s="86"/>
      <c r="CM71" s="86"/>
      <c r="CN71" s="86"/>
    </row>
    <row r="72" spans="2:92" s="367" customFormat="1" ht="15.75" hidden="1" customHeight="1" outlineLevel="1">
      <c r="B72" s="852">
        <f ca="1">IF(I!B72&lt;&gt;"",I!B72,)</f>
        <v>0</v>
      </c>
      <c r="C72" s="454">
        <f ca="1">I!C72</f>
        <v>0</v>
      </c>
      <c r="D72" s="74"/>
      <c r="E72" s="521"/>
      <c r="F72" s="858"/>
      <c r="H72" s="543"/>
      <c r="I72" s="853"/>
      <c r="J72" s="6"/>
      <c r="K72" s="541"/>
      <c r="L72" s="860"/>
      <c r="M72" s="20" t="str">
        <f>IF(J72="","",$M$5-SUM($J$7:J72))</f>
        <v/>
      </c>
      <c r="O72" s="7"/>
      <c r="P72" s="871">
        <f>IF(I!Q72&lt;&gt;I!R72,IF(I!Q72&lt;&gt;0,IF(I!S72&lt;&gt;I!T72,I!P72,),),)</f>
        <v>0</v>
      </c>
      <c r="Q72" s="795">
        <f>IF(I!Q72&lt;&gt;I!R72,IF(I!Q72&lt;&gt;0,IF(I!S72&lt;&gt;I!T72,I!Q72,),),)</f>
        <v>0</v>
      </c>
      <c r="R72" s="628">
        <f>IF(I!Q72&lt;&gt;I!R72,IF(I!Q72&lt;&gt;0,IF(I!S72&lt;&gt;I!T72,0,Q72),Q72),Q72)</f>
        <v>0</v>
      </c>
      <c r="S72" s="796">
        <f>IF(I!Q72&lt;&gt;I!R72,IF(I!Q72&lt;&gt;0,IF(I!S72&lt;&gt;I!T72,I!S72+1,),),)</f>
        <v>0</v>
      </c>
      <c r="T72" s="796">
        <f>IF(I!Q72&lt;&gt;I!R72,IF(I!Q72&lt;&gt;0,IF(I!S72&lt;&gt;I!T72,I!T72,),),)</f>
        <v>0</v>
      </c>
      <c r="U72" s="797">
        <f>IF(I!Q72&lt;&gt;I!R72,IF(I!Q72&lt;&gt;0,IF(I!S72&lt;&gt;I!T72,I!U72,),),)</f>
        <v>0</v>
      </c>
      <c r="V72" s="875">
        <f>IF(I!Q72&lt;&gt;I!R72,IF(I!Q72&lt;&gt;0,IF(I!S72&lt;&gt;I!T72,I!V72,),),)</f>
        <v>0</v>
      </c>
      <c r="W72" s="633">
        <f>IF(Q72="","",$W$5-SUM($Q$7:$Q$45)-SUM($Q$64:Q72))</f>
        <v>0</v>
      </c>
      <c r="AO72" s="86"/>
      <c r="AP72" s="86"/>
      <c r="AQ72" s="86"/>
      <c r="AR72" s="86"/>
      <c r="AS72" s="86"/>
      <c r="AT72" s="86"/>
      <c r="AU72" s="86"/>
      <c r="AV72" s="86"/>
      <c r="AW72" s="86"/>
      <c r="AX72" s="86"/>
      <c r="AY72" s="86"/>
      <c r="CM72" s="86"/>
      <c r="CN72" s="86"/>
    </row>
    <row r="73" spans="2:92" s="367" customFormat="1" ht="15.75" hidden="1" customHeight="1" outlineLevel="1">
      <c r="B73" s="852">
        <f ca="1">IF(I!B73&lt;&gt;"",I!B73,)</f>
        <v>0</v>
      </c>
      <c r="C73" s="454">
        <f ca="1">I!C73</f>
        <v>0</v>
      </c>
      <c r="D73" s="74"/>
      <c r="E73" s="521"/>
      <c r="F73" s="858"/>
      <c r="H73" s="543"/>
      <c r="I73" s="853"/>
      <c r="J73" s="6"/>
      <c r="K73" s="541"/>
      <c r="L73" s="860"/>
      <c r="M73" s="20" t="str">
        <f>IF(J73="","",$M$5-SUM($J$7:J73))</f>
        <v/>
      </c>
      <c r="O73" s="7"/>
      <c r="P73" s="873">
        <f>IF(I!Q73&lt;&gt;I!R73,IF(I!Q73&lt;&gt;0,IF(I!S73&lt;&gt;I!T73,I!P73,),),)</f>
        <v>0</v>
      </c>
      <c r="Q73" s="795">
        <f>IF(I!Q73&lt;&gt;I!R73,IF(I!Q73&lt;&gt;0,IF(I!S73&lt;&gt;I!T73,I!Q73,),),)</f>
        <v>0</v>
      </c>
      <c r="R73" s="628">
        <f>IF(I!Q73&lt;&gt;I!R73,IF(I!Q73&lt;&gt;0,IF(I!S73&lt;&gt;I!T73,0,Q73),Q73),Q73)</f>
        <v>0</v>
      </c>
      <c r="S73" s="796">
        <f>IF(I!Q73&lt;&gt;I!R73,IF(I!Q73&lt;&gt;0,IF(I!S73&lt;&gt;I!T73,I!S73+1,),),)</f>
        <v>0</v>
      </c>
      <c r="T73" s="796">
        <f>IF(I!Q73&lt;&gt;I!R73,IF(I!Q73&lt;&gt;0,IF(I!S73&lt;&gt;I!T73,I!T73,),),)</f>
        <v>0</v>
      </c>
      <c r="U73" s="797">
        <f>IF(I!Q73&lt;&gt;I!R73,IF(I!Q73&lt;&gt;0,IF(I!S73&lt;&gt;I!T73,I!U73,),),)</f>
        <v>0</v>
      </c>
      <c r="V73" s="875">
        <f>IF(I!Q73&lt;&gt;I!R73,IF(I!Q73&lt;&gt;0,IF(I!S73&lt;&gt;I!T73,I!V73,),),)</f>
        <v>0</v>
      </c>
      <c r="W73" s="633">
        <f>IF(Q73="","",$W$5-SUM($Q$7:$Q$45)-SUM($Q$64:Q73))</f>
        <v>0</v>
      </c>
      <c r="AO73" s="86"/>
      <c r="AP73" s="86"/>
      <c r="AQ73" s="86"/>
      <c r="AR73" s="86"/>
      <c r="AS73" s="86"/>
      <c r="AT73" s="86"/>
      <c r="AU73" s="86"/>
      <c r="AV73" s="86"/>
      <c r="AW73" s="86"/>
      <c r="AX73" s="86"/>
      <c r="AY73" s="86"/>
      <c r="CM73" s="86"/>
      <c r="CN73" s="86"/>
    </row>
    <row r="74" spans="2:92" s="367" customFormat="1" ht="15.75" hidden="1" customHeight="1" outlineLevel="1">
      <c r="B74" s="852">
        <f ca="1">IF(I!B74&lt;&gt;"",I!B74,)</f>
        <v>0</v>
      </c>
      <c r="C74" s="454">
        <f ca="1">I!C74</f>
        <v>0</v>
      </c>
      <c r="D74" s="74"/>
      <c r="E74" s="521"/>
      <c r="F74" s="858"/>
      <c r="H74" s="543"/>
      <c r="I74" s="853"/>
      <c r="J74" s="6"/>
      <c r="K74" s="541"/>
      <c r="L74" s="860"/>
      <c r="M74" s="20" t="str">
        <f>IF(J74="","",$M$5-SUM($J$7:J74))</f>
        <v/>
      </c>
      <c r="O74" s="7"/>
      <c r="P74" s="871">
        <f>IF(I!Q74&lt;&gt;I!R74,IF(I!Q74&lt;&gt;0,IF(I!S74&lt;&gt;I!T74,I!P74,),),)</f>
        <v>0</v>
      </c>
      <c r="Q74" s="795">
        <f>IF(I!Q74&lt;&gt;I!R74,IF(I!Q74&lt;&gt;0,IF(I!S74&lt;&gt;I!T74,I!Q74,),),)</f>
        <v>0</v>
      </c>
      <c r="R74" s="628">
        <f>IF(I!Q74&lt;&gt;I!R74,IF(I!Q74&lt;&gt;0,IF(I!S74&lt;&gt;I!T74,0,Q74),Q74),Q74)</f>
        <v>0</v>
      </c>
      <c r="S74" s="796">
        <f>IF(I!Q74&lt;&gt;I!R74,IF(I!Q74&lt;&gt;0,IF(I!S74&lt;&gt;I!T74,I!S74+1,),),)</f>
        <v>0</v>
      </c>
      <c r="T74" s="796">
        <f>IF(I!Q74&lt;&gt;I!R74,IF(I!Q74&lt;&gt;0,IF(I!S74&lt;&gt;I!T74,I!T74,),),)</f>
        <v>0</v>
      </c>
      <c r="U74" s="797">
        <f>IF(I!Q74&lt;&gt;I!R74,IF(I!Q74&lt;&gt;0,IF(I!S74&lt;&gt;I!T74,I!U74,),),)</f>
        <v>0</v>
      </c>
      <c r="V74" s="875">
        <f>IF(I!Q74&lt;&gt;I!R74,IF(I!Q74&lt;&gt;0,IF(I!S74&lt;&gt;I!T74,I!V74,),),)</f>
        <v>0</v>
      </c>
      <c r="W74" s="633">
        <f>IF(Q74="","",$W$5-SUM($Q$7:$Q$45)-SUM($Q$64:Q74))</f>
        <v>0</v>
      </c>
      <c r="AO74" s="86"/>
      <c r="AP74" s="86"/>
      <c r="AQ74" s="86"/>
      <c r="AR74" s="86"/>
      <c r="AS74" s="86"/>
      <c r="AT74" s="86"/>
      <c r="AU74" s="86"/>
      <c r="AV74" s="86"/>
      <c r="AW74" s="86"/>
      <c r="AX74" s="86"/>
      <c r="AY74" s="86"/>
      <c r="CM74" s="86"/>
      <c r="CN74" s="86"/>
    </row>
    <row r="75" spans="2:92" s="367" customFormat="1" ht="15.75" hidden="1" customHeight="1" outlineLevel="1">
      <c r="B75" s="852">
        <f ca="1">IF(I!B75&lt;&gt;"",I!B75,)</f>
        <v>0</v>
      </c>
      <c r="C75" s="454">
        <f ca="1">I!C75</f>
        <v>0</v>
      </c>
      <c r="D75" s="74"/>
      <c r="E75" s="521"/>
      <c r="F75" s="858"/>
      <c r="H75" s="543"/>
      <c r="I75" s="853"/>
      <c r="J75" s="6"/>
      <c r="K75" s="541"/>
      <c r="L75" s="860"/>
      <c r="M75" s="20" t="str">
        <f>IF(J75="","",$M$5-SUM($J$7:J75))</f>
        <v/>
      </c>
      <c r="O75" s="7"/>
      <c r="P75" s="873">
        <f>IF(I!Q75&lt;&gt;I!R75,IF(I!Q75&lt;&gt;0,IF(I!S75&lt;&gt;I!T75,I!P75,),),)</f>
        <v>0</v>
      </c>
      <c r="Q75" s="795">
        <f>IF(I!Q75&lt;&gt;I!R75,IF(I!Q75&lt;&gt;0,IF(I!S75&lt;&gt;I!T75,I!Q75,),),)</f>
        <v>0</v>
      </c>
      <c r="R75" s="628">
        <f>IF(I!Q75&lt;&gt;I!R75,IF(I!Q75&lt;&gt;0,IF(I!S75&lt;&gt;I!T75,0,Q75),Q75),Q75)</f>
        <v>0</v>
      </c>
      <c r="S75" s="796">
        <f>IF(I!Q75&lt;&gt;I!R75,IF(I!Q75&lt;&gt;0,IF(I!S75&lt;&gt;I!T75,I!S75+1,),),)</f>
        <v>0</v>
      </c>
      <c r="T75" s="796">
        <f>IF(I!Q75&lt;&gt;I!R75,IF(I!Q75&lt;&gt;0,IF(I!S75&lt;&gt;I!T75,I!T75,),),)</f>
        <v>0</v>
      </c>
      <c r="U75" s="797">
        <f>IF(I!Q75&lt;&gt;I!R75,IF(I!Q75&lt;&gt;0,IF(I!S75&lt;&gt;I!T75,I!U75,),),)</f>
        <v>0</v>
      </c>
      <c r="V75" s="875">
        <f>IF(I!Q75&lt;&gt;I!R75,IF(I!Q75&lt;&gt;0,IF(I!S75&lt;&gt;I!T75,I!V75,),),)</f>
        <v>0</v>
      </c>
      <c r="W75" s="633">
        <f>IF(Q75="","",$W$5-SUM($Q$7:$Q$45)-SUM($Q$64:Q75))</f>
        <v>0</v>
      </c>
      <c r="AO75" s="86"/>
      <c r="AP75" s="86"/>
      <c r="AQ75" s="86"/>
      <c r="AR75" s="86"/>
      <c r="AS75" s="86"/>
      <c r="AT75" s="86"/>
      <c r="AU75" s="86"/>
      <c r="AV75" s="86"/>
      <c r="AW75" s="86"/>
      <c r="AX75" s="86"/>
      <c r="AY75" s="86"/>
      <c r="CM75" s="86"/>
      <c r="CN75" s="86"/>
    </row>
    <row r="76" spans="2:92" s="367" customFormat="1" ht="15.75" hidden="1" customHeight="1" outlineLevel="1">
      <c r="B76" s="852">
        <f ca="1">IF(I!B76&lt;&gt;"",I!B76,)</f>
        <v>0</v>
      </c>
      <c r="C76" s="454">
        <f ca="1">I!C76</f>
        <v>0</v>
      </c>
      <c r="D76" s="74"/>
      <c r="E76" s="521"/>
      <c r="F76" s="858"/>
      <c r="H76" s="543"/>
      <c r="I76" s="853"/>
      <c r="J76" s="6"/>
      <c r="K76" s="541"/>
      <c r="L76" s="860"/>
      <c r="M76" s="20" t="str">
        <f>IF(J76="","",$M$5-SUM($J$7:J76))</f>
        <v/>
      </c>
      <c r="O76" s="7"/>
      <c r="P76" s="871">
        <f>IF(I!Q76&lt;&gt;I!R76,IF(I!Q76&lt;&gt;0,IF(I!S76&lt;&gt;I!T76,I!P76,),),)</f>
        <v>0</v>
      </c>
      <c r="Q76" s="795">
        <f>IF(I!Q76&lt;&gt;I!R76,IF(I!Q76&lt;&gt;0,IF(I!S76&lt;&gt;I!T76,I!Q76,),),)</f>
        <v>0</v>
      </c>
      <c r="R76" s="628">
        <f>IF(I!Q76&lt;&gt;I!R76,IF(I!Q76&lt;&gt;0,IF(I!S76&lt;&gt;I!T76,0,Q76),Q76),Q76)</f>
        <v>0</v>
      </c>
      <c r="S76" s="796">
        <f>IF(I!Q76&lt;&gt;I!R76,IF(I!Q76&lt;&gt;0,IF(I!S76&lt;&gt;I!T76,I!S76+1,),),)</f>
        <v>0</v>
      </c>
      <c r="T76" s="796">
        <f>IF(I!Q76&lt;&gt;I!R76,IF(I!Q76&lt;&gt;0,IF(I!S76&lt;&gt;I!T76,I!T76,),),)</f>
        <v>0</v>
      </c>
      <c r="U76" s="797">
        <f>IF(I!Q76&lt;&gt;I!R76,IF(I!Q76&lt;&gt;0,IF(I!S76&lt;&gt;I!T76,I!U76,),),)</f>
        <v>0</v>
      </c>
      <c r="V76" s="875">
        <f>IF(I!Q76&lt;&gt;I!R76,IF(I!Q76&lt;&gt;0,IF(I!S76&lt;&gt;I!T76,I!V76,),),)</f>
        <v>0</v>
      </c>
      <c r="W76" s="633">
        <f>IF(Q76="","",$W$5-SUM($Q$7:$Q$45)-SUM($Q$64:Q76))</f>
        <v>0</v>
      </c>
      <c r="AO76" s="86"/>
      <c r="AP76" s="86"/>
      <c r="AQ76" s="86"/>
      <c r="AR76" s="86"/>
      <c r="AS76" s="86"/>
      <c r="AT76" s="86"/>
      <c r="AU76" s="86"/>
      <c r="AV76" s="86"/>
      <c r="AW76" s="86"/>
      <c r="AX76" s="86"/>
      <c r="AY76" s="86"/>
      <c r="CM76" s="86"/>
      <c r="CN76" s="86"/>
    </row>
    <row r="77" spans="2:92" s="367" customFormat="1" ht="15.75" hidden="1" customHeight="1" outlineLevel="1">
      <c r="B77" s="852">
        <f ca="1">IF(I!B77&lt;&gt;"",I!B77,)</f>
        <v>0</v>
      </c>
      <c r="C77" s="454">
        <f ca="1">I!C77</f>
        <v>0</v>
      </c>
      <c r="D77" s="74"/>
      <c r="E77" s="521"/>
      <c r="F77" s="858"/>
      <c r="H77" s="543"/>
      <c r="I77" s="853"/>
      <c r="J77" s="6"/>
      <c r="K77" s="541"/>
      <c r="L77" s="860"/>
      <c r="M77" s="20" t="str">
        <f>IF(J77="","",$M$5-SUM($J$7:J77))</f>
        <v/>
      </c>
      <c r="O77" s="7"/>
      <c r="P77" s="871">
        <f>IF(I!Q77&lt;&gt;I!R77,IF(I!Q77&lt;&gt;0,IF(I!S77&lt;&gt;I!T77,I!P77,),),)</f>
        <v>0</v>
      </c>
      <c r="Q77" s="795">
        <f>IF(I!Q77&lt;&gt;I!R77,IF(I!Q77&lt;&gt;0,IF(I!S77&lt;&gt;I!T77,I!Q77,),),)</f>
        <v>0</v>
      </c>
      <c r="R77" s="628">
        <f>IF(I!Q77&lt;&gt;I!R77,IF(I!Q77&lt;&gt;0,IF(I!S77&lt;&gt;I!T77,0,Q77),Q77),Q77)</f>
        <v>0</v>
      </c>
      <c r="S77" s="796">
        <f>IF(I!Q77&lt;&gt;I!R77,IF(I!Q77&lt;&gt;0,IF(I!S77&lt;&gt;I!T77,I!S77+1,),),)</f>
        <v>0</v>
      </c>
      <c r="T77" s="796">
        <f>IF(I!Q77&lt;&gt;I!R77,IF(I!Q77&lt;&gt;0,IF(I!S77&lt;&gt;I!T77,I!T77,),),)</f>
        <v>0</v>
      </c>
      <c r="U77" s="797">
        <f>IF(I!Q77&lt;&gt;I!R77,IF(I!Q77&lt;&gt;0,IF(I!S77&lt;&gt;I!T77,I!U77,),),)</f>
        <v>0</v>
      </c>
      <c r="V77" s="875">
        <f>IF(I!Q77&lt;&gt;I!R77,IF(I!Q77&lt;&gt;0,IF(I!S77&lt;&gt;I!T77,I!V77,),),)</f>
        <v>0</v>
      </c>
      <c r="W77" s="633">
        <f>IF(Q77="","",$W$5-SUM($Q$7:$Q$45)-SUM($Q$64:Q77))</f>
        <v>0</v>
      </c>
      <c r="AO77" s="86"/>
      <c r="AP77" s="86"/>
      <c r="AQ77" s="86"/>
      <c r="AR77" s="86"/>
      <c r="AS77" s="86"/>
      <c r="AT77" s="86"/>
      <c r="AU77" s="86"/>
      <c r="AV77" s="86"/>
      <c r="AW77" s="86"/>
      <c r="AX77" s="86"/>
      <c r="AY77" s="86"/>
      <c r="CM77" s="86"/>
      <c r="CN77" s="86"/>
    </row>
    <row r="78" spans="2:92" s="367" customFormat="1" ht="15.75" hidden="1" customHeight="1" outlineLevel="1">
      <c r="B78" s="852">
        <f ca="1">IF(I!B78&lt;&gt;"",I!B78,)</f>
        <v>0</v>
      </c>
      <c r="C78" s="454">
        <f ca="1">I!C78</f>
        <v>0</v>
      </c>
      <c r="D78" s="74"/>
      <c r="E78" s="521"/>
      <c r="F78" s="858"/>
      <c r="H78" s="543"/>
      <c r="I78" s="853"/>
      <c r="J78" s="6"/>
      <c r="K78" s="541"/>
      <c r="L78" s="860"/>
      <c r="M78" s="20" t="str">
        <f>IF(J78="","",$M$5-SUM($J$7:J78))</f>
        <v/>
      </c>
      <c r="O78" s="7"/>
      <c r="P78" s="873">
        <f>IF(I!Q78&lt;&gt;I!R78,IF(I!Q78&lt;&gt;0,IF(I!S78&lt;&gt;I!T78,I!P78,),),)</f>
        <v>0</v>
      </c>
      <c r="Q78" s="795">
        <f>IF(I!Q78&lt;&gt;I!R78,IF(I!Q78&lt;&gt;0,IF(I!S78&lt;&gt;I!T78,I!Q78,),),)</f>
        <v>0</v>
      </c>
      <c r="R78" s="628">
        <f>IF(I!Q78&lt;&gt;I!R78,IF(I!Q78&lt;&gt;0,IF(I!S78&lt;&gt;I!T78,0,Q78),Q78),Q78)</f>
        <v>0</v>
      </c>
      <c r="S78" s="796">
        <f>IF(I!Q78&lt;&gt;I!R78,IF(I!Q78&lt;&gt;0,IF(I!S78&lt;&gt;I!T78,I!S78+1,),),)</f>
        <v>0</v>
      </c>
      <c r="T78" s="796">
        <f>IF(I!Q78&lt;&gt;I!R78,IF(I!Q78&lt;&gt;0,IF(I!S78&lt;&gt;I!T78,I!T78,),),)</f>
        <v>0</v>
      </c>
      <c r="U78" s="797">
        <f>IF(I!Q78&lt;&gt;I!R78,IF(I!Q78&lt;&gt;0,IF(I!S78&lt;&gt;I!T78,I!U78,),),)</f>
        <v>0</v>
      </c>
      <c r="V78" s="875">
        <f>IF(I!Q78&lt;&gt;I!R78,IF(I!Q78&lt;&gt;0,IF(I!S78&lt;&gt;I!T78,I!V78,),),)</f>
        <v>0</v>
      </c>
      <c r="W78" s="633">
        <f>IF(Q78="","",$W$5-SUM($Q$7:$Q$45)-SUM($Q$64:Q78))</f>
        <v>0</v>
      </c>
      <c r="AO78" s="86"/>
      <c r="AP78" s="86"/>
      <c r="AQ78" s="86"/>
      <c r="AR78" s="86"/>
      <c r="AS78" s="86"/>
      <c r="AT78" s="86"/>
      <c r="AU78" s="86"/>
      <c r="AV78" s="86"/>
      <c r="AW78" s="86"/>
      <c r="AX78" s="86"/>
      <c r="AY78" s="86"/>
      <c r="CM78" s="86"/>
      <c r="CN78" s="86"/>
    </row>
    <row r="79" spans="2:92" s="367" customFormat="1" ht="15.75" hidden="1" customHeight="1" outlineLevel="1">
      <c r="B79" s="852">
        <f ca="1">IF(I!B79&lt;&gt;"",I!B79,)</f>
        <v>0</v>
      </c>
      <c r="C79" s="454">
        <f ca="1">I!C79</f>
        <v>0</v>
      </c>
      <c r="D79" s="74"/>
      <c r="E79" s="521"/>
      <c r="F79" s="858"/>
      <c r="H79" s="543"/>
      <c r="I79" s="853"/>
      <c r="J79" s="6"/>
      <c r="K79" s="541"/>
      <c r="L79" s="860"/>
      <c r="M79" s="20" t="str">
        <f>IF(J79="","",$M$5-SUM($J$7:J79))</f>
        <v/>
      </c>
      <c r="O79" s="7"/>
      <c r="P79" s="871">
        <f>IF(I!Q79&lt;&gt;I!R79,IF(I!Q79&lt;&gt;0,IF(I!S79&lt;&gt;I!T79,I!P79,),),)</f>
        <v>0</v>
      </c>
      <c r="Q79" s="795">
        <f>IF(I!Q79&lt;&gt;I!R79,IF(I!Q79&lt;&gt;0,IF(I!S79&lt;&gt;I!T79,I!Q79,),),)</f>
        <v>0</v>
      </c>
      <c r="R79" s="628">
        <f>IF(I!Q79&lt;&gt;I!R79,IF(I!Q79&lt;&gt;0,IF(I!S79&lt;&gt;I!T79,0,Q79),Q79),Q79)</f>
        <v>0</v>
      </c>
      <c r="S79" s="796">
        <f>IF(I!Q79&lt;&gt;I!R79,IF(I!Q79&lt;&gt;0,IF(I!S79&lt;&gt;I!T79,I!S79+1,),),)</f>
        <v>0</v>
      </c>
      <c r="T79" s="796">
        <f>IF(I!Q79&lt;&gt;I!R79,IF(I!Q79&lt;&gt;0,IF(I!S79&lt;&gt;I!T79,I!T79,),),)</f>
        <v>0</v>
      </c>
      <c r="U79" s="797">
        <f>IF(I!Q79&lt;&gt;I!R79,IF(I!Q79&lt;&gt;0,IF(I!S79&lt;&gt;I!T79,I!U79,),),)</f>
        <v>0</v>
      </c>
      <c r="V79" s="875">
        <f>IF(I!Q79&lt;&gt;I!R79,IF(I!Q79&lt;&gt;0,IF(I!S79&lt;&gt;I!T79,I!V79,),),)</f>
        <v>0</v>
      </c>
      <c r="W79" s="633">
        <f>IF(Q79="","",$W$5-SUM($Q$7:$Q$45)-SUM($Q$64:Q79))</f>
        <v>0</v>
      </c>
      <c r="AO79" s="86"/>
      <c r="AP79" s="86"/>
      <c r="AQ79" s="86"/>
      <c r="AR79" s="86"/>
      <c r="AS79" s="86"/>
      <c r="AT79" s="86"/>
      <c r="AU79" s="86"/>
      <c r="AV79" s="86"/>
      <c r="AW79" s="86"/>
      <c r="AX79" s="86"/>
      <c r="AY79" s="86"/>
      <c r="CM79" s="86"/>
      <c r="CN79" s="86"/>
    </row>
    <row r="80" spans="2:92" s="367" customFormat="1" ht="15.75" hidden="1" customHeight="1" outlineLevel="1">
      <c r="B80" s="852">
        <f ca="1">IF(I!B80&lt;&gt;"",I!B80,)</f>
        <v>0</v>
      </c>
      <c r="C80" s="454">
        <f ca="1">I!C80</f>
        <v>0</v>
      </c>
      <c r="D80" s="74"/>
      <c r="E80" s="521"/>
      <c r="F80" s="858"/>
      <c r="H80" s="543"/>
      <c r="I80" s="853"/>
      <c r="J80" s="6"/>
      <c r="K80" s="541"/>
      <c r="L80" s="860"/>
      <c r="M80" s="20" t="str">
        <f>IF(J80="","",$M$5-SUM($J$7:J80))</f>
        <v/>
      </c>
      <c r="O80" s="7"/>
      <c r="P80" s="873">
        <f>IF(I!Q80&lt;&gt;I!R80,IF(I!Q80&lt;&gt;0,IF(I!S80&lt;&gt;I!T80,I!P80,),),)</f>
        <v>0</v>
      </c>
      <c r="Q80" s="795">
        <f>IF(I!Q80&lt;&gt;I!R80,IF(I!Q80&lt;&gt;0,IF(I!S80&lt;&gt;I!T80,I!Q80,),),)</f>
        <v>0</v>
      </c>
      <c r="R80" s="628">
        <f>IF(I!Q80&lt;&gt;I!R80,IF(I!Q80&lt;&gt;0,IF(I!S80&lt;&gt;I!T80,0,Q80),Q80),Q80)</f>
        <v>0</v>
      </c>
      <c r="S80" s="796">
        <f>IF(I!Q80&lt;&gt;I!R80,IF(I!Q80&lt;&gt;0,IF(I!S80&lt;&gt;I!T80,I!S80+1,),),)</f>
        <v>0</v>
      </c>
      <c r="T80" s="796">
        <f>IF(I!Q80&lt;&gt;I!R80,IF(I!Q80&lt;&gt;0,IF(I!S80&lt;&gt;I!T80,I!T80,),),)</f>
        <v>0</v>
      </c>
      <c r="U80" s="797">
        <f>IF(I!Q80&lt;&gt;I!R80,IF(I!Q80&lt;&gt;0,IF(I!S80&lt;&gt;I!T80,I!U80,),),)</f>
        <v>0</v>
      </c>
      <c r="V80" s="875">
        <f>IF(I!Q80&lt;&gt;I!R80,IF(I!Q80&lt;&gt;0,IF(I!S80&lt;&gt;I!T80,I!V80,),),)</f>
        <v>0</v>
      </c>
      <c r="W80" s="633">
        <f>IF(Q80="","",$W$5-SUM($Q$7:$Q$45)-SUM($Q$64:Q80))</f>
        <v>0</v>
      </c>
      <c r="AO80" s="86"/>
      <c r="AP80" s="86"/>
      <c r="AQ80" s="86"/>
      <c r="AR80" s="86"/>
      <c r="AS80" s="86"/>
      <c r="AT80" s="86"/>
      <c r="AU80" s="86"/>
      <c r="AV80" s="86"/>
      <c r="AW80" s="86"/>
      <c r="AX80" s="86"/>
      <c r="AY80" s="86"/>
      <c r="CM80" s="86"/>
      <c r="CN80" s="86"/>
    </row>
    <row r="81" spans="2:92" s="367" customFormat="1" ht="15.75" hidden="1" customHeight="1" outlineLevel="1">
      <c r="B81" s="852">
        <f ca="1">IF(I!B81&lt;&gt;"",I!B81,)</f>
        <v>0</v>
      </c>
      <c r="C81" s="454">
        <f ca="1">I!C81</f>
        <v>0</v>
      </c>
      <c r="D81" s="74"/>
      <c r="E81" s="521"/>
      <c r="F81" s="858"/>
      <c r="H81" s="543"/>
      <c r="I81" s="853"/>
      <c r="J81" s="6"/>
      <c r="K81" s="541"/>
      <c r="L81" s="860"/>
      <c r="M81" s="20" t="str">
        <f>IF(J81="","",$M$5-SUM($J$7:J81))</f>
        <v/>
      </c>
      <c r="O81" s="7"/>
      <c r="P81" s="873">
        <f>IF(I!Q81&lt;&gt;I!R81,IF(I!Q81&lt;&gt;0,IF(I!S81&lt;&gt;I!T81,I!P81,),),)</f>
        <v>0</v>
      </c>
      <c r="Q81" s="795">
        <f>IF(I!Q81&lt;&gt;I!R81,IF(I!Q81&lt;&gt;0,IF(I!S81&lt;&gt;I!T81,I!Q81,),),)</f>
        <v>0</v>
      </c>
      <c r="R81" s="628">
        <f>IF(I!Q81&lt;&gt;I!R81,IF(I!Q81&lt;&gt;0,IF(I!S81&lt;&gt;I!T81,0,Q81),Q81),Q81)</f>
        <v>0</v>
      </c>
      <c r="S81" s="796">
        <f>IF(I!Q81&lt;&gt;I!R81,IF(I!Q81&lt;&gt;0,IF(I!S81&lt;&gt;I!T81,I!S81+1,),),)</f>
        <v>0</v>
      </c>
      <c r="T81" s="796">
        <f>IF(I!Q81&lt;&gt;I!R81,IF(I!Q81&lt;&gt;0,IF(I!S81&lt;&gt;I!T81,I!T81,),),)</f>
        <v>0</v>
      </c>
      <c r="U81" s="797">
        <f>IF(I!Q81&lt;&gt;I!R81,IF(I!Q81&lt;&gt;0,IF(I!S81&lt;&gt;I!T81,I!U81,),),)</f>
        <v>0</v>
      </c>
      <c r="V81" s="875">
        <f>IF(I!Q81&lt;&gt;I!R81,IF(I!Q81&lt;&gt;0,IF(I!S81&lt;&gt;I!T81,I!V81,),),)</f>
        <v>0</v>
      </c>
      <c r="W81" s="633">
        <f>IF(Q81="","",$W$5-SUM($Q$7:$Q$45)-SUM($Q$64:Q81))</f>
        <v>0</v>
      </c>
      <c r="AO81" s="86"/>
      <c r="AP81" s="86"/>
      <c r="AQ81" s="86"/>
      <c r="AR81" s="86"/>
      <c r="AS81" s="86"/>
      <c r="AT81" s="86"/>
      <c r="AU81" s="86"/>
      <c r="AV81" s="86"/>
      <c r="AW81" s="86"/>
      <c r="AX81" s="86"/>
      <c r="AY81" s="86"/>
      <c r="CM81" s="86"/>
      <c r="CN81" s="86"/>
    </row>
    <row r="82" spans="2:92" s="367" customFormat="1" ht="15.75" hidden="1" customHeight="1" outlineLevel="1">
      <c r="B82" s="852">
        <f ca="1">IF(I!B82&lt;&gt;"",I!B82,)</f>
        <v>0</v>
      </c>
      <c r="C82" s="454">
        <f ca="1">I!C82</f>
        <v>0</v>
      </c>
      <c r="D82" s="74"/>
      <c r="E82" s="521"/>
      <c r="F82" s="858"/>
      <c r="H82" s="543"/>
      <c r="I82" s="853"/>
      <c r="J82" s="6"/>
      <c r="K82" s="541"/>
      <c r="L82" s="860"/>
      <c r="M82" s="20" t="str">
        <f>IF(J82="","",$M$5-SUM($J$7:J82))</f>
        <v/>
      </c>
      <c r="O82" s="7"/>
      <c r="P82" s="873">
        <f>IF(I!Q82&lt;&gt;I!R82,IF(I!Q82&lt;&gt;0,IF(I!S82&lt;&gt;I!T82,I!P82,),),)</f>
        <v>0</v>
      </c>
      <c r="Q82" s="795">
        <f>IF(I!Q82&lt;&gt;I!R82,IF(I!Q82&lt;&gt;0,IF(I!S82&lt;&gt;I!T82,I!Q82,),),)</f>
        <v>0</v>
      </c>
      <c r="R82" s="628">
        <f>IF(I!Q82&lt;&gt;I!R82,IF(I!Q82&lt;&gt;0,IF(I!S82&lt;&gt;I!T82,0,Q82),Q82),Q82)</f>
        <v>0</v>
      </c>
      <c r="S82" s="796">
        <f>IF(I!Q82&lt;&gt;I!R82,IF(I!Q82&lt;&gt;0,IF(I!S82&lt;&gt;I!T82,I!S82+1,),),)</f>
        <v>0</v>
      </c>
      <c r="T82" s="796">
        <f>IF(I!Q82&lt;&gt;I!R82,IF(I!Q82&lt;&gt;0,IF(I!S82&lt;&gt;I!T82,I!T82,),),)</f>
        <v>0</v>
      </c>
      <c r="U82" s="797">
        <f>IF(I!Q82&lt;&gt;I!R82,IF(I!Q82&lt;&gt;0,IF(I!S82&lt;&gt;I!T82,I!U82,),),)</f>
        <v>0</v>
      </c>
      <c r="V82" s="875">
        <f>IF(I!Q82&lt;&gt;I!R82,IF(I!Q82&lt;&gt;0,IF(I!S82&lt;&gt;I!T82,I!V82,),),)</f>
        <v>0</v>
      </c>
      <c r="W82" s="633">
        <f>IF(Q82="","",$W$5-SUM($Q$7:$Q$45)-SUM($Q$64:Q82))</f>
        <v>0</v>
      </c>
      <c r="AO82" s="86"/>
      <c r="AP82" s="86"/>
      <c r="AQ82" s="86"/>
      <c r="AR82" s="86"/>
      <c r="AS82" s="86"/>
      <c r="AT82" s="86"/>
      <c r="AU82" s="86"/>
      <c r="AV82" s="86"/>
      <c r="AW82" s="86"/>
      <c r="AX82" s="86"/>
      <c r="AY82" s="86"/>
      <c r="CM82" s="86"/>
      <c r="CN82" s="86"/>
    </row>
    <row r="83" spans="2:92" s="367" customFormat="1" ht="15.75" hidden="1" customHeight="1" outlineLevel="1">
      <c r="B83" s="852">
        <f ca="1">IF(I!B83&lt;&gt;"",I!B83,)</f>
        <v>0</v>
      </c>
      <c r="C83" s="454">
        <f ca="1">I!C83</f>
        <v>0</v>
      </c>
      <c r="D83" s="74"/>
      <c r="E83" s="521"/>
      <c r="F83" s="858"/>
      <c r="H83" s="543"/>
      <c r="I83" s="853"/>
      <c r="J83" s="6"/>
      <c r="K83" s="541"/>
      <c r="L83" s="860"/>
      <c r="M83" s="20" t="str">
        <f>IF(J83="","",$M$5-SUM($J$7:J83))</f>
        <v/>
      </c>
      <c r="O83" s="7"/>
      <c r="P83" s="873">
        <f>IF(I!Q83&lt;&gt;I!R83,IF(I!Q83&lt;&gt;0,IF(I!S83&lt;&gt;I!T83,I!P83,),),)</f>
        <v>0</v>
      </c>
      <c r="Q83" s="795">
        <f>IF(I!Q83&lt;&gt;I!R83,IF(I!Q83&lt;&gt;0,IF(I!S83&lt;&gt;I!T83,I!Q83,),),)</f>
        <v>0</v>
      </c>
      <c r="R83" s="628">
        <f>IF(I!Q83&lt;&gt;I!R83,IF(I!Q83&lt;&gt;0,IF(I!S83&lt;&gt;I!T83,0,Q83),Q83),Q83)</f>
        <v>0</v>
      </c>
      <c r="S83" s="796">
        <f>IF(I!Q83&lt;&gt;I!R83,IF(I!Q83&lt;&gt;0,IF(I!S83&lt;&gt;I!T83,I!S83+1,),),)</f>
        <v>0</v>
      </c>
      <c r="T83" s="796">
        <f>IF(I!Q83&lt;&gt;I!R83,IF(I!Q83&lt;&gt;0,IF(I!S83&lt;&gt;I!T83,I!T83,),),)</f>
        <v>0</v>
      </c>
      <c r="U83" s="797">
        <f>IF(I!Q83&lt;&gt;I!R83,IF(I!Q83&lt;&gt;0,IF(I!S83&lt;&gt;I!T83,I!U83,),),)</f>
        <v>0</v>
      </c>
      <c r="V83" s="875">
        <f>IF(I!Q83&lt;&gt;I!R83,IF(I!Q83&lt;&gt;0,IF(I!S83&lt;&gt;I!T83,I!V83,),),)</f>
        <v>0</v>
      </c>
      <c r="W83" s="633">
        <f>IF(Q83="","",$W$5-SUM($Q$7:$Q$45)-SUM($Q$64:Q83))</f>
        <v>0</v>
      </c>
      <c r="AO83" s="86"/>
      <c r="AP83" s="86"/>
      <c r="AQ83" s="86"/>
      <c r="AR83" s="86"/>
      <c r="AS83" s="86"/>
      <c r="AT83" s="86"/>
      <c r="AU83" s="86"/>
      <c r="AV83" s="86"/>
      <c r="AW83" s="86"/>
      <c r="AX83" s="86"/>
      <c r="AY83" s="86"/>
      <c r="CM83" s="86"/>
      <c r="CN83" s="86"/>
    </row>
    <row r="84" spans="2:92" s="367" customFormat="1" ht="15.75" hidden="1" customHeight="1" outlineLevel="1">
      <c r="B84" s="852">
        <f ca="1">IF(I!B84&lt;&gt;"",I!B84,)</f>
        <v>0</v>
      </c>
      <c r="C84" s="454">
        <f ca="1">I!C84</f>
        <v>0</v>
      </c>
      <c r="D84" s="74"/>
      <c r="E84" s="521"/>
      <c r="F84" s="858"/>
      <c r="H84" s="543"/>
      <c r="I84" s="853"/>
      <c r="J84" s="6"/>
      <c r="K84" s="541"/>
      <c r="L84" s="860"/>
      <c r="M84" s="20" t="str">
        <f>IF(J84="","",$M$5-SUM($J$7:J84))</f>
        <v/>
      </c>
      <c r="O84" s="7"/>
      <c r="P84" s="873">
        <f>IF(I!Q84&lt;&gt;I!R84,IF(I!Q84&lt;&gt;0,IF(I!S84&lt;&gt;I!T84,I!P84,),),)</f>
        <v>0</v>
      </c>
      <c r="Q84" s="795">
        <f>IF(I!Q84&lt;&gt;I!R84,IF(I!Q84&lt;&gt;0,IF(I!S84&lt;&gt;I!T84,I!Q84,),),)</f>
        <v>0</v>
      </c>
      <c r="R84" s="628">
        <f>IF(I!Q84&lt;&gt;I!R84,IF(I!Q84&lt;&gt;0,IF(I!S84&lt;&gt;I!T84,0,Q84),Q84),Q84)</f>
        <v>0</v>
      </c>
      <c r="S84" s="796">
        <f>IF(I!Q84&lt;&gt;I!R84,IF(I!Q84&lt;&gt;0,IF(I!S84&lt;&gt;I!T84,I!S84+1,),),)</f>
        <v>0</v>
      </c>
      <c r="T84" s="796">
        <f>IF(I!Q84&lt;&gt;I!R84,IF(I!Q84&lt;&gt;0,IF(I!S84&lt;&gt;I!T84,I!T84,),),)</f>
        <v>0</v>
      </c>
      <c r="U84" s="797">
        <f>IF(I!Q84&lt;&gt;I!R84,IF(I!Q84&lt;&gt;0,IF(I!S84&lt;&gt;I!T84,I!U84,),),)</f>
        <v>0</v>
      </c>
      <c r="V84" s="875">
        <f>IF(I!Q84&lt;&gt;I!R84,IF(I!Q84&lt;&gt;0,IF(I!S84&lt;&gt;I!T84,I!V84,),),)</f>
        <v>0</v>
      </c>
      <c r="W84" s="633">
        <f>IF(Q84="","",$W$5-SUM($Q$7:$Q$45)-SUM($Q$64:Q84))</f>
        <v>0</v>
      </c>
      <c r="AO84" s="86"/>
      <c r="AP84" s="86"/>
      <c r="AQ84" s="86"/>
      <c r="AR84" s="86"/>
      <c r="AS84" s="86"/>
      <c r="AT84" s="86"/>
      <c r="AU84" s="86"/>
      <c r="AV84" s="86"/>
      <c r="AW84" s="86"/>
      <c r="AX84" s="86"/>
      <c r="AY84" s="86"/>
      <c r="CM84" s="86"/>
      <c r="CN84" s="86"/>
    </row>
    <row r="85" spans="2:92" s="367" customFormat="1" ht="15.75" hidden="1" customHeight="1" outlineLevel="1">
      <c r="B85" s="852">
        <f ca="1">IF(I!B85&lt;&gt;"",I!B85,)</f>
        <v>0</v>
      </c>
      <c r="C85" s="454">
        <f ca="1">I!C85</f>
        <v>0</v>
      </c>
      <c r="D85" s="74"/>
      <c r="E85" s="521"/>
      <c r="F85" s="858"/>
      <c r="H85" s="543"/>
      <c r="I85" s="853"/>
      <c r="J85" s="6"/>
      <c r="K85" s="541"/>
      <c r="L85" s="860"/>
      <c r="M85" s="20" t="str">
        <f>IF(J85="","",$M$5-SUM($J$7:J85))</f>
        <v/>
      </c>
      <c r="O85" s="7"/>
      <c r="P85" s="873">
        <f>IF(I!Q85&lt;&gt;I!R85,IF(I!Q85&lt;&gt;0,IF(I!S85&lt;&gt;I!T85,I!P85,),),)</f>
        <v>0</v>
      </c>
      <c r="Q85" s="795">
        <f>IF(I!Q85&lt;&gt;I!R85,IF(I!Q85&lt;&gt;0,IF(I!S85&lt;&gt;I!T85,I!Q85,),),)</f>
        <v>0</v>
      </c>
      <c r="R85" s="628">
        <f>IF(I!Q85&lt;&gt;I!R85,IF(I!Q85&lt;&gt;0,IF(I!S85&lt;&gt;I!T85,0,Q85),Q85),Q85)</f>
        <v>0</v>
      </c>
      <c r="S85" s="796">
        <f>IF(I!Q85&lt;&gt;I!R85,IF(I!Q85&lt;&gt;0,IF(I!S85&lt;&gt;I!T85,I!S85+1,),),)</f>
        <v>0</v>
      </c>
      <c r="T85" s="796">
        <f>IF(I!Q85&lt;&gt;I!R85,IF(I!Q85&lt;&gt;0,IF(I!S85&lt;&gt;I!T85,I!T85,),),)</f>
        <v>0</v>
      </c>
      <c r="U85" s="797">
        <f>IF(I!Q85&lt;&gt;I!R85,IF(I!Q85&lt;&gt;0,IF(I!S85&lt;&gt;I!T85,I!U85,),),)</f>
        <v>0</v>
      </c>
      <c r="V85" s="875">
        <f>IF(I!Q85&lt;&gt;I!R85,IF(I!Q85&lt;&gt;0,IF(I!S85&lt;&gt;I!T85,I!V85,),),)</f>
        <v>0</v>
      </c>
      <c r="W85" s="633">
        <f>IF(Q85="","",$W$5-SUM($Q$7:$Q$45)-SUM($Q$64:Q85))</f>
        <v>0</v>
      </c>
      <c r="AO85" s="86"/>
      <c r="AP85" s="86"/>
      <c r="AQ85" s="86"/>
      <c r="AR85" s="86"/>
      <c r="AS85" s="86"/>
      <c r="AT85" s="86"/>
      <c r="AU85" s="86"/>
      <c r="AV85" s="86"/>
      <c r="AW85" s="86"/>
      <c r="AX85" s="86"/>
      <c r="AY85" s="86"/>
      <c r="CM85" s="86"/>
      <c r="CN85" s="86"/>
    </row>
    <row r="86" spans="2:92" s="367" customFormat="1" ht="15.75" hidden="1" customHeight="1" outlineLevel="1">
      <c r="B86" s="852">
        <f ca="1">IF(I!B86&lt;&gt;"",I!B86,)</f>
        <v>0</v>
      </c>
      <c r="C86" s="454">
        <f ca="1">I!C86</f>
        <v>0</v>
      </c>
      <c r="D86" s="74"/>
      <c r="E86" s="521"/>
      <c r="F86" s="858"/>
      <c r="H86" s="543"/>
      <c r="I86" s="854"/>
      <c r="J86" s="6"/>
      <c r="K86" s="541"/>
      <c r="L86" s="860"/>
      <c r="M86" s="20" t="str">
        <f>IF(J86="","",$M$5-SUM($J$7:J86))</f>
        <v/>
      </c>
      <c r="O86" s="7"/>
      <c r="P86" s="873">
        <f>IF(I!Q86&lt;&gt;I!R86,IF(I!Q86&lt;&gt;0,IF(I!S86&lt;&gt;I!T86,I!P86,),),)</f>
        <v>0</v>
      </c>
      <c r="Q86" s="795">
        <f>IF(I!Q86&lt;&gt;I!R86,IF(I!Q86&lt;&gt;0,IF(I!S86&lt;&gt;I!T86,I!Q86,),),)</f>
        <v>0</v>
      </c>
      <c r="R86" s="628">
        <f>IF(I!Q86&lt;&gt;I!R86,IF(I!Q86&lt;&gt;0,IF(I!S86&lt;&gt;I!T86,0,Q86),Q86),Q86)</f>
        <v>0</v>
      </c>
      <c r="S86" s="796">
        <f>IF(I!Q86&lt;&gt;I!R86,IF(I!Q86&lt;&gt;0,IF(I!S86&lt;&gt;I!T86,I!S86+1,),),)</f>
        <v>0</v>
      </c>
      <c r="T86" s="796">
        <f>IF(I!Q86&lt;&gt;I!R86,IF(I!Q86&lt;&gt;0,IF(I!S86&lt;&gt;I!T86,I!T86,),),)</f>
        <v>0</v>
      </c>
      <c r="U86" s="797">
        <f>IF(I!Q86&lt;&gt;I!R86,IF(I!Q86&lt;&gt;0,IF(I!S86&lt;&gt;I!T86,I!U86,),),)</f>
        <v>0</v>
      </c>
      <c r="V86" s="875">
        <f>IF(I!Q86&lt;&gt;I!R86,IF(I!Q86&lt;&gt;0,IF(I!S86&lt;&gt;I!T86,I!V86,),),)</f>
        <v>0</v>
      </c>
      <c r="W86" s="633">
        <f>IF(Q86="","",$W$5-SUM($Q$7:$Q$45)-SUM($Q$64:Q86))</f>
        <v>0</v>
      </c>
      <c r="AO86" s="86"/>
      <c r="AP86" s="86"/>
      <c r="AQ86" s="86"/>
      <c r="AR86" s="86"/>
      <c r="AS86" s="86"/>
      <c r="AT86" s="86"/>
      <c r="AU86" s="86"/>
      <c r="AV86" s="86"/>
      <c r="AW86" s="86"/>
      <c r="AX86" s="86"/>
      <c r="AY86" s="86"/>
      <c r="CM86" s="86"/>
      <c r="CN86" s="86"/>
    </row>
    <row r="87" spans="2:92" s="367" customFormat="1" ht="15.75" hidden="1" customHeight="1" outlineLevel="1">
      <c r="H87" s="543"/>
      <c r="I87" s="853"/>
      <c r="J87" s="6"/>
      <c r="K87" s="541"/>
      <c r="L87" s="860"/>
      <c r="M87" s="20" t="str">
        <f>IF(J87="","",$M$5-SUM($J$7:J87))</f>
        <v/>
      </c>
      <c r="O87" s="7"/>
      <c r="P87" s="873">
        <f>IF(I!Q87&lt;&gt;I!R87,IF(I!Q87&lt;&gt;0,IF(I!S87&lt;&gt;I!T87,I!P87,),),)</f>
        <v>0</v>
      </c>
      <c r="Q87" s="795">
        <f>IF(I!Q87&lt;&gt;I!R87,IF(I!Q87&lt;&gt;0,IF(I!S87&lt;&gt;I!T87,I!Q87,),),)</f>
        <v>0</v>
      </c>
      <c r="R87" s="628">
        <f>IF(I!Q87&lt;&gt;I!R87,IF(I!Q87&lt;&gt;0,IF(I!S87&lt;&gt;I!T87,0,Q87),Q87),Q87)</f>
        <v>0</v>
      </c>
      <c r="S87" s="796">
        <f>IF(I!Q87&lt;&gt;I!R87,IF(I!Q87&lt;&gt;0,IF(I!S87&lt;&gt;I!T87,I!S87+1,),),)</f>
        <v>0</v>
      </c>
      <c r="T87" s="796">
        <f>IF(I!Q87&lt;&gt;I!R87,IF(I!Q87&lt;&gt;0,IF(I!S87&lt;&gt;I!T87,I!T87,),),)</f>
        <v>0</v>
      </c>
      <c r="U87" s="797">
        <f>IF(I!Q87&lt;&gt;I!R87,IF(I!Q87&lt;&gt;0,IF(I!S87&lt;&gt;I!T87,I!U87,),),)</f>
        <v>0</v>
      </c>
      <c r="V87" s="875">
        <f>IF(I!Q87&lt;&gt;I!R87,IF(I!Q87&lt;&gt;0,IF(I!S87&lt;&gt;I!T87,I!V87,),),)</f>
        <v>0</v>
      </c>
      <c r="W87" s="633">
        <f>IF(Q87="","",$W$5-SUM($Q$7:$Q$45)-SUM($Q$64:Q87))</f>
        <v>0</v>
      </c>
      <c r="AO87" s="86"/>
      <c r="AP87" s="86"/>
      <c r="AQ87" s="86"/>
      <c r="AR87" s="86"/>
      <c r="AS87" s="86"/>
      <c r="AT87" s="86"/>
      <c r="AU87" s="86"/>
      <c r="AV87" s="86"/>
      <c r="AW87" s="86"/>
      <c r="AX87" s="86"/>
      <c r="AY87" s="86"/>
      <c r="CM87" s="86"/>
      <c r="CN87" s="86"/>
    </row>
    <row r="88" spans="2:92" s="367" customFormat="1" ht="15.75" hidden="1" customHeight="1" outlineLevel="1">
      <c r="H88" s="543"/>
      <c r="I88" s="853"/>
      <c r="J88" s="6"/>
      <c r="K88" s="541"/>
      <c r="L88" s="860"/>
      <c r="M88" s="20" t="str">
        <f>IF(J88="","",$M$5-SUM($J$7:J88))</f>
        <v/>
      </c>
      <c r="O88" s="7"/>
      <c r="P88" s="871">
        <f>IF(I!Q88&lt;&gt;I!R88,IF(I!Q88&lt;&gt;0,IF(I!S88&lt;&gt;I!T88,I!P88,),),)</f>
        <v>0</v>
      </c>
      <c r="Q88" s="795">
        <f>IF(I!Q88&lt;&gt;I!R88,IF(I!Q88&lt;&gt;0,IF(I!S88&lt;&gt;I!T88,I!Q88,),),)</f>
        <v>0</v>
      </c>
      <c r="R88" s="628">
        <f>IF(I!Q88&lt;&gt;I!R88,IF(I!Q88&lt;&gt;0,IF(I!S88&lt;&gt;I!T88,0,Q88),Q88),Q88)</f>
        <v>0</v>
      </c>
      <c r="S88" s="796">
        <f>IF(I!Q88&lt;&gt;I!R88,IF(I!Q88&lt;&gt;0,IF(I!S88&lt;&gt;I!T88,I!S88+1,),),)</f>
        <v>0</v>
      </c>
      <c r="T88" s="796">
        <f>IF(I!Q88&lt;&gt;I!R88,IF(I!Q88&lt;&gt;0,IF(I!S88&lt;&gt;I!T88,I!T88,),),)</f>
        <v>0</v>
      </c>
      <c r="U88" s="797">
        <f>IF(I!Q88&lt;&gt;I!R88,IF(I!Q88&lt;&gt;0,IF(I!S88&lt;&gt;I!T88,I!U88,),),)</f>
        <v>0</v>
      </c>
      <c r="V88" s="875">
        <f>IF(I!Q88&lt;&gt;I!R88,IF(I!Q88&lt;&gt;0,IF(I!S88&lt;&gt;I!T88,I!V88,),),)</f>
        <v>0</v>
      </c>
      <c r="W88" s="633">
        <f>IF(Q88="","",$W$5-SUM($Q$7:$Q$45)-SUM($Q$64:Q88))</f>
        <v>0</v>
      </c>
      <c r="AO88" s="86"/>
      <c r="AP88" s="86"/>
      <c r="AQ88" s="86"/>
      <c r="AR88" s="86"/>
      <c r="AS88" s="86"/>
      <c r="AT88" s="86"/>
      <c r="AU88" s="86"/>
      <c r="AV88" s="86"/>
      <c r="AW88" s="86"/>
      <c r="AX88" s="86"/>
      <c r="AY88" s="86"/>
      <c r="CM88" s="86"/>
      <c r="CN88" s="86"/>
    </row>
    <row r="89" spans="2:92" s="367" customFormat="1" ht="15.75" hidden="1" customHeight="1" outlineLevel="1">
      <c r="H89" s="543"/>
      <c r="I89" s="853"/>
      <c r="J89" s="6"/>
      <c r="K89" s="541"/>
      <c r="L89" s="860"/>
      <c r="M89" s="20" t="str">
        <f>IF(J89="","",$M$5-SUM($J$7:J89))</f>
        <v/>
      </c>
      <c r="O89" s="7"/>
      <c r="P89" s="873">
        <f>IF(I!Q89&lt;&gt;I!R89,IF(I!Q89&lt;&gt;0,IF(I!S89&lt;&gt;I!T89,I!P89,),),)</f>
        <v>0</v>
      </c>
      <c r="Q89" s="795">
        <f>IF(I!Q89&lt;&gt;I!R89,IF(I!Q89&lt;&gt;0,IF(I!S89&lt;&gt;I!T89,I!Q89,),),)</f>
        <v>0</v>
      </c>
      <c r="R89" s="628">
        <f>IF(I!Q89&lt;&gt;I!R89,IF(I!Q89&lt;&gt;0,IF(I!S89&lt;&gt;I!T89,0,Q89),Q89),Q89)</f>
        <v>0</v>
      </c>
      <c r="S89" s="796">
        <f>IF(I!Q89&lt;&gt;I!R89,IF(I!Q89&lt;&gt;0,IF(I!S89&lt;&gt;I!T89,I!S89+1,),),)</f>
        <v>0</v>
      </c>
      <c r="T89" s="796">
        <f>IF(I!Q89&lt;&gt;I!R89,IF(I!Q89&lt;&gt;0,IF(I!S89&lt;&gt;I!T89,I!T89,),),)</f>
        <v>0</v>
      </c>
      <c r="U89" s="797">
        <f>IF(I!Q89&lt;&gt;I!R89,IF(I!Q89&lt;&gt;0,IF(I!S89&lt;&gt;I!T89,I!U89,),),)</f>
        <v>0</v>
      </c>
      <c r="V89" s="875">
        <f>IF(I!Q89&lt;&gt;I!R89,IF(I!Q89&lt;&gt;0,IF(I!S89&lt;&gt;I!T89,I!V89,),),)</f>
        <v>0</v>
      </c>
      <c r="W89" s="633">
        <f>IF(Q89="","",$W$5-SUM($Q$7:$Q$45)-SUM($Q$64:Q89))</f>
        <v>0</v>
      </c>
      <c r="AO89" s="86"/>
      <c r="AP89" s="86"/>
      <c r="AQ89" s="86"/>
      <c r="AR89" s="86"/>
      <c r="AS89" s="86"/>
      <c r="AT89" s="86"/>
      <c r="AU89" s="86"/>
      <c r="AV89" s="86"/>
      <c r="AW89" s="86"/>
      <c r="AX89" s="86"/>
      <c r="AY89" s="86"/>
      <c r="CM89" s="86"/>
      <c r="CN89" s="86"/>
    </row>
    <row r="90" spans="2:92" s="367" customFormat="1" ht="15.75" hidden="1" customHeight="1" outlineLevel="1">
      <c r="H90" s="543"/>
      <c r="I90" s="853"/>
      <c r="J90" s="6"/>
      <c r="K90" s="541"/>
      <c r="L90" s="860"/>
      <c r="M90" s="20" t="str">
        <f>IF(J90="","",$M$5-SUM($J$7:J90))</f>
        <v/>
      </c>
      <c r="O90" s="7"/>
      <c r="P90" s="871">
        <f>IF(I!Q90&lt;&gt;I!R90,IF(I!Q90&lt;&gt;0,IF(I!S90&lt;&gt;I!T90,I!P90,),),)</f>
        <v>0</v>
      </c>
      <c r="Q90" s="795">
        <f>IF(I!Q90&lt;&gt;I!R90,IF(I!Q90&lt;&gt;0,IF(I!S90&lt;&gt;I!T90,I!Q90,),),)</f>
        <v>0</v>
      </c>
      <c r="R90" s="628">
        <f>IF(I!Q90&lt;&gt;I!R90,IF(I!Q90&lt;&gt;0,IF(I!S90&lt;&gt;I!T90,0,Q90),Q90),Q90)</f>
        <v>0</v>
      </c>
      <c r="S90" s="796">
        <f>IF(I!Q90&lt;&gt;I!R90,IF(I!Q90&lt;&gt;0,IF(I!S90&lt;&gt;I!T90,I!S90+1,),),)</f>
        <v>0</v>
      </c>
      <c r="T90" s="796">
        <f>IF(I!Q90&lt;&gt;I!R90,IF(I!Q90&lt;&gt;0,IF(I!S90&lt;&gt;I!T90,I!T90,),),)</f>
        <v>0</v>
      </c>
      <c r="U90" s="797">
        <f>IF(I!Q90&lt;&gt;I!R90,IF(I!Q90&lt;&gt;0,IF(I!S90&lt;&gt;I!T90,I!U90,),),)</f>
        <v>0</v>
      </c>
      <c r="V90" s="875">
        <f>IF(I!Q90&lt;&gt;I!R90,IF(I!Q90&lt;&gt;0,IF(I!S90&lt;&gt;I!T90,I!V90,),),)</f>
        <v>0</v>
      </c>
      <c r="W90" s="633">
        <f>IF(Q90="","",$W$5-SUM($Q$7:$Q$45)-SUM($Q$64:Q90))</f>
        <v>0</v>
      </c>
      <c r="AO90" s="86"/>
      <c r="AP90" s="86"/>
      <c r="AQ90" s="86"/>
      <c r="AR90" s="86"/>
      <c r="AS90" s="86"/>
      <c r="AT90" s="86"/>
      <c r="AU90" s="86"/>
      <c r="AV90" s="86"/>
      <c r="AW90" s="86"/>
      <c r="AX90" s="86"/>
      <c r="AY90" s="86"/>
      <c r="CM90" s="86"/>
      <c r="CN90" s="86"/>
    </row>
    <row r="91" spans="2:92" s="367" customFormat="1" ht="15.75" hidden="1" customHeight="1" outlineLevel="1">
      <c r="H91" s="543"/>
      <c r="I91" s="853"/>
      <c r="J91" s="6"/>
      <c r="K91" s="541"/>
      <c r="L91" s="860"/>
      <c r="M91" s="20" t="str">
        <f>IF(J91="","",$M$5-SUM($J$7:J91))</f>
        <v/>
      </c>
      <c r="O91" s="7"/>
      <c r="P91" s="873">
        <f>IF(I!Q91&lt;&gt;I!R91,IF(I!Q91&lt;&gt;0,IF(I!S91&lt;&gt;I!T91,I!P91,),),)</f>
        <v>0</v>
      </c>
      <c r="Q91" s="795">
        <f>IF(I!Q91&lt;&gt;I!R91,IF(I!Q91&lt;&gt;0,IF(I!S91&lt;&gt;I!T91,I!Q91,),),)</f>
        <v>0</v>
      </c>
      <c r="R91" s="628">
        <f>IF(I!Q91&lt;&gt;I!R91,IF(I!Q91&lt;&gt;0,IF(I!S91&lt;&gt;I!T91,0,Q91),Q91),Q91)</f>
        <v>0</v>
      </c>
      <c r="S91" s="796">
        <f>IF(I!Q91&lt;&gt;I!R91,IF(I!Q91&lt;&gt;0,IF(I!S91&lt;&gt;I!T91,I!S91+1,),),)</f>
        <v>0</v>
      </c>
      <c r="T91" s="796">
        <f>IF(I!Q91&lt;&gt;I!R91,IF(I!Q91&lt;&gt;0,IF(I!S91&lt;&gt;I!T91,I!T91,),),)</f>
        <v>0</v>
      </c>
      <c r="U91" s="797">
        <f>IF(I!Q91&lt;&gt;I!R91,IF(I!Q91&lt;&gt;0,IF(I!S91&lt;&gt;I!T91,I!U91,),),)</f>
        <v>0</v>
      </c>
      <c r="V91" s="875">
        <f>IF(I!Q91&lt;&gt;I!R91,IF(I!Q91&lt;&gt;0,IF(I!S91&lt;&gt;I!T91,I!V91,),),)</f>
        <v>0</v>
      </c>
      <c r="W91" s="633">
        <f>IF(Q91="","",$W$5-SUM($Q$7:$Q$45)-SUM($Q$64:Q91))</f>
        <v>0</v>
      </c>
      <c r="AO91" s="86"/>
      <c r="AP91" s="86"/>
      <c r="AQ91" s="86"/>
      <c r="AR91" s="86"/>
      <c r="AS91" s="86"/>
      <c r="AT91" s="86"/>
      <c r="AU91" s="86"/>
      <c r="AV91" s="86"/>
      <c r="AW91" s="86"/>
      <c r="AX91" s="86"/>
      <c r="AY91" s="86"/>
      <c r="CM91" s="86"/>
      <c r="CN91" s="86"/>
    </row>
    <row r="92" spans="2:92" s="367" customFormat="1" ht="15.75" hidden="1" customHeight="1" outlineLevel="1">
      <c r="H92" s="543"/>
      <c r="I92" s="853"/>
      <c r="J92" s="6"/>
      <c r="K92" s="541"/>
      <c r="L92" s="860"/>
      <c r="M92" s="20" t="str">
        <f>IF(J92="","",$M$5-SUM($J$7:J92))</f>
        <v/>
      </c>
      <c r="O92" s="7"/>
      <c r="P92" s="871">
        <f>IF(I!Q92&lt;&gt;I!R92,IF(I!Q92&lt;&gt;0,IF(I!S92&lt;&gt;I!T92,I!P92,),),)</f>
        <v>0</v>
      </c>
      <c r="Q92" s="799">
        <f>IF(I!Q92&lt;&gt;I!R92,IF(I!Q92&lt;&gt;0,IF(I!S92&lt;&gt;I!T92,I!Q92,),),)</f>
        <v>0</v>
      </c>
      <c r="R92" s="628">
        <f>IF(I!Q92&lt;&gt;I!R92,IF(I!Q92&lt;&gt;0,IF(I!S92&lt;&gt;I!T92,0,Q92),Q92),Q92)</f>
        <v>0</v>
      </c>
      <c r="S92" s="796">
        <f>IF(I!Q92&lt;&gt;I!R92,IF(I!Q92&lt;&gt;0,IF(I!S92&lt;&gt;I!T92,I!S92+1,),),)</f>
        <v>0</v>
      </c>
      <c r="T92" s="796">
        <f>IF(I!Q92&lt;&gt;I!R92,IF(I!Q92&lt;&gt;0,IF(I!S92&lt;&gt;I!T92,I!T92,),),)</f>
        <v>0</v>
      </c>
      <c r="U92" s="797">
        <f>IF(I!Q92&lt;&gt;I!R92,IF(I!Q92&lt;&gt;0,IF(I!S92&lt;&gt;I!T92,I!U92,),),)</f>
        <v>0</v>
      </c>
      <c r="V92" s="875">
        <f>IF(I!Q92&lt;&gt;I!R92,IF(I!Q92&lt;&gt;0,IF(I!S92&lt;&gt;I!T92,I!V92,),),)</f>
        <v>0</v>
      </c>
      <c r="W92" s="634">
        <f>IF(Q92="","",$W$5-SUM($Q$7:$Q$45)-SUM($Q$64:Q92))</f>
        <v>0</v>
      </c>
      <c r="AO92" s="86"/>
      <c r="AP92" s="86"/>
      <c r="AQ92" s="86"/>
      <c r="AR92" s="86"/>
      <c r="AS92" s="86"/>
      <c r="AT92" s="86"/>
      <c r="AU92" s="86"/>
      <c r="AV92" s="86"/>
      <c r="AW92" s="86"/>
      <c r="AX92" s="86"/>
      <c r="AY92" s="86"/>
      <c r="CM92" s="86"/>
      <c r="CN92" s="86"/>
    </row>
    <row r="93" spans="2:92" s="367" customFormat="1" ht="15.75" hidden="1" customHeight="1" outlineLevel="1">
      <c r="H93" s="543"/>
      <c r="I93" s="853"/>
      <c r="J93" s="6"/>
      <c r="K93" s="541"/>
      <c r="L93" s="860"/>
      <c r="M93" s="20" t="str">
        <f>IF(J93="","",$M$5-SUM($J$7:J93))</f>
        <v/>
      </c>
      <c r="O93" s="7"/>
      <c r="P93" s="873">
        <f>IF(I!Q93&lt;&gt;I!R93,IF(I!Q93&lt;&gt;0,IF(I!S93&lt;&gt;I!T93,I!P93,),),)</f>
        <v>0</v>
      </c>
      <c r="Q93" s="795">
        <f>IF(I!Q93&lt;&gt;I!R93,IF(I!Q93&lt;&gt;0,IF(I!S93&lt;&gt;I!T93,I!Q93,),),)</f>
        <v>0</v>
      </c>
      <c r="R93" s="628">
        <f>IF(I!Q93&lt;&gt;I!R93,IF(I!Q93&lt;&gt;0,IF(I!S93&lt;&gt;I!T93,0,Q93),Q93),Q93)</f>
        <v>0</v>
      </c>
      <c r="S93" s="796">
        <f>IF(I!Q93&lt;&gt;I!R93,IF(I!Q93&lt;&gt;0,IF(I!S93&lt;&gt;I!T93,I!S93+1,),),)</f>
        <v>0</v>
      </c>
      <c r="T93" s="796">
        <f>IF(I!Q93&lt;&gt;I!R93,IF(I!Q93&lt;&gt;0,IF(I!S93&lt;&gt;I!T93,I!T93,),),)</f>
        <v>0</v>
      </c>
      <c r="U93" s="797">
        <f>IF(I!Q93&lt;&gt;I!R93,IF(I!Q93&lt;&gt;0,IF(I!S93&lt;&gt;I!T93,I!U93,),),)</f>
        <v>0</v>
      </c>
      <c r="V93" s="875">
        <f>IF(I!Q93&lt;&gt;I!R93,IF(I!Q93&lt;&gt;0,IF(I!S93&lt;&gt;I!T93,I!V93,),),)</f>
        <v>0</v>
      </c>
      <c r="W93" s="633">
        <f>IF(Q93="","",$W$5-SUM($Q$7:$Q$45)-SUM($Q$64:Q93))</f>
        <v>0</v>
      </c>
      <c r="AO93" s="86"/>
      <c r="AP93" s="86"/>
      <c r="AQ93" s="86"/>
      <c r="AR93" s="86"/>
      <c r="AS93" s="86"/>
      <c r="AT93" s="86"/>
      <c r="AU93" s="86"/>
      <c r="AV93" s="86"/>
      <c r="AW93" s="86"/>
      <c r="AX93" s="86"/>
      <c r="AY93" s="86"/>
      <c r="CM93" s="86"/>
      <c r="CN93" s="86"/>
    </row>
    <row r="94" spans="2:92" s="367" customFormat="1" ht="15.75" hidden="1" customHeight="1" outlineLevel="1">
      <c r="H94" s="543"/>
      <c r="I94" s="853"/>
      <c r="J94" s="6"/>
      <c r="K94" s="541"/>
      <c r="L94" s="860"/>
      <c r="M94" s="20" t="str">
        <f>IF(J94="","",$M$5-SUM($J$7:J94))</f>
        <v/>
      </c>
      <c r="O94" s="7"/>
      <c r="P94" s="871">
        <f>IF(I!Q94&lt;&gt;I!R94,IF(I!Q94&lt;&gt;0,IF(I!S94&lt;&gt;I!T94,I!P94,),),)</f>
        <v>0</v>
      </c>
      <c r="Q94" s="795">
        <f>IF(I!Q94&lt;&gt;I!R94,IF(I!Q94&lt;&gt;0,IF(I!S94&lt;&gt;I!T94,I!Q94,),),)</f>
        <v>0</v>
      </c>
      <c r="R94" s="628">
        <f>IF(I!Q94&lt;&gt;I!R94,IF(I!Q94&lt;&gt;0,IF(I!S94&lt;&gt;I!T94,0,Q94),Q94),Q94)</f>
        <v>0</v>
      </c>
      <c r="S94" s="796">
        <f>IF(I!Q94&lt;&gt;I!R94,IF(I!Q94&lt;&gt;0,IF(I!S94&lt;&gt;I!T94,I!S94+1,),),)</f>
        <v>0</v>
      </c>
      <c r="T94" s="796">
        <f>IF(I!Q94&lt;&gt;I!R94,IF(I!Q94&lt;&gt;0,IF(I!S94&lt;&gt;I!T94,I!T94,),),)</f>
        <v>0</v>
      </c>
      <c r="U94" s="797">
        <f>IF(I!Q94&lt;&gt;I!R94,IF(I!Q94&lt;&gt;0,IF(I!S94&lt;&gt;I!T94,I!U94,),),)</f>
        <v>0</v>
      </c>
      <c r="V94" s="875">
        <f>IF(I!Q94&lt;&gt;I!R94,IF(I!Q94&lt;&gt;0,IF(I!S94&lt;&gt;I!T94,I!V94,),),)</f>
        <v>0</v>
      </c>
      <c r="W94" s="633">
        <f>IF(Q94="","",$W$5-SUM($Q$7:$Q$45)-SUM($Q$64:Q94))</f>
        <v>0</v>
      </c>
      <c r="AO94" s="86"/>
      <c r="AP94" s="86"/>
      <c r="AQ94" s="86"/>
      <c r="AR94" s="86"/>
      <c r="AS94" s="86"/>
      <c r="AT94" s="86"/>
      <c r="AU94" s="86"/>
      <c r="AV94" s="86"/>
      <c r="AW94" s="86"/>
      <c r="AX94" s="86"/>
      <c r="AY94" s="86"/>
      <c r="CM94" s="86"/>
      <c r="CN94" s="86"/>
    </row>
    <row r="95" spans="2:92" s="367" customFormat="1" ht="15.75" hidden="1" customHeight="1" outlineLevel="1">
      <c r="H95" s="543"/>
      <c r="I95" s="853"/>
      <c r="J95" s="6"/>
      <c r="K95" s="541"/>
      <c r="L95" s="860"/>
      <c r="M95" s="20" t="str">
        <f>IF(J95="","",$M$5-SUM($J$7:J95))</f>
        <v/>
      </c>
      <c r="O95" s="7"/>
      <c r="P95" s="873">
        <f>IF(I!Q95&lt;&gt;I!R95,IF(I!Q95&lt;&gt;0,IF(I!S95&lt;&gt;I!T95,I!P95,),),)</f>
        <v>0</v>
      </c>
      <c r="Q95" s="795">
        <f>IF(I!Q95&lt;&gt;I!R95,IF(I!Q95&lt;&gt;0,IF(I!S95&lt;&gt;I!T95,I!Q95,),),)</f>
        <v>0</v>
      </c>
      <c r="R95" s="628">
        <f>IF(I!Q95&lt;&gt;I!R95,IF(I!Q95&lt;&gt;0,IF(I!S95&lt;&gt;I!T95,0,Q95),Q95),Q95)</f>
        <v>0</v>
      </c>
      <c r="S95" s="796">
        <f>IF(I!Q95&lt;&gt;I!R95,IF(I!Q95&lt;&gt;0,IF(I!S95&lt;&gt;I!T95,I!S95+1,),),)</f>
        <v>0</v>
      </c>
      <c r="T95" s="796">
        <f>IF(I!Q95&lt;&gt;I!R95,IF(I!Q95&lt;&gt;0,IF(I!S95&lt;&gt;I!T95,I!T95,),),)</f>
        <v>0</v>
      </c>
      <c r="U95" s="797">
        <f>IF(I!Q95&lt;&gt;I!R95,IF(I!Q95&lt;&gt;0,IF(I!S95&lt;&gt;I!T95,I!U95,),),)</f>
        <v>0</v>
      </c>
      <c r="V95" s="875">
        <f>IF(I!Q95&lt;&gt;I!R95,IF(I!Q95&lt;&gt;0,IF(I!S95&lt;&gt;I!T95,I!V95,),),)</f>
        <v>0</v>
      </c>
      <c r="W95" s="633">
        <f>IF(Q95="","",$W$5-SUM($Q$7:$Q$45)-SUM($Q$64:Q95))</f>
        <v>0</v>
      </c>
      <c r="AO95" s="86"/>
      <c r="AP95" s="86"/>
      <c r="AQ95" s="86"/>
      <c r="AR95" s="86"/>
      <c r="AS95" s="86"/>
      <c r="AT95" s="86"/>
      <c r="AU95" s="86"/>
      <c r="AV95" s="86"/>
      <c r="AW95" s="86"/>
      <c r="AX95" s="86"/>
      <c r="AY95" s="86"/>
      <c r="CM95" s="86"/>
      <c r="CN95" s="86"/>
    </row>
    <row r="96" spans="2:92" s="367" customFormat="1" ht="15.75" hidden="1" customHeight="1" outlineLevel="1">
      <c r="H96" s="543"/>
      <c r="I96" s="853"/>
      <c r="J96" s="6"/>
      <c r="K96" s="541"/>
      <c r="L96" s="860"/>
      <c r="M96" s="20" t="str">
        <f>IF(J96="","",$M$5-SUM($J$7:J96))</f>
        <v/>
      </c>
      <c r="O96" s="7"/>
      <c r="P96" s="872">
        <f>IF(I!Q96&lt;&gt;I!R96,IF(I!Q96&lt;&gt;0,IF(I!S96&lt;&gt;I!T96,I!P96,),),)</f>
        <v>0</v>
      </c>
      <c r="Q96" s="795">
        <f>IF(I!Q96&lt;&gt;I!R96,IF(I!Q96&lt;&gt;0,IF(I!S96&lt;&gt;I!T96,I!Q96,),),)</f>
        <v>0</v>
      </c>
      <c r="R96" s="628">
        <f>IF(I!Q96&lt;&gt;I!R96,IF(I!Q96&lt;&gt;0,IF(I!S96&lt;&gt;I!T96,0,Q96),Q96),Q96)</f>
        <v>0</v>
      </c>
      <c r="S96" s="796">
        <f>IF(I!Q96&lt;&gt;I!R96,IF(I!Q96&lt;&gt;0,IF(I!S96&lt;&gt;I!T96,I!S96+1,),),)</f>
        <v>0</v>
      </c>
      <c r="T96" s="796">
        <f>IF(I!Q96&lt;&gt;I!R96,IF(I!Q96&lt;&gt;0,IF(I!S96&lt;&gt;I!T96,I!T96,),),)</f>
        <v>0</v>
      </c>
      <c r="U96" s="797">
        <f>IF(I!Q96&lt;&gt;I!R96,IF(I!Q96&lt;&gt;0,IF(I!S96&lt;&gt;I!T96,I!U96,),),)</f>
        <v>0</v>
      </c>
      <c r="V96" s="875">
        <f>IF(I!Q96&lt;&gt;I!R96,IF(I!Q96&lt;&gt;0,IF(I!S96&lt;&gt;I!T96,I!V96,),),)</f>
        <v>0</v>
      </c>
      <c r="W96" s="633">
        <f>IF(Q96="","",$W$5-SUM($Q$7:$Q$45)-SUM($Q$64:Q96))</f>
        <v>0</v>
      </c>
      <c r="AO96" s="86"/>
      <c r="AP96" s="86"/>
      <c r="AQ96" s="86"/>
      <c r="AR96" s="86"/>
      <c r="AS96" s="86"/>
      <c r="AT96" s="86"/>
      <c r="AU96" s="86"/>
      <c r="AV96" s="86"/>
      <c r="AW96" s="86"/>
      <c r="AX96" s="86"/>
      <c r="AY96" s="86"/>
      <c r="CM96" s="86"/>
      <c r="CN96" s="86"/>
    </row>
    <row r="97" spans="8:92" s="367" customFormat="1" ht="15.75" hidden="1" customHeight="1" outlineLevel="1">
      <c r="H97" s="543"/>
      <c r="I97" s="853"/>
      <c r="J97" s="6"/>
      <c r="K97" s="541"/>
      <c r="L97" s="860"/>
      <c r="M97" s="20" t="str">
        <f>IF(J97="","",$M$5-SUM($J$7:J97))</f>
        <v/>
      </c>
      <c r="O97" s="7"/>
      <c r="P97" s="871">
        <f>IF(I!Q97&lt;&gt;I!R97,IF(I!Q97&lt;&gt;0,IF(I!S97&lt;&gt;I!T97,I!P97,),),)</f>
        <v>0</v>
      </c>
      <c r="Q97" s="795">
        <f>IF(I!Q97&lt;&gt;I!R97,IF(I!Q97&lt;&gt;0,IF(I!S97&lt;&gt;I!T97,I!Q97,),),)</f>
        <v>0</v>
      </c>
      <c r="R97" s="628">
        <f>IF(I!Q97&lt;&gt;I!R97,IF(I!Q97&lt;&gt;0,IF(I!S97&lt;&gt;I!T97,0,Q97),Q97),Q97)</f>
        <v>0</v>
      </c>
      <c r="S97" s="796">
        <f>IF(I!Q97&lt;&gt;I!R97,IF(I!Q97&lt;&gt;0,IF(I!S97&lt;&gt;I!T97,I!S97+1,),),)</f>
        <v>0</v>
      </c>
      <c r="T97" s="796">
        <f>IF(I!Q97&lt;&gt;I!R97,IF(I!Q97&lt;&gt;0,IF(I!S97&lt;&gt;I!T97,I!T97,),),)</f>
        <v>0</v>
      </c>
      <c r="U97" s="797">
        <f>IF(I!Q97&lt;&gt;I!R97,IF(I!Q97&lt;&gt;0,IF(I!S97&lt;&gt;I!T97,I!U97,),),)</f>
        <v>0</v>
      </c>
      <c r="V97" s="875">
        <f>IF(I!Q97&lt;&gt;I!R97,IF(I!Q97&lt;&gt;0,IF(I!S97&lt;&gt;I!T97,I!V97,),),)</f>
        <v>0</v>
      </c>
      <c r="W97" s="633">
        <f>IF(Q97="","",$W$5-SUM($Q$7:$Q$45)-SUM($Q$64:Q97))</f>
        <v>0</v>
      </c>
      <c r="AO97" s="86"/>
      <c r="AP97" s="86"/>
      <c r="AQ97" s="86"/>
      <c r="AR97" s="86"/>
      <c r="AS97" s="86"/>
      <c r="AT97" s="86"/>
      <c r="AU97" s="86"/>
      <c r="AV97" s="86"/>
      <c r="AW97" s="86"/>
      <c r="AX97" s="86"/>
      <c r="AY97" s="86"/>
      <c r="CM97" s="86"/>
      <c r="CN97" s="86"/>
    </row>
    <row r="98" spans="8:92" s="367" customFormat="1" ht="15.75" hidden="1" customHeight="1" outlineLevel="1">
      <c r="H98" s="543"/>
      <c r="I98" s="853"/>
      <c r="J98" s="6"/>
      <c r="K98" s="541"/>
      <c r="L98" s="860"/>
      <c r="M98" s="20" t="str">
        <f>IF(J98="","",$M$5-SUM($J$7:J98))</f>
        <v/>
      </c>
      <c r="O98" s="7"/>
      <c r="P98" s="871">
        <f>IF(I!Q98&lt;&gt;I!R98,IF(I!Q98&lt;&gt;0,IF(I!S98&lt;&gt;I!T98,I!P98,),),)</f>
        <v>0</v>
      </c>
      <c r="Q98" s="795">
        <f>IF(I!Q98&lt;&gt;I!R98,IF(I!Q98&lt;&gt;0,IF(I!S98&lt;&gt;I!T98,I!Q98,),),)</f>
        <v>0</v>
      </c>
      <c r="R98" s="628">
        <f>IF(I!Q98&lt;&gt;I!R98,IF(I!Q98&lt;&gt;0,IF(I!S98&lt;&gt;I!T98,0,Q98),Q98),Q98)</f>
        <v>0</v>
      </c>
      <c r="S98" s="796">
        <f>IF(I!Q98&lt;&gt;I!R98,IF(I!Q98&lt;&gt;0,IF(I!S98&lt;&gt;I!T98,I!S98+1,),),)</f>
        <v>0</v>
      </c>
      <c r="T98" s="796">
        <f>IF(I!Q98&lt;&gt;I!R98,IF(I!Q98&lt;&gt;0,IF(I!S98&lt;&gt;I!T98,I!T98,),),)</f>
        <v>0</v>
      </c>
      <c r="U98" s="797">
        <f>IF(I!Q98&lt;&gt;I!R98,IF(I!Q98&lt;&gt;0,IF(I!S98&lt;&gt;I!T98,I!U98,),),)</f>
        <v>0</v>
      </c>
      <c r="V98" s="875">
        <f>IF(I!Q98&lt;&gt;I!R98,IF(I!Q98&lt;&gt;0,IF(I!S98&lt;&gt;I!T98,I!V98,),),)</f>
        <v>0</v>
      </c>
      <c r="W98" s="633">
        <f>IF(Q98="","",$W$5-SUM($Q$7:$Q$45)-SUM($Q$64:Q98))</f>
        <v>0</v>
      </c>
      <c r="AO98" s="86"/>
      <c r="AP98" s="86"/>
      <c r="AQ98" s="86"/>
      <c r="AR98" s="86"/>
      <c r="AS98" s="86"/>
      <c r="AT98" s="86"/>
      <c r="AU98" s="86"/>
      <c r="AV98" s="86"/>
      <c r="AW98" s="86"/>
      <c r="AX98" s="86"/>
      <c r="AY98" s="86"/>
      <c r="CM98" s="86"/>
      <c r="CN98" s="86"/>
    </row>
    <row r="99" spans="8:92" s="367" customFormat="1" ht="15.75" hidden="1" customHeight="1" outlineLevel="1">
      <c r="H99" s="543"/>
      <c r="I99" s="853"/>
      <c r="J99" s="6"/>
      <c r="K99" s="541"/>
      <c r="L99" s="860"/>
      <c r="M99" s="20" t="str">
        <f>IF(J99="","",$M$5-SUM($J$7:J99))</f>
        <v/>
      </c>
      <c r="O99" s="7"/>
      <c r="P99" s="873">
        <f>IF(I!Q99&lt;&gt;I!R99,IF(I!Q99&lt;&gt;0,IF(I!S99&lt;&gt;I!T99,I!P99,),),)</f>
        <v>0</v>
      </c>
      <c r="Q99" s="795">
        <f>IF(I!Q99&lt;&gt;I!R99,IF(I!Q99&lt;&gt;0,IF(I!S99&lt;&gt;I!T99,I!Q99,),),)</f>
        <v>0</v>
      </c>
      <c r="R99" s="628">
        <f>IF(I!Q99&lt;&gt;I!R99,IF(I!Q99&lt;&gt;0,IF(I!S99&lt;&gt;I!T99,0,Q99),Q99),Q99)</f>
        <v>0</v>
      </c>
      <c r="S99" s="796">
        <f>IF(I!Q99&lt;&gt;I!R99,IF(I!Q99&lt;&gt;0,IF(I!S99&lt;&gt;I!T99,I!S99+1,),),)</f>
        <v>0</v>
      </c>
      <c r="T99" s="796">
        <f>IF(I!Q99&lt;&gt;I!R99,IF(I!Q99&lt;&gt;0,IF(I!S99&lt;&gt;I!T99,I!T99,),),)</f>
        <v>0</v>
      </c>
      <c r="U99" s="797">
        <f>IF(I!Q99&lt;&gt;I!R99,IF(I!Q99&lt;&gt;0,IF(I!S99&lt;&gt;I!T99,I!U99,),),)</f>
        <v>0</v>
      </c>
      <c r="V99" s="875">
        <f>IF(I!Q99&lt;&gt;I!R99,IF(I!Q99&lt;&gt;0,IF(I!S99&lt;&gt;I!T99,I!V99,),),)</f>
        <v>0</v>
      </c>
      <c r="W99" s="633">
        <f>IF(Q99="","",$W$5-SUM($Q$7:$Q$45)-SUM($Q$64:Q99))</f>
        <v>0</v>
      </c>
      <c r="AO99" s="86"/>
      <c r="AP99" s="86"/>
      <c r="AQ99" s="86"/>
      <c r="AR99" s="86"/>
      <c r="AS99" s="86"/>
      <c r="AT99" s="86"/>
      <c r="AU99" s="86"/>
      <c r="AV99" s="86"/>
      <c r="AW99" s="86"/>
      <c r="AX99" s="86"/>
      <c r="AY99" s="86"/>
      <c r="CM99" s="86"/>
      <c r="CN99" s="86"/>
    </row>
    <row r="100" spans="8:92" s="367" customFormat="1" ht="15.75" hidden="1" customHeight="1" outlineLevel="1">
      <c r="H100" s="543"/>
      <c r="I100" s="854"/>
      <c r="J100" s="6"/>
      <c r="K100" s="541"/>
      <c r="L100" s="860"/>
      <c r="M100" s="20" t="str">
        <f>IF(J100="","",$M$5-SUM($J$7:J100))</f>
        <v/>
      </c>
      <c r="O100" s="7"/>
      <c r="P100" s="871">
        <f>IF(I!Q100&lt;&gt;I!R100,IF(I!Q100&lt;&gt;0,IF(I!S100&lt;&gt;I!T100,I!P100,),),)</f>
        <v>0</v>
      </c>
      <c r="Q100" s="795">
        <f>IF(I!Q100&lt;&gt;I!R100,IF(I!Q100&lt;&gt;0,IF(I!S100&lt;&gt;I!T100,I!Q100,),),)</f>
        <v>0</v>
      </c>
      <c r="R100" s="628">
        <f>IF(I!Q100&lt;&gt;I!R100,IF(I!Q100&lt;&gt;0,IF(I!S100&lt;&gt;I!T100,0,Q100),Q100),Q100)</f>
        <v>0</v>
      </c>
      <c r="S100" s="796">
        <f>IF(I!Q100&lt;&gt;I!R100,IF(I!Q100&lt;&gt;0,IF(I!S100&lt;&gt;I!T100,I!S100+1,),),)</f>
        <v>0</v>
      </c>
      <c r="T100" s="796">
        <f>IF(I!Q100&lt;&gt;I!R100,IF(I!Q100&lt;&gt;0,IF(I!S100&lt;&gt;I!T100,I!T100,),),)</f>
        <v>0</v>
      </c>
      <c r="U100" s="797">
        <f>IF(I!Q100&lt;&gt;I!R100,IF(I!Q100&lt;&gt;0,IF(I!S100&lt;&gt;I!T100,I!U100,),),)</f>
        <v>0</v>
      </c>
      <c r="V100" s="875">
        <f>IF(I!Q100&lt;&gt;I!R100,IF(I!Q100&lt;&gt;0,IF(I!S100&lt;&gt;I!T100,I!V100,),),)</f>
        <v>0</v>
      </c>
      <c r="W100" s="633">
        <f>IF(Q100="","",$W$5-SUM($Q$7:$Q$45)-SUM($Q$64:Q100))</f>
        <v>0</v>
      </c>
      <c r="AO100" s="86"/>
      <c r="AP100" s="86"/>
      <c r="AQ100" s="86"/>
      <c r="AR100" s="86"/>
      <c r="AS100" s="86"/>
      <c r="AT100" s="86"/>
      <c r="AU100" s="86"/>
      <c r="AV100" s="86"/>
      <c r="AW100" s="86"/>
      <c r="AX100" s="86"/>
      <c r="AY100" s="86"/>
      <c r="CM100" s="86"/>
      <c r="CN100" s="86"/>
    </row>
    <row r="101" spans="8:92" s="367" customFormat="1" ht="15.75" hidden="1" customHeight="1" outlineLevel="1">
      <c r="H101" s="543"/>
      <c r="I101" s="853"/>
      <c r="J101" s="6"/>
      <c r="K101" s="541"/>
      <c r="L101" s="860"/>
      <c r="M101" s="20" t="str">
        <f>IF(J101="","",$M$5-SUM($J$7:J101))</f>
        <v/>
      </c>
      <c r="O101" s="7"/>
      <c r="P101" s="871">
        <f>IF(I!Q101&lt;&gt;I!R101,IF(I!Q101&lt;&gt;0,IF(I!S101&lt;&gt;I!T101,I!P101,),),)</f>
        <v>0</v>
      </c>
      <c r="Q101" s="795">
        <f>IF(I!Q101&lt;&gt;I!R101,IF(I!Q101&lt;&gt;0,IF(I!S101&lt;&gt;I!T101,I!Q101,),),)</f>
        <v>0</v>
      </c>
      <c r="R101" s="628">
        <f>IF(I!Q101&lt;&gt;I!R101,IF(I!Q101&lt;&gt;0,IF(I!S101&lt;&gt;I!T101,0,Q101),Q101),Q101)</f>
        <v>0</v>
      </c>
      <c r="S101" s="796">
        <f>IF(I!Q101&lt;&gt;I!R101,IF(I!Q101&lt;&gt;0,IF(I!S101&lt;&gt;I!T101,I!S101+1,),),)</f>
        <v>0</v>
      </c>
      <c r="T101" s="796">
        <f>IF(I!Q101&lt;&gt;I!R101,IF(I!Q101&lt;&gt;0,IF(I!S101&lt;&gt;I!T101,I!T101,),),)</f>
        <v>0</v>
      </c>
      <c r="U101" s="797">
        <f>IF(I!Q101&lt;&gt;I!R101,IF(I!Q101&lt;&gt;0,IF(I!S101&lt;&gt;I!T101,I!U101,),),)</f>
        <v>0</v>
      </c>
      <c r="V101" s="875">
        <f>IF(I!Q101&lt;&gt;I!R101,IF(I!Q101&lt;&gt;0,IF(I!S101&lt;&gt;I!T101,I!V101,),),)</f>
        <v>0</v>
      </c>
      <c r="W101" s="633">
        <f>IF(Q101="","",$W$5-SUM($Q$7:$Q$45)-SUM($Q$64:Q101))</f>
        <v>0</v>
      </c>
      <c r="AO101" s="86"/>
      <c r="AP101" s="86"/>
      <c r="AQ101" s="86"/>
      <c r="AR101" s="86"/>
      <c r="AS101" s="86"/>
      <c r="AT101" s="86"/>
      <c r="AU101" s="86"/>
      <c r="AV101" s="86"/>
      <c r="AW101" s="86"/>
      <c r="AX101" s="86"/>
      <c r="AY101" s="86"/>
      <c r="CM101" s="86"/>
      <c r="CN101" s="86"/>
    </row>
    <row r="102" spans="8:92" s="367" customFormat="1" ht="15.75" hidden="1" customHeight="1" outlineLevel="1">
      <c r="H102" s="543"/>
      <c r="I102" s="853"/>
      <c r="J102" s="6"/>
      <c r="K102" s="541"/>
      <c r="L102" s="860"/>
      <c r="M102" s="20" t="str">
        <f>IF(J102="","",$M$5-SUM($J$7:J102))</f>
        <v/>
      </c>
      <c r="O102" s="7"/>
      <c r="P102" s="873">
        <f>IF(I!Q102&lt;&gt;I!R102,IF(I!Q102&lt;&gt;0,IF(I!S102&lt;&gt;I!T102,I!P102,),),)</f>
        <v>0</v>
      </c>
      <c r="Q102" s="795">
        <f>IF(I!Q102&lt;&gt;I!R102,IF(I!Q102&lt;&gt;0,IF(I!S102&lt;&gt;I!T102,I!Q102,),),)</f>
        <v>0</v>
      </c>
      <c r="R102" s="628">
        <f>IF(I!Q102&lt;&gt;I!R102,IF(I!Q102&lt;&gt;0,IF(I!S102&lt;&gt;I!T102,0,Q102),Q102),Q102)</f>
        <v>0</v>
      </c>
      <c r="S102" s="796">
        <f>IF(I!Q102&lt;&gt;I!R102,IF(I!Q102&lt;&gt;0,IF(I!S102&lt;&gt;I!T102,I!S102+1,),),)</f>
        <v>0</v>
      </c>
      <c r="T102" s="796">
        <f>IF(I!Q102&lt;&gt;I!R102,IF(I!Q102&lt;&gt;0,IF(I!S102&lt;&gt;I!T102,I!T102,),),)</f>
        <v>0</v>
      </c>
      <c r="U102" s="797">
        <f>IF(I!Q102&lt;&gt;I!R102,IF(I!Q102&lt;&gt;0,IF(I!S102&lt;&gt;I!T102,I!U102,),),)</f>
        <v>0</v>
      </c>
      <c r="V102" s="875">
        <f>IF(I!Q102&lt;&gt;I!R102,IF(I!Q102&lt;&gt;0,IF(I!S102&lt;&gt;I!T102,I!V102,),),)</f>
        <v>0</v>
      </c>
      <c r="W102" s="633">
        <f>IF(Q102="","",$W$5-SUM($Q$7:$Q$45)-SUM($Q$64:Q102))</f>
        <v>0</v>
      </c>
      <c r="AO102" s="86"/>
      <c r="AP102" s="86"/>
      <c r="AQ102" s="86"/>
      <c r="AR102" s="86"/>
      <c r="AS102" s="86"/>
      <c r="AT102" s="86"/>
      <c r="AU102" s="86"/>
      <c r="AV102" s="86"/>
      <c r="AW102" s="86"/>
      <c r="AX102" s="86"/>
      <c r="AY102" s="86"/>
      <c r="CM102" s="86"/>
      <c r="CN102" s="86"/>
    </row>
    <row r="103" spans="8:92" s="367" customFormat="1" ht="15.75" hidden="1" customHeight="1" outlineLevel="1">
      <c r="H103" s="543"/>
      <c r="I103" s="853"/>
      <c r="J103" s="6"/>
      <c r="K103" s="541"/>
      <c r="L103" s="860"/>
      <c r="M103" s="20" t="str">
        <f>IF(J103="","",$M$5-SUM($J$7:J103))</f>
        <v/>
      </c>
      <c r="O103" s="7"/>
      <c r="P103" s="871">
        <f>IF(I!Q103&lt;&gt;I!R103,IF(I!Q103&lt;&gt;0,IF(I!S103&lt;&gt;I!T103,I!P103,),),)</f>
        <v>0</v>
      </c>
      <c r="Q103" s="795">
        <f>IF(I!Q103&lt;&gt;I!R103,IF(I!Q103&lt;&gt;0,IF(I!S103&lt;&gt;I!T103,I!Q103,),),)</f>
        <v>0</v>
      </c>
      <c r="R103" s="628">
        <f>IF(I!Q103&lt;&gt;I!R103,IF(I!Q103&lt;&gt;0,IF(I!S103&lt;&gt;I!T103,0,Q103),Q103),Q103)</f>
        <v>0</v>
      </c>
      <c r="S103" s="796">
        <f>IF(I!Q103&lt;&gt;I!R103,IF(I!Q103&lt;&gt;0,IF(I!S103&lt;&gt;I!T103,I!S103+1,),),)</f>
        <v>0</v>
      </c>
      <c r="T103" s="796">
        <f>IF(I!Q103&lt;&gt;I!R103,IF(I!Q103&lt;&gt;0,IF(I!S103&lt;&gt;I!T103,I!T103,),),)</f>
        <v>0</v>
      </c>
      <c r="U103" s="797">
        <f>IF(I!Q103&lt;&gt;I!R103,IF(I!Q103&lt;&gt;0,IF(I!S103&lt;&gt;I!T103,I!U103,),),)</f>
        <v>0</v>
      </c>
      <c r="V103" s="875">
        <f>IF(I!Q103&lt;&gt;I!R103,IF(I!Q103&lt;&gt;0,IF(I!S103&lt;&gt;I!T103,I!V103,),),)</f>
        <v>0</v>
      </c>
      <c r="W103" s="633">
        <f>IF(Q103="","",$W$5-SUM($Q$7:$Q$45)-SUM($Q$64:Q103))</f>
        <v>0</v>
      </c>
      <c r="AO103" s="86"/>
      <c r="AP103" s="86"/>
      <c r="AQ103" s="86"/>
      <c r="AR103" s="86"/>
      <c r="AS103" s="86"/>
      <c r="AT103" s="86"/>
      <c r="AU103" s="86"/>
      <c r="AV103" s="86"/>
      <c r="AW103" s="86"/>
      <c r="AX103" s="86"/>
      <c r="AY103" s="86"/>
      <c r="CM103" s="86"/>
      <c r="CN103" s="86"/>
    </row>
    <row r="104" spans="8:92" s="367" customFormat="1" ht="15.75" hidden="1" customHeight="1" outlineLevel="1">
      <c r="H104" s="543"/>
      <c r="I104" s="853"/>
      <c r="J104" s="6"/>
      <c r="K104" s="541"/>
      <c r="L104" s="860"/>
      <c r="M104" s="20" t="str">
        <f>IF(J104="","",$M$5-SUM($J$7:J104))</f>
        <v/>
      </c>
      <c r="O104" s="7"/>
      <c r="P104" s="873">
        <f>IF(I!Q104&lt;&gt;I!R104,IF(I!Q104&lt;&gt;0,IF(I!S104&lt;&gt;I!T104,I!P104,),),)</f>
        <v>0</v>
      </c>
      <c r="Q104" s="795">
        <f>IF(I!Q104&lt;&gt;I!R104,IF(I!Q104&lt;&gt;0,IF(I!S104&lt;&gt;I!T104,I!Q104,),),)</f>
        <v>0</v>
      </c>
      <c r="R104" s="628">
        <f>IF(I!Q104&lt;&gt;I!R104,IF(I!Q104&lt;&gt;0,IF(I!S104&lt;&gt;I!T104,0,Q104),Q104),Q104)</f>
        <v>0</v>
      </c>
      <c r="S104" s="796">
        <f>IF(I!Q104&lt;&gt;I!R104,IF(I!Q104&lt;&gt;0,IF(I!S104&lt;&gt;I!T104,I!S104+1,),),)</f>
        <v>0</v>
      </c>
      <c r="T104" s="796">
        <f>IF(I!Q104&lt;&gt;I!R104,IF(I!Q104&lt;&gt;0,IF(I!S104&lt;&gt;I!T104,I!T104,),),)</f>
        <v>0</v>
      </c>
      <c r="U104" s="797">
        <f>IF(I!Q104&lt;&gt;I!R104,IF(I!Q104&lt;&gt;0,IF(I!S104&lt;&gt;I!T104,I!U104,),),)</f>
        <v>0</v>
      </c>
      <c r="V104" s="875">
        <f>IF(I!Q104&lt;&gt;I!R104,IF(I!Q104&lt;&gt;0,IF(I!S104&lt;&gt;I!T104,I!V104,),),)</f>
        <v>0</v>
      </c>
      <c r="W104" s="633">
        <f>IF(Q104="","",$W$5-SUM($Q$7:$Q$45)-SUM($Q$64:Q104))</f>
        <v>0</v>
      </c>
      <c r="AO104" s="86"/>
      <c r="AP104" s="86"/>
      <c r="AQ104" s="86"/>
      <c r="AR104" s="86"/>
      <c r="AS104" s="86"/>
      <c r="AT104" s="86"/>
      <c r="AU104" s="86"/>
      <c r="AV104" s="86"/>
      <c r="AW104" s="86"/>
      <c r="AX104" s="86"/>
      <c r="AY104" s="86"/>
      <c r="CM104" s="86"/>
      <c r="CN104" s="86"/>
    </row>
    <row r="105" spans="8:92" s="367" customFormat="1" ht="15.75" hidden="1" customHeight="1" outlineLevel="1">
      <c r="H105" s="543"/>
      <c r="I105" s="853"/>
      <c r="J105" s="6"/>
      <c r="K105" s="541"/>
      <c r="L105" s="860"/>
      <c r="M105" s="20" t="str">
        <f>IF(J105="","",$M$5-SUM($J$7:J105))</f>
        <v/>
      </c>
      <c r="O105" s="7"/>
      <c r="P105" s="872">
        <f>IF(I!Q105&lt;&gt;I!R105,IF(I!Q105&lt;&gt;0,IF(I!S105&lt;&gt;I!T105,I!P105,),),)</f>
        <v>0</v>
      </c>
      <c r="Q105" s="795">
        <f>IF(I!Q105&lt;&gt;I!R105,IF(I!Q105&lt;&gt;0,IF(I!S105&lt;&gt;I!T105,I!Q105,),),)</f>
        <v>0</v>
      </c>
      <c r="R105" s="628">
        <f>IF(I!Q105&lt;&gt;I!R105,IF(I!Q105&lt;&gt;0,IF(I!S105&lt;&gt;I!T105,0,Q105),Q105),Q105)</f>
        <v>0</v>
      </c>
      <c r="S105" s="796">
        <f>IF(I!Q105&lt;&gt;I!R105,IF(I!Q105&lt;&gt;0,IF(I!S105&lt;&gt;I!T105,I!S105+1,),),)</f>
        <v>0</v>
      </c>
      <c r="T105" s="796">
        <f>IF(I!Q105&lt;&gt;I!R105,IF(I!Q105&lt;&gt;0,IF(I!S105&lt;&gt;I!T105,I!T105,),),)</f>
        <v>0</v>
      </c>
      <c r="U105" s="797">
        <f>IF(I!Q105&lt;&gt;I!R105,IF(I!Q105&lt;&gt;0,IF(I!S105&lt;&gt;I!T105,I!U105,),),)</f>
        <v>0</v>
      </c>
      <c r="V105" s="875">
        <f>IF(I!Q105&lt;&gt;I!R105,IF(I!Q105&lt;&gt;0,IF(I!S105&lt;&gt;I!T105,I!V105,),),)</f>
        <v>0</v>
      </c>
      <c r="W105" s="633">
        <f>IF(Q105="","",$W$5-SUM($Q$7:$Q$45)-SUM($Q$64:Q105))</f>
        <v>0</v>
      </c>
      <c r="AO105" s="86"/>
      <c r="AP105" s="86"/>
      <c r="AQ105" s="86"/>
      <c r="AR105" s="86"/>
      <c r="AS105" s="86"/>
      <c r="AT105" s="86"/>
      <c r="AU105" s="86"/>
      <c r="AV105" s="86"/>
      <c r="AW105" s="86"/>
      <c r="AX105" s="86"/>
      <c r="AY105" s="86"/>
      <c r="CM105" s="86"/>
      <c r="CN105" s="86"/>
    </row>
    <row r="106" spans="8:92" s="367" customFormat="1" ht="15.75" hidden="1" customHeight="1" outlineLevel="1">
      <c r="H106" s="543"/>
      <c r="I106" s="853"/>
      <c r="J106" s="6"/>
      <c r="K106" s="541"/>
      <c r="L106" s="860"/>
      <c r="M106" s="20" t="str">
        <f>IF(J106="","",$M$5-SUM($J$7:J106))</f>
        <v/>
      </c>
      <c r="O106" s="7"/>
      <c r="P106" s="871">
        <f>IF(I!Q106&lt;&gt;I!R106,IF(I!Q106&lt;&gt;0,IF(I!S106&lt;&gt;I!T106,I!P106,),),)</f>
        <v>0</v>
      </c>
      <c r="Q106" s="795">
        <f>IF(I!Q106&lt;&gt;I!R106,IF(I!Q106&lt;&gt;0,IF(I!S106&lt;&gt;I!T106,I!Q106,),),)</f>
        <v>0</v>
      </c>
      <c r="R106" s="628">
        <f>IF(I!Q106&lt;&gt;I!R106,IF(I!Q106&lt;&gt;0,IF(I!S106&lt;&gt;I!T106,0,Q106),Q106),Q106)</f>
        <v>0</v>
      </c>
      <c r="S106" s="796">
        <f>IF(I!Q106&lt;&gt;I!R106,IF(I!Q106&lt;&gt;0,IF(I!S106&lt;&gt;I!T106,I!S106+1,),),)</f>
        <v>0</v>
      </c>
      <c r="T106" s="796">
        <f>IF(I!Q106&lt;&gt;I!R106,IF(I!Q106&lt;&gt;0,IF(I!S106&lt;&gt;I!T106,I!T106,),),)</f>
        <v>0</v>
      </c>
      <c r="U106" s="797">
        <f>IF(I!Q106&lt;&gt;I!R106,IF(I!Q106&lt;&gt;0,IF(I!S106&lt;&gt;I!T106,I!U106,),),)</f>
        <v>0</v>
      </c>
      <c r="V106" s="875">
        <f>IF(I!Q106&lt;&gt;I!R106,IF(I!Q106&lt;&gt;0,IF(I!S106&lt;&gt;I!T106,I!V106,),),)</f>
        <v>0</v>
      </c>
      <c r="W106" s="633">
        <f>IF(Q106="","",$W$5-SUM($Q$7:$Q$45)-SUM($Q$64:Q106))</f>
        <v>0</v>
      </c>
      <c r="AO106" s="86"/>
      <c r="AP106" s="86"/>
      <c r="AQ106" s="86"/>
      <c r="AR106" s="86"/>
      <c r="AS106" s="86"/>
      <c r="AT106" s="86"/>
      <c r="AU106" s="86"/>
      <c r="AV106" s="86"/>
      <c r="AW106" s="86"/>
      <c r="AX106" s="86"/>
      <c r="AY106" s="86"/>
      <c r="CM106" s="86"/>
      <c r="CN106" s="86"/>
    </row>
    <row r="107" spans="8:92" s="367" customFormat="1" ht="15.75" hidden="1" customHeight="1" outlineLevel="1">
      <c r="H107" s="543"/>
      <c r="I107" s="853"/>
      <c r="J107" s="6"/>
      <c r="K107" s="541"/>
      <c r="L107" s="860"/>
      <c r="M107" s="20" t="str">
        <f>IF(J107="","",$M$5-SUM($J$7:J107))</f>
        <v/>
      </c>
      <c r="O107" s="7"/>
      <c r="P107" s="871">
        <f>IF(I!Q107&lt;&gt;I!R107,IF(I!Q107&lt;&gt;0,IF(I!S107&lt;&gt;I!T107,I!P107,),),)</f>
        <v>0</v>
      </c>
      <c r="Q107" s="795">
        <f>IF(I!Q107&lt;&gt;I!R107,IF(I!Q107&lt;&gt;0,IF(I!S107&lt;&gt;I!T107,I!Q107,),),)</f>
        <v>0</v>
      </c>
      <c r="R107" s="628">
        <f>IF(I!Q107&lt;&gt;I!R107,IF(I!Q107&lt;&gt;0,IF(I!S107&lt;&gt;I!T107,0,Q107),Q107),Q107)</f>
        <v>0</v>
      </c>
      <c r="S107" s="796">
        <f>IF(I!Q107&lt;&gt;I!R107,IF(I!Q107&lt;&gt;0,IF(I!S107&lt;&gt;I!T107,I!S107+1,),),)</f>
        <v>0</v>
      </c>
      <c r="T107" s="796">
        <f>IF(I!Q107&lt;&gt;I!R107,IF(I!Q107&lt;&gt;0,IF(I!S107&lt;&gt;I!T107,I!T107,),),)</f>
        <v>0</v>
      </c>
      <c r="U107" s="797">
        <f>IF(I!Q107&lt;&gt;I!R107,IF(I!Q107&lt;&gt;0,IF(I!S107&lt;&gt;I!T107,I!U107,),),)</f>
        <v>0</v>
      </c>
      <c r="V107" s="875">
        <f>IF(I!Q107&lt;&gt;I!R107,IF(I!Q107&lt;&gt;0,IF(I!S107&lt;&gt;I!T107,I!V107,),),)</f>
        <v>0</v>
      </c>
      <c r="W107" s="633">
        <f>IF(Q107="","",$W$5-SUM($Q$7:$Q$45)-SUM($Q$64:Q107))</f>
        <v>0</v>
      </c>
      <c r="AO107" s="86"/>
      <c r="AP107" s="86"/>
      <c r="AQ107" s="86"/>
      <c r="AR107" s="86"/>
      <c r="AS107" s="86"/>
      <c r="AT107" s="86"/>
      <c r="AU107" s="86"/>
      <c r="AV107" s="86"/>
      <c r="AW107" s="86"/>
      <c r="AX107" s="86"/>
      <c r="AY107" s="86"/>
      <c r="CM107" s="86"/>
      <c r="CN107" s="86"/>
    </row>
    <row r="108" spans="8:92" s="367" customFormat="1" ht="15.75" hidden="1" customHeight="1" outlineLevel="1">
      <c r="H108" s="543"/>
      <c r="I108" s="853"/>
      <c r="J108" s="6"/>
      <c r="K108" s="541"/>
      <c r="L108" s="860"/>
      <c r="M108" s="20" t="str">
        <f>IF(J108="","",$M$5-SUM($J$7:J108))</f>
        <v/>
      </c>
      <c r="O108" s="7"/>
      <c r="P108" s="873">
        <f>IF(I!Q108&lt;&gt;I!R108,IF(I!Q108&lt;&gt;0,IF(I!S108&lt;&gt;I!T108,I!P108,),),)</f>
        <v>0</v>
      </c>
      <c r="Q108" s="795">
        <f>IF(I!Q108&lt;&gt;I!R108,IF(I!Q108&lt;&gt;0,IF(I!S108&lt;&gt;I!T108,I!Q108,),),)</f>
        <v>0</v>
      </c>
      <c r="R108" s="628">
        <f>IF(I!Q108&lt;&gt;I!R108,IF(I!Q108&lt;&gt;0,IF(I!S108&lt;&gt;I!T108,0,Q108),Q108),Q108)</f>
        <v>0</v>
      </c>
      <c r="S108" s="796">
        <f>IF(I!Q108&lt;&gt;I!R108,IF(I!Q108&lt;&gt;0,IF(I!S108&lt;&gt;I!T108,I!S108+1,),),)</f>
        <v>0</v>
      </c>
      <c r="T108" s="796">
        <f>IF(I!Q108&lt;&gt;I!R108,IF(I!Q108&lt;&gt;0,IF(I!S108&lt;&gt;I!T108,I!T108,),),)</f>
        <v>0</v>
      </c>
      <c r="U108" s="797">
        <f>IF(I!Q108&lt;&gt;I!R108,IF(I!Q108&lt;&gt;0,IF(I!S108&lt;&gt;I!T108,I!U108,),),)</f>
        <v>0</v>
      </c>
      <c r="V108" s="875">
        <f>IF(I!Q108&lt;&gt;I!R108,IF(I!Q108&lt;&gt;0,IF(I!S108&lt;&gt;I!T108,I!V108,),),)</f>
        <v>0</v>
      </c>
      <c r="W108" s="633">
        <f>IF(Q108="","",$W$5-SUM($Q$7:$Q$45)-SUM($Q$64:Q108))</f>
        <v>0</v>
      </c>
      <c r="AO108" s="86"/>
      <c r="AP108" s="86"/>
      <c r="AQ108" s="86"/>
      <c r="AR108" s="86"/>
      <c r="AS108" s="86"/>
      <c r="AT108" s="86"/>
      <c r="AU108" s="86"/>
      <c r="AV108" s="86"/>
      <c r="AW108" s="86"/>
      <c r="AX108" s="86"/>
      <c r="AY108" s="86"/>
      <c r="CM108" s="86"/>
      <c r="CN108" s="86"/>
    </row>
    <row r="109" spans="8:92" s="367" customFormat="1" ht="15.75" hidden="1" customHeight="1" outlineLevel="1">
      <c r="H109" s="543"/>
      <c r="I109" s="853"/>
      <c r="J109" s="6"/>
      <c r="K109" s="541"/>
      <c r="L109" s="860"/>
      <c r="M109" s="20" t="str">
        <f>IF(J109="","",$M$5-SUM($J$7:J109))</f>
        <v/>
      </c>
      <c r="O109" s="7"/>
      <c r="P109" s="871">
        <f>IF(I!Q109&lt;&gt;I!R109,IF(I!Q109&lt;&gt;0,IF(I!S109&lt;&gt;I!T109,I!P109,),),)</f>
        <v>0</v>
      </c>
      <c r="Q109" s="795">
        <f>IF(I!Q109&lt;&gt;I!R109,IF(I!Q109&lt;&gt;0,IF(I!S109&lt;&gt;I!T109,I!Q109,),),)</f>
        <v>0</v>
      </c>
      <c r="R109" s="628">
        <f>IF(I!Q109&lt;&gt;I!R109,IF(I!Q109&lt;&gt;0,IF(I!S109&lt;&gt;I!T109,0,Q109),Q109),Q109)</f>
        <v>0</v>
      </c>
      <c r="S109" s="796">
        <f>IF(I!Q109&lt;&gt;I!R109,IF(I!Q109&lt;&gt;0,IF(I!S109&lt;&gt;I!T109,I!S109+1,),),)</f>
        <v>0</v>
      </c>
      <c r="T109" s="796">
        <f>IF(I!Q109&lt;&gt;I!R109,IF(I!Q109&lt;&gt;0,IF(I!S109&lt;&gt;I!T109,I!T109,),),)</f>
        <v>0</v>
      </c>
      <c r="U109" s="797">
        <f>IF(I!Q109&lt;&gt;I!R109,IF(I!Q109&lt;&gt;0,IF(I!S109&lt;&gt;I!T109,I!U109,),),)</f>
        <v>0</v>
      </c>
      <c r="V109" s="875">
        <f>IF(I!Q109&lt;&gt;I!R109,IF(I!Q109&lt;&gt;0,IF(I!S109&lt;&gt;I!T109,I!V109,),),)</f>
        <v>0</v>
      </c>
      <c r="W109" s="633">
        <f>IF(Q109="","",$W$5-SUM($Q$7:$Q$45)-SUM($Q$64:Q109))</f>
        <v>0</v>
      </c>
      <c r="AO109" s="86"/>
      <c r="AP109" s="86"/>
      <c r="AQ109" s="86"/>
      <c r="AR109" s="86"/>
      <c r="AS109" s="86"/>
      <c r="AT109" s="86"/>
      <c r="AU109" s="86"/>
      <c r="AV109" s="86"/>
      <c r="AW109" s="86"/>
      <c r="AX109" s="86"/>
      <c r="AY109" s="86"/>
      <c r="CM109" s="86"/>
      <c r="CN109" s="86"/>
    </row>
    <row r="110" spans="8:92" s="367" customFormat="1" ht="16.5" hidden="1" customHeight="1" outlineLevel="1" thickBot="1">
      <c r="H110" s="544"/>
      <c r="I110" s="857"/>
      <c r="J110" s="545"/>
      <c r="K110" s="601"/>
      <c r="L110" s="861"/>
      <c r="M110" s="546" t="str">
        <f>IF(J110="","",$M$5-SUM($J$7:J110))</f>
        <v/>
      </c>
      <c r="O110" s="523"/>
      <c r="P110" s="874">
        <f>IF(I!Q110&lt;&gt;I!R110,IF(I!Q110&lt;&gt;0,IF(I!S110&lt;&gt;I!T110,I!P110,),),)</f>
        <v>0</v>
      </c>
      <c r="Q110" s="800">
        <f>IF(I!Q110&lt;&gt;I!R110,IF(I!Q110&lt;&gt;0,IF(I!S110&lt;&gt;I!T110,I!Q110,),),)</f>
        <v>0</v>
      </c>
      <c r="R110" s="630">
        <f>IF(I!Q110&lt;&gt;I!R110,IF(I!Q110&lt;&gt;0,IF(I!S110&lt;&gt;I!T110,0,Q110),Q110),Q110)</f>
        <v>0</v>
      </c>
      <c r="S110" s="801">
        <f>IF(I!Q110&lt;&gt;I!R110,IF(I!Q110&lt;&gt;0,IF(I!S110&lt;&gt;I!T110,I!S110+1,),),)</f>
        <v>0</v>
      </c>
      <c r="T110" s="801">
        <f>IF(I!Q110&lt;&gt;I!R110,IF(I!Q110&lt;&gt;0,IF(I!S110&lt;&gt;I!T110,I!T110,),),)</f>
        <v>0</v>
      </c>
      <c r="U110" s="802">
        <f>IF(I!Q110&lt;&gt;I!R110,IF(I!Q110&lt;&gt;0,IF(I!S110&lt;&gt;I!T110,I!U110,),),)</f>
        <v>0</v>
      </c>
      <c r="V110" s="876">
        <f>IF(I!Q110&lt;&gt;I!R110,IF(I!Q110&lt;&gt;0,IF(I!S110&lt;&gt;I!T110,I!V110,),),)</f>
        <v>0</v>
      </c>
      <c r="W110" s="635">
        <f>IF(Q110="","",$W$5-SUM($Q$7:$Q$45)-SUM($Q$64:Q110))</f>
        <v>0</v>
      </c>
      <c r="AO110" s="86"/>
      <c r="AP110" s="86"/>
      <c r="AQ110" s="86"/>
      <c r="AR110" s="86"/>
      <c r="AS110" s="86"/>
      <c r="AT110" s="86"/>
      <c r="AU110" s="86"/>
      <c r="AV110" s="86"/>
      <c r="AW110" s="86"/>
      <c r="AX110" s="86"/>
      <c r="AY110" s="86"/>
      <c r="CM110" s="86"/>
      <c r="CN110" s="86"/>
    </row>
    <row r="111" spans="8:92" s="367" customFormat="1">
      <c r="K111" s="593"/>
      <c r="L111" s="593"/>
      <c r="O111" s="511"/>
      <c r="S111" s="371"/>
      <c r="T111" s="371"/>
      <c r="U111" s="371"/>
      <c r="V111" s="371"/>
      <c r="AO111" s="86"/>
      <c r="AP111" s="86"/>
      <c r="AQ111" s="86"/>
      <c r="AR111" s="86"/>
      <c r="AS111" s="86"/>
      <c r="AT111" s="86"/>
      <c r="AU111" s="86"/>
      <c r="AV111" s="86"/>
      <c r="AW111" s="86"/>
      <c r="AX111" s="86"/>
      <c r="AY111" s="86"/>
      <c r="CM111" s="86"/>
      <c r="CN111" s="86"/>
    </row>
    <row r="112" spans="8:92" s="367" customFormat="1">
      <c r="O112" s="511"/>
      <c r="S112" s="371"/>
      <c r="T112" s="371"/>
      <c r="U112" s="371"/>
      <c r="V112" s="371"/>
      <c r="AO112" s="86"/>
      <c r="AP112" s="86"/>
      <c r="AQ112" s="86"/>
      <c r="AR112" s="86"/>
      <c r="AS112" s="86"/>
      <c r="AT112" s="86"/>
      <c r="AU112" s="86"/>
      <c r="AV112" s="86"/>
      <c r="AW112" s="86"/>
      <c r="AX112" s="86"/>
      <c r="AY112" s="86"/>
      <c r="CM112" s="86"/>
      <c r="CN112" s="86"/>
    </row>
    <row r="113" spans="15:92" s="367" customFormat="1">
      <c r="O113" s="511"/>
      <c r="S113" s="371"/>
      <c r="T113" s="371"/>
      <c r="U113" s="371"/>
      <c r="V113" s="371"/>
      <c r="AO113" s="86"/>
      <c r="AP113" s="86"/>
      <c r="AQ113" s="86"/>
      <c r="AR113" s="86"/>
      <c r="AS113" s="86"/>
      <c r="AT113" s="86"/>
      <c r="AU113" s="86"/>
      <c r="AV113" s="86"/>
      <c r="AW113" s="86"/>
      <c r="AX113" s="86"/>
      <c r="AY113" s="86"/>
      <c r="CM113" s="86"/>
      <c r="CN113" s="86"/>
    </row>
    <row r="114" spans="15:92" s="367" customFormat="1">
      <c r="O114" s="511"/>
      <c r="S114" s="371"/>
      <c r="T114" s="371"/>
      <c r="U114" s="371"/>
      <c r="V114" s="371"/>
      <c r="AO114" s="86"/>
      <c r="AP114" s="86"/>
      <c r="AQ114" s="86"/>
      <c r="AR114" s="86"/>
      <c r="AS114" s="86"/>
      <c r="AT114" s="86"/>
      <c r="AU114" s="86"/>
      <c r="AV114" s="86"/>
      <c r="AW114" s="86"/>
      <c r="AX114" s="86"/>
      <c r="AY114" s="86"/>
      <c r="CM114" s="86"/>
      <c r="CN114" s="86"/>
    </row>
    <row r="115" spans="15:92" s="367" customFormat="1">
      <c r="O115" s="511"/>
      <c r="S115" s="371"/>
      <c r="T115" s="371"/>
      <c r="U115" s="371"/>
      <c r="V115" s="371"/>
      <c r="AO115" s="86"/>
      <c r="AP115" s="86"/>
      <c r="AQ115" s="86"/>
      <c r="AR115" s="86"/>
      <c r="AS115" s="86"/>
      <c r="AT115" s="86"/>
      <c r="AU115" s="86"/>
      <c r="AV115" s="86"/>
      <c r="AW115" s="86"/>
      <c r="AX115" s="86"/>
      <c r="AY115" s="86"/>
      <c r="CM115" s="86"/>
      <c r="CN115" s="86"/>
    </row>
    <row r="116" spans="15:92" s="367" customFormat="1">
      <c r="O116" s="511"/>
      <c r="S116" s="371"/>
      <c r="T116" s="371"/>
      <c r="U116" s="371"/>
      <c r="V116" s="371"/>
      <c r="AO116" s="86"/>
      <c r="AP116" s="86"/>
      <c r="AQ116" s="86"/>
      <c r="AR116" s="86"/>
      <c r="AS116" s="86"/>
      <c r="AT116" s="86"/>
      <c r="AU116" s="86"/>
      <c r="AV116" s="86"/>
      <c r="AW116" s="86"/>
      <c r="AX116" s="86"/>
      <c r="AY116" s="86"/>
      <c r="CM116" s="86"/>
      <c r="CN116" s="86"/>
    </row>
    <row r="117" spans="15:92" s="367" customFormat="1">
      <c r="O117" s="511"/>
      <c r="S117" s="371"/>
      <c r="T117" s="371"/>
      <c r="U117" s="371"/>
      <c r="V117" s="371"/>
      <c r="AO117" s="86"/>
      <c r="AP117" s="86"/>
      <c r="AQ117" s="86"/>
      <c r="AR117" s="86"/>
      <c r="AS117" s="86"/>
      <c r="AT117" s="86"/>
      <c r="AU117" s="86"/>
      <c r="AV117" s="86"/>
      <c r="AW117" s="86"/>
      <c r="AX117" s="86"/>
      <c r="AY117" s="86"/>
      <c r="CM117" s="86"/>
      <c r="CN117" s="86"/>
    </row>
    <row r="118" spans="15:92" s="367" customFormat="1">
      <c r="O118" s="511"/>
      <c r="S118" s="371"/>
      <c r="T118" s="371"/>
      <c r="U118" s="371"/>
      <c r="V118" s="371"/>
      <c r="AO118" s="86"/>
      <c r="AP118" s="86"/>
      <c r="AQ118" s="86"/>
      <c r="AR118" s="86"/>
      <c r="AS118" s="86"/>
      <c r="AT118" s="86"/>
      <c r="AU118" s="86"/>
      <c r="AV118" s="86"/>
      <c r="AW118" s="86"/>
      <c r="AX118" s="86"/>
      <c r="AY118" s="86"/>
      <c r="CM118" s="86"/>
      <c r="CN118" s="86"/>
    </row>
    <row r="119" spans="15:92" s="367" customFormat="1">
      <c r="O119" s="511"/>
      <c r="S119" s="371"/>
      <c r="T119" s="371"/>
      <c r="U119" s="371"/>
      <c r="V119" s="371"/>
      <c r="AO119" s="86"/>
      <c r="AP119" s="86"/>
      <c r="AQ119" s="86"/>
      <c r="AR119" s="86"/>
      <c r="AS119" s="86"/>
      <c r="AT119" s="86"/>
      <c r="AU119" s="86"/>
      <c r="AV119" s="86"/>
      <c r="AW119" s="86"/>
      <c r="AX119" s="86"/>
      <c r="AY119" s="86"/>
      <c r="CM119" s="86"/>
      <c r="CN119" s="86"/>
    </row>
    <row r="120" spans="15:92" s="367" customFormat="1">
      <c r="O120" s="511"/>
      <c r="S120" s="371"/>
      <c r="T120" s="371"/>
      <c r="U120" s="371"/>
      <c r="V120" s="371"/>
      <c r="AO120" s="86"/>
      <c r="AP120" s="86"/>
      <c r="AQ120" s="86"/>
      <c r="AR120" s="86"/>
      <c r="AS120" s="86"/>
      <c r="AT120" s="86"/>
      <c r="AU120" s="86"/>
      <c r="AV120" s="86"/>
      <c r="AW120" s="86"/>
      <c r="AX120" s="86"/>
      <c r="AY120" s="86"/>
      <c r="CM120" s="86"/>
      <c r="CN120" s="86"/>
    </row>
    <row r="121" spans="15:92" s="367" customFormat="1">
      <c r="O121" s="511"/>
      <c r="S121" s="371"/>
      <c r="T121" s="371"/>
      <c r="U121" s="371"/>
      <c r="V121" s="371"/>
      <c r="AO121" s="86"/>
      <c r="AP121" s="86"/>
      <c r="AQ121" s="86"/>
      <c r="AR121" s="86"/>
      <c r="AS121" s="86"/>
      <c r="AT121" s="86"/>
      <c r="AU121" s="86"/>
      <c r="AV121" s="86"/>
      <c r="AW121" s="86"/>
      <c r="AX121" s="86"/>
      <c r="AY121" s="86"/>
      <c r="CM121" s="86"/>
      <c r="CN121" s="86"/>
    </row>
    <row r="122" spans="15:92" s="367" customFormat="1">
      <c r="O122" s="511"/>
      <c r="S122" s="371"/>
      <c r="T122" s="371"/>
      <c r="U122" s="371"/>
      <c r="V122" s="371"/>
      <c r="AO122" s="86"/>
      <c r="AP122" s="86"/>
      <c r="AQ122" s="86"/>
      <c r="AR122" s="86"/>
      <c r="AS122" s="86"/>
      <c r="AT122" s="86"/>
      <c r="AU122" s="86"/>
      <c r="AV122" s="86"/>
      <c r="AW122" s="86"/>
      <c r="AX122" s="86"/>
      <c r="AY122" s="86"/>
      <c r="CM122" s="86"/>
      <c r="CN122" s="86"/>
    </row>
    <row r="123" spans="15:92" s="367" customFormat="1">
      <c r="O123" s="511"/>
      <c r="S123" s="371"/>
      <c r="T123" s="371"/>
      <c r="U123" s="371"/>
      <c r="V123" s="371"/>
      <c r="AO123" s="86"/>
      <c r="AP123" s="86"/>
      <c r="AQ123" s="86"/>
      <c r="AR123" s="86"/>
      <c r="AS123" s="86"/>
      <c r="AT123" s="86"/>
      <c r="AU123" s="86"/>
      <c r="AV123" s="86"/>
      <c r="AW123" s="86"/>
      <c r="AX123" s="86"/>
      <c r="AY123" s="86"/>
      <c r="CM123" s="86"/>
      <c r="CN123" s="86"/>
    </row>
    <row r="124" spans="15:92" s="367" customFormat="1">
      <c r="O124" s="511"/>
      <c r="S124" s="371"/>
      <c r="T124" s="371"/>
      <c r="U124" s="371"/>
      <c r="V124" s="371"/>
      <c r="AO124" s="86"/>
      <c r="AP124" s="86"/>
      <c r="AQ124" s="86"/>
      <c r="AR124" s="86"/>
      <c r="AS124" s="86"/>
      <c r="AT124" s="86"/>
      <c r="AU124" s="86"/>
      <c r="AV124" s="86"/>
      <c r="AW124" s="86"/>
      <c r="AX124" s="86"/>
      <c r="AY124" s="86"/>
      <c r="CM124" s="86"/>
      <c r="CN124" s="86"/>
    </row>
    <row r="125" spans="15:92" s="367" customFormat="1">
      <c r="O125" s="511"/>
      <c r="S125" s="371"/>
      <c r="T125" s="371"/>
      <c r="U125" s="371"/>
      <c r="V125" s="371"/>
      <c r="AO125" s="86"/>
      <c r="AP125" s="86"/>
      <c r="AQ125" s="86"/>
      <c r="AR125" s="86"/>
      <c r="AS125" s="86"/>
      <c r="AT125" s="86"/>
      <c r="AU125" s="86"/>
      <c r="AV125" s="86"/>
      <c r="AW125" s="86"/>
      <c r="AX125" s="86"/>
      <c r="AY125" s="86"/>
      <c r="CM125" s="86"/>
      <c r="CN125" s="86"/>
    </row>
    <row r="126" spans="15:92" s="367" customFormat="1">
      <c r="O126" s="511"/>
      <c r="S126" s="371"/>
      <c r="T126" s="371"/>
      <c r="U126" s="371"/>
      <c r="V126" s="371"/>
      <c r="AO126" s="86"/>
      <c r="AP126" s="86"/>
      <c r="AQ126" s="86"/>
      <c r="AR126" s="86"/>
      <c r="AS126" s="86"/>
      <c r="AT126" s="86"/>
      <c r="AU126" s="86"/>
      <c r="AV126" s="86"/>
      <c r="AW126" s="86"/>
      <c r="AX126" s="86"/>
      <c r="AY126" s="86"/>
      <c r="CM126" s="86"/>
      <c r="CN126" s="86"/>
    </row>
    <row r="127" spans="15:92" s="367" customFormat="1">
      <c r="O127" s="511"/>
      <c r="S127" s="371"/>
      <c r="T127" s="371"/>
      <c r="U127" s="371"/>
      <c r="V127" s="371"/>
      <c r="AO127" s="86"/>
      <c r="AP127" s="86"/>
      <c r="AQ127" s="86"/>
      <c r="AR127" s="86"/>
      <c r="AS127" s="86"/>
      <c r="AT127" s="86"/>
      <c r="AU127" s="86"/>
      <c r="AV127" s="86"/>
      <c r="AW127" s="86"/>
      <c r="AX127" s="86"/>
      <c r="AY127" s="86"/>
      <c r="CM127" s="86"/>
      <c r="CN127" s="86"/>
    </row>
    <row r="128" spans="15:92" s="367" customFormat="1">
      <c r="O128" s="511"/>
      <c r="S128" s="371"/>
      <c r="T128" s="371"/>
      <c r="U128" s="371"/>
      <c r="V128" s="371"/>
      <c r="AO128" s="86"/>
      <c r="AP128" s="86"/>
      <c r="AQ128" s="86"/>
      <c r="AR128" s="86"/>
      <c r="AS128" s="86"/>
      <c r="AT128" s="86"/>
      <c r="AU128" s="86"/>
      <c r="AV128" s="86"/>
      <c r="AW128" s="86"/>
      <c r="AX128" s="86"/>
      <c r="AY128" s="86"/>
      <c r="CM128" s="86"/>
      <c r="CN128" s="86"/>
    </row>
    <row r="129" spans="15:92" s="367" customFormat="1">
      <c r="O129" s="511"/>
      <c r="S129" s="371"/>
      <c r="T129" s="371"/>
      <c r="U129" s="371"/>
      <c r="V129" s="371"/>
      <c r="AO129" s="86"/>
      <c r="AP129" s="86"/>
      <c r="AQ129" s="86"/>
      <c r="AR129" s="86"/>
      <c r="AS129" s="86"/>
      <c r="AT129" s="86"/>
      <c r="AU129" s="86"/>
      <c r="AV129" s="86"/>
      <c r="AW129" s="86"/>
      <c r="AX129" s="86"/>
      <c r="AY129" s="86"/>
      <c r="CM129" s="86"/>
      <c r="CN129" s="86"/>
    </row>
    <row r="130" spans="15:92" s="367" customFormat="1">
      <c r="O130" s="511"/>
      <c r="S130" s="371"/>
      <c r="T130" s="371"/>
      <c r="U130" s="371"/>
      <c r="V130" s="371"/>
      <c r="AO130" s="86"/>
      <c r="AP130" s="86"/>
      <c r="AQ130" s="86"/>
      <c r="AR130" s="86"/>
      <c r="AS130" s="86"/>
      <c r="AT130" s="86"/>
      <c r="AU130" s="86"/>
      <c r="AV130" s="86"/>
      <c r="AW130" s="86"/>
      <c r="AX130" s="86"/>
      <c r="AY130" s="86"/>
      <c r="CM130" s="86"/>
      <c r="CN130" s="86"/>
    </row>
    <row r="131" spans="15:92" s="367" customFormat="1">
      <c r="O131" s="511"/>
      <c r="S131" s="371"/>
      <c r="T131" s="371"/>
      <c r="U131" s="371"/>
      <c r="V131" s="371"/>
      <c r="AO131" s="86"/>
      <c r="AP131" s="86"/>
      <c r="AQ131" s="86"/>
      <c r="AR131" s="86"/>
      <c r="AS131" s="86"/>
      <c r="AT131" s="86"/>
      <c r="AU131" s="86"/>
      <c r="AV131" s="86"/>
      <c r="AW131" s="86"/>
      <c r="AX131" s="86"/>
      <c r="AY131" s="86"/>
      <c r="CM131" s="86"/>
      <c r="CN131" s="86"/>
    </row>
    <row r="132" spans="15:92" s="367" customFormat="1">
      <c r="O132" s="511"/>
      <c r="S132" s="371"/>
      <c r="T132" s="371"/>
      <c r="U132" s="371"/>
      <c r="V132" s="371"/>
      <c r="AO132" s="86"/>
      <c r="AP132" s="86"/>
      <c r="AQ132" s="86"/>
      <c r="AR132" s="86"/>
      <c r="AS132" s="86"/>
      <c r="AT132" s="86"/>
      <c r="AU132" s="86"/>
      <c r="AV132" s="86"/>
      <c r="AW132" s="86"/>
      <c r="AX132" s="86"/>
      <c r="AY132" s="86"/>
      <c r="CM132" s="86"/>
      <c r="CN132" s="86"/>
    </row>
    <row r="133" spans="15:92" s="367" customFormat="1">
      <c r="O133" s="511"/>
      <c r="S133" s="371"/>
      <c r="T133" s="371"/>
      <c r="U133" s="371"/>
      <c r="V133" s="371"/>
      <c r="AO133" s="86"/>
      <c r="AP133" s="86"/>
      <c r="AQ133" s="86"/>
      <c r="AR133" s="86"/>
      <c r="AS133" s="86"/>
      <c r="AT133" s="86"/>
      <c r="AU133" s="86"/>
      <c r="AV133" s="86"/>
      <c r="AW133" s="86"/>
      <c r="AX133" s="86"/>
      <c r="AY133" s="86"/>
      <c r="CM133" s="86"/>
      <c r="CN133" s="86"/>
    </row>
    <row r="134" spans="15:92" s="367" customFormat="1">
      <c r="O134" s="511"/>
      <c r="S134" s="371"/>
      <c r="T134" s="371"/>
      <c r="U134" s="371"/>
      <c r="V134" s="371"/>
      <c r="AO134" s="86"/>
      <c r="AP134" s="86"/>
      <c r="AQ134" s="86"/>
      <c r="AR134" s="86"/>
      <c r="AS134" s="86"/>
      <c r="AT134" s="86"/>
      <c r="AU134" s="86"/>
      <c r="AV134" s="86"/>
      <c r="AW134" s="86"/>
      <c r="AX134" s="86"/>
      <c r="AY134" s="86"/>
      <c r="CM134" s="86"/>
      <c r="CN134" s="86"/>
    </row>
    <row r="135" spans="15:92" s="367" customFormat="1">
      <c r="O135" s="511"/>
      <c r="S135" s="371"/>
      <c r="T135" s="371"/>
      <c r="U135" s="371"/>
      <c r="V135" s="371"/>
      <c r="AO135" s="86"/>
      <c r="AP135" s="86"/>
      <c r="AQ135" s="86"/>
      <c r="AR135" s="86"/>
      <c r="AS135" s="86"/>
      <c r="AT135" s="86"/>
      <c r="AU135" s="86"/>
      <c r="AV135" s="86"/>
      <c r="AW135" s="86"/>
      <c r="AX135" s="86"/>
      <c r="AY135" s="86"/>
      <c r="CM135" s="86"/>
      <c r="CN135" s="86"/>
    </row>
    <row r="136" spans="15:92" s="367" customFormat="1">
      <c r="O136" s="511"/>
      <c r="S136" s="371"/>
      <c r="T136" s="371"/>
      <c r="U136" s="371"/>
      <c r="V136" s="371"/>
      <c r="AO136" s="86"/>
      <c r="AP136" s="86"/>
      <c r="AQ136" s="86"/>
      <c r="AR136" s="86"/>
      <c r="AS136" s="86"/>
      <c r="AT136" s="86"/>
      <c r="AU136" s="86"/>
      <c r="AV136" s="86"/>
      <c r="AW136" s="86"/>
      <c r="AX136" s="86"/>
      <c r="AY136" s="86"/>
      <c r="CM136" s="86"/>
      <c r="CN136" s="86"/>
    </row>
    <row r="137" spans="15:92" s="367" customFormat="1">
      <c r="O137" s="511"/>
      <c r="S137" s="371"/>
      <c r="T137" s="371"/>
      <c r="U137" s="371"/>
      <c r="V137" s="371"/>
      <c r="AO137" s="86"/>
      <c r="AP137" s="86"/>
      <c r="AQ137" s="86"/>
      <c r="AR137" s="86"/>
      <c r="AS137" s="86"/>
      <c r="AT137" s="86"/>
      <c r="AU137" s="86"/>
      <c r="AV137" s="86"/>
      <c r="AW137" s="86"/>
      <c r="AX137" s="86"/>
      <c r="AY137" s="86"/>
      <c r="CM137" s="86"/>
      <c r="CN137" s="86"/>
    </row>
    <row r="138" spans="15:92" s="367" customFormat="1">
      <c r="O138" s="511"/>
      <c r="S138" s="371"/>
      <c r="T138" s="371"/>
      <c r="U138" s="371"/>
      <c r="V138" s="371"/>
      <c r="AO138" s="86"/>
      <c r="AP138" s="86"/>
      <c r="AQ138" s="86"/>
      <c r="AR138" s="86"/>
      <c r="AS138" s="86"/>
      <c r="AT138" s="86"/>
      <c r="AU138" s="86"/>
      <c r="AV138" s="86"/>
      <c r="AW138" s="86"/>
      <c r="AX138" s="86"/>
      <c r="AY138" s="86"/>
      <c r="CM138" s="86"/>
      <c r="CN138" s="86"/>
    </row>
    <row r="139" spans="15:92" s="367" customFormat="1">
      <c r="O139" s="511"/>
      <c r="S139" s="371"/>
      <c r="T139" s="371"/>
      <c r="U139" s="371"/>
      <c r="V139" s="371"/>
      <c r="AO139" s="86"/>
      <c r="AP139" s="86"/>
      <c r="AQ139" s="86"/>
      <c r="AR139" s="86"/>
      <c r="AS139" s="86"/>
      <c r="AT139" s="86"/>
      <c r="AU139" s="86"/>
      <c r="AV139" s="86"/>
      <c r="AW139" s="86"/>
      <c r="AX139" s="86"/>
      <c r="AY139" s="86"/>
      <c r="CM139" s="86"/>
      <c r="CN139" s="86"/>
    </row>
    <row r="140" spans="15:92" s="367" customFormat="1">
      <c r="O140" s="511"/>
      <c r="S140" s="371"/>
      <c r="T140" s="371"/>
      <c r="U140" s="371"/>
      <c r="V140" s="371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CM140" s="86"/>
      <c r="CN140" s="86"/>
    </row>
    <row r="141" spans="15:92" s="367" customFormat="1">
      <c r="O141" s="511"/>
      <c r="S141" s="371"/>
      <c r="T141" s="371"/>
      <c r="U141" s="371"/>
      <c r="V141" s="371"/>
      <c r="AO141" s="86"/>
      <c r="AP141" s="86"/>
      <c r="AQ141" s="86"/>
      <c r="AR141" s="86"/>
      <c r="AS141" s="86"/>
      <c r="AT141" s="86"/>
      <c r="AU141" s="86"/>
      <c r="AV141" s="86"/>
      <c r="AW141" s="86"/>
      <c r="AX141" s="86"/>
      <c r="AY141" s="86"/>
      <c r="CM141" s="86"/>
      <c r="CN141" s="86"/>
    </row>
    <row r="142" spans="15:92" s="367" customFormat="1">
      <c r="O142" s="511"/>
      <c r="S142" s="371"/>
      <c r="T142" s="371"/>
      <c r="U142" s="371"/>
      <c r="V142" s="371"/>
      <c r="AO142" s="86"/>
      <c r="AP142" s="86"/>
      <c r="AQ142" s="86"/>
      <c r="AR142" s="86"/>
      <c r="AS142" s="86"/>
      <c r="AT142" s="86"/>
      <c r="AU142" s="86"/>
      <c r="AV142" s="86"/>
      <c r="AW142" s="86"/>
      <c r="AX142" s="86"/>
      <c r="AY142" s="86"/>
      <c r="CM142" s="86"/>
      <c r="CN142" s="86"/>
    </row>
    <row r="143" spans="15:92" s="367" customFormat="1">
      <c r="O143" s="511"/>
      <c r="S143" s="371"/>
      <c r="T143" s="371"/>
      <c r="U143" s="371"/>
      <c r="V143" s="371"/>
      <c r="AO143" s="86"/>
      <c r="AP143" s="86"/>
      <c r="AQ143" s="86"/>
      <c r="AR143" s="86"/>
      <c r="AS143" s="86"/>
      <c r="AT143" s="86"/>
      <c r="AU143" s="86"/>
      <c r="AV143" s="86"/>
      <c r="AW143" s="86"/>
      <c r="AX143" s="86"/>
      <c r="AY143" s="86"/>
      <c r="CM143" s="86"/>
      <c r="CN143" s="86"/>
    </row>
    <row r="144" spans="15:92" s="367" customFormat="1">
      <c r="O144" s="511"/>
      <c r="S144" s="371"/>
      <c r="T144" s="371"/>
      <c r="U144" s="371"/>
      <c r="V144" s="371"/>
      <c r="AO144" s="86"/>
      <c r="AP144" s="86"/>
      <c r="AQ144" s="86"/>
      <c r="AR144" s="86"/>
      <c r="AS144" s="86"/>
      <c r="AT144" s="86"/>
      <c r="AU144" s="86"/>
      <c r="AV144" s="86"/>
      <c r="AW144" s="86"/>
      <c r="AX144" s="86"/>
      <c r="AY144" s="86"/>
      <c r="CM144" s="86"/>
      <c r="CN144" s="86"/>
    </row>
    <row r="145" spans="1:92" s="367" customFormat="1">
      <c r="O145" s="511"/>
      <c r="S145" s="371"/>
      <c r="T145" s="371"/>
      <c r="U145" s="371"/>
      <c r="V145" s="371"/>
      <c r="AO145" s="86"/>
      <c r="AP145" s="86"/>
      <c r="AQ145" s="86"/>
      <c r="AR145" s="86"/>
      <c r="AS145" s="86"/>
      <c r="AT145" s="86"/>
      <c r="AU145" s="86"/>
      <c r="AV145" s="86"/>
      <c r="AW145" s="86"/>
      <c r="AX145" s="86"/>
      <c r="AY145" s="86"/>
      <c r="CM145" s="86"/>
      <c r="CN145" s="86"/>
    </row>
    <row r="146" spans="1:92" s="367" customFormat="1">
      <c r="O146" s="511"/>
      <c r="S146" s="371"/>
      <c r="T146" s="371"/>
      <c r="U146" s="371"/>
      <c r="V146" s="371"/>
      <c r="AO146" s="86"/>
      <c r="AP146" s="86"/>
      <c r="AQ146" s="86"/>
      <c r="AR146" s="86"/>
      <c r="AS146" s="86"/>
      <c r="AT146" s="86"/>
      <c r="AU146" s="86"/>
      <c r="AV146" s="86"/>
      <c r="AW146" s="86"/>
      <c r="AX146" s="86"/>
      <c r="AY146" s="86"/>
      <c r="CM146" s="86"/>
      <c r="CN146" s="86"/>
    </row>
    <row r="147" spans="1:92" s="367" customFormat="1">
      <c r="O147" s="511"/>
      <c r="S147" s="371"/>
      <c r="T147" s="371"/>
      <c r="U147" s="371"/>
      <c r="V147" s="371"/>
      <c r="AO147" s="86"/>
      <c r="AP147" s="86"/>
      <c r="AQ147" s="86"/>
      <c r="AR147" s="86"/>
      <c r="AS147" s="86"/>
      <c r="AT147" s="86"/>
      <c r="AU147" s="86"/>
      <c r="AV147" s="86"/>
      <c r="AW147" s="86"/>
      <c r="AX147" s="86"/>
      <c r="AY147" s="86"/>
      <c r="CM147" s="86"/>
      <c r="CN147" s="86"/>
    </row>
    <row r="148" spans="1:92" s="367" customFormat="1">
      <c r="O148" s="511"/>
      <c r="S148" s="371"/>
      <c r="T148" s="371"/>
      <c r="U148" s="371"/>
      <c r="V148" s="371"/>
      <c r="AO148" s="86"/>
      <c r="AP148" s="86"/>
      <c r="AQ148" s="86"/>
      <c r="AR148" s="86"/>
      <c r="AS148" s="86"/>
      <c r="AT148" s="86"/>
      <c r="AU148" s="86"/>
      <c r="AV148" s="86"/>
      <c r="AW148" s="86"/>
      <c r="AX148" s="86"/>
      <c r="AY148" s="86"/>
      <c r="CM148" s="86"/>
      <c r="CN148" s="86"/>
    </row>
    <row r="149" spans="1:92" s="367" customFormat="1">
      <c r="O149" s="511"/>
      <c r="S149" s="371"/>
      <c r="T149" s="371"/>
      <c r="U149" s="371"/>
      <c r="V149" s="371"/>
      <c r="AO149" s="86"/>
      <c r="AP149" s="86"/>
      <c r="AQ149" s="86"/>
      <c r="AR149" s="86"/>
      <c r="AS149" s="86"/>
      <c r="AT149" s="86"/>
      <c r="AU149" s="86"/>
      <c r="AV149" s="86"/>
      <c r="AW149" s="86"/>
      <c r="AX149" s="86"/>
      <c r="AY149" s="86"/>
      <c r="CM149" s="86"/>
      <c r="CN149" s="86"/>
    </row>
    <row r="150" spans="1:92" s="367" customFormat="1">
      <c r="O150" s="511"/>
      <c r="S150" s="371"/>
      <c r="T150" s="371"/>
      <c r="U150" s="371"/>
      <c r="V150" s="371"/>
      <c r="AO150" s="86"/>
      <c r="AP150" s="86"/>
      <c r="AQ150" s="86"/>
      <c r="AR150" s="86"/>
      <c r="AS150" s="86"/>
      <c r="AT150" s="86"/>
      <c r="AU150" s="86"/>
      <c r="AV150" s="86"/>
      <c r="AW150" s="86"/>
      <c r="AX150" s="86"/>
      <c r="AY150" s="86"/>
      <c r="CM150" s="86"/>
      <c r="CN150" s="86"/>
    </row>
    <row r="151" spans="1:92" s="367" customFormat="1">
      <c r="O151" s="511"/>
      <c r="S151" s="371"/>
      <c r="T151" s="371"/>
      <c r="U151" s="371"/>
      <c r="V151" s="371"/>
      <c r="AO151" s="86"/>
      <c r="AP151" s="86"/>
      <c r="AQ151" s="86"/>
      <c r="AR151" s="86"/>
      <c r="AS151" s="86"/>
      <c r="AT151" s="86"/>
      <c r="AU151" s="86"/>
      <c r="AV151" s="86"/>
      <c r="AW151" s="86"/>
      <c r="AX151" s="86"/>
      <c r="AY151" s="86"/>
      <c r="CM151" s="86"/>
      <c r="CN151" s="86"/>
    </row>
    <row r="152" spans="1:92">
      <c r="A152" s="367"/>
      <c r="B152" s="367"/>
      <c r="C152" s="367"/>
      <c r="D152" s="367"/>
      <c r="E152" s="367"/>
      <c r="F152" s="367"/>
      <c r="G152" s="367"/>
      <c r="H152" s="367"/>
      <c r="I152" s="367"/>
      <c r="J152" s="367"/>
      <c r="K152" s="367"/>
      <c r="L152" s="367"/>
      <c r="M152" s="367"/>
      <c r="N152" s="367"/>
      <c r="O152" s="377"/>
      <c r="P152" s="367"/>
      <c r="Q152" s="367"/>
      <c r="R152" s="367"/>
      <c r="S152" s="371"/>
      <c r="T152" s="371"/>
      <c r="U152" s="371"/>
      <c r="V152" s="371"/>
      <c r="W152" s="367"/>
      <c r="X152" s="367"/>
      <c r="Y152" s="367"/>
      <c r="Z152" s="367"/>
      <c r="AA152" s="367"/>
      <c r="AB152" s="367"/>
      <c r="AC152" s="367"/>
      <c r="AD152" s="367"/>
      <c r="AE152" s="367"/>
      <c r="AF152" s="367"/>
      <c r="AG152" s="367"/>
      <c r="AH152" s="367"/>
      <c r="AI152" s="367"/>
      <c r="AJ152" s="367"/>
      <c r="AK152" s="367"/>
      <c r="AL152" s="367"/>
      <c r="AM152" s="367"/>
      <c r="AN152" s="367"/>
      <c r="AO152" s="86"/>
    </row>
  </sheetData>
  <sheetProtection password="D37A" sheet="1" scenarios="1" formatCells="0" formatColumns="0" formatRows="0" insertColumns="0" insertRows="0" sort="0" autoFilter="0"/>
  <mergeCells count="72">
    <mergeCell ref="S51:T51"/>
    <mergeCell ref="S52:T52"/>
    <mergeCell ref="S59:T59"/>
    <mergeCell ref="S53:T53"/>
    <mergeCell ref="S54:T54"/>
    <mergeCell ref="S55:T55"/>
    <mergeCell ref="S56:T56"/>
    <mergeCell ref="S58:T58"/>
    <mergeCell ref="N2:O2"/>
    <mergeCell ref="H54:H56"/>
    <mergeCell ref="C41:D41"/>
    <mergeCell ref="I56:J56"/>
    <mergeCell ref="B42:D42"/>
    <mergeCell ref="B3:C3"/>
    <mergeCell ref="B23:B24"/>
    <mergeCell ref="B25:B26"/>
    <mergeCell ref="N53:O54"/>
    <mergeCell ref="E5:E6"/>
    <mergeCell ref="C5:C6"/>
    <mergeCell ref="F5:F6"/>
    <mergeCell ref="K5:K6"/>
    <mergeCell ref="Y3:AA3"/>
    <mergeCell ref="C58:D58"/>
    <mergeCell ref="C23:D24"/>
    <mergeCell ref="D25:D26"/>
    <mergeCell ref="C25:C26"/>
    <mergeCell ref="F25:F26"/>
    <mergeCell ref="E25:E26"/>
    <mergeCell ref="E23:F24"/>
    <mergeCell ref="C4:D4"/>
    <mergeCell ref="Y4:Z4"/>
    <mergeCell ref="E4:F4"/>
    <mergeCell ref="D5:D6"/>
    <mergeCell ref="H5:H6"/>
    <mergeCell ref="O5:O6"/>
    <mergeCell ref="B43:C43"/>
    <mergeCell ref="L5:L6"/>
    <mergeCell ref="AR21:AR22"/>
    <mergeCell ref="AE15:AE20"/>
    <mergeCell ref="AE21:AE22"/>
    <mergeCell ref="Y21:Y22"/>
    <mergeCell ref="Z21:Z22"/>
    <mergeCell ref="AG21:AG22"/>
    <mergeCell ref="AD21:AD22"/>
    <mergeCell ref="AA21:AA22"/>
    <mergeCell ref="AP12:AX12"/>
    <mergeCell ref="Y18:Z18"/>
    <mergeCell ref="Y20:AA20"/>
    <mergeCell ref="AQ20:AT20"/>
    <mergeCell ref="P5:Q6"/>
    <mergeCell ref="AE5:AE7"/>
    <mergeCell ref="AE10:AE12"/>
    <mergeCell ref="U5:U6"/>
    <mergeCell ref="S4:S5"/>
    <mergeCell ref="R5:R6"/>
    <mergeCell ref="T4:T5"/>
    <mergeCell ref="AB4:AC4"/>
    <mergeCell ref="V5:V6"/>
    <mergeCell ref="W5:W6"/>
    <mergeCell ref="B63:B64"/>
    <mergeCell ref="C63:C64"/>
    <mergeCell ref="D63:D64"/>
    <mergeCell ref="E63:E64"/>
    <mergeCell ref="F63:F64"/>
    <mergeCell ref="S49:T49"/>
    <mergeCell ref="S50:T50"/>
    <mergeCell ref="S48:T48"/>
    <mergeCell ref="Z46:AA46"/>
    <mergeCell ref="B5:B6"/>
    <mergeCell ref="B20:D20"/>
    <mergeCell ref="I5:J6"/>
    <mergeCell ref="M5:M6"/>
  </mergeCells>
  <conditionalFormatting sqref="AE23:AE44 Q56:S56 S49:S55">
    <cfRule type="cellIs" dxfId="1947" priority="6" stopIfTrue="1" operator="lessThan">
      <formula>0</formula>
    </cfRule>
  </conditionalFormatting>
  <conditionalFormatting sqref="AE13:AE14">
    <cfRule type="containsText" dxfId="1946" priority="364" stopIfTrue="1" operator="containsText" text="חריגה">
      <formula>NOT(ISERROR(SEARCH("חריגה",AE13)))</formula>
    </cfRule>
  </conditionalFormatting>
  <conditionalFormatting sqref="AI23:AI44">
    <cfRule type="cellIs" dxfId="1945" priority="363" stopIfTrue="1" operator="equal">
      <formula>1</formula>
    </cfRule>
  </conditionalFormatting>
  <conditionalFormatting sqref="E20:F20 E42:F42">
    <cfRule type="containsText" dxfId="1944" priority="362" stopIfTrue="1" operator="containsText" text="חיובי">
      <formula>NOT(ISERROR(SEARCH("חיובי",E20)))</formula>
    </cfRule>
  </conditionalFormatting>
  <conditionalFormatting sqref="W46 K54:M54 K58:M58 D19 C41">
    <cfRule type="cellIs" dxfId="1943" priority="361" stopIfTrue="1" operator="lessThan">
      <formula>0</formula>
    </cfRule>
  </conditionalFormatting>
  <conditionalFormatting sqref="D45">
    <cfRule type="cellIs" dxfId="1942" priority="382" stopIfTrue="1" operator="greaterThan">
      <formula>$C$45</formula>
    </cfRule>
  </conditionalFormatting>
  <conditionalFormatting sqref="D46">
    <cfRule type="cellIs" dxfId="1941" priority="383" stopIfTrue="1" operator="greaterThan">
      <formula>$C$46</formula>
    </cfRule>
  </conditionalFormatting>
  <conditionalFormatting sqref="D47">
    <cfRule type="cellIs" dxfId="1940" priority="384" stopIfTrue="1" operator="greaterThan">
      <formula>$C$47</formula>
    </cfRule>
  </conditionalFormatting>
  <conditionalFormatting sqref="D48">
    <cfRule type="cellIs" dxfId="1939" priority="385" stopIfTrue="1" operator="greaterThan">
      <formula>$C$48</formula>
    </cfRule>
  </conditionalFormatting>
  <conditionalFormatting sqref="D49">
    <cfRule type="cellIs" dxfId="1938" priority="386" stopIfTrue="1" operator="greaterThan">
      <formula>$C$49</formula>
    </cfRule>
  </conditionalFormatting>
  <conditionalFormatting sqref="D50">
    <cfRule type="cellIs" dxfId="1937" priority="387" stopIfTrue="1" operator="greaterThan">
      <formula>$C$50</formula>
    </cfRule>
  </conditionalFormatting>
  <conditionalFormatting sqref="D51">
    <cfRule type="cellIs" dxfId="1936" priority="388" stopIfTrue="1" operator="greaterThan">
      <formula>$C$51</formula>
    </cfRule>
  </conditionalFormatting>
  <conditionalFormatting sqref="D52">
    <cfRule type="cellIs" dxfId="1935" priority="389" stopIfTrue="1" operator="greaterThan">
      <formula>$C$52</formula>
    </cfRule>
  </conditionalFormatting>
  <conditionalFormatting sqref="D53">
    <cfRule type="cellIs" dxfId="1934" priority="390" stopIfTrue="1" operator="greaterThan">
      <formula>$C$53</formula>
    </cfRule>
  </conditionalFormatting>
  <conditionalFormatting sqref="D54">
    <cfRule type="cellIs" dxfId="1933" priority="391" stopIfTrue="1" operator="greaterThan">
      <formula>$C$54</formula>
    </cfRule>
  </conditionalFormatting>
  <conditionalFormatting sqref="D55">
    <cfRule type="cellIs" dxfId="1932" priority="392" stopIfTrue="1" operator="greaterThan">
      <formula>$C$55</formula>
    </cfRule>
  </conditionalFormatting>
  <conditionalFormatting sqref="D56">
    <cfRule type="cellIs" dxfId="1931" priority="393" stopIfTrue="1" operator="greaterThan">
      <formula>$C$56</formula>
    </cfRule>
  </conditionalFormatting>
  <conditionalFormatting sqref="C7">
    <cfRule type="expression" dxfId="1930" priority="357" stopIfTrue="1">
      <formula>AND(C7&lt;&gt;0, NOT(ISTEXT(B7)))</formula>
    </cfRule>
    <cfRule type="cellIs" dxfId="1929" priority="358" stopIfTrue="1" operator="lessThan">
      <formula>0</formula>
    </cfRule>
  </conditionalFormatting>
  <conditionalFormatting sqref="C8">
    <cfRule type="expression" dxfId="1928" priority="355" stopIfTrue="1">
      <formula>AND(C8&lt;&gt;0, NOT(ISTEXT(B8)))</formula>
    </cfRule>
    <cfRule type="cellIs" dxfId="1927" priority="356" stopIfTrue="1" operator="lessThan">
      <formula>0</formula>
    </cfRule>
  </conditionalFormatting>
  <conditionalFormatting sqref="C9">
    <cfRule type="expression" dxfId="1926" priority="353" stopIfTrue="1">
      <formula>AND(C9&lt;&gt;0, NOT(ISTEXT(B9)))</formula>
    </cfRule>
    <cfRule type="cellIs" dxfId="1925" priority="354" stopIfTrue="1" operator="lessThan">
      <formula>0</formula>
    </cfRule>
  </conditionalFormatting>
  <conditionalFormatting sqref="C10">
    <cfRule type="expression" dxfId="1924" priority="351" stopIfTrue="1">
      <formula>AND(C10&lt;&gt;0, NOT(ISTEXT(B10)))</formula>
    </cfRule>
    <cfRule type="cellIs" dxfId="1923" priority="352" stopIfTrue="1" operator="lessThan">
      <formula>0</formula>
    </cfRule>
  </conditionalFormatting>
  <conditionalFormatting sqref="C11">
    <cfRule type="expression" dxfId="1922" priority="349" stopIfTrue="1">
      <formula>AND(C11&lt;&gt;0, NOT(ISTEXT(B11)))</formula>
    </cfRule>
    <cfRule type="cellIs" dxfId="1921" priority="350" stopIfTrue="1" operator="lessThan">
      <formula>0</formula>
    </cfRule>
  </conditionalFormatting>
  <conditionalFormatting sqref="C12">
    <cfRule type="expression" dxfId="1920" priority="347" stopIfTrue="1">
      <formula>AND(C12&lt;&gt;0, NOT(ISTEXT(B12)))</formula>
    </cfRule>
    <cfRule type="cellIs" dxfId="1919" priority="348" stopIfTrue="1" operator="lessThan">
      <formula>0</formula>
    </cfRule>
  </conditionalFormatting>
  <conditionalFormatting sqref="C13">
    <cfRule type="expression" dxfId="1918" priority="345" stopIfTrue="1">
      <formula>AND(C13&lt;&gt;0, NOT(ISTEXT(B13)))</formula>
    </cfRule>
    <cfRule type="cellIs" dxfId="1917" priority="346" stopIfTrue="1" operator="lessThan">
      <formula>0</formula>
    </cfRule>
  </conditionalFormatting>
  <conditionalFormatting sqref="C14">
    <cfRule type="expression" dxfId="1916" priority="343" stopIfTrue="1">
      <formula>AND(C14&lt;&gt;0, NOT(ISTEXT(B14)))</formula>
    </cfRule>
    <cfRule type="cellIs" dxfId="1915" priority="344" stopIfTrue="1" operator="lessThan">
      <formula>0</formula>
    </cfRule>
  </conditionalFormatting>
  <conditionalFormatting sqref="C15">
    <cfRule type="expression" dxfId="1914" priority="341" stopIfTrue="1">
      <formula>AND(C15&lt;&gt;0, NOT(ISTEXT(B15)))</formula>
    </cfRule>
    <cfRule type="cellIs" dxfId="1913" priority="342" stopIfTrue="1" operator="lessThan">
      <formula>0</formula>
    </cfRule>
  </conditionalFormatting>
  <conditionalFormatting sqref="C16">
    <cfRule type="expression" dxfId="1912" priority="339" stopIfTrue="1">
      <formula>AND(C16&lt;&gt;0, NOT(ISTEXT(B16)))</formula>
    </cfRule>
    <cfRule type="cellIs" dxfId="1911" priority="340" stopIfTrue="1" operator="lessThan">
      <formula>0</formula>
    </cfRule>
  </conditionalFormatting>
  <conditionalFormatting sqref="C17">
    <cfRule type="expression" dxfId="1910" priority="337" stopIfTrue="1">
      <formula>AND(C17&lt;&gt;0, NOT(ISTEXT(B17)))</formula>
    </cfRule>
    <cfRule type="cellIs" dxfId="1909" priority="338" stopIfTrue="1" operator="lessThan">
      <formula>0</formula>
    </cfRule>
  </conditionalFormatting>
  <conditionalFormatting sqref="C27">
    <cfRule type="expression" dxfId="1908" priority="335" stopIfTrue="1">
      <formula>AND(C27&lt;&gt;0, NOT(ISTEXT(B27)))</formula>
    </cfRule>
    <cfRule type="cellIs" dxfId="1907" priority="336" stopIfTrue="1" operator="lessThan">
      <formula>0</formula>
    </cfRule>
  </conditionalFormatting>
  <conditionalFormatting sqref="C39">
    <cfRule type="expression" dxfId="1906" priority="333" stopIfTrue="1">
      <formula>AND(C39&lt;&gt;0, NOT(ISTEXT(B39)))</formula>
    </cfRule>
    <cfRule type="cellIs" dxfId="1905" priority="334" stopIfTrue="1" operator="lessThan">
      <formula>0</formula>
    </cfRule>
  </conditionalFormatting>
  <conditionalFormatting sqref="C28">
    <cfRule type="expression" dxfId="1904" priority="331" stopIfTrue="1">
      <formula>AND(C28&lt;&gt;0, NOT(ISTEXT(B28)))</formula>
    </cfRule>
    <cfRule type="cellIs" dxfId="1903" priority="332" stopIfTrue="1" operator="lessThan">
      <formula>0</formula>
    </cfRule>
  </conditionalFormatting>
  <conditionalFormatting sqref="C29">
    <cfRule type="expression" dxfId="1902" priority="329" stopIfTrue="1">
      <formula>AND(C29&lt;&gt;0, NOT(ISTEXT(B29)))</formula>
    </cfRule>
    <cfRule type="cellIs" dxfId="1901" priority="330" stopIfTrue="1" operator="lessThan">
      <formula>0</formula>
    </cfRule>
  </conditionalFormatting>
  <conditionalFormatting sqref="C30">
    <cfRule type="expression" dxfId="1900" priority="327" stopIfTrue="1">
      <formula>AND(C30&lt;&gt;0, NOT(ISTEXT(B30)))</formula>
    </cfRule>
    <cfRule type="cellIs" dxfId="1899" priority="328" stopIfTrue="1" operator="lessThan">
      <formula>0</formula>
    </cfRule>
  </conditionalFormatting>
  <conditionalFormatting sqref="C31">
    <cfRule type="expression" dxfId="1898" priority="325" stopIfTrue="1">
      <formula>AND(C31&lt;&gt;0, NOT(ISTEXT(B31)))</formula>
    </cfRule>
    <cfRule type="cellIs" dxfId="1897" priority="326" stopIfTrue="1" operator="lessThan">
      <formula>0</formula>
    </cfRule>
  </conditionalFormatting>
  <conditionalFormatting sqref="C32">
    <cfRule type="expression" dxfId="1896" priority="323" stopIfTrue="1">
      <formula>AND(C32&lt;&gt;0, NOT(ISTEXT(B32)))</formula>
    </cfRule>
    <cfRule type="cellIs" dxfId="1895" priority="324" stopIfTrue="1" operator="lessThan">
      <formula>0</formula>
    </cfRule>
  </conditionalFormatting>
  <conditionalFormatting sqref="C33">
    <cfRule type="expression" dxfId="1894" priority="321" stopIfTrue="1">
      <formula>AND(C33&lt;&gt;0, NOT(ISTEXT(B33)))</formula>
    </cfRule>
    <cfRule type="cellIs" dxfId="1893" priority="322" stopIfTrue="1" operator="lessThan">
      <formula>0</formula>
    </cfRule>
  </conditionalFormatting>
  <conditionalFormatting sqref="C34">
    <cfRule type="expression" dxfId="1892" priority="319" stopIfTrue="1">
      <formula>AND(C34&lt;&gt;0, NOT(ISTEXT(B34)))</formula>
    </cfRule>
    <cfRule type="cellIs" dxfId="1891" priority="320" stopIfTrue="1" operator="lessThan">
      <formula>0</formula>
    </cfRule>
  </conditionalFormatting>
  <conditionalFormatting sqref="C35">
    <cfRule type="expression" dxfId="1890" priority="317" stopIfTrue="1">
      <formula>AND(C35&lt;&gt;0, NOT(ISTEXT(B35)))</formula>
    </cfRule>
    <cfRule type="cellIs" dxfId="1889" priority="318" stopIfTrue="1" operator="lessThan">
      <formula>0</formula>
    </cfRule>
  </conditionalFormatting>
  <conditionalFormatting sqref="C36">
    <cfRule type="expression" dxfId="1888" priority="315" stopIfTrue="1">
      <formula>AND(C36&lt;&gt;0, NOT(ISTEXT(B36)))</formula>
    </cfRule>
    <cfRule type="cellIs" dxfId="1887" priority="316" stopIfTrue="1" operator="lessThan">
      <formula>0</formula>
    </cfRule>
  </conditionalFormatting>
  <conditionalFormatting sqref="C37">
    <cfRule type="expression" dxfId="1886" priority="313" stopIfTrue="1">
      <formula>AND(C37&lt;&gt;0, NOT(ISTEXT(B37)))</formula>
    </cfRule>
    <cfRule type="cellIs" dxfId="1885" priority="314" stopIfTrue="1" operator="lessThan">
      <formula>0</formula>
    </cfRule>
  </conditionalFormatting>
  <conditionalFormatting sqref="C38">
    <cfRule type="expression" dxfId="1884" priority="311" stopIfTrue="1">
      <formula>AND(C38&lt;&gt;0, NOT(ISTEXT(B38)))</formula>
    </cfRule>
    <cfRule type="cellIs" dxfId="1883" priority="312" stopIfTrue="1" operator="lessThan">
      <formula>0</formula>
    </cfRule>
  </conditionalFormatting>
  <conditionalFormatting sqref="C45">
    <cfRule type="expression" dxfId="1882" priority="309" stopIfTrue="1">
      <formula>AND(C45&lt;&gt;0, NOT(ISTEXT(B45)))</formula>
    </cfRule>
    <cfRule type="cellIs" dxfId="1881" priority="310" stopIfTrue="1" operator="lessThan">
      <formula>0</formula>
    </cfRule>
  </conditionalFormatting>
  <conditionalFormatting sqref="C56">
    <cfRule type="expression" dxfId="1880" priority="307" stopIfTrue="1">
      <formula>AND(C56&lt;&gt;0, NOT(ISTEXT(B56)))</formula>
    </cfRule>
    <cfRule type="cellIs" dxfId="1879" priority="308" stopIfTrue="1" operator="lessThan">
      <formula>0</formula>
    </cfRule>
  </conditionalFormatting>
  <conditionalFormatting sqref="C46">
    <cfRule type="expression" dxfId="1878" priority="305" stopIfTrue="1">
      <formula>AND(C46&lt;&gt;0, NOT(ISTEXT(B46)))</formula>
    </cfRule>
    <cfRule type="cellIs" dxfId="1877" priority="306" stopIfTrue="1" operator="lessThan">
      <formula>0</formula>
    </cfRule>
  </conditionalFormatting>
  <conditionalFormatting sqref="C47">
    <cfRule type="expression" dxfId="1876" priority="303" stopIfTrue="1">
      <formula>AND(C47&lt;&gt;0, NOT(ISTEXT(B47)))</formula>
    </cfRule>
    <cfRule type="cellIs" dxfId="1875" priority="304" stopIfTrue="1" operator="lessThan">
      <formula>0</formula>
    </cfRule>
  </conditionalFormatting>
  <conditionalFormatting sqref="C48">
    <cfRule type="expression" dxfId="1874" priority="301" stopIfTrue="1">
      <formula>AND(C48&lt;&gt;0, NOT(ISTEXT(B48)))</formula>
    </cfRule>
    <cfRule type="cellIs" dxfId="1873" priority="302" stopIfTrue="1" operator="lessThan">
      <formula>0</formula>
    </cfRule>
  </conditionalFormatting>
  <conditionalFormatting sqref="C49">
    <cfRule type="expression" dxfId="1872" priority="299" stopIfTrue="1">
      <formula>AND(C49&lt;&gt;0, NOT(ISTEXT(B49)))</formula>
    </cfRule>
    <cfRule type="cellIs" dxfId="1871" priority="300" stopIfTrue="1" operator="lessThan">
      <formula>0</formula>
    </cfRule>
  </conditionalFormatting>
  <conditionalFormatting sqref="C50">
    <cfRule type="expression" dxfId="1870" priority="297" stopIfTrue="1">
      <formula>AND(C50&lt;&gt;0, NOT(ISTEXT(B50)))</formula>
    </cfRule>
    <cfRule type="cellIs" dxfId="1869" priority="298" stopIfTrue="1" operator="lessThan">
      <formula>0</formula>
    </cfRule>
  </conditionalFormatting>
  <conditionalFormatting sqref="C51">
    <cfRule type="expression" dxfId="1868" priority="295" stopIfTrue="1">
      <formula>AND(C51&lt;&gt;0, NOT(ISTEXT(B51)))</formula>
    </cfRule>
    <cfRule type="cellIs" dxfId="1867" priority="296" stopIfTrue="1" operator="lessThan">
      <formula>0</formula>
    </cfRule>
  </conditionalFormatting>
  <conditionalFormatting sqref="C52">
    <cfRule type="expression" dxfId="1866" priority="293" stopIfTrue="1">
      <formula>AND(C52&lt;&gt;0, NOT(ISTEXT(B52)))</formula>
    </cfRule>
    <cfRule type="cellIs" dxfId="1865" priority="294" stopIfTrue="1" operator="lessThan">
      <formula>0</formula>
    </cfRule>
  </conditionalFormatting>
  <conditionalFormatting sqref="C53">
    <cfRule type="expression" dxfId="1864" priority="291" stopIfTrue="1">
      <formula>AND(C53&lt;&gt;0, NOT(ISTEXT(B53)))</formula>
    </cfRule>
    <cfRule type="cellIs" dxfId="1863" priority="292" stopIfTrue="1" operator="lessThan">
      <formula>0</formula>
    </cfRule>
  </conditionalFormatting>
  <conditionalFormatting sqref="C54">
    <cfRule type="expression" dxfId="1862" priority="289" stopIfTrue="1">
      <formula>AND(C54&lt;&gt;0, NOT(ISTEXT(B54)))</formula>
    </cfRule>
    <cfRule type="cellIs" dxfId="1861" priority="290" stopIfTrue="1" operator="lessThan">
      <formula>0</formula>
    </cfRule>
  </conditionalFormatting>
  <conditionalFormatting sqref="C55">
    <cfRule type="expression" dxfId="1860" priority="287" stopIfTrue="1">
      <formula>AND(C55&lt;&gt;0, NOT(ISTEXT(B55)))</formula>
    </cfRule>
    <cfRule type="cellIs" dxfId="1859" priority="288" stopIfTrue="1" operator="lessThan">
      <formula>0</formula>
    </cfRule>
  </conditionalFormatting>
  <conditionalFormatting sqref="Z6">
    <cfRule type="expression" dxfId="1858" priority="285" stopIfTrue="1">
      <formula>AND(Z6&lt;&gt;0, NOT(ISTEXT(Y6)))</formula>
    </cfRule>
    <cfRule type="cellIs" dxfId="1857" priority="286" stopIfTrue="1" operator="lessThan">
      <formula>0</formula>
    </cfRule>
  </conditionalFormatting>
  <conditionalFormatting sqref="Z16">
    <cfRule type="expression" dxfId="1856" priority="283" stopIfTrue="1">
      <formula>AND(Z16&lt;&gt;0, NOT(ISTEXT(Y16)))</formula>
    </cfRule>
    <cfRule type="cellIs" dxfId="1855" priority="284" stopIfTrue="1" operator="lessThan">
      <formula>0</formula>
    </cfRule>
  </conditionalFormatting>
  <conditionalFormatting sqref="Z7">
    <cfRule type="expression" dxfId="1854" priority="281" stopIfTrue="1">
      <formula>AND(Z7&lt;&gt;0, NOT(ISTEXT(Y7)))</formula>
    </cfRule>
    <cfRule type="cellIs" dxfId="1853" priority="282" stopIfTrue="1" operator="lessThan">
      <formula>0</formula>
    </cfRule>
  </conditionalFormatting>
  <conditionalFormatting sqref="Z8">
    <cfRule type="expression" dxfId="1852" priority="279" stopIfTrue="1">
      <formula>AND(Z8&lt;&gt;0, NOT(ISTEXT(Y8)))</formula>
    </cfRule>
    <cfRule type="cellIs" dxfId="1851" priority="280" stopIfTrue="1" operator="lessThan">
      <formula>0</formula>
    </cfRule>
  </conditionalFormatting>
  <conditionalFormatting sqref="Z9">
    <cfRule type="expression" dxfId="1850" priority="277" stopIfTrue="1">
      <formula>AND(Z9&lt;&gt;0, NOT(ISTEXT(Y9)))</formula>
    </cfRule>
    <cfRule type="cellIs" dxfId="1849" priority="278" stopIfTrue="1" operator="lessThan">
      <formula>0</formula>
    </cfRule>
  </conditionalFormatting>
  <conditionalFormatting sqref="Z10">
    <cfRule type="expression" dxfId="1848" priority="275" stopIfTrue="1">
      <formula>AND(Z10&lt;&gt;0, NOT(ISTEXT(Y10)))</formula>
    </cfRule>
    <cfRule type="cellIs" dxfId="1847" priority="276" stopIfTrue="1" operator="lessThan">
      <formula>0</formula>
    </cfRule>
  </conditionalFormatting>
  <conditionalFormatting sqref="Z11">
    <cfRule type="expression" dxfId="1846" priority="273" stopIfTrue="1">
      <formula>AND(Z11&lt;&gt;0, NOT(ISTEXT(Y11)))</formula>
    </cfRule>
    <cfRule type="cellIs" dxfId="1845" priority="274" stopIfTrue="1" operator="lessThan">
      <formula>0</formula>
    </cfRule>
  </conditionalFormatting>
  <conditionalFormatting sqref="Z12">
    <cfRule type="expression" dxfId="1844" priority="271" stopIfTrue="1">
      <formula>AND(Z12&lt;&gt;0, NOT(ISTEXT(Y12)))</formula>
    </cfRule>
    <cfRule type="cellIs" dxfId="1843" priority="272" stopIfTrue="1" operator="lessThan">
      <formula>0</formula>
    </cfRule>
  </conditionalFormatting>
  <conditionalFormatting sqref="Z13">
    <cfRule type="expression" dxfId="1842" priority="269" stopIfTrue="1">
      <formula>AND(Z13&lt;&gt;0, NOT(ISTEXT(Y13)))</formula>
    </cfRule>
    <cfRule type="cellIs" dxfId="1841" priority="270" stopIfTrue="1" operator="lessThan">
      <formula>0</formula>
    </cfRule>
  </conditionalFormatting>
  <conditionalFormatting sqref="Z14">
    <cfRule type="expression" dxfId="1840" priority="267" stopIfTrue="1">
      <formula>AND(Z14&lt;&gt;0, NOT(ISTEXT(Y14)))</formula>
    </cfRule>
    <cfRule type="cellIs" dxfId="1839" priority="268" stopIfTrue="1" operator="lessThan">
      <formula>0</formula>
    </cfRule>
  </conditionalFormatting>
  <conditionalFormatting sqref="Z15">
    <cfRule type="expression" dxfId="1838" priority="265" stopIfTrue="1">
      <formula>AND(Z15&lt;&gt;0, NOT(ISTEXT(Y15)))</formula>
    </cfRule>
    <cfRule type="cellIs" dxfId="1837" priority="266" stopIfTrue="1" operator="lessThan">
      <formula>0</formula>
    </cfRule>
  </conditionalFormatting>
  <conditionalFormatting sqref="Z23">
    <cfRule type="expression" dxfId="1836" priority="263" stopIfTrue="1">
      <formula>AND(Z23&lt;&gt;0, NOT(ISTEXT(Y23)))</formula>
    </cfRule>
    <cfRule type="cellIs" dxfId="1835" priority="264" stopIfTrue="1" operator="lessThan">
      <formula>0</formula>
    </cfRule>
  </conditionalFormatting>
  <conditionalFormatting sqref="Z44">
    <cfRule type="expression" dxfId="1834" priority="261" stopIfTrue="1">
      <formula>AND(Z44&lt;&gt;0, NOT(ISTEXT(Y44)))</formula>
    </cfRule>
    <cfRule type="cellIs" dxfId="1833" priority="262" stopIfTrue="1" operator="lessThan">
      <formula>0</formula>
    </cfRule>
  </conditionalFormatting>
  <conditionalFormatting sqref="Z24">
    <cfRule type="expression" dxfId="1832" priority="259" stopIfTrue="1">
      <formula>AND(Z24&lt;&gt;0, NOT(ISTEXT(Y24)))</formula>
    </cfRule>
    <cfRule type="cellIs" dxfId="1831" priority="260" stopIfTrue="1" operator="lessThan">
      <formula>0</formula>
    </cfRule>
  </conditionalFormatting>
  <conditionalFormatting sqref="Z25">
    <cfRule type="expression" dxfId="1830" priority="257" stopIfTrue="1">
      <formula>AND(Z25&lt;&gt;0, NOT(ISTEXT(Y25)))</formula>
    </cfRule>
    <cfRule type="cellIs" dxfId="1829" priority="258" stopIfTrue="1" operator="lessThan">
      <formula>0</formula>
    </cfRule>
  </conditionalFormatting>
  <conditionalFormatting sqref="Z26">
    <cfRule type="expression" dxfId="1828" priority="255" stopIfTrue="1">
      <formula>AND(Z26&lt;&gt;0, NOT(ISTEXT(Y26)))</formula>
    </cfRule>
    <cfRule type="cellIs" dxfId="1827" priority="256" stopIfTrue="1" operator="lessThan">
      <formula>0</formula>
    </cfRule>
  </conditionalFormatting>
  <conditionalFormatting sqref="Z27">
    <cfRule type="expression" dxfId="1826" priority="253" stopIfTrue="1">
      <formula>AND(Z27&lt;&gt;0, NOT(ISTEXT(Y27)))</formula>
    </cfRule>
    <cfRule type="cellIs" dxfId="1825" priority="254" stopIfTrue="1" operator="lessThan">
      <formula>0</formula>
    </cfRule>
  </conditionalFormatting>
  <conditionalFormatting sqref="Z28">
    <cfRule type="expression" dxfId="1824" priority="251" stopIfTrue="1">
      <formula>AND(Z28&lt;&gt;0, NOT(ISTEXT(Y28)))</formula>
    </cfRule>
    <cfRule type="cellIs" dxfId="1823" priority="252" stopIfTrue="1" operator="lessThan">
      <formula>0</formula>
    </cfRule>
  </conditionalFormatting>
  <conditionalFormatting sqref="Z29">
    <cfRule type="expression" dxfId="1822" priority="249" stopIfTrue="1">
      <formula>AND(Z29&lt;&gt;0, NOT(ISTEXT(Y29)))</formula>
    </cfRule>
    <cfRule type="cellIs" dxfId="1821" priority="250" stopIfTrue="1" operator="lessThan">
      <formula>0</formula>
    </cfRule>
  </conditionalFormatting>
  <conditionalFormatting sqref="Z30">
    <cfRule type="expression" dxfId="1820" priority="247" stopIfTrue="1">
      <formula>AND(Z30&lt;&gt;0, NOT(ISTEXT(Y30)))</formula>
    </cfRule>
    <cfRule type="cellIs" dxfId="1819" priority="248" stopIfTrue="1" operator="lessThan">
      <formula>0</formula>
    </cfRule>
  </conditionalFormatting>
  <conditionalFormatting sqref="Z31">
    <cfRule type="expression" dxfId="1818" priority="245" stopIfTrue="1">
      <formula>AND(Z31&lt;&gt;0, NOT(ISTEXT(Y31)))</formula>
    </cfRule>
    <cfRule type="cellIs" dxfId="1817" priority="246" stopIfTrue="1" operator="lessThan">
      <formula>0</formula>
    </cfRule>
  </conditionalFormatting>
  <conditionalFormatting sqref="Z32">
    <cfRule type="expression" dxfId="1816" priority="243" stopIfTrue="1">
      <formula>AND(Z32&lt;&gt;0, NOT(ISTEXT(Y32)))</formula>
    </cfRule>
    <cfRule type="cellIs" dxfId="1815" priority="244" stopIfTrue="1" operator="lessThan">
      <formula>0</formula>
    </cfRule>
  </conditionalFormatting>
  <conditionalFormatting sqref="Z33">
    <cfRule type="expression" dxfId="1814" priority="241" stopIfTrue="1">
      <formula>AND(Z33&lt;&gt;0, NOT(ISTEXT(Y33)))</formula>
    </cfRule>
    <cfRule type="cellIs" dxfId="1813" priority="242" stopIfTrue="1" operator="lessThan">
      <formula>0</formula>
    </cfRule>
  </conditionalFormatting>
  <conditionalFormatting sqref="Z34">
    <cfRule type="expression" dxfId="1812" priority="239" stopIfTrue="1">
      <formula>AND(Z34&lt;&gt;0, NOT(ISTEXT(Y34)))</formula>
    </cfRule>
    <cfRule type="cellIs" dxfId="1811" priority="240" stopIfTrue="1" operator="lessThan">
      <formula>0</formula>
    </cfRule>
  </conditionalFormatting>
  <conditionalFormatting sqref="Z35">
    <cfRule type="expression" dxfId="1810" priority="237" stopIfTrue="1">
      <formula>AND(Z35&lt;&gt;0, NOT(ISTEXT(Y35)))</formula>
    </cfRule>
    <cfRule type="cellIs" dxfId="1809" priority="238" stopIfTrue="1" operator="lessThan">
      <formula>0</formula>
    </cfRule>
  </conditionalFormatting>
  <conditionalFormatting sqref="Z36">
    <cfRule type="expression" dxfId="1808" priority="235" stopIfTrue="1">
      <formula>AND(Z36&lt;&gt;0, NOT(ISTEXT(Y36)))</formula>
    </cfRule>
    <cfRule type="cellIs" dxfId="1807" priority="236" stopIfTrue="1" operator="lessThan">
      <formula>0</formula>
    </cfRule>
  </conditionalFormatting>
  <conditionalFormatting sqref="Z37">
    <cfRule type="expression" dxfId="1806" priority="233" stopIfTrue="1">
      <formula>AND(Z37&lt;&gt;0, NOT(ISTEXT(Y37)))</formula>
    </cfRule>
    <cfRule type="cellIs" dxfId="1805" priority="234" stopIfTrue="1" operator="lessThan">
      <formula>0</formula>
    </cfRule>
  </conditionalFormatting>
  <conditionalFormatting sqref="Z38">
    <cfRule type="expression" dxfId="1804" priority="231" stopIfTrue="1">
      <formula>AND(Z38&lt;&gt;0, NOT(ISTEXT(Y38)))</formula>
    </cfRule>
    <cfRule type="cellIs" dxfId="1803" priority="232" stopIfTrue="1" operator="lessThan">
      <formula>0</formula>
    </cfRule>
  </conditionalFormatting>
  <conditionalFormatting sqref="Z39">
    <cfRule type="expression" dxfId="1802" priority="229" stopIfTrue="1">
      <formula>AND(Z39&lt;&gt;0, NOT(ISTEXT(Y39)))</formula>
    </cfRule>
    <cfRule type="cellIs" dxfId="1801" priority="230" stopIfTrue="1" operator="lessThan">
      <formula>0</formula>
    </cfRule>
  </conditionalFormatting>
  <conditionalFormatting sqref="Z40">
    <cfRule type="expression" dxfId="1800" priority="227" stopIfTrue="1">
      <formula>AND(Z40&lt;&gt;0, NOT(ISTEXT(Y40)))</formula>
    </cfRule>
    <cfRule type="cellIs" dxfId="1799" priority="228" stopIfTrue="1" operator="lessThan">
      <formula>0</formula>
    </cfRule>
  </conditionalFormatting>
  <conditionalFormatting sqref="Z41">
    <cfRule type="expression" dxfId="1798" priority="225" stopIfTrue="1">
      <formula>AND(Z41&lt;&gt;0, NOT(ISTEXT(Y41)))</formula>
    </cfRule>
    <cfRule type="cellIs" dxfId="1797" priority="226" stopIfTrue="1" operator="lessThan">
      <formula>0</formula>
    </cfRule>
  </conditionalFormatting>
  <conditionalFormatting sqref="Z42">
    <cfRule type="expression" dxfId="1796" priority="223" stopIfTrue="1">
      <formula>AND(Z42&lt;&gt;0, NOT(ISTEXT(Y42)))</formula>
    </cfRule>
    <cfRule type="cellIs" dxfId="1795" priority="224" stopIfTrue="1" operator="lessThan">
      <formula>0</formula>
    </cfRule>
  </conditionalFormatting>
  <conditionalFormatting sqref="Z43">
    <cfRule type="expression" dxfId="1794" priority="221" stopIfTrue="1">
      <formula>AND(Z43&lt;&gt;0, NOT(ISTEXT(Y43)))</formula>
    </cfRule>
    <cfRule type="cellIs" dxfId="1793" priority="222" stopIfTrue="1" operator="lessThan">
      <formula>0</formula>
    </cfRule>
  </conditionalFormatting>
  <conditionalFormatting sqref="N53:O54">
    <cfRule type="containsText" dxfId="1792" priority="219" stopIfTrue="1" operator="containsText" text="הפרש">
      <formula>NOT(ISERROR(SEARCH("הפרש",N53)))</formula>
    </cfRule>
  </conditionalFormatting>
  <conditionalFormatting sqref="Z23:Z44 Q64:Q110 Q7:Q45 J7:J53 D27:D39 C45:C56 J64:J110 D65:D86 C7:D17 Z6:AA16">
    <cfRule type="expression" dxfId="1791" priority="217" stopIfTrue="1">
      <formula>ISTEXT(C6)</formula>
    </cfRule>
  </conditionalFormatting>
  <conditionalFormatting sqref="C7">
    <cfRule type="expression" dxfId="1790" priority="215" stopIfTrue="1">
      <formula>AND(C7&lt;&gt;0, NOT(ISTEXT(B7)))</formula>
    </cfRule>
    <cfRule type="cellIs" dxfId="1789" priority="216" stopIfTrue="1" operator="lessThan">
      <formula>0</formula>
    </cfRule>
  </conditionalFormatting>
  <conditionalFormatting sqref="C8">
    <cfRule type="expression" dxfId="1788" priority="213" stopIfTrue="1">
      <formula>AND(C8&lt;&gt;0, NOT(ISTEXT(B8)))</formula>
    </cfRule>
    <cfRule type="cellIs" dxfId="1787" priority="214" stopIfTrue="1" operator="lessThan">
      <formula>0</formula>
    </cfRule>
  </conditionalFormatting>
  <conditionalFormatting sqref="C9">
    <cfRule type="expression" dxfId="1786" priority="211" stopIfTrue="1">
      <formula>AND(C9&lt;&gt;0, NOT(ISTEXT(B9)))</formula>
    </cfRule>
    <cfRule type="cellIs" dxfId="1785" priority="212" stopIfTrue="1" operator="lessThan">
      <formula>0</formula>
    </cfRule>
  </conditionalFormatting>
  <conditionalFormatting sqref="C10">
    <cfRule type="expression" dxfId="1784" priority="209" stopIfTrue="1">
      <formula>AND(C10&lt;&gt;0, NOT(ISTEXT(B10)))</formula>
    </cfRule>
    <cfRule type="cellIs" dxfId="1783" priority="210" stopIfTrue="1" operator="lessThan">
      <formula>0</formula>
    </cfRule>
  </conditionalFormatting>
  <conditionalFormatting sqref="C11">
    <cfRule type="expression" dxfId="1782" priority="207" stopIfTrue="1">
      <formula>AND(C11&lt;&gt;0, NOT(ISTEXT(B11)))</formula>
    </cfRule>
    <cfRule type="cellIs" dxfId="1781" priority="208" stopIfTrue="1" operator="lessThan">
      <formula>0</formula>
    </cfRule>
  </conditionalFormatting>
  <conditionalFormatting sqref="C12">
    <cfRule type="expression" dxfId="1780" priority="205" stopIfTrue="1">
      <formula>AND(C12&lt;&gt;0, NOT(ISTEXT(B12)))</formula>
    </cfRule>
    <cfRule type="cellIs" dxfId="1779" priority="206" stopIfTrue="1" operator="lessThan">
      <formula>0</formula>
    </cfRule>
  </conditionalFormatting>
  <conditionalFormatting sqref="C13">
    <cfRule type="expression" dxfId="1778" priority="203" stopIfTrue="1">
      <formula>AND(C13&lt;&gt;0, NOT(ISTEXT(B13)))</formula>
    </cfRule>
    <cfRule type="cellIs" dxfId="1777" priority="204" stopIfTrue="1" operator="lessThan">
      <formula>0</formula>
    </cfRule>
  </conditionalFormatting>
  <conditionalFormatting sqref="C14">
    <cfRule type="expression" dxfId="1776" priority="201" stopIfTrue="1">
      <formula>AND(C14&lt;&gt;0, NOT(ISTEXT(B14)))</formula>
    </cfRule>
    <cfRule type="cellIs" dxfId="1775" priority="202" stopIfTrue="1" operator="lessThan">
      <formula>0</formula>
    </cfRule>
  </conditionalFormatting>
  <conditionalFormatting sqref="C15">
    <cfRule type="expression" dxfId="1774" priority="199" stopIfTrue="1">
      <formula>AND(C15&lt;&gt;0, NOT(ISTEXT(B15)))</formula>
    </cfRule>
    <cfRule type="cellIs" dxfId="1773" priority="200" stopIfTrue="1" operator="lessThan">
      <formula>0</formula>
    </cfRule>
  </conditionalFormatting>
  <conditionalFormatting sqref="C16">
    <cfRule type="expression" dxfId="1772" priority="197" stopIfTrue="1">
      <formula>AND(C16&lt;&gt;0, NOT(ISTEXT(B16)))</formula>
    </cfRule>
    <cfRule type="cellIs" dxfId="1771" priority="198" stopIfTrue="1" operator="lessThan">
      <formula>0</formula>
    </cfRule>
  </conditionalFormatting>
  <conditionalFormatting sqref="C17">
    <cfRule type="expression" dxfId="1770" priority="195" stopIfTrue="1">
      <formula>AND(C17&lt;&gt;0, NOT(ISTEXT(B17)))</formula>
    </cfRule>
    <cfRule type="cellIs" dxfId="1769" priority="196" stopIfTrue="1" operator="lessThan">
      <formula>0</formula>
    </cfRule>
  </conditionalFormatting>
  <conditionalFormatting sqref="C7">
    <cfRule type="expression" dxfId="1768" priority="192" stopIfTrue="1">
      <formula>AND(C7&lt;&gt;0, NOT(ISTEXT(B7)))</formula>
    </cfRule>
    <cfRule type="cellIs" dxfId="1767" priority="193" stopIfTrue="1" operator="lessThan">
      <formula>0</formula>
    </cfRule>
  </conditionalFormatting>
  <conditionalFormatting sqref="C8">
    <cfRule type="expression" dxfId="1766" priority="190" stopIfTrue="1">
      <formula>AND(C8&lt;&gt;0, NOT(ISTEXT(B8)))</formula>
    </cfRule>
    <cfRule type="cellIs" dxfId="1765" priority="191" stopIfTrue="1" operator="lessThan">
      <formula>0</formula>
    </cfRule>
  </conditionalFormatting>
  <conditionalFormatting sqref="C9">
    <cfRule type="expression" dxfId="1764" priority="188" stopIfTrue="1">
      <formula>AND(C9&lt;&gt;0, NOT(ISTEXT(B9)))</formula>
    </cfRule>
    <cfRule type="cellIs" dxfId="1763" priority="189" stopIfTrue="1" operator="lessThan">
      <formula>0</formula>
    </cfRule>
  </conditionalFormatting>
  <conditionalFormatting sqref="C10">
    <cfRule type="expression" dxfId="1762" priority="186" stopIfTrue="1">
      <formula>AND(C10&lt;&gt;0, NOT(ISTEXT(B10)))</formula>
    </cfRule>
    <cfRule type="cellIs" dxfId="1761" priority="187" stopIfTrue="1" operator="lessThan">
      <formula>0</formula>
    </cfRule>
  </conditionalFormatting>
  <conditionalFormatting sqref="C11">
    <cfRule type="expression" dxfId="1760" priority="184" stopIfTrue="1">
      <formula>AND(C11&lt;&gt;0, NOT(ISTEXT(B11)))</formula>
    </cfRule>
    <cfRule type="cellIs" dxfId="1759" priority="185" stopIfTrue="1" operator="lessThan">
      <formula>0</formula>
    </cfRule>
  </conditionalFormatting>
  <conditionalFormatting sqref="C12">
    <cfRule type="expression" dxfId="1758" priority="182" stopIfTrue="1">
      <formula>AND(C12&lt;&gt;0, NOT(ISTEXT(B12)))</formula>
    </cfRule>
    <cfRule type="cellIs" dxfId="1757" priority="183" stopIfTrue="1" operator="lessThan">
      <formula>0</formula>
    </cfRule>
  </conditionalFormatting>
  <conditionalFormatting sqref="C13">
    <cfRule type="expression" dxfId="1756" priority="180" stopIfTrue="1">
      <formula>AND(C13&lt;&gt;0, NOT(ISTEXT(B13)))</formula>
    </cfRule>
    <cfRule type="cellIs" dxfId="1755" priority="181" stopIfTrue="1" operator="lessThan">
      <formula>0</formula>
    </cfRule>
  </conditionalFormatting>
  <conditionalFormatting sqref="C14">
    <cfRule type="expression" dxfId="1754" priority="178" stopIfTrue="1">
      <formula>AND(C14&lt;&gt;0, NOT(ISTEXT(B14)))</formula>
    </cfRule>
    <cfRule type="cellIs" dxfId="1753" priority="179" stopIfTrue="1" operator="lessThan">
      <formula>0</formula>
    </cfRule>
  </conditionalFormatting>
  <conditionalFormatting sqref="C15">
    <cfRule type="expression" dxfId="1752" priority="176" stopIfTrue="1">
      <formula>AND(C15&lt;&gt;0, NOT(ISTEXT(B15)))</formula>
    </cfRule>
    <cfRule type="cellIs" dxfId="1751" priority="177" stopIfTrue="1" operator="lessThan">
      <formula>0</formula>
    </cfRule>
  </conditionalFormatting>
  <conditionalFormatting sqref="C16">
    <cfRule type="expression" dxfId="1750" priority="174" stopIfTrue="1">
      <formula>AND(C16&lt;&gt;0, NOT(ISTEXT(B16)))</formula>
    </cfRule>
    <cfRule type="cellIs" dxfId="1749" priority="175" stopIfTrue="1" operator="lessThan">
      <formula>0</formula>
    </cfRule>
  </conditionalFormatting>
  <conditionalFormatting sqref="C17">
    <cfRule type="expression" dxfId="1748" priority="172" stopIfTrue="1">
      <formula>AND(C17&lt;&gt;0, NOT(ISTEXT(B17)))</formula>
    </cfRule>
    <cfRule type="cellIs" dxfId="1747" priority="173" stopIfTrue="1" operator="lessThan">
      <formula>0</formula>
    </cfRule>
  </conditionalFormatting>
  <conditionalFormatting sqref="C45">
    <cfRule type="expression" dxfId="1746" priority="169" stopIfTrue="1">
      <formula>AND(C45&lt;&gt;0, NOT(ISTEXT(B45)))</formula>
    </cfRule>
    <cfRule type="cellIs" dxfId="1745" priority="170" stopIfTrue="1" operator="lessThan">
      <formula>0</formula>
    </cfRule>
  </conditionalFormatting>
  <conditionalFormatting sqref="C56">
    <cfRule type="expression" dxfId="1744" priority="167" stopIfTrue="1">
      <formula>AND(C56&lt;&gt;0, NOT(ISTEXT(B56)))</formula>
    </cfRule>
    <cfRule type="cellIs" dxfId="1743" priority="168" stopIfTrue="1" operator="lessThan">
      <formula>0</formula>
    </cfRule>
  </conditionalFormatting>
  <conditionalFormatting sqref="C46">
    <cfRule type="expression" dxfId="1742" priority="165" stopIfTrue="1">
      <formula>AND(C46&lt;&gt;0, NOT(ISTEXT(B46)))</formula>
    </cfRule>
    <cfRule type="cellIs" dxfId="1741" priority="166" stopIfTrue="1" operator="lessThan">
      <formula>0</formula>
    </cfRule>
  </conditionalFormatting>
  <conditionalFormatting sqref="C47">
    <cfRule type="expression" dxfId="1740" priority="163" stopIfTrue="1">
      <formula>AND(C47&lt;&gt;0, NOT(ISTEXT(B47)))</formula>
    </cfRule>
    <cfRule type="cellIs" dxfId="1739" priority="164" stopIfTrue="1" operator="lessThan">
      <formula>0</formula>
    </cfRule>
  </conditionalFormatting>
  <conditionalFormatting sqref="C48">
    <cfRule type="expression" dxfId="1738" priority="161" stopIfTrue="1">
      <formula>AND(C48&lt;&gt;0, NOT(ISTEXT(B48)))</formula>
    </cfRule>
    <cfRule type="cellIs" dxfId="1737" priority="162" stopIfTrue="1" operator="lessThan">
      <formula>0</formula>
    </cfRule>
  </conditionalFormatting>
  <conditionalFormatting sqref="C49">
    <cfRule type="expression" dxfId="1736" priority="159" stopIfTrue="1">
      <formula>AND(C49&lt;&gt;0, NOT(ISTEXT(B49)))</formula>
    </cfRule>
    <cfRule type="cellIs" dxfId="1735" priority="160" stopIfTrue="1" operator="lessThan">
      <formula>0</formula>
    </cfRule>
  </conditionalFormatting>
  <conditionalFormatting sqref="C50">
    <cfRule type="expression" dxfId="1734" priority="157" stopIfTrue="1">
      <formula>AND(C50&lt;&gt;0, NOT(ISTEXT(B50)))</formula>
    </cfRule>
    <cfRule type="cellIs" dxfId="1733" priority="158" stopIfTrue="1" operator="lessThan">
      <formula>0</formula>
    </cfRule>
  </conditionalFormatting>
  <conditionalFormatting sqref="C51">
    <cfRule type="expression" dxfId="1732" priority="155" stopIfTrue="1">
      <formula>AND(C51&lt;&gt;0, NOT(ISTEXT(B51)))</formula>
    </cfRule>
    <cfRule type="cellIs" dxfId="1731" priority="156" stopIfTrue="1" operator="lessThan">
      <formula>0</formula>
    </cfRule>
  </conditionalFormatting>
  <conditionalFormatting sqref="C52">
    <cfRule type="expression" dxfId="1730" priority="153" stopIfTrue="1">
      <formula>AND(C52&lt;&gt;0, NOT(ISTEXT(B52)))</formula>
    </cfRule>
    <cfRule type="cellIs" dxfId="1729" priority="154" stopIfTrue="1" operator="lessThan">
      <formula>0</formula>
    </cfRule>
  </conditionalFormatting>
  <conditionalFormatting sqref="C53">
    <cfRule type="expression" dxfId="1728" priority="151" stopIfTrue="1">
      <formula>AND(C53&lt;&gt;0, NOT(ISTEXT(B53)))</formula>
    </cfRule>
    <cfRule type="cellIs" dxfId="1727" priority="152" stopIfTrue="1" operator="lessThan">
      <formula>0</formula>
    </cfRule>
  </conditionalFormatting>
  <conditionalFormatting sqref="C54">
    <cfRule type="expression" dxfId="1726" priority="149" stopIfTrue="1">
      <formula>AND(C54&lt;&gt;0, NOT(ISTEXT(B54)))</formula>
    </cfRule>
    <cfRule type="cellIs" dxfId="1725" priority="150" stopIfTrue="1" operator="lessThan">
      <formula>0</formula>
    </cfRule>
  </conditionalFormatting>
  <conditionalFormatting sqref="C55">
    <cfRule type="expression" dxfId="1724" priority="147" stopIfTrue="1">
      <formula>AND(C55&lt;&gt;0, NOT(ISTEXT(B55)))</formula>
    </cfRule>
    <cfRule type="cellIs" dxfId="1723" priority="148" stopIfTrue="1" operator="lessThan">
      <formula>0</formula>
    </cfRule>
  </conditionalFormatting>
  <conditionalFormatting sqref="Z6">
    <cfRule type="expression" dxfId="1722" priority="144" stopIfTrue="1">
      <formula>AND(Z6&lt;&gt;0, NOT(ISTEXT(Y6)))</formula>
    </cfRule>
    <cfRule type="cellIs" dxfId="1721" priority="145" stopIfTrue="1" operator="lessThan">
      <formula>0</formula>
    </cfRule>
  </conditionalFormatting>
  <conditionalFormatting sqref="Z16">
    <cfRule type="expression" dxfId="1720" priority="142" stopIfTrue="1">
      <formula>AND(Z16&lt;&gt;0, NOT(ISTEXT(Y16)))</formula>
    </cfRule>
    <cfRule type="cellIs" dxfId="1719" priority="143" stopIfTrue="1" operator="lessThan">
      <formula>0</formula>
    </cfRule>
  </conditionalFormatting>
  <conditionalFormatting sqref="Z7">
    <cfRule type="expression" dxfId="1718" priority="140" stopIfTrue="1">
      <formula>AND(Z7&lt;&gt;0, NOT(ISTEXT(Y7)))</formula>
    </cfRule>
    <cfRule type="cellIs" dxfId="1717" priority="141" stopIfTrue="1" operator="lessThan">
      <formula>0</formula>
    </cfRule>
  </conditionalFormatting>
  <conditionalFormatting sqref="Z8">
    <cfRule type="expression" dxfId="1716" priority="138" stopIfTrue="1">
      <formula>AND(Z8&lt;&gt;0, NOT(ISTEXT(Y8)))</formula>
    </cfRule>
    <cfRule type="cellIs" dxfId="1715" priority="139" stopIfTrue="1" operator="lessThan">
      <formula>0</formula>
    </cfRule>
  </conditionalFormatting>
  <conditionalFormatting sqref="Z9">
    <cfRule type="expression" dxfId="1714" priority="136" stopIfTrue="1">
      <formula>AND(Z9&lt;&gt;0, NOT(ISTEXT(Y9)))</formula>
    </cfRule>
    <cfRule type="cellIs" dxfId="1713" priority="137" stopIfTrue="1" operator="lessThan">
      <formula>0</formula>
    </cfRule>
  </conditionalFormatting>
  <conditionalFormatting sqref="Z10">
    <cfRule type="expression" dxfId="1712" priority="134" stopIfTrue="1">
      <formula>AND(Z10&lt;&gt;0, NOT(ISTEXT(Y10)))</formula>
    </cfRule>
    <cfRule type="cellIs" dxfId="1711" priority="135" stopIfTrue="1" operator="lessThan">
      <formula>0</formula>
    </cfRule>
  </conditionalFormatting>
  <conditionalFormatting sqref="Z11">
    <cfRule type="expression" dxfId="1710" priority="132" stopIfTrue="1">
      <formula>AND(Z11&lt;&gt;0, NOT(ISTEXT(Y11)))</formula>
    </cfRule>
    <cfRule type="cellIs" dxfId="1709" priority="133" stopIfTrue="1" operator="lessThan">
      <formula>0</formula>
    </cfRule>
  </conditionalFormatting>
  <conditionalFormatting sqref="Z12">
    <cfRule type="expression" dxfId="1708" priority="130" stopIfTrue="1">
      <formula>AND(Z12&lt;&gt;0, NOT(ISTEXT(Y12)))</formula>
    </cfRule>
    <cfRule type="cellIs" dxfId="1707" priority="131" stopIfTrue="1" operator="lessThan">
      <formula>0</formula>
    </cfRule>
  </conditionalFormatting>
  <conditionalFormatting sqref="Z13">
    <cfRule type="expression" dxfId="1706" priority="128" stopIfTrue="1">
      <formula>AND(Z13&lt;&gt;0, NOT(ISTEXT(Y13)))</formula>
    </cfRule>
    <cfRule type="cellIs" dxfId="1705" priority="129" stopIfTrue="1" operator="lessThan">
      <formula>0</formula>
    </cfRule>
  </conditionalFormatting>
  <conditionalFormatting sqref="Z14">
    <cfRule type="expression" dxfId="1704" priority="126" stopIfTrue="1">
      <formula>AND(Z14&lt;&gt;0, NOT(ISTEXT(Y14)))</formula>
    </cfRule>
    <cfRule type="cellIs" dxfId="1703" priority="127" stopIfTrue="1" operator="lessThan">
      <formula>0</formula>
    </cfRule>
  </conditionalFormatting>
  <conditionalFormatting sqref="Z15">
    <cfRule type="expression" dxfId="1702" priority="124" stopIfTrue="1">
      <formula>AND(Z15&lt;&gt;0, NOT(ISTEXT(Y15)))</formula>
    </cfRule>
    <cfRule type="cellIs" dxfId="1701" priority="125" stopIfTrue="1" operator="lessThan">
      <formula>0</formula>
    </cfRule>
  </conditionalFormatting>
  <conditionalFormatting sqref="Z23">
    <cfRule type="expression" dxfId="1700" priority="121" stopIfTrue="1">
      <formula>AND(Z23&lt;&gt;0, NOT(ISTEXT(Y23)))</formula>
    </cfRule>
    <cfRule type="cellIs" dxfId="1699" priority="122" stopIfTrue="1" operator="lessThan">
      <formula>0</formula>
    </cfRule>
  </conditionalFormatting>
  <conditionalFormatting sqref="Z44">
    <cfRule type="expression" dxfId="1698" priority="119" stopIfTrue="1">
      <formula>AND(Z44&lt;&gt;0, NOT(ISTEXT(Y44)))</formula>
    </cfRule>
    <cfRule type="cellIs" dxfId="1697" priority="120" stopIfTrue="1" operator="lessThan">
      <formula>0</formula>
    </cfRule>
  </conditionalFormatting>
  <conditionalFormatting sqref="Z24">
    <cfRule type="expression" dxfId="1696" priority="117" stopIfTrue="1">
      <formula>AND(Z24&lt;&gt;0, NOT(ISTEXT(Y24)))</formula>
    </cfRule>
    <cfRule type="cellIs" dxfId="1695" priority="118" stopIfTrue="1" operator="lessThan">
      <formula>0</formula>
    </cfRule>
  </conditionalFormatting>
  <conditionalFormatting sqref="Z25">
    <cfRule type="expression" dxfId="1694" priority="115" stopIfTrue="1">
      <formula>AND(Z25&lt;&gt;0, NOT(ISTEXT(Y25)))</formula>
    </cfRule>
    <cfRule type="cellIs" dxfId="1693" priority="116" stopIfTrue="1" operator="lessThan">
      <formula>0</formula>
    </cfRule>
  </conditionalFormatting>
  <conditionalFormatting sqref="Z26">
    <cfRule type="expression" dxfId="1692" priority="113" stopIfTrue="1">
      <formula>AND(Z26&lt;&gt;0, NOT(ISTEXT(Y26)))</formula>
    </cfRule>
    <cfRule type="cellIs" dxfId="1691" priority="114" stopIfTrue="1" operator="lessThan">
      <formula>0</formula>
    </cfRule>
  </conditionalFormatting>
  <conditionalFormatting sqref="Z27">
    <cfRule type="expression" dxfId="1690" priority="111" stopIfTrue="1">
      <formula>AND(Z27&lt;&gt;0, NOT(ISTEXT(Y27)))</formula>
    </cfRule>
    <cfRule type="cellIs" dxfId="1689" priority="112" stopIfTrue="1" operator="lessThan">
      <formula>0</formula>
    </cfRule>
  </conditionalFormatting>
  <conditionalFormatting sqref="Z28">
    <cfRule type="expression" dxfId="1688" priority="109" stopIfTrue="1">
      <formula>AND(Z28&lt;&gt;0, NOT(ISTEXT(Y28)))</formula>
    </cfRule>
    <cfRule type="cellIs" dxfId="1687" priority="110" stopIfTrue="1" operator="lessThan">
      <formula>0</formula>
    </cfRule>
  </conditionalFormatting>
  <conditionalFormatting sqref="Z29">
    <cfRule type="expression" dxfId="1686" priority="107" stopIfTrue="1">
      <formula>AND(Z29&lt;&gt;0, NOT(ISTEXT(Y29)))</formula>
    </cfRule>
    <cfRule type="cellIs" dxfId="1685" priority="108" stopIfTrue="1" operator="lessThan">
      <formula>0</formula>
    </cfRule>
  </conditionalFormatting>
  <conditionalFormatting sqref="Z30">
    <cfRule type="expression" dxfId="1684" priority="105" stopIfTrue="1">
      <formula>AND(Z30&lt;&gt;0, NOT(ISTEXT(Y30)))</formula>
    </cfRule>
    <cfRule type="cellIs" dxfId="1683" priority="106" stopIfTrue="1" operator="lessThan">
      <formula>0</formula>
    </cfRule>
  </conditionalFormatting>
  <conditionalFormatting sqref="Z31">
    <cfRule type="expression" dxfId="1682" priority="103" stopIfTrue="1">
      <formula>AND(Z31&lt;&gt;0, NOT(ISTEXT(Y31)))</formula>
    </cfRule>
    <cfRule type="cellIs" dxfId="1681" priority="104" stopIfTrue="1" operator="lessThan">
      <formula>0</formula>
    </cfRule>
  </conditionalFormatting>
  <conditionalFormatting sqref="Z32">
    <cfRule type="expression" dxfId="1680" priority="101" stopIfTrue="1">
      <formula>AND(Z32&lt;&gt;0, NOT(ISTEXT(Y32)))</formula>
    </cfRule>
    <cfRule type="cellIs" dxfId="1679" priority="102" stopIfTrue="1" operator="lessThan">
      <formula>0</formula>
    </cfRule>
  </conditionalFormatting>
  <conditionalFormatting sqref="Z33">
    <cfRule type="expression" dxfId="1678" priority="99" stopIfTrue="1">
      <formula>AND(Z33&lt;&gt;0, NOT(ISTEXT(Y33)))</formula>
    </cfRule>
    <cfRule type="cellIs" dxfId="1677" priority="100" stopIfTrue="1" operator="lessThan">
      <formula>0</formula>
    </cfRule>
  </conditionalFormatting>
  <conditionalFormatting sqref="Z34">
    <cfRule type="expression" dxfId="1676" priority="97" stopIfTrue="1">
      <formula>AND(Z34&lt;&gt;0, NOT(ISTEXT(Y34)))</formula>
    </cfRule>
    <cfRule type="cellIs" dxfId="1675" priority="98" stopIfTrue="1" operator="lessThan">
      <formula>0</formula>
    </cfRule>
  </conditionalFormatting>
  <conditionalFormatting sqref="Z35">
    <cfRule type="expression" dxfId="1674" priority="95" stopIfTrue="1">
      <formula>AND(Z35&lt;&gt;0, NOT(ISTEXT(Y35)))</formula>
    </cfRule>
    <cfRule type="cellIs" dxfId="1673" priority="96" stopIfTrue="1" operator="lessThan">
      <formula>0</formula>
    </cfRule>
  </conditionalFormatting>
  <conditionalFormatting sqref="Z36">
    <cfRule type="expression" dxfId="1672" priority="93" stopIfTrue="1">
      <formula>AND(Z36&lt;&gt;0, NOT(ISTEXT(Y36)))</formula>
    </cfRule>
    <cfRule type="cellIs" dxfId="1671" priority="94" stopIfTrue="1" operator="lessThan">
      <formula>0</formula>
    </cfRule>
  </conditionalFormatting>
  <conditionalFormatting sqref="Z37">
    <cfRule type="expression" dxfId="1670" priority="91" stopIfTrue="1">
      <formula>AND(Z37&lt;&gt;0, NOT(ISTEXT(Y37)))</formula>
    </cfRule>
    <cfRule type="cellIs" dxfId="1669" priority="92" stopIfTrue="1" operator="lessThan">
      <formula>0</formula>
    </cfRule>
  </conditionalFormatting>
  <conditionalFormatting sqref="Z38">
    <cfRule type="expression" dxfId="1668" priority="89" stopIfTrue="1">
      <formula>AND(Z38&lt;&gt;0, NOT(ISTEXT(Y38)))</formula>
    </cfRule>
    <cfRule type="cellIs" dxfId="1667" priority="90" stopIfTrue="1" operator="lessThan">
      <formula>0</formula>
    </cfRule>
  </conditionalFormatting>
  <conditionalFormatting sqref="Z39">
    <cfRule type="expression" dxfId="1666" priority="87" stopIfTrue="1">
      <formula>AND(Z39&lt;&gt;0, NOT(ISTEXT(Y39)))</formula>
    </cfRule>
    <cfRule type="cellIs" dxfId="1665" priority="88" stopIfTrue="1" operator="lessThan">
      <formula>0</formula>
    </cfRule>
  </conditionalFormatting>
  <conditionalFormatting sqref="Z40">
    <cfRule type="expression" dxfId="1664" priority="85" stopIfTrue="1">
      <formula>AND(Z40&lt;&gt;0, NOT(ISTEXT(Y40)))</formula>
    </cfRule>
    <cfRule type="cellIs" dxfId="1663" priority="86" stopIfTrue="1" operator="lessThan">
      <formula>0</formula>
    </cfRule>
  </conditionalFormatting>
  <conditionalFormatting sqref="Z41">
    <cfRule type="expression" dxfId="1662" priority="83" stopIfTrue="1">
      <formula>AND(Z41&lt;&gt;0, NOT(ISTEXT(Y41)))</formula>
    </cfRule>
    <cfRule type="cellIs" dxfId="1661" priority="84" stopIfTrue="1" operator="lessThan">
      <formula>0</formula>
    </cfRule>
  </conditionalFormatting>
  <conditionalFormatting sqref="Z42">
    <cfRule type="expression" dxfId="1660" priority="81" stopIfTrue="1">
      <formula>AND(Z42&lt;&gt;0, NOT(ISTEXT(Y42)))</formula>
    </cfRule>
    <cfRule type="cellIs" dxfId="1659" priority="82" stopIfTrue="1" operator="lessThan">
      <formula>0</formula>
    </cfRule>
  </conditionalFormatting>
  <conditionalFormatting sqref="Z43">
    <cfRule type="expression" dxfId="1658" priority="79" stopIfTrue="1">
      <formula>AND(Z43&lt;&gt;0, NOT(ISTEXT(Y43)))</formula>
    </cfRule>
    <cfRule type="cellIs" dxfId="1657" priority="80" stopIfTrue="1" operator="lessThan">
      <formula>0</formula>
    </cfRule>
  </conditionalFormatting>
  <conditionalFormatting sqref="D7:D17 D27:D39 AA6:AA16">
    <cfRule type="expression" dxfId="1656" priority="71" stopIfTrue="1">
      <formula>AND(D6&lt;&gt;0,NOT(ISTEXT(B6)))</formula>
    </cfRule>
  </conditionalFormatting>
  <conditionalFormatting sqref="C65">
    <cfRule type="expression" dxfId="1655" priority="67" stopIfTrue="1">
      <formula>AND(C65&lt;&gt;0, NOT(ISTEXT(B65)))</formula>
    </cfRule>
    <cfRule type="cellIs" dxfId="1654" priority="68" stopIfTrue="1" operator="lessThan">
      <formula>0</formula>
    </cfRule>
  </conditionalFormatting>
  <conditionalFormatting sqref="C77">
    <cfRule type="expression" dxfId="1653" priority="65" stopIfTrue="1">
      <formula>AND(C77&lt;&gt;0, NOT(ISTEXT(B77)))</formula>
    </cfRule>
    <cfRule type="cellIs" dxfId="1652" priority="66" stopIfTrue="1" operator="lessThan">
      <formula>0</formula>
    </cfRule>
  </conditionalFormatting>
  <conditionalFormatting sqref="C66">
    <cfRule type="expression" dxfId="1651" priority="63" stopIfTrue="1">
      <formula>AND(C66&lt;&gt;0, NOT(ISTEXT(B66)))</formula>
    </cfRule>
    <cfRule type="cellIs" dxfId="1650" priority="64" stopIfTrue="1" operator="lessThan">
      <formula>0</formula>
    </cfRule>
  </conditionalFormatting>
  <conditionalFormatting sqref="C67">
    <cfRule type="expression" dxfId="1649" priority="61" stopIfTrue="1">
      <formula>AND(C67&lt;&gt;0, NOT(ISTEXT(B67)))</formula>
    </cfRule>
    <cfRule type="cellIs" dxfId="1648" priority="62" stopIfTrue="1" operator="lessThan">
      <formula>0</formula>
    </cfRule>
  </conditionalFormatting>
  <conditionalFormatting sqref="C68">
    <cfRule type="expression" dxfId="1647" priority="59" stopIfTrue="1">
      <formula>AND(C68&lt;&gt;0, NOT(ISTEXT(B68)))</formula>
    </cfRule>
    <cfRule type="cellIs" dxfId="1646" priority="60" stopIfTrue="1" operator="lessThan">
      <formula>0</formula>
    </cfRule>
  </conditionalFormatting>
  <conditionalFormatting sqref="C69">
    <cfRule type="expression" dxfId="1645" priority="57" stopIfTrue="1">
      <formula>AND(C69&lt;&gt;0, NOT(ISTEXT(B69)))</formula>
    </cfRule>
    <cfRule type="cellIs" dxfId="1644" priority="58" stopIfTrue="1" operator="lessThan">
      <formula>0</formula>
    </cfRule>
  </conditionalFormatting>
  <conditionalFormatting sqref="C70">
    <cfRule type="expression" dxfId="1643" priority="55" stopIfTrue="1">
      <formula>AND(C70&lt;&gt;0, NOT(ISTEXT(B70)))</formula>
    </cfRule>
    <cfRule type="cellIs" dxfId="1642" priority="56" stopIfTrue="1" operator="lessThan">
      <formula>0</formula>
    </cfRule>
  </conditionalFormatting>
  <conditionalFormatting sqref="C71">
    <cfRule type="expression" dxfId="1641" priority="53" stopIfTrue="1">
      <formula>AND(C71&lt;&gt;0, NOT(ISTEXT(B71)))</formula>
    </cfRule>
    <cfRule type="cellIs" dxfId="1640" priority="54" stopIfTrue="1" operator="lessThan">
      <formula>0</formula>
    </cfRule>
  </conditionalFormatting>
  <conditionalFormatting sqref="C72">
    <cfRule type="expression" dxfId="1639" priority="51" stopIfTrue="1">
      <formula>AND(C72&lt;&gt;0, NOT(ISTEXT(B72)))</formula>
    </cfRule>
    <cfRule type="cellIs" dxfId="1638" priority="52" stopIfTrue="1" operator="lessThan">
      <formula>0</formula>
    </cfRule>
  </conditionalFormatting>
  <conditionalFormatting sqref="C73">
    <cfRule type="expression" dxfId="1637" priority="49" stopIfTrue="1">
      <formula>AND(C73&lt;&gt;0, NOT(ISTEXT(B73)))</formula>
    </cfRule>
    <cfRule type="cellIs" dxfId="1636" priority="50" stopIfTrue="1" operator="lessThan">
      <formula>0</formula>
    </cfRule>
  </conditionalFormatting>
  <conditionalFormatting sqref="C74">
    <cfRule type="expression" dxfId="1635" priority="47" stopIfTrue="1">
      <formula>AND(C74&lt;&gt;0, NOT(ISTEXT(B74)))</formula>
    </cfRule>
    <cfRule type="cellIs" dxfId="1634" priority="48" stopIfTrue="1" operator="lessThan">
      <formula>0</formula>
    </cfRule>
  </conditionalFormatting>
  <conditionalFormatting sqref="C75">
    <cfRule type="expression" dxfId="1633" priority="45" stopIfTrue="1">
      <formula>AND(C75&lt;&gt;0, NOT(ISTEXT(B75)))</formula>
    </cfRule>
    <cfRule type="cellIs" dxfId="1632" priority="46" stopIfTrue="1" operator="lessThan">
      <formula>0</formula>
    </cfRule>
  </conditionalFormatting>
  <conditionalFormatting sqref="C76">
    <cfRule type="expression" dxfId="1631" priority="43" stopIfTrue="1">
      <formula>AND(C76&lt;&gt;0, NOT(ISTEXT(B76)))</formula>
    </cfRule>
    <cfRule type="cellIs" dxfId="1630" priority="44" stopIfTrue="1" operator="lessThan">
      <formula>0</formula>
    </cfRule>
  </conditionalFormatting>
  <conditionalFormatting sqref="D65:D77">
    <cfRule type="expression" dxfId="1629" priority="41" stopIfTrue="1">
      <formula>AND(D65&lt;&gt;0,NOT(ISTEXT(B65)))</formula>
    </cfRule>
  </conditionalFormatting>
  <conditionalFormatting sqref="C86">
    <cfRule type="expression" dxfId="1628" priority="37" stopIfTrue="1">
      <formula>AND(C86&lt;&gt;0, NOT(ISTEXT(B86)))</formula>
    </cfRule>
    <cfRule type="cellIs" dxfId="1627" priority="38" stopIfTrue="1" operator="lessThan">
      <formula>0</formula>
    </cfRule>
  </conditionalFormatting>
  <conditionalFormatting sqref="C78">
    <cfRule type="expression" dxfId="1626" priority="35" stopIfTrue="1">
      <formula>AND(C78&lt;&gt;0, NOT(ISTEXT(B78)))</formula>
    </cfRule>
    <cfRule type="cellIs" dxfId="1625" priority="36" stopIfTrue="1" operator="lessThan">
      <formula>0</formula>
    </cfRule>
  </conditionalFormatting>
  <conditionalFormatting sqref="C79">
    <cfRule type="expression" dxfId="1624" priority="33" stopIfTrue="1">
      <formula>AND(C79&lt;&gt;0, NOT(ISTEXT(B79)))</formula>
    </cfRule>
    <cfRule type="cellIs" dxfId="1623" priority="34" stopIfTrue="1" operator="lessThan">
      <formula>0</formula>
    </cfRule>
  </conditionalFormatting>
  <conditionalFormatting sqref="C80">
    <cfRule type="expression" dxfId="1622" priority="31" stopIfTrue="1">
      <formula>AND(C80&lt;&gt;0, NOT(ISTEXT(B80)))</formula>
    </cfRule>
    <cfRule type="cellIs" dxfId="1621" priority="32" stopIfTrue="1" operator="lessThan">
      <formula>0</formula>
    </cfRule>
  </conditionalFormatting>
  <conditionalFormatting sqref="C81">
    <cfRule type="expression" dxfId="1620" priority="29" stopIfTrue="1">
      <formula>AND(C81&lt;&gt;0, NOT(ISTEXT(B81)))</formula>
    </cfRule>
    <cfRule type="cellIs" dxfId="1619" priority="30" stopIfTrue="1" operator="lessThan">
      <formula>0</formula>
    </cfRule>
  </conditionalFormatting>
  <conditionalFormatting sqref="C82">
    <cfRule type="expression" dxfId="1618" priority="27" stopIfTrue="1">
      <formula>AND(C82&lt;&gt;0, NOT(ISTEXT(B82)))</formula>
    </cfRule>
    <cfRule type="cellIs" dxfId="1617" priority="28" stopIfTrue="1" operator="lessThan">
      <formula>0</formula>
    </cfRule>
  </conditionalFormatting>
  <conditionalFormatting sqref="C83">
    <cfRule type="expression" dxfId="1616" priority="25" stopIfTrue="1">
      <formula>AND(C83&lt;&gt;0, NOT(ISTEXT(B83)))</formula>
    </cfRule>
    <cfRule type="cellIs" dxfId="1615" priority="26" stopIfTrue="1" operator="lessThan">
      <formula>0</formula>
    </cfRule>
  </conditionalFormatting>
  <conditionalFormatting sqref="C84">
    <cfRule type="expression" dxfId="1614" priority="23" stopIfTrue="1">
      <formula>AND(C84&lt;&gt;0, NOT(ISTEXT(B84)))</formula>
    </cfRule>
    <cfRule type="cellIs" dxfId="1613" priority="24" stopIfTrue="1" operator="lessThan">
      <formula>0</formula>
    </cfRule>
  </conditionalFormatting>
  <conditionalFormatting sqref="C85">
    <cfRule type="expression" dxfId="1612" priority="21" stopIfTrue="1">
      <formula>AND(C85&lt;&gt;0, NOT(ISTEXT(B85)))</formula>
    </cfRule>
    <cfRule type="cellIs" dxfId="1611" priority="22" stopIfTrue="1" operator="lessThan">
      <formula>0</formula>
    </cfRule>
  </conditionalFormatting>
  <conditionalFormatting sqref="D78:D86">
    <cfRule type="expression" dxfId="1610" priority="19" stopIfTrue="1">
      <formula>AND(D78&lt;&gt;0,NOT(ISTEXT(B78)))</formula>
    </cfRule>
  </conditionalFormatting>
  <conditionalFormatting sqref="D7:D17 D27:D39 D65:D86">
    <cfRule type="cellIs" dxfId="1609" priority="16" stopIfTrue="1" operator="greaterThan">
      <formula>C7</formula>
    </cfRule>
  </conditionalFormatting>
  <conditionalFormatting sqref="AE23:AE44">
    <cfRule type="expression" dxfId="1608" priority="7" stopIfTrue="1">
      <formula>((Z23*(12-$AR$19))-AE23)/(Z23*(12-$AR$19)+0.00001)&gt;0.9</formula>
    </cfRule>
    <cfRule type="expression" dxfId="1607" priority="8" stopIfTrue="1">
      <formula>((Z23*(12-$AR$19))-AE23)/(Z23*(12-$AR$19)+0.00001)&gt;0.8</formula>
    </cfRule>
    <cfRule type="expression" dxfId="1606" priority="9" stopIfTrue="1">
      <formula>((Z23*(12-$AR$19))-AE23)/(Z23*(12-$AR$19)+0.00001)&gt;0.7</formula>
    </cfRule>
    <cfRule type="expression" dxfId="1605" priority="10" stopIfTrue="1">
      <formula>((Z23*(12-$AR$19))-AE23)/(Z23*(12-$AR$19)+0.00001)&gt;0.6</formula>
    </cfRule>
    <cfRule type="expression" dxfId="1604" priority="11" stopIfTrue="1">
      <formula>((Z23*(12-$AR$19))-AE23)/(Z23*(12-$AR$19)+0.00001)&gt;0.5</formula>
    </cfRule>
    <cfRule type="expression" dxfId="1603" priority="12" stopIfTrue="1">
      <formula>((Z23*(12-$AR$19))-AE23)/(Z23*(12-$AR$19)+0.00001)&gt;0.4</formula>
    </cfRule>
    <cfRule type="expression" dxfId="1602" priority="13" stopIfTrue="1">
      <formula>((Z23*(12-$AR$19))-AE23)/(Z23*(12-$AR$19)+0.00001)&gt;0.3</formula>
    </cfRule>
    <cfRule type="expression" dxfId="1601" priority="377" stopIfTrue="1">
      <formula>((Z23*(12-$AR$19))-AE23)/(Z23*(12-$AR$19)+0.00001)&gt;0.2</formula>
    </cfRule>
  </conditionalFormatting>
  <conditionalFormatting sqref="N55:N56">
    <cfRule type="containsText" dxfId="1600" priority="4" stopIfTrue="1" operator="containsText" text="No">
      <formula>NOT(ISERROR(SEARCH("No",N55)))</formula>
    </cfRule>
  </conditionalFormatting>
  <conditionalFormatting sqref="AE15:AE20">
    <cfRule type="containsText" dxfId="1599" priority="3" stopIfTrue="1" operator="containsText" text="Over">
      <formula>NOT(ISERROR(SEARCH("Over",AE15)))</formula>
    </cfRule>
  </conditionalFormatting>
  <conditionalFormatting sqref="B20:D20">
    <cfRule type="containsText" dxfId="1598" priority="2" stopIfTrue="1" operator="containsText" text="Check">
      <formula>NOT(ISERROR(SEARCH("Check",B20)))</formula>
    </cfRule>
  </conditionalFormatting>
  <conditionalFormatting sqref="B42:D42">
    <cfRule type="containsText" dxfId="1597" priority="1" stopIfTrue="1" operator="containsText" text="Check">
      <formula>NOT(ISERROR(SEARCH("Check",B42)))</formula>
    </cfRule>
  </conditionalFormatting>
  <dataValidations count="14">
    <dataValidation type="custom" showInputMessage="1" showErrorMessage="1" errorTitle="שגיאה" error="חובה למלא את שם ההוצאה לפני מילוי הסכום." sqref="J64:J110 Q7:Q45 J7:J53 Q64:Q110">
      <formula1>ISTEXT(I7)</formula1>
    </dataValidation>
    <dataValidation type="custom" showInputMessage="1" showErrorMessage="1" errorTitle="שגיאה" error="חובה לתת שם לכל סעיף שנרשם בו תקציב" sqref="C7:C17 C27:C39 C45:C56 Z6:Z16 Z23:Z44 C65:C86">
      <formula1>ISTEXT(B6)</formula1>
    </dataValidation>
    <dataValidation type="custom" showInputMessage="1" showErrorMessage="1" errorTitle="שגיאה" error="חובה לתת שם לכל סעיף שנרשם בו ביצוע" sqref="D65:D86 D7:D17 D27:D39 AA6:AA16 AC17">
      <formula1>ISTEXT(B6)</formula1>
    </dataValidation>
    <dataValidation type="whole" allowBlank="1" showInputMessage="1" showErrorMessage="1" errorTitle="ערך לא חוקי" error="התא יכול לקבל 0 או 1. ערכים אחרים אינם חוקיים." prompt="שים לב!_x000a_שינוי תא זה עלול להשפיע על התקציב המתוכנן לשוטפות בחודש הבא." sqref="AI23:AI44">
      <formula1>0</formula1>
      <formula2>1</formula2>
    </dataValidation>
    <dataValidation type="list" errorStyle="information" allowBlank="1" showInputMessage="1" sqref="K64:K110 U64:U110 U7:U45 E7:E17 E27:E39 E65:E86 K7:K53 AB6:AB16">
      <formula1>$AT$5:$AT$9</formula1>
    </dataValidation>
    <dataValidation type="whole" allowBlank="1" showInputMessage="1" showErrorMessage="1" error="מס' יום לא חוקי" sqref="O7:O45 H7:H53 H64:H110 O64:O110">
      <formula1>1</formula1>
      <formula2>31</formula2>
    </dataValidation>
    <dataValidation type="list" allowBlank="1" showInputMessage="1" showErrorMessage="1" error="חובה לבחור בהתפריט הנפתח" sqref="P7:P45 P64:P110">
      <formula1>$Y$23:$Y$44</formula1>
    </dataValidation>
    <dataValidation type="list" allowBlank="1" showInputMessage="1" showErrorMessage="1" error="חובה לבחור כן/לא." sqref="N55:N56">
      <formula1>$AP$55:$AP$56</formula1>
    </dataValidation>
    <dataValidation type="list" allowBlank="1" showInputMessage="1" showErrorMessage="1" error="חובה לבחור מהתפריט הנפתח" sqref="I7:I53 I64:I110">
      <formula1>$B$45:$B$56</formula1>
    </dataValidation>
    <dataValidation allowBlank="1" showInputMessage="1" showErrorMessage="1" prompt="שים לב! שינוי תא זה יבטל את החישוב האוטומטי לסה&quot;כ ביצוע הוצאות קבועות לחודש הנוכחי. " sqref="D18"/>
    <dataValidation allowBlank="1" showInputMessage="1" showErrorMessage="1" prompt="שים לב! שינוי תא זה יבטל את החישוב האוטומטי לסה&quot;כ ביצוע החזרי החובות לחודש הנוכחי. " sqref="D40"/>
    <dataValidation type="custom" errorStyle="warning" allowBlank="1" showInputMessage="1" showErrorMessage="1" errorTitle="סעיף כבר בשימוש" error="שם סעיף זה כבר בשימוש בקטגוריה זו או בקטגוריה אחרת. יתכן גם שנרשמה עליו שם כבר הוצאה בחודש זה." sqref="Y23:Y44 B45:B56 B27:B39 B65:B86 B7:B17">
      <formula1>(COUNTIF($B$7:$B$17,B7)+COUNTIF($B$27:$B$39,B7)+COUNTIF($B$45:$B$56,B7)+COUNTIF($I$7:$I$53,B7)+COUNTIF($Y$23:$Y$44,B7)+COUNTIF($P$7:$P$45,B7))&lt;=1</formula1>
    </dataValidation>
    <dataValidation type="list" allowBlank="1" showInputMessage="1" showErrorMessage="1" error="חובה לבחור מהתפריט הנפתח" sqref="N58">
      <formula1>$AQ$55:$AQ$56</formula1>
    </dataValidation>
    <dataValidation type="custom" errorStyle="information" allowBlank="1" showInputMessage="1" showErrorMessage="1" error="אתם מזינים עיסקת תשלומים. _x000a_חובה למלא את עמודות &quot;מספר התשלום&quot; ו- &quot;מתוך&quot; כדי שהתשלומים הבאים יוכנסו אוטומטית." prompt="שנה תא זה רק בהזנת עיסקת תשלומים._x000a_בחודש הראשון - הזן את סכום העיסקה הכולל._x000a_בחודשי התשלום הבאים - יוכנס אוטומטית 0 (יוצג כ &quot;-&quot;)." sqref="R7:R45 R64:R110">
      <formula1>R7=Q7</formula1>
    </dataValidation>
  </dataValidations>
  <hyperlinks>
    <hyperlink ref="Q3" location="J!Y21:Z46" tooltip="To Summary Table" display="List Periodic Expenses"/>
    <hyperlink ref="I3" location="J!B44:C58" tooltip="To Summary Table" display="List Everyday Expenses"/>
  </hyperlinks>
  <pageMargins left="0.7" right="0.7" top="0.75" bottom="0.75" header="0.3" footer="0.3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FF00"/>
    <outlinePr summaryBelow="0" summaryRight="0"/>
  </sheetPr>
  <dimension ref="A1:CN152"/>
  <sheetViews>
    <sheetView showZeros="0" zoomScale="75" zoomScaleNormal="75" workbookViewId="0"/>
  </sheetViews>
  <sheetFormatPr defaultColWidth="9.125" defaultRowHeight="14.25" outlineLevelRow="1" outlineLevelCol="1"/>
  <cols>
    <col min="1" max="1" width="0.625" style="2" customWidth="1"/>
    <col min="2" max="2" width="22.125" style="2" customWidth="1"/>
    <col min="3" max="3" width="8.125" style="2" customWidth="1"/>
    <col min="4" max="4" width="9.75" style="2" customWidth="1" collapsed="1"/>
    <col min="5" max="5" width="12.25" style="2" hidden="1" customWidth="1" outlineLevel="1"/>
    <col min="6" max="6" width="20.75" style="2" hidden="1" customWidth="1" outlineLevel="1"/>
    <col min="7" max="7" width="1.125" style="2" customWidth="1"/>
    <col min="8" max="8" width="5.375" style="2" customWidth="1"/>
    <col min="9" max="9" width="22.125" style="2" customWidth="1"/>
    <col min="10" max="10" width="8.125" style="2" customWidth="1" collapsed="1"/>
    <col min="11" max="11" width="12.25" style="2" hidden="1" customWidth="1" outlineLevel="1"/>
    <col min="12" max="12" width="20.75" style="2" hidden="1" customWidth="1" outlineLevel="1"/>
    <col min="13" max="13" width="10.75" style="2" customWidth="1" collapsed="1"/>
    <col min="14" max="14" width="4.875" style="2" customWidth="1"/>
    <col min="15" max="15" width="5" style="3" customWidth="1"/>
    <col min="16" max="16" width="22.125" style="2" customWidth="1"/>
    <col min="17" max="17" width="10.875" style="2" customWidth="1"/>
    <col min="18" max="18" width="9.875" style="2" bestFit="1" customWidth="1"/>
    <col min="19" max="19" width="4.625" style="26" customWidth="1" collapsed="1"/>
    <col min="20" max="20" width="3.75" style="26" customWidth="1" collapsed="1"/>
    <col min="21" max="21" width="12.25" style="26" hidden="1" customWidth="1" outlineLevel="1"/>
    <col min="22" max="22" width="20.75" style="26" hidden="1" customWidth="1" outlineLevel="1"/>
    <col min="23" max="23" width="10.75" style="2" customWidth="1"/>
    <col min="24" max="24" width="1.125" style="2" customWidth="1"/>
    <col min="25" max="25" width="24.125" style="2" customWidth="1"/>
    <col min="26" max="26" width="9.875" style="2" bestFit="1" customWidth="1"/>
    <col min="27" max="27" width="10.875" style="2" bestFit="1" customWidth="1" collapsed="1"/>
    <col min="28" max="28" width="13.375" style="2" hidden="1" customWidth="1" outlineLevel="1"/>
    <col min="29" max="29" width="15" style="2" hidden="1" customWidth="1" outlineLevel="1"/>
    <col min="30" max="30" width="10.875" style="2" hidden="1" customWidth="1"/>
    <col min="31" max="31" width="13.875" style="2" customWidth="1"/>
    <col min="32" max="32" width="3" style="2" customWidth="1"/>
    <col min="33" max="33" width="9.75" style="2" customWidth="1"/>
    <col min="34" max="34" width="5.625" style="2" customWidth="1"/>
    <col min="35" max="35" width="4.25" style="2" customWidth="1"/>
    <col min="36" max="36" width="9.125" style="2"/>
    <col min="37" max="37" width="11.875" style="2" customWidth="1"/>
    <col min="38" max="38" width="13.875" style="2" customWidth="1"/>
    <col min="39" max="40" width="9.125" style="2"/>
    <col min="41" max="41" width="9.125" style="52" customWidth="1"/>
    <col min="42" max="42" width="13.875" style="52" hidden="1" customWidth="1"/>
    <col min="43" max="43" width="15.875" style="52" hidden="1" customWidth="1"/>
    <col min="44" max="44" width="18.125" style="52" hidden="1" customWidth="1"/>
    <col min="45" max="45" width="16" style="52" hidden="1" customWidth="1"/>
    <col min="46" max="46" width="11.75" style="52" hidden="1" customWidth="1"/>
    <col min="47" max="47" width="9.125" style="52" hidden="1" customWidth="1"/>
    <col min="48" max="48" width="14" style="52" hidden="1" customWidth="1"/>
    <col min="49" max="49" width="16.75" style="52" hidden="1" customWidth="1"/>
    <col min="50" max="50" width="17.375" style="52" hidden="1" customWidth="1"/>
    <col min="51" max="51" width="9.125" style="52" hidden="1" customWidth="1"/>
    <col min="52" max="53" width="9.125" style="2" hidden="1" customWidth="1"/>
    <col min="54" max="60" width="9.125" style="2"/>
    <col min="61" max="61" width="2.875" style="2" customWidth="1"/>
    <col min="62" max="90" width="9.125" style="2"/>
    <col min="91" max="92" width="0" style="52" hidden="1" customWidth="1"/>
    <col min="93" max="16384" width="9.125" style="2"/>
  </cols>
  <sheetData>
    <row r="1" spans="1:92" s="367" customFormat="1" ht="15">
      <c r="B1" s="880" t="s">
        <v>381</v>
      </c>
      <c r="O1" s="512"/>
      <c r="S1" s="371"/>
      <c r="T1" s="371"/>
      <c r="U1" s="371"/>
      <c r="V1" s="371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CM1" s="86"/>
      <c r="CN1" s="86"/>
    </row>
    <row r="2" spans="1:92" ht="20.25">
      <c r="A2" s="367"/>
      <c r="B2" s="809" t="s">
        <v>468</v>
      </c>
      <c r="C2" s="890" t="s">
        <v>475</v>
      </c>
      <c r="E2" s="367"/>
      <c r="F2" s="367"/>
      <c r="G2" s="367"/>
      <c r="H2" s="367"/>
      <c r="I2" s="367"/>
      <c r="J2" s="368"/>
      <c r="K2" s="596"/>
      <c r="L2" s="585"/>
      <c r="M2" s="67" t="str">
        <f>IF('Month A'!M2="Month","",VLOOKUP(J!M2,'Month A'!CM3:CN14,2,FALSE))</f>
        <v/>
      </c>
      <c r="N2" s="1232" t="str">
        <f>IF('Month A'!N2:O2="Year","",IF(M2="Jan",J!N2:O2+1,J!N2:O2))</f>
        <v/>
      </c>
      <c r="O2" s="1232"/>
      <c r="Q2" s="367"/>
      <c r="R2" s="878" t="s">
        <v>491</v>
      </c>
      <c r="S2" s="371"/>
      <c r="U2" s="371"/>
      <c r="V2" s="371"/>
      <c r="W2" s="367"/>
      <c r="X2" s="367"/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86"/>
    </row>
    <row r="3" spans="1:92" ht="19.5" customHeight="1" thickBot="1">
      <c r="A3" s="367"/>
      <c r="B3" s="1162" t="s">
        <v>348</v>
      </c>
      <c r="C3" s="1163"/>
      <c r="D3" s="378"/>
      <c r="E3" s="378"/>
      <c r="F3" s="378"/>
      <c r="G3" s="367"/>
      <c r="I3" s="830" t="s">
        <v>345</v>
      </c>
      <c r="J3" s="380"/>
      <c r="K3" s="367"/>
      <c r="L3" s="581"/>
      <c r="M3" s="367"/>
      <c r="N3" s="367"/>
      <c r="O3" s="377"/>
      <c r="P3" s="381"/>
      <c r="Q3" s="830" t="s">
        <v>346</v>
      </c>
      <c r="R3" s="641"/>
      <c r="S3" s="513"/>
      <c r="T3" s="381"/>
      <c r="U3" s="513"/>
      <c r="V3" s="513"/>
      <c r="W3" s="555"/>
      <c r="X3" s="382"/>
      <c r="Y3" s="1218" t="s">
        <v>296</v>
      </c>
      <c r="Z3" s="1218"/>
      <c r="AA3" s="1218"/>
      <c r="AB3" s="554"/>
      <c r="AC3" s="554"/>
      <c r="AD3" s="383"/>
      <c r="AE3" s="367"/>
      <c r="AF3" s="367"/>
      <c r="AG3" s="367"/>
      <c r="AH3" s="367"/>
      <c r="AI3" s="367"/>
      <c r="AJ3" s="367"/>
      <c r="AK3" s="367"/>
      <c r="AL3" s="367"/>
      <c r="AM3" s="367"/>
      <c r="AN3" s="367"/>
      <c r="AO3" s="86"/>
    </row>
    <row r="4" spans="1:92" s="614" customFormat="1" ht="34.5" customHeight="1" thickBot="1">
      <c r="A4" s="602"/>
      <c r="B4" s="879" t="s">
        <v>352</v>
      </c>
      <c r="C4" s="1230">
        <f>C18</f>
        <v>0</v>
      </c>
      <c r="D4" s="1167"/>
      <c r="E4" s="1158"/>
      <c r="F4" s="1159"/>
      <c r="G4" s="602"/>
      <c r="H4" s="603" t="s">
        <v>356</v>
      </c>
      <c r="I4" s="604" t="s">
        <v>357</v>
      </c>
      <c r="J4" s="605" t="s">
        <v>494</v>
      </c>
      <c r="K4" s="606" t="s">
        <v>380</v>
      </c>
      <c r="L4" s="607" t="s">
        <v>335</v>
      </c>
      <c r="M4" s="608" t="s">
        <v>389</v>
      </c>
      <c r="N4" s="602"/>
      <c r="O4" s="609" t="s">
        <v>356</v>
      </c>
      <c r="P4" s="610" t="s">
        <v>357</v>
      </c>
      <c r="Q4" s="806" t="s">
        <v>494</v>
      </c>
      <c r="R4" s="610" t="s">
        <v>359</v>
      </c>
      <c r="S4" s="1176" t="s">
        <v>360</v>
      </c>
      <c r="T4" s="1155" t="s">
        <v>361</v>
      </c>
      <c r="U4" s="787" t="s">
        <v>380</v>
      </c>
      <c r="V4" s="639" t="s">
        <v>335</v>
      </c>
      <c r="W4" s="640" t="s">
        <v>389</v>
      </c>
      <c r="X4" s="623"/>
      <c r="Y4" s="1208" t="s">
        <v>363</v>
      </c>
      <c r="Z4" s="1231"/>
      <c r="AA4" s="611">
        <f>Z17</f>
        <v>0</v>
      </c>
      <c r="AB4" s="1174"/>
      <c r="AC4" s="1175"/>
      <c r="AD4" s="612"/>
      <c r="AF4" s="602"/>
      <c r="AG4" s="602"/>
      <c r="AH4" s="602"/>
      <c r="AI4" s="602"/>
      <c r="AJ4" s="602"/>
      <c r="AK4" s="602"/>
      <c r="AL4" s="602"/>
      <c r="AM4" s="602"/>
      <c r="AN4" s="602"/>
      <c r="AO4" s="703"/>
      <c r="AP4" s="704"/>
      <c r="AQ4" s="704"/>
      <c r="AR4" s="704"/>
      <c r="AS4" s="704"/>
      <c r="AT4" s="705" t="s">
        <v>30</v>
      </c>
      <c r="AU4" s="704"/>
      <c r="AV4" s="704"/>
      <c r="AW4" s="704"/>
      <c r="AX4" s="704"/>
      <c r="AY4" s="704"/>
      <c r="CM4" s="704"/>
      <c r="CN4" s="704"/>
    </row>
    <row r="5" spans="1:92" ht="15" customHeight="1">
      <c r="A5" s="367"/>
      <c r="B5" s="1219" t="s">
        <v>353</v>
      </c>
      <c r="C5" s="1108" t="s">
        <v>354</v>
      </c>
      <c r="D5" s="1168" t="s">
        <v>494</v>
      </c>
      <c r="E5" s="1109" t="s">
        <v>380</v>
      </c>
      <c r="F5" s="1108" t="s">
        <v>335</v>
      </c>
      <c r="G5" s="367"/>
      <c r="H5" s="1157"/>
      <c r="I5" s="1221" t="s">
        <v>427</v>
      </c>
      <c r="J5" s="1150"/>
      <c r="K5" s="1193"/>
      <c r="L5" s="1160"/>
      <c r="M5" s="1153">
        <f ca="1">C57+IF(J!N58=AQ55,J!M58,0)+J!AP45</f>
        <v>0</v>
      </c>
      <c r="N5" s="14"/>
      <c r="O5" s="1182"/>
      <c r="P5" s="1183" t="s">
        <v>467</v>
      </c>
      <c r="Q5" s="1184"/>
      <c r="R5" s="1191"/>
      <c r="S5" s="1177"/>
      <c r="T5" s="1156"/>
      <c r="U5" s="1192"/>
      <c r="V5" s="1191"/>
      <c r="W5" s="1195">
        <f>J!W46+K!Z45-J!AP45</f>
        <v>0</v>
      </c>
      <c r="X5" s="621"/>
      <c r="Y5" s="5" t="s">
        <v>364</v>
      </c>
      <c r="Z5" s="105" t="s">
        <v>354</v>
      </c>
      <c r="AA5" s="914" t="s">
        <v>494</v>
      </c>
      <c r="AB5" s="803" t="s">
        <v>386</v>
      </c>
      <c r="AC5" s="718" t="s">
        <v>335</v>
      </c>
      <c r="AD5" s="31"/>
      <c r="AE5" s="1223" t="s">
        <v>365</v>
      </c>
      <c r="AF5" s="367"/>
      <c r="AG5" s="367"/>
      <c r="AH5" s="367"/>
      <c r="AI5" s="367"/>
      <c r="AJ5" s="367"/>
      <c r="AK5" s="367"/>
      <c r="AL5" s="367"/>
      <c r="AM5" s="367"/>
      <c r="AN5" s="367"/>
      <c r="AO5" s="86"/>
      <c r="AT5" s="52" t="s">
        <v>476</v>
      </c>
    </row>
    <row r="6" spans="1:92" ht="15" customHeight="1">
      <c r="A6" s="367"/>
      <c r="B6" s="1220"/>
      <c r="C6" s="1234"/>
      <c r="D6" s="1169"/>
      <c r="E6" s="1109"/>
      <c r="F6" s="1108"/>
      <c r="G6" s="367"/>
      <c r="H6" s="1157"/>
      <c r="I6" s="1222"/>
      <c r="J6" s="1152"/>
      <c r="K6" s="1194"/>
      <c r="L6" s="1161"/>
      <c r="M6" s="1154"/>
      <c r="N6" s="367"/>
      <c r="O6" s="1182"/>
      <c r="P6" s="1185"/>
      <c r="Q6" s="1186"/>
      <c r="R6" s="1192"/>
      <c r="S6" s="638"/>
      <c r="T6" s="786"/>
      <c r="U6" s="1197"/>
      <c r="V6" s="1191"/>
      <c r="W6" s="1196"/>
      <c r="X6" s="395"/>
      <c r="Y6" s="144" t="str">
        <f>IF(J!Y6&lt;&gt;"",J!Y6,)</f>
        <v>Husband job 1</v>
      </c>
      <c r="Z6" s="456">
        <f>J!Z6</f>
        <v>0</v>
      </c>
      <c r="AA6" s="69"/>
      <c r="AB6" s="715"/>
      <c r="AC6" s="877"/>
      <c r="AD6" s="32"/>
      <c r="AE6" s="1224"/>
      <c r="AF6" s="367"/>
      <c r="AG6" s="367"/>
      <c r="AH6" s="367"/>
      <c r="AI6" s="367"/>
      <c r="AJ6" s="367"/>
      <c r="AK6" s="367"/>
      <c r="AL6" s="367"/>
      <c r="AM6" s="367"/>
      <c r="AN6" s="367"/>
      <c r="AO6" s="86"/>
      <c r="AT6" s="52" t="s">
        <v>477</v>
      </c>
    </row>
    <row r="7" spans="1:92" ht="15" customHeight="1" thickBot="1">
      <c r="A7" s="367"/>
      <c r="B7" s="901" t="str">
        <f>IF(J!B7&lt;&gt;"",J!B7,)</f>
        <v>Mortgage Payments</v>
      </c>
      <c r="C7" s="451">
        <f>J!C7</f>
        <v>0</v>
      </c>
      <c r="D7" s="78"/>
      <c r="E7" s="521"/>
      <c r="F7" s="858"/>
      <c r="G7" s="367"/>
      <c r="H7" s="542"/>
      <c r="I7" s="853"/>
      <c r="J7" s="6"/>
      <c r="K7" s="541"/>
      <c r="L7" s="860"/>
      <c r="M7" s="20" t="str">
        <f>IF(J7="","",$M$5-SUM($J$7:J7))</f>
        <v/>
      </c>
      <c r="N7" s="367"/>
      <c r="O7" s="106"/>
      <c r="P7" s="871">
        <f>IF(J!Q7&lt;&gt;J!R7,IF(J!Q7&lt;&gt;0,IF(J!S7&lt;&gt;J!T7,J!P7,),),)</f>
        <v>0</v>
      </c>
      <c r="Q7" s="795">
        <f>IF(J!Q7&lt;&gt;J!R7,IF(J!Q7&lt;&gt;0,IF(J!S7&lt;&gt;J!T7,J!Q7,),),)</f>
        <v>0</v>
      </c>
      <c r="R7" s="628">
        <f>IF(J!Q7&lt;&gt;J!R7,IF(J!Q7&lt;&gt;0,IF(J!S7&lt;&gt;J!T7,0,Q7),Q7),Q7)</f>
        <v>0</v>
      </c>
      <c r="S7" s="796">
        <f>IF(J!Q7&lt;&gt;J!R7,IF(J!Q7&lt;&gt;0,IF(J!S7&lt;&gt;J!T7,J!S7+1,),),)</f>
        <v>0</v>
      </c>
      <c r="T7" s="796">
        <f>IF(J!Q7&lt;&gt;J!R7,IF(J!Q7&lt;&gt;0,IF(J!S7&lt;&gt;J!T7,J!T7,),),)</f>
        <v>0</v>
      </c>
      <c r="U7" s="797">
        <f>IF(J!Q7&lt;&gt;J!R7,IF(J!Q7&lt;&gt;0,IF(J!S7&lt;&gt;J!T7,J!U7,),),)</f>
        <v>0</v>
      </c>
      <c r="V7" s="875">
        <f>IF(J!Q7&lt;&gt;J!R7,IF(J!Q7&lt;&gt;0,IF(J!S7&lt;&gt;J!T7,J!V7,),),)</f>
        <v>0</v>
      </c>
      <c r="W7" s="622">
        <f>IF(Q7="","",$W$5-SUM($Q$7:Q7))</f>
        <v>0</v>
      </c>
      <c r="X7" s="395"/>
      <c r="Y7" s="144" t="str">
        <f>IF(J!Y7&lt;&gt;"",J!Y7,)</f>
        <v>Husband job 2</v>
      </c>
      <c r="Z7" s="456">
        <f>J!Z7</f>
        <v>0</v>
      </c>
      <c r="AA7" s="69"/>
      <c r="AB7" s="521"/>
      <c r="AC7" s="858"/>
      <c r="AD7" s="32"/>
      <c r="AE7" s="1225"/>
      <c r="AF7" s="367"/>
      <c r="AG7" s="367"/>
      <c r="AH7" s="367"/>
      <c r="AI7" s="367"/>
      <c r="AJ7" s="367"/>
      <c r="AK7" s="367"/>
      <c r="AL7" s="367"/>
      <c r="AM7" s="367"/>
      <c r="AN7" s="367"/>
      <c r="AO7" s="86"/>
      <c r="AT7" s="52" t="s">
        <v>478</v>
      </c>
    </row>
    <row r="8" spans="1:92" ht="15" customHeight="1" thickBot="1">
      <c r="A8" s="367"/>
      <c r="B8" s="901" t="str">
        <f>IF(J!B8&lt;&gt;"",J!B8,)</f>
        <v>Mortgage Insurance</v>
      </c>
      <c r="C8" s="451">
        <f>J!C8</f>
        <v>0</v>
      </c>
      <c r="D8" s="78"/>
      <c r="E8" s="521"/>
      <c r="F8" s="858"/>
      <c r="G8" s="367"/>
      <c r="H8" s="543"/>
      <c r="I8" s="853"/>
      <c r="J8" s="6"/>
      <c r="K8" s="541"/>
      <c r="L8" s="860"/>
      <c r="M8" s="20" t="str">
        <f>IF(J8="","",$M$5-SUM($J$7:J8))</f>
        <v/>
      </c>
      <c r="N8" s="367"/>
      <c r="O8" s="7"/>
      <c r="P8" s="872">
        <f>IF(J!Q8&lt;&gt;J!R8,IF(J!Q8&lt;&gt;0,IF(J!S8&lt;&gt;J!T8,J!P8,),),)</f>
        <v>0</v>
      </c>
      <c r="Q8" s="795">
        <f>IF(J!Q8&lt;&gt;J!R8,IF(J!Q8&lt;&gt;0,IF(J!S8&lt;&gt;J!T8,J!Q8,),),)</f>
        <v>0</v>
      </c>
      <c r="R8" s="628">
        <f>IF(J!Q8&lt;&gt;J!R8,IF(J!Q8&lt;&gt;0,IF(J!S8&lt;&gt;J!T8,0,Q8),Q8),Q8)</f>
        <v>0</v>
      </c>
      <c r="S8" s="796">
        <f>IF(J!Q8&lt;&gt;J!R8,IF(J!Q8&lt;&gt;0,IF(J!S8&lt;&gt;J!T8,J!S8+1,),),)</f>
        <v>0</v>
      </c>
      <c r="T8" s="796">
        <f>IF(J!Q8&lt;&gt;J!R8,IF(J!Q8&lt;&gt;0,IF(J!S8&lt;&gt;J!T8,J!T8,),),)</f>
        <v>0</v>
      </c>
      <c r="U8" s="797">
        <f>IF(J!Q8&lt;&gt;J!R8,IF(J!Q8&lt;&gt;0,IF(J!S8&lt;&gt;J!T8,J!U8,),),)</f>
        <v>0</v>
      </c>
      <c r="V8" s="875">
        <f>IF(J!Q8&lt;&gt;J!R8,IF(J!Q8&lt;&gt;0,IF(J!S8&lt;&gt;J!T8,J!V8,),),)</f>
        <v>0</v>
      </c>
      <c r="W8" s="622">
        <f>IF(Q8="","",$W$5-SUM($Q$7:Q8))</f>
        <v>0</v>
      </c>
      <c r="X8" s="395"/>
      <c r="Y8" s="144" t="str">
        <f>IF(J!Y8&lt;&gt;"",J!Y8,)</f>
        <v>Wife job 1</v>
      </c>
      <c r="Z8" s="456">
        <f>J!Z8</f>
        <v>0</v>
      </c>
      <c r="AA8" s="69"/>
      <c r="AB8" s="521"/>
      <c r="AC8" s="858"/>
      <c r="AD8" s="32"/>
      <c r="AE8" s="363">
        <f>(AA17+'Month A'!AA17+B!AA17+'C'!AA17+D!AA17+E!AA17+F!AA17+G!AA17+H!AA17+I!AA17+J!AA17)/AR19</f>
        <v>0</v>
      </c>
      <c r="AF8" s="367"/>
      <c r="AG8" s="367"/>
      <c r="AH8" s="367"/>
      <c r="AI8" s="367"/>
      <c r="AJ8" s="367"/>
      <c r="AK8" s="367"/>
      <c r="AL8" s="367"/>
      <c r="AM8" s="367"/>
      <c r="AN8" s="367"/>
      <c r="AO8" s="86"/>
      <c r="AT8" s="52" t="s">
        <v>480</v>
      </c>
    </row>
    <row r="9" spans="1:92" ht="15" customHeight="1" thickBot="1">
      <c r="A9" s="367"/>
      <c r="B9" s="901" t="str">
        <f>IF(J!B9&lt;&gt;"",J!B9,)</f>
        <v>Rent</v>
      </c>
      <c r="C9" s="451">
        <f>J!C9</f>
        <v>0</v>
      </c>
      <c r="D9" s="78"/>
      <c r="E9" s="521"/>
      <c r="F9" s="858"/>
      <c r="G9" s="367"/>
      <c r="H9" s="543"/>
      <c r="I9" s="853"/>
      <c r="J9" s="6"/>
      <c r="K9" s="541"/>
      <c r="L9" s="860"/>
      <c r="M9" s="20" t="str">
        <f>IF(J9="","",$M$5-SUM($J$7:J9))</f>
        <v/>
      </c>
      <c r="N9" s="367"/>
      <c r="O9" s="7"/>
      <c r="P9" s="871">
        <f>IF(J!Q9&lt;&gt;J!R9,IF(J!Q9&lt;&gt;0,IF(J!S9&lt;&gt;J!T9,J!P9,),),)</f>
        <v>0</v>
      </c>
      <c r="Q9" s="795">
        <f>IF(J!Q9&lt;&gt;J!R9,IF(J!Q9&lt;&gt;0,IF(J!S9&lt;&gt;J!T9,J!Q9,),),)</f>
        <v>0</v>
      </c>
      <c r="R9" s="628">
        <f>IF(J!Q9&lt;&gt;J!R9,IF(J!Q9&lt;&gt;0,IF(J!S9&lt;&gt;J!T9,0,Q9),Q9),Q9)</f>
        <v>0</v>
      </c>
      <c r="S9" s="796">
        <f>IF(J!Q9&lt;&gt;J!R9,IF(J!Q9&lt;&gt;0,IF(J!S9&lt;&gt;J!T9,J!S9+1,),),)</f>
        <v>0</v>
      </c>
      <c r="T9" s="796">
        <f>IF(J!Q9&lt;&gt;J!R9,IF(J!Q9&lt;&gt;0,IF(J!S9&lt;&gt;J!T9,J!T9,),),)</f>
        <v>0</v>
      </c>
      <c r="U9" s="797">
        <f>IF(J!Q9&lt;&gt;J!R9,IF(J!Q9&lt;&gt;0,IF(J!S9&lt;&gt;J!T9,J!U9,),),)</f>
        <v>0</v>
      </c>
      <c r="V9" s="875">
        <f>IF(J!Q9&lt;&gt;J!R9,IF(J!Q9&lt;&gt;0,IF(J!S9&lt;&gt;J!T9,J!V9,),),)</f>
        <v>0</v>
      </c>
      <c r="W9" s="622">
        <f>IF(Q9="","",$W$5-SUM($Q$7:Q9))</f>
        <v>0</v>
      </c>
      <c r="X9" s="395"/>
      <c r="Y9" s="144" t="str">
        <f>IF(J!Y9&lt;&gt;"",J!Y9,)</f>
        <v>Wife job 2</v>
      </c>
      <c r="Z9" s="456">
        <f>J!Z9</f>
        <v>0</v>
      </c>
      <c r="AA9" s="69"/>
      <c r="AB9" s="521"/>
      <c r="AC9" s="858"/>
      <c r="AD9" s="32"/>
      <c r="AE9" s="404"/>
      <c r="AF9" s="367"/>
      <c r="AG9" s="367"/>
      <c r="AH9" s="367"/>
      <c r="AI9" s="367"/>
      <c r="AJ9" s="367"/>
      <c r="AK9" s="367"/>
      <c r="AL9" s="367"/>
      <c r="AM9" s="367"/>
      <c r="AN9" s="367"/>
      <c r="AO9" s="86"/>
      <c r="AT9" s="52" t="s">
        <v>479</v>
      </c>
    </row>
    <row r="10" spans="1:92" ht="15" customHeight="1">
      <c r="A10" s="367"/>
      <c r="B10" s="902" t="str">
        <f>IF(J!B10&lt;&gt;"",J!B10,)</f>
        <v>Town Taxes / Maintenance Fees</v>
      </c>
      <c r="C10" s="451">
        <f>J!C10</f>
        <v>0</v>
      </c>
      <c r="D10" s="79"/>
      <c r="E10" s="522"/>
      <c r="F10" s="859"/>
      <c r="G10" s="367"/>
      <c r="H10" s="543"/>
      <c r="I10" s="853"/>
      <c r="J10" s="6"/>
      <c r="K10" s="541"/>
      <c r="L10" s="860"/>
      <c r="M10" s="20" t="str">
        <f>IF(J10="","",$M$5-SUM($J$7:J10))</f>
        <v/>
      </c>
      <c r="N10" s="367"/>
      <c r="O10" s="7"/>
      <c r="P10" s="871">
        <f>IF(J!Q10&lt;&gt;J!R10,IF(J!Q10&lt;&gt;0,IF(J!S10&lt;&gt;J!T10,J!P10,),),)</f>
        <v>0</v>
      </c>
      <c r="Q10" s="798">
        <f>IF(J!Q10&lt;&gt;J!R10,IF(J!Q10&lt;&gt;0,IF(J!S10&lt;&gt;J!T10,J!Q10,),),)</f>
        <v>0</v>
      </c>
      <c r="R10" s="628">
        <f>IF(J!Q10&lt;&gt;J!R10,IF(J!Q10&lt;&gt;0,IF(J!S10&lt;&gt;J!T10,0,Q10),Q10),Q10)</f>
        <v>0</v>
      </c>
      <c r="S10" s="796">
        <f>IF(J!Q10&lt;&gt;J!R10,IF(J!Q10&lt;&gt;0,IF(J!S10&lt;&gt;J!T10,J!S10+1,),),)</f>
        <v>0</v>
      </c>
      <c r="T10" s="796">
        <f>IF(J!Q10&lt;&gt;J!R10,IF(J!Q10&lt;&gt;0,IF(J!S10&lt;&gt;J!T10,J!T10,),),)</f>
        <v>0</v>
      </c>
      <c r="U10" s="797">
        <f>IF(J!Q10&lt;&gt;J!R10,IF(J!Q10&lt;&gt;0,IF(J!S10&lt;&gt;J!T10,J!U10,),),)</f>
        <v>0</v>
      </c>
      <c r="V10" s="875">
        <f>IF(J!Q10&lt;&gt;J!R10,IF(J!Q10&lt;&gt;0,IF(J!S10&lt;&gt;J!T10,J!V10,),),)</f>
        <v>0</v>
      </c>
      <c r="W10" s="624">
        <f>IF(Q10="","",$W$5-SUM($Q$7:Q10))</f>
        <v>0</v>
      </c>
      <c r="X10" s="621"/>
      <c r="Y10" s="144" t="str">
        <f>IF(J!Y10&lt;&gt;"",J!Y10,)</f>
        <v>National Social Security for Children</v>
      </c>
      <c r="Z10" s="456">
        <f>J!Z10</f>
        <v>0</v>
      </c>
      <c r="AA10" s="69"/>
      <c r="AB10" s="522"/>
      <c r="AC10" s="859"/>
      <c r="AD10" s="32"/>
      <c r="AE10" s="1226" t="s">
        <v>366</v>
      </c>
      <c r="AF10" s="367"/>
      <c r="AG10" s="367"/>
      <c r="AH10" s="367"/>
      <c r="AI10" s="367"/>
      <c r="AJ10" s="367"/>
      <c r="AK10" s="367"/>
      <c r="AL10" s="367"/>
      <c r="AM10" s="367"/>
      <c r="AN10" s="367"/>
      <c r="AO10" s="86"/>
    </row>
    <row r="11" spans="1:92" ht="15" customHeight="1" thickBot="1">
      <c r="A11" s="367"/>
      <c r="B11" s="901" t="str">
        <f>IF(J!B11&lt;&gt;"",J!B11,)</f>
        <v xml:space="preserve">Insurance (excl. car) </v>
      </c>
      <c r="C11" s="451">
        <f>J!C11</f>
        <v>0</v>
      </c>
      <c r="D11" s="78"/>
      <c r="E11" s="521"/>
      <c r="F11" s="858"/>
      <c r="G11" s="367"/>
      <c r="H11" s="543"/>
      <c r="I11" s="853"/>
      <c r="J11" s="6"/>
      <c r="K11" s="541"/>
      <c r="L11" s="860"/>
      <c r="M11" s="20" t="str">
        <f>IF(J11="","",$M$5-SUM($J$7:J11))</f>
        <v/>
      </c>
      <c r="N11" s="367"/>
      <c r="O11" s="7"/>
      <c r="P11" s="871">
        <f>IF(J!Q11&lt;&gt;J!R11,IF(J!Q11&lt;&gt;0,IF(J!S11&lt;&gt;J!T11,J!P11,),),)</f>
        <v>0</v>
      </c>
      <c r="Q11" s="795">
        <f>IF(J!Q11&lt;&gt;J!R11,IF(J!Q11&lt;&gt;0,IF(J!S11&lt;&gt;J!T11,J!Q11,),),)</f>
        <v>0</v>
      </c>
      <c r="R11" s="628">
        <f>IF(J!Q11&lt;&gt;J!R11,IF(J!Q11&lt;&gt;0,IF(J!S11&lt;&gt;J!T11,0,Q11),Q11),Q11)</f>
        <v>0</v>
      </c>
      <c r="S11" s="796">
        <f>IF(J!Q11&lt;&gt;J!R11,IF(J!Q11&lt;&gt;0,IF(J!S11&lt;&gt;J!T11,J!S11+1,),),)</f>
        <v>0</v>
      </c>
      <c r="T11" s="796">
        <f>IF(J!Q11&lt;&gt;J!R11,IF(J!Q11&lt;&gt;0,IF(J!S11&lt;&gt;J!T11,J!T11,),),)</f>
        <v>0</v>
      </c>
      <c r="U11" s="797">
        <f>IF(J!Q11&lt;&gt;J!R11,IF(J!Q11&lt;&gt;0,IF(J!S11&lt;&gt;J!T11,J!U11,),),)</f>
        <v>0</v>
      </c>
      <c r="V11" s="875">
        <f>IF(J!Q11&lt;&gt;J!R11,IF(J!Q11&lt;&gt;0,IF(J!S11&lt;&gt;J!T11,J!V11,),),)</f>
        <v>0</v>
      </c>
      <c r="W11" s="622">
        <f>IF(Q11="","",$W$5-SUM($Q$7:Q11))</f>
        <v>0</v>
      </c>
      <c r="X11" s="395"/>
      <c r="Y11" s="144" t="str">
        <f>IF(J!Y11&lt;&gt;"",J!Y11,)</f>
        <v>other Allowances</v>
      </c>
      <c r="Z11" s="456">
        <f>J!Z11</f>
        <v>0</v>
      </c>
      <c r="AA11" s="69"/>
      <c r="AB11" s="521"/>
      <c r="AC11" s="858"/>
      <c r="AD11" s="32"/>
      <c r="AE11" s="1227"/>
      <c r="AF11" s="367"/>
      <c r="AG11" s="367"/>
      <c r="AH11" s="367"/>
      <c r="AI11" s="367"/>
      <c r="AJ11" s="367"/>
      <c r="AK11" s="367"/>
      <c r="AL11" s="367"/>
      <c r="AM11" s="367"/>
      <c r="AN11" s="367"/>
      <c r="AO11" s="86"/>
    </row>
    <row r="12" spans="1:92" ht="15" customHeight="1" thickBot="1">
      <c r="A12" s="367"/>
      <c r="B12" s="901" t="str">
        <f>IF(J!B12&lt;&gt;"",J!B12,)</f>
        <v>Bank Savings Program</v>
      </c>
      <c r="C12" s="451">
        <f>J!C12</f>
        <v>0</v>
      </c>
      <c r="D12" s="78"/>
      <c r="E12" s="521"/>
      <c r="F12" s="858"/>
      <c r="G12" s="367"/>
      <c r="H12" s="543"/>
      <c r="I12" s="853"/>
      <c r="J12" s="6"/>
      <c r="K12" s="541"/>
      <c r="L12" s="860"/>
      <c r="M12" s="20" t="str">
        <f>IF(J12="","",$M$5-SUM($J$7:J12))</f>
        <v/>
      </c>
      <c r="N12" s="367"/>
      <c r="O12" s="7"/>
      <c r="P12" s="871">
        <f>IF(J!Q12&lt;&gt;J!R12,IF(J!Q12&lt;&gt;0,IF(J!S12&lt;&gt;J!T12,J!P12,),),)</f>
        <v>0</v>
      </c>
      <c r="Q12" s="795">
        <f>IF(J!Q12&lt;&gt;J!R12,IF(J!Q12&lt;&gt;0,IF(J!S12&lt;&gt;J!T12,J!Q12,),),)</f>
        <v>0</v>
      </c>
      <c r="R12" s="628">
        <f>IF(J!Q12&lt;&gt;J!R12,IF(J!Q12&lt;&gt;0,IF(J!S12&lt;&gt;J!T12,0,Q12),Q12),Q12)</f>
        <v>0</v>
      </c>
      <c r="S12" s="796">
        <f>IF(J!Q12&lt;&gt;J!R12,IF(J!Q12&lt;&gt;0,IF(J!S12&lt;&gt;J!T12,J!S12+1,),),)</f>
        <v>0</v>
      </c>
      <c r="T12" s="796">
        <f>IF(J!Q12&lt;&gt;J!R12,IF(J!Q12&lt;&gt;0,IF(J!S12&lt;&gt;J!T12,J!T12,),),)</f>
        <v>0</v>
      </c>
      <c r="U12" s="797">
        <f>IF(J!Q12&lt;&gt;J!R12,IF(J!Q12&lt;&gt;0,IF(J!S12&lt;&gt;J!T12,J!U12,),),)</f>
        <v>0</v>
      </c>
      <c r="V12" s="875">
        <f>IF(J!Q12&lt;&gt;J!R12,IF(J!Q12&lt;&gt;0,IF(J!S12&lt;&gt;J!T12,J!V12,),),)</f>
        <v>0</v>
      </c>
      <c r="W12" s="622">
        <f>IF(Q12="","",$W$5-SUM($Q$7:Q12))</f>
        <v>0</v>
      </c>
      <c r="X12" s="395"/>
      <c r="Y12" s="144" t="str">
        <f>IF(J!Y12&lt;&gt;"",J!Y12,)</f>
        <v>Rent Assistance</v>
      </c>
      <c r="Z12" s="456">
        <f>J!Z12</f>
        <v>0</v>
      </c>
      <c r="AA12" s="69"/>
      <c r="AB12" s="521"/>
      <c r="AC12" s="858"/>
      <c r="AD12" s="32"/>
      <c r="AE12" s="1228"/>
      <c r="AF12" s="367"/>
      <c r="AG12" s="367"/>
      <c r="AH12" s="367"/>
      <c r="AI12" s="367"/>
      <c r="AJ12" s="367"/>
      <c r="AK12" s="367"/>
      <c r="AL12" s="367"/>
      <c r="AM12" s="367"/>
      <c r="AN12" s="367"/>
      <c r="AO12" s="86"/>
      <c r="AP12" s="1138" t="s">
        <v>20</v>
      </c>
      <c r="AQ12" s="1139"/>
      <c r="AR12" s="1139"/>
      <c r="AS12" s="1139"/>
      <c r="AT12" s="1139"/>
      <c r="AU12" s="1139"/>
      <c r="AV12" s="1139"/>
      <c r="AW12" s="1139"/>
      <c r="AX12" s="1140"/>
    </row>
    <row r="13" spans="1:92" ht="15" customHeight="1" thickBot="1">
      <c r="A13" s="367"/>
      <c r="B13" s="901" t="str">
        <f>IF(J!B13&lt;&gt;"",J!B13,)</f>
        <v>Subscriptions</v>
      </c>
      <c r="C13" s="451">
        <f>J!C13</f>
        <v>0</v>
      </c>
      <c r="D13" s="78"/>
      <c r="E13" s="521"/>
      <c r="F13" s="858"/>
      <c r="G13" s="367"/>
      <c r="H13" s="543"/>
      <c r="I13" s="853"/>
      <c r="J13" s="6"/>
      <c r="K13" s="541"/>
      <c r="L13" s="860"/>
      <c r="M13" s="20" t="str">
        <f>IF(J13="","",$M$5-SUM($J$7:J13))</f>
        <v/>
      </c>
      <c r="N13" s="367"/>
      <c r="O13" s="7"/>
      <c r="P13" s="871">
        <f>IF(J!Q13&lt;&gt;J!R13,IF(J!Q13&lt;&gt;0,IF(J!S13&lt;&gt;J!T13,J!P13,),),)</f>
        <v>0</v>
      </c>
      <c r="Q13" s="795">
        <f>IF(J!Q13&lt;&gt;J!R13,IF(J!Q13&lt;&gt;0,IF(J!S13&lt;&gt;J!T13,J!Q13,),),)</f>
        <v>0</v>
      </c>
      <c r="R13" s="628">
        <f>IF(J!Q13&lt;&gt;J!R13,IF(J!Q13&lt;&gt;0,IF(J!S13&lt;&gt;J!T13,0,Q13),Q13),Q13)</f>
        <v>0</v>
      </c>
      <c r="S13" s="796">
        <f>IF(J!Q13&lt;&gt;J!R13,IF(J!Q13&lt;&gt;0,IF(J!S13&lt;&gt;J!T13,J!S13+1,),),)</f>
        <v>0</v>
      </c>
      <c r="T13" s="796">
        <f>IF(J!Q13&lt;&gt;J!R13,IF(J!Q13&lt;&gt;0,IF(J!S13&lt;&gt;J!T13,J!T13,),),)</f>
        <v>0</v>
      </c>
      <c r="U13" s="797">
        <f>IF(J!Q13&lt;&gt;J!R13,IF(J!Q13&lt;&gt;0,IF(J!S13&lt;&gt;J!T13,J!U13,),),)</f>
        <v>0</v>
      </c>
      <c r="V13" s="875">
        <f>IF(J!Q13&lt;&gt;J!R13,IF(J!Q13&lt;&gt;0,IF(J!S13&lt;&gt;J!T13,J!V13,),),)</f>
        <v>0</v>
      </c>
      <c r="W13" s="622">
        <f>IF(Q13="","",$W$5-SUM($Q$7:Q13))</f>
        <v>0</v>
      </c>
      <c r="X13" s="395"/>
      <c r="Y13" s="144" t="str">
        <f>IF(J!Y13&lt;&gt;"",J!Y13,)</f>
        <v>Food Packages</v>
      </c>
      <c r="Z13" s="456">
        <f>J!Z13</f>
        <v>0</v>
      </c>
      <c r="AA13" s="69"/>
      <c r="AB13" s="521"/>
      <c r="AC13" s="858"/>
      <c r="AD13" s="32"/>
      <c r="AE13" s="363">
        <f>AA18+'Month A'!AA18+B!AA18+'C'!AA18+D!AA18+E!AA18+F!AA18+G!AA18+H!AA18+I!AA18+J!AA18</f>
        <v>0</v>
      </c>
      <c r="AF13" s="367"/>
      <c r="AG13" s="367"/>
      <c r="AH13" s="367"/>
      <c r="AI13" s="367"/>
      <c r="AJ13" s="367"/>
      <c r="AK13" s="367"/>
      <c r="AL13" s="367"/>
      <c r="AM13" s="367"/>
      <c r="AN13" s="367"/>
      <c r="AO13" s="86"/>
    </row>
    <row r="14" spans="1:92" ht="15" customHeight="1">
      <c r="A14" s="367"/>
      <c r="B14" s="901" t="str">
        <f>IF(J!B14&lt;&gt;"",J!B14,)</f>
        <v>Donations</v>
      </c>
      <c r="C14" s="451">
        <f>J!C14</f>
        <v>0</v>
      </c>
      <c r="D14" s="78"/>
      <c r="E14" s="521"/>
      <c r="F14" s="858"/>
      <c r="G14" s="367"/>
      <c r="H14" s="543"/>
      <c r="I14" s="853"/>
      <c r="J14" s="6"/>
      <c r="K14" s="541"/>
      <c r="L14" s="860"/>
      <c r="M14" s="20" t="str">
        <f>IF(J14="","",$M$5-SUM($J$7:J14))</f>
        <v/>
      </c>
      <c r="N14" s="367"/>
      <c r="O14" s="7"/>
      <c r="P14" s="871">
        <f>IF(J!Q14&lt;&gt;J!R14,IF(J!Q14&lt;&gt;0,IF(J!S14&lt;&gt;J!T14,J!P14,),),)</f>
        <v>0</v>
      </c>
      <c r="Q14" s="795">
        <f>IF(J!Q14&lt;&gt;J!R14,IF(J!Q14&lt;&gt;0,IF(J!S14&lt;&gt;J!T14,J!Q14,),),)</f>
        <v>0</v>
      </c>
      <c r="R14" s="628">
        <f>IF(J!Q14&lt;&gt;J!R14,IF(J!Q14&lt;&gt;0,IF(J!S14&lt;&gt;J!T14,0,Q14),Q14),Q14)</f>
        <v>0</v>
      </c>
      <c r="S14" s="796">
        <f>IF(J!Q14&lt;&gt;J!R14,IF(J!Q14&lt;&gt;0,IF(J!S14&lt;&gt;J!T14,J!S14+1,),),)</f>
        <v>0</v>
      </c>
      <c r="T14" s="796">
        <f>IF(J!Q14&lt;&gt;J!R14,IF(J!Q14&lt;&gt;0,IF(J!S14&lt;&gt;J!T14,J!T14,),),)</f>
        <v>0</v>
      </c>
      <c r="U14" s="797">
        <f>IF(J!Q14&lt;&gt;J!R14,IF(J!Q14&lt;&gt;0,IF(J!S14&lt;&gt;J!T14,J!U14,),),)</f>
        <v>0</v>
      </c>
      <c r="V14" s="875">
        <f>IF(J!Q14&lt;&gt;J!R14,IF(J!Q14&lt;&gt;0,IF(J!S14&lt;&gt;J!T14,J!V14,),),)</f>
        <v>0</v>
      </c>
      <c r="W14" s="622">
        <f>IF(Q14="","",$W$5-SUM($Q$7:Q14))</f>
        <v>0</v>
      </c>
      <c r="X14" s="395"/>
      <c r="Y14" s="144" t="str">
        <f>IF(J!Y14&lt;&gt;"",J!Y14,)</f>
        <v>Income from Property</v>
      </c>
      <c r="Z14" s="456">
        <f>J!Z14</f>
        <v>0</v>
      </c>
      <c r="AA14" s="69"/>
      <c r="AB14" s="521"/>
      <c r="AC14" s="858"/>
      <c r="AD14" s="32"/>
      <c r="AE14" s="403"/>
      <c r="AF14" s="367"/>
      <c r="AG14" s="367"/>
      <c r="AH14" s="367"/>
      <c r="AI14" s="367"/>
      <c r="AJ14" s="367"/>
      <c r="AK14" s="367"/>
      <c r="AL14" s="367"/>
      <c r="AM14" s="367"/>
      <c r="AN14" s="367"/>
      <c r="AO14" s="86"/>
      <c r="AW14" s="52" t="s">
        <v>12</v>
      </c>
    </row>
    <row r="15" spans="1:92" ht="15" customHeight="1">
      <c r="A15" s="367"/>
      <c r="B15" s="901">
        <f>IF(J!B15&lt;&gt;"",J!B15,)</f>
        <v>0</v>
      </c>
      <c r="C15" s="451">
        <f>J!C15</f>
        <v>0</v>
      </c>
      <c r="D15" s="78"/>
      <c r="E15" s="521"/>
      <c r="F15" s="858"/>
      <c r="G15" s="367"/>
      <c r="H15" s="543"/>
      <c r="I15" s="853"/>
      <c r="J15" s="6"/>
      <c r="K15" s="541"/>
      <c r="L15" s="860"/>
      <c r="M15" s="20" t="str">
        <f>IF(J15="","",$M$5-SUM($J$7:J15))</f>
        <v/>
      </c>
      <c r="N15" s="367"/>
      <c r="O15" s="7"/>
      <c r="P15" s="871">
        <f>IF(J!Q15&lt;&gt;J!R15,IF(J!Q15&lt;&gt;0,IF(J!S15&lt;&gt;J!T15,J!P15,),),)</f>
        <v>0</v>
      </c>
      <c r="Q15" s="795">
        <f>IF(J!Q15&lt;&gt;J!R15,IF(J!Q15&lt;&gt;0,IF(J!S15&lt;&gt;J!T15,J!Q15,),),)</f>
        <v>0</v>
      </c>
      <c r="R15" s="628">
        <f>IF(J!Q15&lt;&gt;J!R15,IF(J!Q15&lt;&gt;0,IF(J!S15&lt;&gt;J!T15,0,Q15),Q15),Q15)</f>
        <v>0</v>
      </c>
      <c r="S15" s="796">
        <f>IF(J!Q15&lt;&gt;J!R15,IF(J!Q15&lt;&gt;0,IF(J!S15&lt;&gt;J!T15,J!S15+1,),),)</f>
        <v>0</v>
      </c>
      <c r="T15" s="796">
        <f>IF(J!Q15&lt;&gt;J!R15,IF(J!Q15&lt;&gt;0,IF(J!S15&lt;&gt;J!T15,J!T15,),),)</f>
        <v>0</v>
      </c>
      <c r="U15" s="797">
        <f>IF(J!Q15&lt;&gt;J!R15,IF(J!Q15&lt;&gt;0,IF(J!S15&lt;&gt;J!T15,J!U15,),),)</f>
        <v>0</v>
      </c>
      <c r="V15" s="875">
        <f>IF(J!Q15&lt;&gt;J!R15,IF(J!Q15&lt;&gt;0,IF(J!S15&lt;&gt;J!T15,J!V15,),),)</f>
        <v>0</v>
      </c>
      <c r="W15" s="625">
        <f>IF(Q15="","",$W$5-SUM($Q$7:Q15))</f>
        <v>0</v>
      </c>
      <c r="X15" s="621"/>
      <c r="Y15" s="144" t="str">
        <f>IF(J!Y15&lt;&gt;"",J!Y15,)</f>
        <v>Help from parents</v>
      </c>
      <c r="Z15" s="456">
        <f>J!Z15</f>
        <v>0</v>
      </c>
      <c r="AA15" s="69"/>
      <c r="AB15" s="521"/>
      <c r="AC15" s="858"/>
      <c r="AD15" s="32"/>
      <c r="AE15" s="1137" t="str">
        <f>IF(COUNTIF(AE23:AE44,"&lt;0")&gt;0,"Over yearly budget!
Take an action from the options to your right.","")</f>
        <v/>
      </c>
      <c r="AF15" s="367"/>
      <c r="AG15" s="367"/>
      <c r="AH15" s="367"/>
      <c r="AI15" s="367"/>
      <c r="AJ15" s="367"/>
      <c r="AK15" s="367"/>
      <c r="AL15" s="367"/>
      <c r="AM15" s="367"/>
      <c r="AN15" s="367"/>
      <c r="AO15" s="86"/>
      <c r="AW15" s="52" t="s">
        <v>13</v>
      </c>
    </row>
    <row r="16" spans="1:92" ht="15" customHeight="1">
      <c r="A16" s="367"/>
      <c r="B16" s="849">
        <f>IF(J!B16&lt;&gt;"",J!B16,)</f>
        <v>0</v>
      </c>
      <c r="C16" s="451">
        <f>J!C16</f>
        <v>0</v>
      </c>
      <c r="D16" s="78"/>
      <c r="E16" s="521"/>
      <c r="F16" s="858"/>
      <c r="G16" s="367"/>
      <c r="H16" s="543"/>
      <c r="I16" s="853"/>
      <c r="J16" s="6"/>
      <c r="K16" s="541"/>
      <c r="L16" s="860"/>
      <c r="M16" s="20" t="str">
        <f>IF(J16="","",$M$5-SUM($J$7:J16))</f>
        <v/>
      </c>
      <c r="N16" s="367"/>
      <c r="O16" s="7"/>
      <c r="P16" s="873">
        <f>IF(J!Q16&lt;&gt;J!R16,IF(J!Q16&lt;&gt;0,IF(J!S16&lt;&gt;J!T16,J!P16,),),)</f>
        <v>0</v>
      </c>
      <c r="Q16" s="795">
        <f>IF(J!Q16&lt;&gt;J!R16,IF(J!Q16&lt;&gt;0,IF(J!S16&lt;&gt;J!T16,J!Q16,),),)</f>
        <v>0</v>
      </c>
      <c r="R16" s="628">
        <f>IF(J!Q16&lt;&gt;J!R16,IF(J!Q16&lt;&gt;0,IF(J!S16&lt;&gt;J!T16,0,Q16),Q16),Q16)</f>
        <v>0</v>
      </c>
      <c r="S16" s="796">
        <f>IF(J!Q16&lt;&gt;J!R16,IF(J!Q16&lt;&gt;0,IF(J!S16&lt;&gt;J!T16,J!S16+1,),),)</f>
        <v>0</v>
      </c>
      <c r="T16" s="796">
        <f>IF(J!Q16&lt;&gt;J!R16,IF(J!Q16&lt;&gt;0,IF(J!S16&lt;&gt;J!T16,J!T16,),),)</f>
        <v>0</v>
      </c>
      <c r="U16" s="797">
        <f>IF(J!Q16&lt;&gt;J!R16,IF(J!Q16&lt;&gt;0,IF(J!S16&lt;&gt;J!T16,J!U16,),),)</f>
        <v>0</v>
      </c>
      <c r="V16" s="875">
        <f>IF(J!Q16&lt;&gt;J!R16,IF(J!Q16&lt;&gt;0,IF(J!S16&lt;&gt;J!T16,J!V16,),),)</f>
        <v>0</v>
      </c>
      <c r="W16" s="622">
        <f>IF(Q16="","",$W$5-SUM($Q$7:Q16))</f>
        <v>0</v>
      </c>
      <c r="X16" s="395"/>
      <c r="Y16" s="144" t="str">
        <f>IF(J!Y16&lt;&gt;"",J!Y16,)</f>
        <v>Other Income</v>
      </c>
      <c r="Z16" s="456">
        <f>J!Z16</f>
        <v>0</v>
      </c>
      <c r="AA16" s="69"/>
      <c r="AB16" s="645"/>
      <c r="AC16" s="870"/>
      <c r="AD16" s="32"/>
      <c r="AE16" s="1137"/>
      <c r="AF16" s="367"/>
      <c r="AG16" s="367"/>
      <c r="AH16" s="367"/>
      <c r="AI16" s="367"/>
      <c r="AJ16" s="367"/>
      <c r="AK16" s="367"/>
      <c r="AL16" s="367"/>
      <c r="AM16" s="367"/>
      <c r="AN16" s="367"/>
      <c r="AO16" s="86"/>
      <c r="AW16" s="90">
        <f>13-AR19</f>
        <v>2</v>
      </c>
    </row>
    <row r="17" spans="1:63" ht="15" customHeight="1">
      <c r="A17" s="367"/>
      <c r="B17" s="849">
        <f>IF(J!B17&lt;&gt;"",J!B17,)</f>
        <v>0</v>
      </c>
      <c r="C17" s="451">
        <f>J!C17</f>
        <v>0</v>
      </c>
      <c r="D17" s="78"/>
      <c r="E17" s="521"/>
      <c r="F17" s="858"/>
      <c r="G17" s="367"/>
      <c r="H17" s="543"/>
      <c r="I17" s="853"/>
      <c r="J17" s="6"/>
      <c r="K17" s="541"/>
      <c r="L17" s="860"/>
      <c r="M17" s="20" t="str">
        <f>IF(J17="","",$M$5-SUM($J$7:J17))</f>
        <v/>
      </c>
      <c r="N17" s="367"/>
      <c r="O17" s="7"/>
      <c r="P17" s="871">
        <f>IF(J!Q17&lt;&gt;J!R17,IF(J!Q17&lt;&gt;0,IF(J!S17&lt;&gt;J!T17,J!P17,),),)</f>
        <v>0</v>
      </c>
      <c r="Q17" s="795">
        <f>IF(J!Q17&lt;&gt;J!R17,IF(J!Q17&lt;&gt;0,IF(J!S17&lt;&gt;J!T17,J!Q17,),),)</f>
        <v>0</v>
      </c>
      <c r="R17" s="628">
        <f>IF(J!Q17&lt;&gt;J!R17,IF(J!Q17&lt;&gt;0,IF(J!S17&lt;&gt;J!T17,0,Q17),Q17),Q17)</f>
        <v>0</v>
      </c>
      <c r="S17" s="796">
        <f>IF(J!Q17&lt;&gt;J!R17,IF(J!Q17&lt;&gt;0,IF(J!S17&lt;&gt;J!T17,J!S17+1,),),)</f>
        <v>0</v>
      </c>
      <c r="T17" s="796">
        <f>IF(J!Q17&lt;&gt;J!R17,IF(J!Q17&lt;&gt;0,IF(J!S17&lt;&gt;J!T17,J!T17,),),)</f>
        <v>0</v>
      </c>
      <c r="U17" s="797">
        <f>IF(J!Q17&lt;&gt;J!R17,IF(J!Q17&lt;&gt;0,IF(J!S17&lt;&gt;J!T17,J!U17,),),)</f>
        <v>0</v>
      </c>
      <c r="V17" s="875">
        <f>IF(J!Q17&lt;&gt;J!R17,IF(J!Q17&lt;&gt;0,IF(J!S17&lt;&gt;J!T17,J!V17,),),)</f>
        <v>0</v>
      </c>
      <c r="W17" s="624">
        <f>IF(Q17="","",$W$5-SUM($Q$7:Q17))</f>
        <v>0</v>
      </c>
      <c r="X17" s="621"/>
      <c r="Y17" s="18" t="s">
        <v>179</v>
      </c>
      <c r="Z17" s="17">
        <f>SUM(Z6:Z16)</f>
        <v>0</v>
      </c>
      <c r="AA17" s="19">
        <f>SUM(AA6:AA16)</f>
        <v>0</v>
      </c>
      <c r="AB17" s="642"/>
      <c r="AC17" s="642"/>
      <c r="AD17" s="33"/>
      <c r="AE17" s="1137"/>
      <c r="AF17" s="367"/>
      <c r="AG17" s="367"/>
      <c r="AH17" s="367"/>
      <c r="AI17" s="367"/>
      <c r="AJ17" s="367"/>
      <c r="AK17" s="367"/>
      <c r="AL17" s="367"/>
      <c r="AM17" s="367"/>
      <c r="AN17" s="367"/>
      <c r="AO17" s="86"/>
    </row>
    <row r="18" spans="1:63" ht="15" customHeight="1" thickBot="1">
      <c r="A18" s="367"/>
      <c r="B18" s="16" t="s">
        <v>179</v>
      </c>
      <c r="C18" s="77">
        <f>SUM(C7:C17)</f>
        <v>0</v>
      </c>
      <c r="D18" s="75">
        <f>SUM(D7:D17)</f>
        <v>0</v>
      </c>
      <c r="E18" s="515"/>
      <c r="F18" s="515"/>
      <c r="G18" s="367"/>
      <c r="H18" s="543"/>
      <c r="I18" s="853"/>
      <c r="J18" s="6"/>
      <c r="K18" s="541"/>
      <c r="L18" s="860"/>
      <c r="M18" s="20" t="str">
        <f>IF(J18="","",$M$5-SUM($J$7:J18))</f>
        <v/>
      </c>
      <c r="N18" s="367"/>
      <c r="O18" s="7"/>
      <c r="P18" s="873">
        <f>IF(J!Q18&lt;&gt;J!R18,IF(J!Q18&lt;&gt;0,IF(J!S18&lt;&gt;J!T18,J!P18,),),)</f>
        <v>0</v>
      </c>
      <c r="Q18" s="795">
        <f>IF(J!Q18&lt;&gt;J!R18,IF(J!Q18&lt;&gt;0,IF(J!S18&lt;&gt;J!T18,J!Q18,),),)</f>
        <v>0</v>
      </c>
      <c r="R18" s="628">
        <f>IF(J!Q18&lt;&gt;J!R18,IF(J!Q18&lt;&gt;0,IF(J!S18&lt;&gt;J!T18,0,Q18),Q18),Q18)</f>
        <v>0</v>
      </c>
      <c r="S18" s="796">
        <f>IF(J!Q18&lt;&gt;J!R18,IF(J!Q18&lt;&gt;0,IF(J!S18&lt;&gt;J!T18,J!S18+1,),),)</f>
        <v>0</v>
      </c>
      <c r="T18" s="796">
        <f>IF(J!Q18&lt;&gt;J!R18,IF(J!Q18&lt;&gt;0,IF(J!S18&lt;&gt;J!T18,J!T18,),),)</f>
        <v>0</v>
      </c>
      <c r="U18" s="797">
        <f>IF(J!Q18&lt;&gt;J!R18,IF(J!Q18&lt;&gt;0,IF(J!S18&lt;&gt;J!T18,J!U18,),),)</f>
        <v>0</v>
      </c>
      <c r="V18" s="875">
        <f>IF(J!Q18&lt;&gt;J!R18,IF(J!Q18&lt;&gt;0,IF(J!S18&lt;&gt;J!T18,J!V18,),),)</f>
        <v>0</v>
      </c>
      <c r="W18" s="622">
        <f>IF(Q18="","",$W$5-SUM($Q$7:Q18))</f>
        <v>0</v>
      </c>
      <c r="X18" s="395"/>
      <c r="Y18" s="1204" t="s">
        <v>367</v>
      </c>
      <c r="Z18" s="1205"/>
      <c r="AA18" s="121">
        <f>AA17-AA4</f>
        <v>0</v>
      </c>
      <c r="AB18" s="643"/>
      <c r="AC18" s="643"/>
      <c r="AD18" s="34"/>
      <c r="AE18" s="1137"/>
      <c r="AF18" s="367"/>
      <c r="AG18" s="376"/>
      <c r="AH18" s="885" t="s">
        <v>401</v>
      </c>
      <c r="AI18" s="367"/>
      <c r="AJ18" s="367"/>
      <c r="AK18" s="367"/>
      <c r="AL18" s="367"/>
      <c r="AM18" s="367"/>
      <c r="AN18" s="367"/>
      <c r="AO18" s="86"/>
      <c r="AR18" s="52" t="s">
        <v>5</v>
      </c>
    </row>
    <row r="19" spans="1:63" ht="15" customHeight="1" thickBot="1">
      <c r="A19" s="367"/>
      <c r="B19" s="95" t="s">
        <v>367</v>
      </c>
      <c r="C19" s="98"/>
      <c r="D19" s="97">
        <f>C18-D18</f>
        <v>0</v>
      </c>
      <c r="E19" s="516"/>
      <c r="F19" s="516"/>
      <c r="G19" s="367"/>
      <c r="H19" s="543"/>
      <c r="I19" s="853"/>
      <c r="J19" s="6"/>
      <c r="K19" s="541"/>
      <c r="L19" s="860"/>
      <c r="M19" s="20" t="str">
        <f>IF(J19="","",$M$5-SUM($J$7:J19))</f>
        <v/>
      </c>
      <c r="N19" s="367"/>
      <c r="O19" s="7"/>
      <c r="P19" s="871">
        <f>IF(J!Q19&lt;&gt;J!R19,IF(J!Q19&lt;&gt;0,IF(J!S19&lt;&gt;J!T19,J!P19,),),)</f>
        <v>0</v>
      </c>
      <c r="Q19" s="795">
        <f>IF(J!Q19&lt;&gt;J!R19,IF(J!Q19&lt;&gt;0,IF(J!S19&lt;&gt;J!T19,J!Q19,),),)</f>
        <v>0</v>
      </c>
      <c r="R19" s="628">
        <f>IF(J!Q19&lt;&gt;J!R19,IF(J!Q19&lt;&gt;0,IF(J!S19&lt;&gt;J!T19,0,Q19),Q19),Q19)</f>
        <v>0</v>
      </c>
      <c r="S19" s="796">
        <f>IF(J!Q19&lt;&gt;J!R19,IF(J!Q19&lt;&gt;0,IF(J!S19&lt;&gt;J!T19,J!S19+1,),),)</f>
        <v>0</v>
      </c>
      <c r="T19" s="796">
        <f>IF(J!Q19&lt;&gt;J!R19,IF(J!Q19&lt;&gt;0,IF(J!S19&lt;&gt;J!T19,J!T19,),),)</f>
        <v>0</v>
      </c>
      <c r="U19" s="797">
        <f>IF(J!Q19&lt;&gt;J!R19,IF(J!Q19&lt;&gt;0,IF(J!S19&lt;&gt;J!T19,J!U19,),),)</f>
        <v>0</v>
      </c>
      <c r="V19" s="875">
        <f>IF(J!Q19&lt;&gt;J!R19,IF(J!Q19&lt;&gt;0,IF(J!S19&lt;&gt;J!T19,J!V19,),),)</f>
        <v>0</v>
      </c>
      <c r="W19" s="622">
        <f>IF(Q19="","",$W$5-SUM($Q$7:Q19))</f>
        <v>0</v>
      </c>
      <c r="X19" s="395"/>
      <c r="Y19" s="378"/>
      <c r="Z19" s="378"/>
      <c r="AA19" s="378"/>
      <c r="AB19" s="378"/>
      <c r="AC19" s="378"/>
      <c r="AD19" s="9"/>
      <c r="AE19" s="1137"/>
      <c r="AF19" s="367"/>
      <c r="AG19" s="373"/>
      <c r="AH19" s="886" t="s">
        <v>402</v>
      </c>
      <c r="AI19" s="367"/>
      <c r="AJ19" s="367"/>
      <c r="AK19" s="367"/>
      <c r="AL19" s="367"/>
      <c r="AM19" s="367"/>
      <c r="AN19" s="367"/>
      <c r="AO19" s="86"/>
      <c r="AR19" s="88">
        <v>11</v>
      </c>
      <c r="AV19" s="476" t="s">
        <v>14</v>
      </c>
    </row>
    <row r="20" spans="1:63" ht="15" customHeight="1" thickBot="1">
      <c r="A20" s="367"/>
      <c r="B20" s="1095" t="str">
        <f>IF(D19&gt;0,"Unexpected positive difference - Check why!","")</f>
        <v/>
      </c>
      <c r="C20" s="1095"/>
      <c r="D20" s="1095"/>
      <c r="E20" s="514"/>
      <c r="F20" s="514"/>
      <c r="G20" s="367"/>
      <c r="H20" s="543"/>
      <c r="I20" s="853"/>
      <c r="J20" s="6"/>
      <c r="K20" s="541"/>
      <c r="L20" s="860"/>
      <c r="M20" s="20" t="str">
        <f>IF(J20="","",$M$5-SUM($J$7:J20))</f>
        <v/>
      </c>
      <c r="N20" s="367"/>
      <c r="O20" s="7"/>
      <c r="P20" s="871">
        <f>IF(J!Q20&lt;&gt;J!R20,IF(J!Q20&lt;&gt;0,IF(J!S20&lt;&gt;J!T20,J!P20,),),)</f>
        <v>0</v>
      </c>
      <c r="Q20" s="795">
        <f>IF(J!Q20&lt;&gt;J!R20,IF(J!Q20&lt;&gt;0,IF(J!S20&lt;&gt;J!T20,J!Q20,),),)</f>
        <v>0</v>
      </c>
      <c r="R20" s="628">
        <f>IF(J!Q20&lt;&gt;J!R20,IF(J!Q20&lt;&gt;0,IF(J!S20&lt;&gt;J!T20,0,Q20),Q20),Q20)</f>
        <v>0</v>
      </c>
      <c r="S20" s="796">
        <f>IF(J!Q20&lt;&gt;J!R20,IF(J!Q20&lt;&gt;0,IF(J!S20&lt;&gt;J!T20,J!S20+1,),),)</f>
        <v>0</v>
      </c>
      <c r="T20" s="796">
        <f>IF(J!Q20&lt;&gt;J!R20,IF(J!Q20&lt;&gt;0,IF(J!S20&lt;&gt;J!T20,J!T20,),),)</f>
        <v>0</v>
      </c>
      <c r="U20" s="797">
        <f>IF(J!Q20&lt;&gt;J!R20,IF(J!Q20&lt;&gt;0,IF(J!S20&lt;&gt;J!T20,J!U20,),),)</f>
        <v>0</v>
      </c>
      <c r="V20" s="875">
        <f>IF(J!Q20&lt;&gt;J!R20,IF(J!Q20&lt;&gt;0,IF(J!S20&lt;&gt;J!T20,J!V20,),),)</f>
        <v>0</v>
      </c>
      <c r="W20" s="622">
        <f>IF(Q20="","",$W$5-SUM($Q$7:Q20))</f>
        <v>0</v>
      </c>
      <c r="X20" s="395"/>
      <c r="Y20" s="1206" t="s">
        <v>350</v>
      </c>
      <c r="Z20" s="1207"/>
      <c r="AA20" s="1207"/>
      <c r="AB20" s="552"/>
      <c r="AC20" s="552"/>
      <c r="AD20" s="27"/>
      <c r="AE20" s="1137"/>
      <c r="AF20" s="367"/>
      <c r="AG20" s="374"/>
      <c r="AH20" s="887" t="s">
        <v>466</v>
      </c>
      <c r="AI20" s="367"/>
      <c r="AJ20" s="367"/>
      <c r="AK20" s="367"/>
      <c r="AL20" s="367"/>
      <c r="AM20" s="367"/>
      <c r="AN20" s="367"/>
      <c r="AO20" s="86"/>
      <c r="AQ20" s="1240" t="s">
        <v>29</v>
      </c>
      <c r="AR20" s="1139"/>
      <c r="AS20" s="1139"/>
      <c r="AT20" s="1140"/>
      <c r="AV20" s="476" t="s">
        <v>15</v>
      </c>
    </row>
    <row r="21" spans="1:63" ht="15" customHeight="1">
      <c r="A21" s="367"/>
      <c r="B21" s="399"/>
      <c r="C21" s="400"/>
      <c r="D21" s="400"/>
      <c r="E21" s="400"/>
      <c r="F21" s="400"/>
      <c r="G21" s="367"/>
      <c r="H21" s="543"/>
      <c r="I21" s="853"/>
      <c r="J21" s="6"/>
      <c r="K21" s="541"/>
      <c r="L21" s="860"/>
      <c r="M21" s="20" t="str">
        <f>IF(J21="","",$M$5-SUM($J$7:J21))</f>
        <v/>
      </c>
      <c r="N21" s="367"/>
      <c r="O21" s="7"/>
      <c r="P21" s="873">
        <f>IF(J!Q21&lt;&gt;J!R21,IF(J!Q21&lt;&gt;0,IF(J!S21&lt;&gt;J!T21,J!P21,),),)</f>
        <v>0</v>
      </c>
      <c r="Q21" s="795">
        <f>IF(J!Q21&lt;&gt;J!R21,IF(J!Q21&lt;&gt;0,IF(J!S21&lt;&gt;J!T21,J!Q21,),),)</f>
        <v>0</v>
      </c>
      <c r="R21" s="628">
        <f>IF(J!Q21&lt;&gt;J!R21,IF(J!Q21&lt;&gt;0,IF(J!S21&lt;&gt;J!T21,0,Q21),Q21),Q21)</f>
        <v>0</v>
      </c>
      <c r="S21" s="796">
        <f>IF(J!Q21&lt;&gt;J!R21,IF(J!Q21&lt;&gt;0,IF(J!S21&lt;&gt;J!T21,J!S21+1,),),)</f>
        <v>0</v>
      </c>
      <c r="T21" s="796">
        <f>IF(J!Q21&lt;&gt;J!R21,IF(J!Q21&lt;&gt;0,IF(J!S21&lt;&gt;J!T21,J!T21,),),)</f>
        <v>0</v>
      </c>
      <c r="U21" s="797">
        <f>IF(J!Q21&lt;&gt;J!R21,IF(J!Q21&lt;&gt;0,IF(J!S21&lt;&gt;J!T21,J!U21,),),)</f>
        <v>0</v>
      </c>
      <c r="V21" s="875">
        <f>IF(J!Q21&lt;&gt;J!R21,IF(J!Q21&lt;&gt;0,IF(J!S21&lt;&gt;J!T21,J!V21,),),)</f>
        <v>0</v>
      </c>
      <c r="W21" s="622">
        <f>IF(Q21="","",$W$5-SUM($Q$7:Q21))</f>
        <v>0</v>
      </c>
      <c r="X21" s="395"/>
      <c r="Y21" s="1187" t="s">
        <v>353</v>
      </c>
      <c r="Z21" s="1189" t="s">
        <v>354</v>
      </c>
      <c r="AA21" s="1210" t="s">
        <v>494</v>
      </c>
      <c r="AB21" s="719"/>
      <c r="AC21" s="720"/>
      <c r="AD21" s="1148" t="s">
        <v>2</v>
      </c>
      <c r="AE21" s="1141" t="s">
        <v>406</v>
      </c>
      <c r="AG21" s="1242" t="s">
        <v>405</v>
      </c>
      <c r="AH21" s="887" t="s">
        <v>403</v>
      </c>
      <c r="AI21" s="367"/>
      <c r="AJ21" s="367"/>
      <c r="AK21" s="367"/>
      <c r="AL21" s="367"/>
      <c r="AM21" s="367"/>
      <c r="AN21" s="367"/>
      <c r="AO21" s="86"/>
      <c r="AP21" s="89" t="s">
        <v>3</v>
      </c>
      <c r="AQ21" s="475" t="s">
        <v>7</v>
      </c>
      <c r="AR21" s="1229" t="s">
        <v>11</v>
      </c>
      <c r="AS21" s="476"/>
      <c r="AT21" s="476"/>
      <c r="AU21" s="476"/>
      <c r="AV21" s="476" t="s">
        <v>16</v>
      </c>
      <c r="AW21" s="476"/>
      <c r="AX21" s="90" t="s">
        <v>0</v>
      </c>
    </row>
    <row r="22" spans="1:63" ht="15.75" customHeight="1" thickBot="1">
      <c r="A22" s="367"/>
      <c r="B22" s="401" t="s">
        <v>349</v>
      </c>
      <c r="C22" s="402"/>
      <c r="D22" s="378"/>
      <c r="E22" s="378"/>
      <c r="F22" s="378"/>
      <c r="G22" s="367"/>
      <c r="H22" s="543"/>
      <c r="I22" s="853"/>
      <c r="J22" s="6"/>
      <c r="K22" s="541"/>
      <c r="L22" s="860"/>
      <c r="M22" s="20" t="str">
        <f>IF(J22="","",$M$5-SUM($J$7:J22))</f>
        <v/>
      </c>
      <c r="N22" s="367"/>
      <c r="O22" s="7"/>
      <c r="P22" s="871">
        <f>IF(J!Q22&lt;&gt;J!R22,IF(J!Q22&lt;&gt;0,IF(J!S22&lt;&gt;J!T22,J!P22,),),)</f>
        <v>0</v>
      </c>
      <c r="Q22" s="795">
        <f>IF(J!Q22&lt;&gt;J!R22,IF(J!Q22&lt;&gt;0,IF(J!S22&lt;&gt;J!T22,J!Q22,),),)</f>
        <v>0</v>
      </c>
      <c r="R22" s="628">
        <f>IF(J!Q22&lt;&gt;J!R22,IF(J!Q22&lt;&gt;0,IF(J!S22&lt;&gt;J!T22,0,Q22),Q22),Q22)</f>
        <v>0</v>
      </c>
      <c r="S22" s="796">
        <f>IF(J!Q22&lt;&gt;J!R22,IF(J!Q22&lt;&gt;0,IF(J!S22&lt;&gt;J!T22,J!S22+1,),),)</f>
        <v>0</v>
      </c>
      <c r="T22" s="796">
        <f>IF(J!Q22&lt;&gt;J!R22,IF(J!Q22&lt;&gt;0,IF(J!S22&lt;&gt;J!T22,J!T22,),),)</f>
        <v>0</v>
      </c>
      <c r="U22" s="797">
        <f>IF(J!Q22&lt;&gt;J!R22,IF(J!Q22&lt;&gt;0,IF(J!S22&lt;&gt;J!T22,J!U22,),),)</f>
        <v>0</v>
      </c>
      <c r="V22" s="875">
        <f>IF(J!Q22&lt;&gt;J!R22,IF(J!Q22&lt;&gt;0,IF(J!S22&lt;&gt;J!T22,J!V22,),),)</f>
        <v>0</v>
      </c>
      <c r="W22" s="622">
        <f>IF(Q22="","",$W$5-SUM($Q$7:Q22))</f>
        <v>0</v>
      </c>
      <c r="X22" s="395"/>
      <c r="Y22" s="1188"/>
      <c r="Z22" s="1241"/>
      <c r="AA22" s="1211"/>
      <c r="AB22" s="719"/>
      <c r="AC22" s="721"/>
      <c r="AD22" s="1148"/>
      <c r="AE22" s="1141"/>
      <c r="AF22" s="367"/>
      <c r="AG22" s="1243"/>
      <c r="AH22" s="367"/>
      <c r="AI22" s="367"/>
      <c r="AJ22" s="367"/>
      <c r="AK22" s="367"/>
      <c r="AL22" s="367"/>
      <c r="AM22" s="367"/>
      <c r="AN22" s="367"/>
      <c r="AO22" s="86"/>
      <c r="AP22" s="90" t="s">
        <v>9</v>
      </c>
      <c r="AQ22" s="475" t="s">
        <v>10</v>
      </c>
      <c r="AR22" s="1229"/>
      <c r="AS22" s="475" t="s">
        <v>8</v>
      </c>
      <c r="AT22" s="475" t="s">
        <v>6</v>
      </c>
      <c r="AU22" s="476"/>
      <c r="AV22" s="475" t="s">
        <v>17</v>
      </c>
      <c r="AW22" s="475" t="s">
        <v>18</v>
      </c>
      <c r="AX22" s="706" t="s">
        <v>19</v>
      </c>
      <c r="AZ22" s="725" t="s">
        <v>31</v>
      </c>
      <c r="BA22" s="724"/>
      <c r="BB22" s="724"/>
      <c r="BC22" s="724"/>
      <c r="BD22" s="724"/>
      <c r="BE22" s="724"/>
      <c r="BF22" s="724"/>
      <c r="BG22" s="724"/>
      <c r="BH22" s="724"/>
      <c r="BJ22" s="724"/>
      <c r="BK22" s="724"/>
    </row>
    <row r="23" spans="1:63" ht="15.75">
      <c r="A23" s="367"/>
      <c r="B23" s="1102" t="s">
        <v>428</v>
      </c>
      <c r="C23" s="1104">
        <f ca="1">C40</f>
        <v>0</v>
      </c>
      <c r="D23" s="1105"/>
      <c r="E23" s="1091"/>
      <c r="F23" s="1092"/>
      <c r="G23" s="367"/>
      <c r="H23" s="543"/>
      <c r="I23" s="853"/>
      <c r="J23" s="6"/>
      <c r="K23" s="541"/>
      <c r="L23" s="860"/>
      <c r="M23" s="20" t="str">
        <f>IF(J23="","",$M$5-SUM($J$7:J23))</f>
        <v/>
      </c>
      <c r="N23" s="367"/>
      <c r="O23" s="7"/>
      <c r="P23" s="873">
        <f>IF(J!Q23&lt;&gt;J!R23,IF(J!Q23&lt;&gt;0,IF(J!S23&lt;&gt;J!T23,J!P23,),),)</f>
        <v>0</v>
      </c>
      <c r="Q23" s="795">
        <f>IF(J!Q23&lt;&gt;J!R23,IF(J!Q23&lt;&gt;0,IF(J!S23&lt;&gt;J!T23,J!Q23,),),)</f>
        <v>0</v>
      </c>
      <c r="R23" s="628">
        <f>IF(J!Q23&lt;&gt;J!R23,IF(J!Q23&lt;&gt;0,IF(J!S23&lt;&gt;J!T23,0,Q23),Q23),Q23)</f>
        <v>0</v>
      </c>
      <c r="S23" s="796">
        <f>IF(J!Q23&lt;&gt;J!R23,IF(J!Q23&lt;&gt;0,IF(J!S23&lt;&gt;J!T23,J!S23+1,),),)</f>
        <v>0</v>
      </c>
      <c r="T23" s="796">
        <f>IF(J!Q23&lt;&gt;J!R23,IF(J!Q23&lt;&gt;0,IF(J!S23&lt;&gt;J!T23,J!T23,),),)</f>
        <v>0</v>
      </c>
      <c r="U23" s="797">
        <f>IF(J!Q23&lt;&gt;J!R23,IF(J!Q23&lt;&gt;0,IF(J!S23&lt;&gt;J!T23,J!U23,),),)</f>
        <v>0</v>
      </c>
      <c r="V23" s="875">
        <f>IF(J!Q23&lt;&gt;J!R23,IF(J!Q23&lt;&gt;0,IF(J!S23&lt;&gt;J!T23,J!V23,),),)</f>
        <v>0</v>
      </c>
      <c r="W23" s="622">
        <f>IF(Q23="","",$W$5-SUM($Q$7:Q23))</f>
        <v>0</v>
      </c>
      <c r="X23" s="395"/>
      <c r="Y23" s="905" t="str">
        <f>IF(J!Y23&lt;&gt;"",J!Y23,)</f>
        <v>Municipal Taxes</v>
      </c>
      <c r="Z23" s="457">
        <f>J!Z23</f>
        <v>0</v>
      </c>
      <c r="AA23" s="21">
        <f t="shared" ref="AA23:AA44" si="0">SUMIF($P$7:$P$110,Y23,$Q$7:$Q$110)</f>
        <v>0</v>
      </c>
      <c r="AB23" s="722"/>
      <c r="AC23" s="722"/>
      <c r="AD23" s="35">
        <f t="shared" ref="AD23:AD44" si="1">SUMIF($P$7:$P$110,Y23,$R$7:$R$110)</f>
        <v>0</v>
      </c>
      <c r="AE23" s="23">
        <f>IF(AI23=0,AX23,0)</f>
        <v>0</v>
      </c>
      <c r="AF23" s="367"/>
      <c r="AG23" s="728">
        <f t="shared" ref="AG23:AG44" si="2">IF(AZ23&gt;1,"overrun",IF(AZ23&lt;0,"OK",AZ23))</f>
        <v>0</v>
      </c>
      <c r="AH23" s="367"/>
      <c r="AI23" s="375">
        <v>0</v>
      </c>
      <c r="AJ23" s="367"/>
      <c r="AK23" s="367"/>
      <c r="AL23" s="367"/>
      <c r="AM23" s="367"/>
      <c r="AN23" s="367"/>
      <c r="AO23" s="86"/>
      <c r="AP23" s="51">
        <f t="shared" ref="AP23:AP44" si="3">IF(AI23=1,AX23,0)</f>
        <v>0</v>
      </c>
      <c r="AQ23" s="476">
        <f>J!AQ23+J!AP23</f>
        <v>0</v>
      </c>
      <c r="AR23" s="476">
        <f t="shared" ref="AR23:AR44" si="4">Z23*12-AS23-AQ23</f>
        <v>0</v>
      </c>
      <c r="AS23" s="477">
        <f>AD23+J!AS23</f>
        <v>0</v>
      </c>
      <c r="AT23" s="477">
        <f>AA23+J!AT23</f>
        <v>0</v>
      </c>
      <c r="AU23" s="476"/>
      <c r="AV23" s="477">
        <f>J!AV23-J!AD23+K!Z23-J!AP23</f>
        <v>0</v>
      </c>
      <c r="AW23" s="476">
        <f>IF(AE23&lt;0,AE23,0)</f>
        <v>0</v>
      </c>
      <c r="AX23" s="52">
        <f>IF(Z23=J!Z23,J!AE23-AD23,J!AE23+(Z23-J!Z23)*$AW$16-AD23)</f>
        <v>0</v>
      </c>
      <c r="AZ23" s="726">
        <f>(($Z23*(12-$AR$19))-$AE23)/($Z23*(12-$AR$19)+0.00001)</f>
        <v>0</v>
      </c>
    </row>
    <row r="24" spans="1:63" ht="15.75">
      <c r="A24" s="367"/>
      <c r="B24" s="1103"/>
      <c r="C24" s="1106"/>
      <c r="D24" s="1107"/>
      <c r="E24" s="1091"/>
      <c r="F24" s="1092"/>
      <c r="G24" s="367"/>
      <c r="H24" s="543"/>
      <c r="I24" s="853"/>
      <c r="J24" s="6"/>
      <c r="K24" s="541"/>
      <c r="L24" s="860"/>
      <c r="M24" s="20" t="str">
        <f>IF(J24="","",$M$5-SUM($J$7:J24))</f>
        <v/>
      </c>
      <c r="N24" s="367"/>
      <c r="O24" s="7"/>
      <c r="P24" s="873">
        <f>IF(J!Q24&lt;&gt;J!R24,IF(J!Q24&lt;&gt;0,IF(J!S24&lt;&gt;J!T24,J!P24,),),)</f>
        <v>0</v>
      </c>
      <c r="Q24" s="795">
        <f>IF(J!Q24&lt;&gt;J!R24,IF(J!Q24&lt;&gt;0,IF(J!S24&lt;&gt;J!T24,J!Q24,),),)</f>
        <v>0</v>
      </c>
      <c r="R24" s="628">
        <f>IF(J!Q24&lt;&gt;J!R24,IF(J!Q24&lt;&gt;0,IF(J!S24&lt;&gt;J!T24,0,Q24),Q24),Q24)</f>
        <v>0</v>
      </c>
      <c r="S24" s="796">
        <f>IF(J!Q24&lt;&gt;J!R24,IF(J!Q24&lt;&gt;0,IF(J!S24&lt;&gt;J!T24,J!S24+1,),),)</f>
        <v>0</v>
      </c>
      <c r="T24" s="796">
        <f>IF(J!Q24&lt;&gt;J!R24,IF(J!Q24&lt;&gt;0,IF(J!S24&lt;&gt;J!T24,J!T24,),),)</f>
        <v>0</v>
      </c>
      <c r="U24" s="797">
        <f>IF(J!Q24&lt;&gt;J!R24,IF(J!Q24&lt;&gt;0,IF(J!S24&lt;&gt;J!T24,J!U24,),),)</f>
        <v>0</v>
      </c>
      <c r="V24" s="875">
        <f>IF(J!Q24&lt;&gt;J!R24,IF(J!Q24&lt;&gt;0,IF(J!S24&lt;&gt;J!T24,J!V24,),),)</f>
        <v>0</v>
      </c>
      <c r="W24" s="622">
        <f>IF(Q24="","",$W$5-SUM($Q$7:Q24))</f>
        <v>0</v>
      </c>
      <c r="X24" s="395"/>
      <c r="Y24" s="905" t="str">
        <f>IF(J!Y24&lt;&gt;"",J!Y24,)</f>
        <v>Water and Sewage</v>
      </c>
      <c r="Z24" s="457">
        <f>J!Z24</f>
        <v>0</v>
      </c>
      <c r="AA24" s="20">
        <f t="shared" si="0"/>
        <v>0</v>
      </c>
      <c r="AB24" s="723"/>
      <c r="AC24" s="723"/>
      <c r="AD24" s="36">
        <f t="shared" si="1"/>
        <v>0</v>
      </c>
      <c r="AE24" s="23">
        <f t="shared" ref="AE24:AE44" si="5">IF(AI24=0,AX24,0)</f>
        <v>0</v>
      </c>
      <c r="AF24" s="367"/>
      <c r="AG24" s="728">
        <f t="shared" si="2"/>
        <v>0</v>
      </c>
      <c r="AH24" s="367"/>
      <c r="AI24" s="375">
        <v>0</v>
      </c>
      <c r="AJ24" s="367"/>
      <c r="AK24" s="367"/>
      <c r="AL24" s="367"/>
      <c r="AM24" s="367"/>
      <c r="AN24" s="367"/>
      <c r="AO24" s="86"/>
      <c r="AP24" s="51">
        <f t="shared" si="3"/>
        <v>0</v>
      </c>
      <c r="AQ24" s="476">
        <f>J!AQ24+J!AP24</f>
        <v>0</v>
      </c>
      <c r="AR24" s="476">
        <f t="shared" si="4"/>
        <v>0</v>
      </c>
      <c r="AS24" s="477">
        <f>AD24+J!AS24</f>
        <v>0</v>
      </c>
      <c r="AT24" s="477">
        <f>AA24+J!AT24</f>
        <v>0</v>
      </c>
      <c r="AU24" s="476"/>
      <c r="AV24" s="477">
        <f>J!AV24-J!AD24+K!Z24-J!AP24</f>
        <v>0</v>
      </c>
      <c r="AW24" s="476">
        <f t="shared" ref="AW24:AW44" si="6">IF(AE24&lt;0,AE24,0)</f>
        <v>0</v>
      </c>
      <c r="AX24" s="52">
        <f>IF(Z24=J!Z24,J!AE24-AD24,J!AE24+(Z24-J!Z24)*$AW$16-AD24)</f>
        <v>0</v>
      </c>
      <c r="AZ24" s="726">
        <f t="shared" ref="AZ24:AZ44" si="7">(($Z24*(12-$AR$19))-$AE24)/($Z24*(12-$AR$19)+0.00001)</f>
        <v>0</v>
      </c>
    </row>
    <row r="25" spans="1:63" ht="16.5" thickBot="1">
      <c r="A25" s="367"/>
      <c r="B25" s="1178" t="s">
        <v>388</v>
      </c>
      <c r="C25" s="1118" t="s">
        <v>354</v>
      </c>
      <c r="D25" s="1180" t="s">
        <v>494</v>
      </c>
      <c r="E25" s="1109" t="s">
        <v>380</v>
      </c>
      <c r="F25" s="1108" t="s">
        <v>335</v>
      </c>
      <c r="G25" s="367"/>
      <c r="H25" s="543"/>
      <c r="I25" s="853"/>
      <c r="J25" s="6"/>
      <c r="K25" s="541"/>
      <c r="L25" s="860"/>
      <c r="M25" s="20" t="str">
        <f>IF(J25="","",$M$5-SUM($J$7:J25))</f>
        <v/>
      </c>
      <c r="N25" s="367"/>
      <c r="O25" s="7"/>
      <c r="P25" s="873">
        <f>IF(J!Q25&lt;&gt;J!R25,IF(J!Q25&lt;&gt;0,IF(J!S25&lt;&gt;J!T25,J!P25,),),)</f>
        <v>0</v>
      </c>
      <c r="Q25" s="795">
        <f>IF(J!Q25&lt;&gt;J!R25,IF(J!Q25&lt;&gt;0,IF(J!S25&lt;&gt;J!T25,J!Q25,),),)</f>
        <v>0</v>
      </c>
      <c r="R25" s="628">
        <f>IF(J!Q25&lt;&gt;J!R25,IF(J!Q25&lt;&gt;0,IF(J!S25&lt;&gt;J!T25,0,Q25),Q25),Q25)</f>
        <v>0</v>
      </c>
      <c r="S25" s="796">
        <f>IF(J!Q25&lt;&gt;J!R25,IF(J!Q25&lt;&gt;0,IF(J!S25&lt;&gt;J!T25,J!S25+1,),),)</f>
        <v>0</v>
      </c>
      <c r="T25" s="796">
        <f>IF(J!Q25&lt;&gt;J!R25,IF(J!Q25&lt;&gt;0,IF(J!S25&lt;&gt;J!T25,J!T25,),),)</f>
        <v>0</v>
      </c>
      <c r="U25" s="797">
        <f>IF(J!Q25&lt;&gt;J!R25,IF(J!Q25&lt;&gt;0,IF(J!S25&lt;&gt;J!T25,J!U25,),),)</f>
        <v>0</v>
      </c>
      <c r="V25" s="875">
        <f>IF(J!Q25&lt;&gt;J!R25,IF(J!Q25&lt;&gt;0,IF(J!S25&lt;&gt;J!T25,J!V25,),),)</f>
        <v>0</v>
      </c>
      <c r="W25" s="622">
        <f>IF(Q25="","",$W$5-SUM($Q$7:Q25))</f>
        <v>0</v>
      </c>
      <c r="X25" s="395"/>
      <c r="Y25" s="905" t="str">
        <f>IF(J!Y25&lt;&gt;"",J!Y25,)</f>
        <v>Electricity</v>
      </c>
      <c r="Z25" s="457">
        <f>J!Z25</f>
        <v>0</v>
      </c>
      <c r="AA25" s="20">
        <f t="shared" si="0"/>
        <v>0</v>
      </c>
      <c r="AB25" s="723"/>
      <c r="AC25" s="723"/>
      <c r="AD25" s="36">
        <f t="shared" si="1"/>
        <v>0</v>
      </c>
      <c r="AE25" s="23">
        <f t="shared" si="5"/>
        <v>0</v>
      </c>
      <c r="AF25" s="367"/>
      <c r="AG25" s="728">
        <f t="shared" si="2"/>
        <v>0</v>
      </c>
      <c r="AH25" s="367"/>
      <c r="AI25" s="375">
        <v>0</v>
      </c>
      <c r="AJ25" s="367"/>
      <c r="AK25" s="367"/>
      <c r="AL25" s="367"/>
      <c r="AM25" s="367"/>
      <c r="AN25" s="367"/>
      <c r="AO25" s="86"/>
      <c r="AP25" s="51">
        <f t="shared" si="3"/>
        <v>0</v>
      </c>
      <c r="AQ25" s="476">
        <f>J!AQ25+J!AP25</f>
        <v>0</v>
      </c>
      <c r="AR25" s="476">
        <f t="shared" si="4"/>
        <v>0</v>
      </c>
      <c r="AS25" s="477">
        <f>AD25+J!AS25</f>
        <v>0</v>
      </c>
      <c r="AT25" s="477">
        <f>AA25+J!AT25</f>
        <v>0</v>
      </c>
      <c r="AU25" s="476"/>
      <c r="AV25" s="477">
        <f>J!AV25-J!AD25+K!Z25-J!AP25</f>
        <v>0</v>
      </c>
      <c r="AW25" s="476">
        <f t="shared" si="6"/>
        <v>0</v>
      </c>
      <c r="AX25" s="52">
        <f>IF(Z25=J!Z25,J!AE25-AD25,J!AE25+(Z25-J!Z25)*$AW$16-AD25)</f>
        <v>0</v>
      </c>
      <c r="AZ25" s="726">
        <f t="shared" si="7"/>
        <v>0</v>
      </c>
    </row>
    <row r="26" spans="1:63" ht="15.75">
      <c r="A26" s="367"/>
      <c r="B26" s="1179"/>
      <c r="C26" s="1119"/>
      <c r="D26" s="1181"/>
      <c r="E26" s="1109"/>
      <c r="F26" s="1108"/>
      <c r="G26" s="367"/>
      <c r="H26" s="543"/>
      <c r="I26" s="853"/>
      <c r="J26" s="6"/>
      <c r="K26" s="541"/>
      <c r="L26" s="860"/>
      <c r="M26" s="20" t="str">
        <f>IF(J26="","",$M$5-SUM($J$7:J26))</f>
        <v/>
      </c>
      <c r="N26" s="367"/>
      <c r="O26" s="7"/>
      <c r="P26" s="873">
        <f>IF(J!Q26&lt;&gt;J!R26,IF(J!Q26&lt;&gt;0,IF(J!S26&lt;&gt;J!T26,J!P26,),),)</f>
        <v>0</v>
      </c>
      <c r="Q26" s="795">
        <f>IF(J!Q26&lt;&gt;J!R26,IF(J!Q26&lt;&gt;0,IF(J!S26&lt;&gt;J!T26,J!Q26,),),)</f>
        <v>0</v>
      </c>
      <c r="R26" s="628">
        <f>IF(J!Q26&lt;&gt;J!R26,IF(J!Q26&lt;&gt;0,IF(J!S26&lt;&gt;J!T26,0,Q26),Q26),Q26)</f>
        <v>0</v>
      </c>
      <c r="S26" s="796">
        <f>IF(J!Q26&lt;&gt;J!R26,IF(J!Q26&lt;&gt;0,IF(J!S26&lt;&gt;J!T26,J!S26+1,),),)</f>
        <v>0</v>
      </c>
      <c r="T26" s="796">
        <f>IF(J!Q26&lt;&gt;J!R26,IF(J!Q26&lt;&gt;0,IF(J!S26&lt;&gt;J!T26,J!T26,),),)</f>
        <v>0</v>
      </c>
      <c r="U26" s="797">
        <f>IF(J!Q26&lt;&gt;J!R26,IF(J!Q26&lt;&gt;0,IF(J!S26&lt;&gt;J!T26,J!U26,),),)</f>
        <v>0</v>
      </c>
      <c r="V26" s="875">
        <f>IF(J!Q26&lt;&gt;J!R26,IF(J!Q26&lt;&gt;0,IF(J!S26&lt;&gt;J!T26,J!V26,),),)</f>
        <v>0</v>
      </c>
      <c r="W26" s="622">
        <f>IF(Q26="","",$W$5-SUM($Q$7:Q26))</f>
        <v>0</v>
      </c>
      <c r="X26" s="395"/>
      <c r="Y26" s="905" t="str">
        <f>IF(J!Y26&lt;&gt;"",J!Y26,)</f>
        <v>Gas</v>
      </c>
      <c r="Z26" s="457">
        <f>J!Z26</f>
        <v>0</v>
      </c>
      <c r="AA26" s="20">
        <f t="shared" si="0"/>
        <v>0</v>
      </c>
      <c r="AB26" s="723"/>
      <c r="AC26" s="723"/>
      <c r="AD26" s="36">
        <f t="shared" si="1"/>
        <v>0</v>
      </c>
      <c r="AE26" s="23">
        <f t="shared" si="5"/>
        <v>0</v>
      </c>
      <c r="AF26" s="367"/>
      <c r="AG26" s="728">
        <f t="shared" si="2"/>
        <v>0</v>
      </c>
      <c r="AH26" s="367"/>
      <c r="AI26" s="375">
        <v>0</v>
      </c>
      <c r="AJ26" s="367"/>
      <c r="AK26" s="525" t="s">
        <v>404</v>
      </c>
      <c r="AL26" s="526"/>
      <c r="AM26" s="367"/>
      <c r="AN26" s="367"/>
      <c r="AO26" s="86"/>
      <c r="AP26" s="51">
        <f t="shared" si="3"/>
        <v>0</v>
      </c>
      <c r="AQ26" s="476">
        <f>J!AQ26+J!AP26</f>
        <v>0</v>
      </c>
      <c r="AR26" s="476">
        <f t="shared" si="4"/>
        <v>0</v>
      </c>
      <c r="AS26" s="477">
        <f>AD26+J!AS26</f>
        <v>0</v>
      </c>
      <c r="AT26" s="477">
        <f>AA26+J!AT26</f>
        <v>0</v>
      </c>
      <c r="AU26" s="476"/>
      <c r="AV26" s="477">
        <f>J!AV26-J!AD26+K!Z26-J!AP26</f>
        <v>0</v>
      </c>
      <c r="AW26" s="476">
        <f t="shared" si="6"/>
        <v>0</v>
      </c>
      <c r="AX26" s="52">
        <f>IF(Z26=J!Z26,J!AE26-AD26,J!AE26+(Z26-J!Z26)*$AW$16-AD26)</f>
        <v>0</v>
      </c>
      <c r="AZ26" s="726">
        <f t="shared" si="7"/>
        <v>0</v>
      </c>
    </row>
    <row r="27" spans="1:63" ht="15.75">
      <c r="A27" s="367"/>
      <c r="B27" s="850">
        <f>IF(J!B27&lt;&gt;"",J!B27,)</f>
        <v>0</v>
      </c>
      <c r="C27" s="454">
        <f>J!C27</f>
        <v>0</v>
      </c>
      <c r="D27" s="74"/>
      <c r="E27" s="521"/>
      <c r="F27" s="858"/>
      <c r="G27" s="367"/>
      <c r="H27" s="543"/>
      <c r="I27" s="853"/>
      <c r="J27" s="6"/>
      <c r="K27" s="541"/>
      <c r="L27" s="860"/>
      <c r="M27" s="20" t="str">
        <f>IF(J27="","",$M$5-SUM($J$7:J27))</f>
        <v/>
      </c>
      <c r="N27" s="367"/>
      <c r="O27" s="7"/>
      <c r="P27" s="873">
        <f>IF(J!Q27&lt;&gt;J!R27,IF(J!Q27&lt;&gt;0,IF(J!S27&lt;&gt;J!T27,J!P27,),),)</f>
        <v>0</v>
      </c>
      <c r="Q27" s="795">
        <f>IF(J!Q27&lt;&gt;J!R27,IF(J!Q27&lt;&gt;0,IF(J!S27&lt;&gt;J!T27,J!Q27,),),)</f>
        <v>0</v>
      </c>
      <c r="R27" s="628">
        <f>IF(J!Q27&lt;&gt;J!R27,IF(J!Q27&lt;&gt;0,IF(J!S27&lt;&gt;J!T27,0,Q27),Q27),Q27)</f>
        <v>0</v>
      </c>
      <c r="S27" s="796">
        <f>IF(J!Q27&lt;&gt;J!R27,IF(J!Q27&lt;&gt;0,IF(J!S27&lt;&gt;J!T27,J!S27+1,),),)</f>
        <v>0</v>
      </c>
      <c r="T27" s="796">
        <f>IF(J!Q27&lt;&gt;J!R27,IF(J!Q27&lt;&gt;0,IF(J!S27&lt;&gt;J!T27,J!T27,),),)</f>
        <v>0</v>
      </c>
      <c r="U27" s="797">
        <f>IF(J!Q27&lt;&gt;J!R27,IF(J!Q27&lt;&gt;0,IF(J!S27&lt;&gt;J!T27,J!U27,),),)</f>
        <v>0</v>
      </c>
      <c r="V27" s="875">
        <f>IF(J!Q27&lt;&gt;J!R27,IF(J!Q27&lt;&gt;0,IF(J!S27&lt;&gt;J!T27,J!V27,),),)</f>
        <v>0</v>
      </c>
      <c r="W27" s="622">
        <f>IF(Q27="","",$W$5-SUM($Q$7:Q27))</f>
        <v>0</v>
      </c>
      <c r="X27" s="395"/>
      <c r="Y27" s="905" t="str">
        <f>IF(J!Y27&lt;&gt;"",J!Y27,)</f>
        <v>Heating</v>
      </c>
      <c r="Z27" s="457">
        <f>J!Z27</f>
        <v>0</v>
      </c>
      <c r="AA27" s="20">
        <f t="shared" si="0"/>
        <v>0</v>
      </c>
      <c r="AB27" s="723"/>
      <c r="AC27" s="723"/>
      <c r="AD27" s="36">
        <f t="shared" si="1"/>
        <v>0</v>
      </c>
      <c r="AE27" s="23">
        <f t="shared" si="5"/>
        <v>0</v>
      </c>
      <c r="AF27" s="367"/>
      <c r="AG27" s="728">
        <f t="shared" si="2"/>
        <v>0</v>
      </c>
      <c r="AH27" s="367"/>
      <c r="AI27" s="375">
        <v>0</v>
      </c>
      <c r="AJ27" s="367"/>
      <c r="AK27" s="527"/>
      <c r="AL27" s="394"/>
      <c r="AM27" s="367"/>
      <c r="AN27" s="367"/>
      <c r="AO27" s="86"/>
      <c r="AP27" s="51">
        <f t="shared" si="3"/>
        <v>0</v>
      </c>
      <c r="AQ27" s="476">
        <f>J!AQ27+J!AP27</f>
        <v>0</v>
      </c>
      <c r="AR27" s="476">
        <f t="shared" si="4"/>
        <v>0</v>
      </c>
      <c r="AS27" s="477">
        <f>AD27+J!AS27</f>
        <v>0</v>
      </c>
      <c r="AT27" s="477">
        <f>AA27+J!AT27</f>
        <v>0</v>
      </c>
      <c r="AU27" s="476"/>
      <c r="AV27" s="477">
        <f>J!AV27-J!AD27+K!Z27-J!AP27</f>
        <v>0</v>
      </c>
      <c r="AW27" s="476">
        <f t="shared" si="6"/>
        <v>0</v>
      </c>
      <c r="AX27" s="52">
        <f>IF(Z27=J!Z27,J!AE27-AD27,J!AE27+(Z27-J!Z27)*$AW$16-AD27)</f>
        <v>0</v>
      </c>
      <c r="AZ27" s="726">
        <f t="shared" si="7"/>
        <v>0</v>
      </c>
    </row>
    <row r="28" spans="1:63" ht="15" customHeight="1">
      <c r="A28" s="367"/>
      <c r="B28" s="850">
        <f ca="1">IF(J!B28&lt;&gt;"",J!B28,)</f>
        <v>0</v>
      </c>
      <c r="C28" s="454">
        <f ca="1">J!C28</f>
        <v>0</v>
      </c>
      <c r="D28" s="74"/>
      <c r="E28" s="521"/>
      <c r="F28" s="858"/>
      <c r="G28" s="367"/>
      <c r="H28" s="543"/>
      <c r="I28" s="853"/>
      <c r="J28" s="6"/>
      <c r="K28" s="541"/>
      <c r="L28" s="860"/>
      <c r="M28" s="20" t="str">
        <f>IF(J28="","",$M$5-SUM($J$7:J28))</f>
        <v/>
      </c>
      <c r="N28" s="367"/>
      <c r="O28" s="7"/>
      <c r="P28" s="873">
        <f>IF(J!Q28&lt;&gt;J!R28,IF(J!Q28&lt;&gt;0,IF(J!S28&lt;&gt;J!T28,J!P28,),),)</f>
        <v>0</v>
      </c>
      <c r="Q28" s="795">
        <f>IF(J!Q28&lt;&gt;J!R28,IF(J!Q28&lt;&gt;0,IF(J!S28&lt;&gt;J!T28,J!Q28,),),)</f>
        <v>0</v>
      </c>
      <c r="R28" s="628">
        <f>IF(J!Q28&lt;&gt;J!R28,IF(J!Q28&lt;&gt;0,IF(J!S28&lt;&gt;J!T28,0,Q28),Q28),Q28)</f>
        <v>0</v>
      </c>
      <c r="S28" s="796">
        <f>IF(J!Q28&lt;&gt;J!R28,IF(J!Q28&lt;&gt;0,IF(J!S28&lt;&gt;J!T28,J!S28+1,),),)</f>
        <v>0</v>
      </c>
      <c r="T28" s="796">
        <f>IF(J!Q28&lt;&gt;J!R28,IF(J!Q28&lt;&gt;0,IF(J!S28&lt;&gt;J!T28,J!T28,),),)</f>
        <v>0</v>
      </c>
      <c r="U28" s="797">
        <f>IF(J!Q28&lt;&gt;J!R28,IF(J!Q28&lt;&gt;0,IF(J!S28&lt;&gt;J!T28,J!U28,),),)</f>
        <v>0</v>
      </c>
      <c r="V28" s="875">
        <f>IF(J!Q28&lt;&gt;J!R28,IF(J!Q28&lt;&gt;0,IF(J!S28&lt;&gt;J!T28,J!V28,),),)</f>
        <v>0</v>
      </c>
      <c r="W28" s="622">
        <f>IF(Q28="","",$W$5-SUM($Q$7:Q28))</f>
        <v>0</v>
      </c>
      <c r="X28" s="395"/>
      <c r="Y28" s="906" t="str">
        <f>IF(J!Y28&lt;&gt;"",J!Y28,)</f>
        <v>Education/Schoolbooks</v>
      </c>
      <c r="Z28" s="457">
        <f>J!Z28</f>
        <v>0</v>
      </c>
      <c r="AA28" s="20">
        <f t="shared" si="0"/>
        <v>0</v>
      </c>
      <c r="AB28" s="723"/>
      <c r="AC28" s="723"/>
      <c r="AD28" s="36">
        <f t="shared" si="1"/>
        <v>0</v>
      </c>
      <c r="AE28" s="23">
        <f>IF(AI28=0,AX28,0)</f>
        <v>0</v>
      </c>
      <c r="AF28" s="367"/>
      <c r="AG28" s="728">
        <f t="shared" si="2"/>
        <v>0</v>
      </c>
      <c r="AH28" s="367"/>
      <c r="AI28" s="375">
        <v>0</v>
      </c>
      <c r="AJ28" s="367"/>
      <c r="AK28" s="528" t="s">
        <v>405</v>
      </c>
      <c r="AL28" s="529" t="s">
        <v>407</v>
      </c>
      <c r="AM28" s="367"/>
      <c r="AN28" s="367"/>
      <c r="AO28" s="86"/>
      <c r="AP28" s="51">
        <f t="shared" si="3"/>
        <v>0</v>
      </c>
      <c r="AQ28" s="476">
        <f>J!AQ28+J!AP28</f>
        <v>0</v>
      </c>
      <c r="AR28" s="476">
        <f t="shared" si="4"/>
        <v>0</v>
      </c>
      <c r="AS28" s="477">
        <f>AD28+J!AS28</f>
        <v>0</v>
      </c>
      <c r="AT28" s="477">
        <f>AA28+J!AT28</f>
        <v>0</v>
      </c>
      <c r="AU28" s="476"/>
      <c r="AV28" s="477">
        <f>J!AV28-J!AD28+K!Z28-J!AP28</f>
        <v>0</v>
      </c>
      <c r="AW28" s="476">
        <f t="shared" si="6"/>
        <v>0</v>
      </c>
      <c r="AX28" s="52">
        <f>IF(Z28=J!Z28,J!AE28-AD28,J!AE28+(Z28-J!Z28)*$AW$16-AD28)</f>
        <v>0</v>
      </c>
      <c r="AZ28" s="726">
        <f t="shared" si="7"/>
        <v>0</v>
      </c>
    </row>
    <row r="29" spans="1:63" ht="15" customHeight="1">
      <c r="A29" s="367"/>
      <c r="B29" s="850">
        <f ca="1">IF(J!B29&lt;&gt;"",J!B29,)</f>
        <v>0</v>
      </c>
      <c r="C29" s="454">
        <f ca="1">J!C29</f>
        <v>0</v>
      </c>
      <c r="D29" s="74"/>
      <c r="E29" s="521"/>
      <c r="F29" s="858"/>
      <c r="G29" s="367"/>
      <c r="H29" s="543"/>
      <c r="I29" s="854"/>
      <c r="J29" s="6"/>
      <c r="K29" s="541"/>
      <c r="L29" s="860"/>
      <c r="M29" s="20" t="str">
        <f>IF(J29="","",$M$5-SUM($J$7:J29))</f>
        <v/>
      </c>
      <c r="N29" s="367"/>
      <c r="O29" s="7"/>
      <c r="P29" s="873">
        <f>IF(J!Q29&lt;&gt;J!R29,IF(J!Q29&lt;&gt;0,IF(J!S29&lt;&gt;J!T29,J!P29,),),)</f>
        <v>0</v>
      </c>
      <c r="Q29" s="795">
        <f>IF(J!Q29&lt;&gt;J!R29,IF(J!Q29&lt;&gt;0,IF(J!S29&lt;&gt;J!T29,J!Q29,),),)</f>
        <v>0</v>
      </c>
      <c r="R29" s="628">
        <f>IF(J!Q29&lt;&gt;J!R29,IF(J!Q29&lt;&gt;0,IF(J!S29&lt;&gt;J!T29,0,Q29),Q29),Q29)</f>
        <v>0</v>
      </c>
      <c r="S29" s="796">
        <f>IF(J!Q29&lt;&gt;J!R29,IF(J!Q29&lt;&gt;0,IF(J!S29&lt;&gt;J!T29,J!S29+1,),),)</f>
        <v>0</v>
      </c>
      <c r="T29" s="796">
        <f>IF(J!Q29&lt;&gt;J!R29,IF(J!Q29&lt;&gt;0,IF(J!S29&lt;&gt;J!T29,J!T29,),),)</f>
        <v>0</v>
      </c>
      <c r="U29" s="797">
        <f>IF(J!Q29&lt;&gt;J!R29,IF(J!Q29&lt;&gt;0,IF(J!S29&lt;&gt;J!T29,J!U29,),),)</f>
        <v>0</v>
      </c>
      <c r="V29" s="875">
        <f>IF(J!Q29&lt;&gt;J!R29,IF(J!Q29&lt;&gt;0,IF(J!S29&lt;&gt;J!T29,J!V29,),),)</f>
        <v>0</v>
      </c>
      <c r="W29" s="622">
        <f>IF(Q29="","",$W$5-SUM($Q$7:Q29))</f>
        <v>0</v>
      </c>
      <c r="X29" s="395"/>
      <c r="Y29" s="906" t="str">
        <f>IF(J!Y29&lt;&gt;"",J!Y29,)</f>
        <v>Extracurricular Activities/Camps/Pool</v>
      </c>
      <c r="Z29" s="457">
        <f>J!Z29</f>
        <v>0</v>
      </c>
      <c r="AA29" s="20">
        <f t="shared" si="0"/>
        <v>0</v>
      </c>
      <c r="AB29" s="723"/>
      <c r="AC29" s="723"/>
      <c r="AD29" s="36">
        <f t="shared" si="1"/>
        <v>0</v>
      </c>
      <c r="AE29" s="23">
        <f t="shared" si="5"/>
        <v>0</v>
      </c>
      <c r="AF29" s="367"/>
      <c r="AG29" s="728">
        <f t="shared" si="2"/>
        <v>0</v>
      </c>
      <c r="AH29" s="367"/>
      <c r="AI29" s="375">
        <v>0</v>
      </c>
      <c r="AJ29" s="367"/>
      <c r="AK29" s="530" t="s">
        <v>32</v>
      </c>
      <c r="AL29" s="531" t="s">
        <v>33</v>
      </c>
      <c r="AM29" s="367"/>
      <c r="AN29" s="367"/>
      <c r="AO29" s="86"/>
      <c r="AP29" s="51">
        <f t="shared" si="3"/>
        <v>0</v>
      </c>
      <c r="AQ29" s="476">
        <f>J!AQ29+J!AP29</f>
        <v>0</v>
      </c>
      <c r="AR29" s="476">
        <f t="shared" si="4"/>
        <v>0</v>
      </c>
      <c r="AS29" s="477">
        <f>AD29+J!AS29</f>
        <v>0</v>
      </c>
      <c r="AT29" s="477">
        <f>AA29+J!AT29</f>
        <v>0</v>
      </c>
      <c r="AU29" s="476"/>
      <c r="AV29" s="477">
        <f>J!AV29-J!AD29+K!Z29-J!AP29</f>
        <v>0</v>
      </c>
      <c r="AW29" s="476">
        <f t="shared" si="6"/>
        <v>0</v>
      </c>
      <c r="AX29" s="52">
        <f>IF(Z29=J!Z29,J!AE29-AD29,J!AE29+(Z29-J!Z29)*$AW$16-AD29)</f>
        <v>0</v>
      </c>
      <c r="AZ29" s="726">
        <f t="shared" si="7"/>
        <v>0</v>
      </c>
    </row>
    <row r="30" spans="1:63" ht="15" customHeight="1">
      <c r="A30" s="367"/>
      <c r="B30" s="850">
        <f ca="1">IF(J!B30&lt;&gt;"",J!B30,)</f>
        <v>0</v>
      </c>
      <c r="C30" s="454">
        <f ca="1">J!C30</f>
        <v>0</v>
      </c>
      <c r="D30" s="74"/>
      <c r="E30" s="521"/>
      <c r="F30" s="858"/>
      <c r="G30" s="367"/>
      <c r="H30" s="543"/>
      <c r="I30" s="853"/>
      <c r="J30" s="6"/>
      <c r="K30" s="541"/>
      <c r="L30" s="860"/>
      <c r="M30" s="20" t="str">
        <f>IF(J30="","",$M$5-SUM($J$7:J30))</f>
        <v/>
      </c>
      <c r="N30" s="367"/>
      <c r="O30" s="7"/>
      <c r="P30" s="873">
        <f>IF(J!Q30&lt;&gt;J!R30,IF(J!Q30&lt;&gt;0,IF(J!S30&lt;&gt;J!T30,J!P30,),),)</f>
        <v>0</v>
      </c>
      <c r="Q30" s="795">
        <f>IF(J!Q30&lt;&gt;J!R30,IF(J!Q30&lt;&gt;0,IF(J!S30&lt;&gt;J!T30,J!Q30,),),)</f>
        <v>0</v>
      </c>
      <c r="R30" s="628">
        <f>IF(J!Q30&lt;&gt;J!R30,IF(J!Q30&lt;&gt;0,IF(J!S30&lt;&gt;J!T30,0,Q30),Q30),Q30)</f>
        <v>0</v>
      </c>
      <c r="S30" s="796">
        <f>IF(J!Q30&lt;&gt;J!R30,IF(J!Q30&lt;&gt;0,IF(J!S30&lt;&gt;J!T30,J!S30+1,),),)</f>
        <v>0</v>
      </c>
      <c r="T30" s="796">
        <f>IF(J!Q30&lt;&gt;J!R30,IF(J!Q30&lt;&gt;0,IF(J!S30&lt;&gt;J!T30,J!T30,),),)</f>
        <v>0</v>
      </c>
      <c r="U30" s="797">
        <f>IF(J!Q30&lt;&gt;J!R30,IF(J!Q30&lt;&gt;0,IF(J!S30&lt;&gt;J!T30,J!U30,),),)</f>
        <v>0</v>
      </c>
      <c r="V30" s="875">
        <f>IF(J!Q30&lt;&gt;J!R30,IF(J!Q30&lt;&gt;0,IF(J!S30&lt;&gt;J!T30,J!V30,),),)</f>
        <v>0</v>
      </c>
      <c r="W30" s="622">
        <f>IF(Q30="","",$W$5-SUM($Q$7:Q30))</f>
        <v>0</v>
      </c>
      <c r="X30" s="395"/>
      <c r="Y30" s="906" t="str">
        <f>IF(J!Y30&lt;&gt;"",J!Y30,)</f>
        <v xml:space="preserve">  Car Insurance and Licensing</v>
      </c>
      <c r="Z30" s="457">
        <f>J!Z30</f>
        <v>0</v>
      </c>
      <c r="AA30" s="20">
        <f t="shared" si="0"/>
        <v>0</v>
      </c>
      <c r="AB30" s="723"/>
      <c r="AC30" s="723"/>
      <c r="AD30" s="36">
        <f t="shared" si="1"/>
        <v>0</v>
      </c>
      <c r="AE30" s="23">
        <f t="shared" si="5"/>
        <v>0</v>
      </c>
      <c r="AF30" s="367"/>
      <c r="AG30" s="728">
        <f t="shared" si="2"/>
        <v>0</v>
      </c>
      <c r="AH30" s="367"/>
      <c r="AI30" s="375">
        <v>0</v>
      </c>
      <c r="AJ30" s="367"/>
      <c r="AK30" s="530" t="s">
        <v>34</v>
      </c>
      <c r="AL30" s="532" t="s">
        <v>33</v>
      </c>
      <c r="AM30" s="367"/>
      <c r="AN30" s="367"/>
      <c r="AO30" s="86"/>
      <c r="AP30" s="51">
        <f t="shared" si="3"/>
        <v>0</v>
      </c>
      <c r="AQ30" s="476">
        <f>J!AQ30+J!AP30</f>
        <v>0</v>
      </c>
      <c r="AR30" s="476">
        <f t="shared" si="4"/>
        <v>0</v>
      </c>
      <c r="AS30" s="477">
        <f>AD30+J!AS30</f>
        <v>0</v>
      </c>
      <c r="AT30" s="477">
        <f>AA30+J!AT30</f>
        <v>0</v>
      </c>
      <c r="AU30" s="476"/>
      <c r="AV30" s="477">
        <f>J!AV30-J!AD30+K!Z30-J!AP30</f>
        <v>0</v>
      </c>
      <c r="AW30" s="476">
        <f t="shared" si="6"/>
        <v>0</v>
      </c>
      <c r="AX30" s="52">
        <f>IF(Z30=J!Z30,J!AE30-AD30,J!AE30+(Z30-J!Z30)*$AW$16-AD30)</f>
        <v>0</v>
      </c>
      <c r="AZ30" s="726">
        <f t="shared" si="7"/>
        <v>0</v>
      </c>
    </row>
    <row r="31" spans="1:63" ht="15" customHeight="1">
      <c r="A31" s="367"/>
      <c r="B31" s="850">
        <f ca="1">IF(J!B31&lt;&gt;"",J!B31,)</f>
        <v>0</v>
      </c>
      <c r="C31" s="454">
        <f ca="1">J!C31</f>
        <v>0</v>
      </c>
      <c r="D31" s="74"/>
      <c r="E31" s="521"/>
      <c r="F31" s="858"/>
      <c r="G31" s="367"/>
      <c r="H31" s="543"/>
      <c r="I31" s="853"/>
      <c r="J31" s="6"/>
      <c r="K31" s="541"/>
      <c r="L31" s="860"/>
      <c r="M31" s="20" t="str">
        <f>IF(J31="","",$M$5-SUM($J$7:J31))</f>
        <v/>
      </c>
      <c r="N31" s="367"/>
      <c r="O31" s="7"/>
      <c r="P31" s="871">
        <f>IF(J!Q31&lt;&gt;J!R31,IF(J!Q31&lt;&gt;0,IF(J!S31&lt;&gt;J!T31,J!P31,),),)</f>
        <v>0</v>
      </c>
      <c r="Q31" s="795">
        <f>IF(J!Q31&lt;&gt;J!R31,IF(J!Q31&lt;&gt;0,IF(J!S31&lt;&gt;J!T31,J!Q31,),),)</f>
        <v>0</v>
      </c>
      <c r="R31" s="628">
        <f>IF(J!Q31&lt;&gt;J!R31,IF(J!Q31&lt;&gt;0,IF(J!S31&lt;&gt;J!T31,0,Q31),Q31),Q31)</f>
        <v>0</v>
      </c>
      <c r="S31" s="796">
        <f>IF(J!Q31&lt;&gt;J!R31,IF(J!Q31&lt;&gt;0,IF(J!S31&lt;&gt;J!T31,J!S31+1,),),)</f>
        <v>0</v>
      </c>
      <c r="T31" s="796">
        <f>IF(J!Q31&lt;&gt;J!R31,IF(J!Q31&lt;&gt;0,IF(J!S31&lt;&gt;J!T31,J!T31,),),)</f>
        <v>0</v>
      </c>
      <c r="U31" s="797">
        <f>IF(J!Q31&lt;&gt;J!R31,IF(J!Q31&lt;&gt;0,IF(J!S31&lt;&gt;J!T31,J!U31,),),)</f>
        <v>0</v>
      </c>
      <c r="V31" s="875">
        <f>IF(J!Q31&lt;&gt;J!R31,IF(J!Q31&lt;&gt;0,IF(J!S31&lt;&gt;J!T31,J!V31,),),)</f>
        <v>0</v>
      </c>
      <c r="W31" s="622">
        <f>IF(Q31="","",$W$5-SUM($Q$7:Q31))</f>
        <v>0</v>
      </c>
      <c r="X31" s="395"/>
      <c r="Y31" s="906" t="str">
        <f>IF(J!Y31&lt;&gt;"",J!Y31,)</f>
        <v>Car Maintenance</v>
      </c>
      <c r="Z31" s="457">
        <f>J!Z31</f>
        <v>0</v>
      </c>
      <c r="AA31" s="20">
        <f t="shared" si="0"/>
        <v>0</v>
      </c>
      <c r="AB31" s="723"/>
      <c r="AC31" s="723"/>
      <c r="AD31" s="36">
        <f t="shared" si="1"/>
        <v>0</v>
      </c>
      <c r="AE31" s="23">
        <f t="shared" si="5"/>
        <v>0</v>
      </c>
      <c r="AF31" s="367"/>
      <c r="AG31" s="728">
        <f t="shared" si="2"/>
        <v>0</v>
      </c>
      <c r="AH31" s="367"/>
      <c r="AI31" s="375">
        <v>0</v>
      </c>
      <c r="AJ31" s="367"/>
      <c r="AK31" s="530" t="s">
        <v>35</v>
      </c>
      <c r="AL31" s="533" t="s">
        <v>33</v>
      </c>
      <c r="AM31" s="367"/>
      <c r="AN31" s="367"/>
      <c r="AO31" s="86"/>
      <c r="AP31" s="51">
        <f t="shared" si="3"/>
        <v>0</v>
      </c>
      <c r="AQ31" s="476">
        <f>J!AQ31+J!AP31</f>
        <v>0</v>
      </c>
      <c r="AR31" s="476">
        <f t="shared" si="4"/>
        <v>0</v>
      </c>
      <c r="AS31" s="477">
        <f>AD31+J!AS31</f>
        <v>0</v>
      </c>
      <c r="AT31" s="477">
        <f>AA31+J!AT31</f>
        <v>0</v>
      </c>
      <c r="AU31" s="476"/>
      <c r="AV31" s="477">
        <f>J!AV31-J!AD31+K!Z31-J!AP31</f>
        <v>0</v>
      </c>
      <c r="AW31" s="476">
        <f t="shared" si="6"/>
        <v>0</v>
      </c>
      <c r="AX31" s="52">
        <f>IF(Z31=J!Z31,J!AE31-AD31,J!AE31+(Z31-J!Z31)*$AW$16-AD31)</f>
        <v>0</v>
      </c>
      <c r="AZ31" s="726">
        <f t="shared" si="7"/>
        <v>0</v>
      </c>
    </row>
    <row r="32" spans="1:63" ht="15" customHeight="1">
      <c r="A32" s="367"/>
      <c r="B32" s="850">
        <f ca="1">IF(J!B32&lt;&gt;"",J!B32,)</f>
        <v>0</v>
      </c>
      <c r="C32" s="454">
        <f ca="1">J!C32</f>
        <v>0</v>
      </c>
      <c r="D32" s="74"/>
      <c r="E32" s="521"/>
      <c r="F32" s="858"/>
      <c r="G32" s="367"/>
      <c r="H32" s="543"/>
      <c r="I32" s="853"/>
      <c r="J32" s="6"/>
      <c r="K32" s="541"/>
      <c r="L32" s="860"/>
      <c r="M32" s="20" t="str">
        <f>IF(J32="","",$M$5-SUM($J$7:J32))</f>
        <v/>
      </c>
      <c r="N32" s="367"/>
      <c r="O32" s="7"/>
      <c r="P32" s="873">
        <f>IF(J!Q32&lt;&gt;J!R32,IF(J!Q32&lt;&gt;0,IF(J!S32&lt;&gt;J!T32,J!P32,),),)</f>
        <v>0</v>
      </c>
      <c r="Q32" s="795">
        <f>IF(J!Q32&lt;&gt;J!R32,IF(J!Q32&lt;&gt;0,IF(J!S32&lt;&gt;J!T32,J!Q32,),),)</f>
        <v>0</v>
      </c>
      <c r="R32" s="628">
        <f>IF(J!Q32&lt;&gt;J!R32,IF(J!Q32&lt;&gt;0,IF(J!S32&lt;&gt;J!T32,0,Q32),Q32),Q32)</f>
        <v>0</v>
      </c>
      <c r="S32" s="796">
        <f>IF(J!Q32&lt;&gt;J!R32,IF(J!Q32&lt;&gt;0,IF(J!S32&lt;&gt;J!T32,J!S32+1,),),)</f>
        <v>0</v>
      </c>
      <c r="T32" s="796">
        <f>IF(J!Q32&lt;&gt;J!R32,IF(J!Q32&lt;&gt;0,IF(J!S32&lt;&gt;J!T32,J!T32,),),)</f>
        <v>0</v>
      </c>
      <c r="U32" s="797">
        <f>IF(J!Q32&lt;&gt;J!R32,IF(J!Q32&lt;&gt;0,IF(J!S32&lt;&gt;J!T32,J!U32,),),)</f>
        <v>0</v>
      </c>
      <c r="V32" s="875">
        <f>IF(J!Q32&lt;&gt;J!R32,IF(J!Q32&lt;&gt;0,IF(J!S32&lt;&gt;J!T32,J!V32,),),)</f>
        <v>0</v>
      </c>
      <c r="W32" s="622">
        <f>IF(Q32="","",$W$5-SUM($Q$7:Q32))</f>
        <v>0</v>
      </c>
      <c r="X32" s="389"/>
      <c r="Y32" s="906" t="str">
        <f>IF(J!Y32&lt;&gt;"",J!Y32,)</f>
        <v>Clothing and Shoes</v>
      </c>
      <c r="Z32" s="457">
        <f>J!Z32</f>
        <v>0</v>
      </c>
      <c r="AA32" s="20">
        <f t="shared" si="0"/>
        <v>0</v>
      </c>
      <c r="AB32" s="723"/>
      <c r="AC32" s="723"/>
      <c r="AD32" s="36">
        <f t="shared" si="1"/>
        <v>0</v>
      </c>
      <c r="AE32" s="23">
        <f t="shared" si="5"/>
        <v>0</v>
      </c>
      <c r="AF32" s="367"/>
      <c r="AG32" s="728">
        <f t="shared" si="2"/>
        <v>0</v>
      </c>
      <c r="AH32" s="367"/>
      <c r="AI32" s="375">
        <v>0</v>
      </c>
      <c r="AJ32" s="367"/>
      <c r="AK32" s="530" t="s">
        <v>36</v>
      </c>
      <c r="AL32" s="534" t="s">
        <v>33</v>
      </c>
      <c r="AM32" s="367"/>
      <c r="AN32" s="367"/>
      <c r="AO32" s="86"/>
      <c r="AP32" s="51">
        <f t="shared" si="3"/>
        <v>0</v>
      </c>
      <c r="AQ32" s="476">
        <f>J!AQ32+J!AP32</f>
        <v>0</v>
      </c>
      <c r="AR32" s="476">
        <f t="shared" si="4"/>
        <v>0</v>
      </c>
      <c r="AS32" s="477">
        <f>AD32+J!AS32</f>
        <v>0</v>
      </c>
      <c r="AT32" s="477">
        <f>AA32+J!AT32</f>
        <v>0</v>
      </c>
      <c r="AU32" s="476"/>
      <c r="AV32" s="477">
        <f>J!AV32-J!AD32+K!Z32-J!AP32</f>
        <v>0</v>
      </c>
      <c r="AW32" s="476">
        <f t="shared" si="6"/>
        <v>0</v>
      </c>
      <c r="AX32" s="52">
        <f>IF(Z32=J!Z32,J!AE32-AD32,J!AE32+(Z32-J!Z32)*$AW$16-AD32)</f>
        <v>0</v>
      </c>
      <c r="AZ32" s="726">
        <f t="shared" si="7"/>
        <v>0</v>
      </c>
    </row>
    <row r="33" spans="1:52" ht="15" customHeight="1">
      <c r="A33" s="367"/>
      <c r="B33" s="850">
        <f ca="1">IF(J!B33&lt;&gt;"",J!B33,)</f>
        <v>0</v>
      </c>
      <c r="C33" s="454">
        <f ca="1">J!C33</f>
        <v>0</v>
      </c>
      <c r="D33" s="74"/>
      <c r="E33" s="521"/>
      <c r="F33" s="858"/>
      <c r="G33" s="367"/>
      <c r="H33" s="543"/>
      <c r="I33" s="853"/>
      <c r="J33" s="6"/>
      <c r="K33" s="541"/>
      <c r="L33" s="860"/>
      <c r="M33" s="20" t="str">
        <f>IF(J33="","",$M$5-SUM($J$7:J33))</f>
        <v/>
      </c>
      <c r="N33" s="367"/>
      <c r="O33" s="7"/>
      <c r="P33" s="871">
        <f>IF(J!Q33&lt;&gt;J!R33,IF(J!Q33&lt;&gt;0,IF(J!S33&lt;&gt;J!T33,J!P33,),),)</f>
        <v>0</v>
      </c>
      <c r="Q33" s="795">
        <f>IF(J!Q33&lt;&gt;J!R33,IF(J!Q33&lt;&gt;0,IF(J!S33&lt;&gt;J!T33,J!Q33,),),)</f>
        <v>0</v>
      </c>
      <c r="R33" s="628">
        <f>IF(J!Q33&lt;&gt;J!R33,IF(J!Q33&lt;&gt;0,IF(J!S33&lt;&gt;J!T33,0,Q33),Q33),Q33)</f>
        <v>0</v>
      </c>
      <c r="S33" s="796">
        <f>IF(J!Q33&lt;&gt;J!R33,IF(J!Q33&lt;&gt;0,IF(J!S33&lt;&gt;J!T33,J!S33+1,),),)</f>
        <v>0</v>
      </c>
      <c r="T33" s="796">
        <f>IF(J!Q33&lt;&gt;J!R33,IF(J!Q33&lt;&gt;0,IF(J!S33&lt;&gt;J!T33,J!T33,),),)</f>
        <v>0</v>
      </c>
      <c r="U33" s="797">
        <f>IF(J!Q33&lt;&gt;J!R33,IF(J!Q33&lt;&gt;0,IF(J!S33&lt;&gt;J!T33,J!U33,),),)</f>
        <v>0</v>
      </c>
      <c r="V33" s="875">
        <f>IF(J!Q33&lt;&gt;J!R33,IF(J!Q33&lt;&gt;0,IF(J!S33&lt;&gt;J!T33,J!V33,),),)</f>
        <v>0</v>
      </c>
      <c r="W33" s="622">
        <f>IF(Q33="","",$W$5-SUM($Q$7:Q33))</f>
        <v>0</v>
      </c>
      <c r="X33" s="10"/>
      <c r="Y33" s="906" t="str">
        <f>IF(J!Y33&lt;&gt;"",J!Y33,)</f>
        <v>Medicine/Treatment</v>
      </c>
      <c r="Z33" s="457">
        <f>J!Z33</f>
        <v>0</v>
      </c>
      <c r="AA33" s="20">
        <f t="shared" si="0"/>
        <v>0</v>
      </c>
      <c r="AB33" s="723"/>
      <c r="AC33" s="723"/>
      <c r="AD33" s="36">
        <f t="shared" si="1"/>
        <v>0</v>
      </c>
      <c r="AE33" s="23">
        <f t="shared" si="5"/>
        <v>0</v>
      </c>
      <c r="AF33" s="367"/>
      <c r="AG33" s="728">
        <f t="shared" si="2"/>
        <v>0</v>
      </c>
      <c r="AH33" s="367"/>
      <c r="AI33" s="375">
        <v>0</v>
      </c>
      <c r="AJ33" s="367"/>
      <c r="AK33" s="530" t="s">
        <v>37</v>
      </c>
      <c r="AL33" s="535" t="s">
        <v>33</v>
      </c>
      <c r="AM33" s="367"/>
      <c r="AN33" s="367"/>
      <c r="AO33" s="86"/>
      <c r="AP33" s="51">
        <f t="shared" si="3"/>
        <v>0</v>
      </c>
      <c r="AQ33" s="476">
        <f>J!AQ33+J!AP33</f>
        <v>0</v>
      </c>
      <c r="AR33" s="476">
        <f t="shared" si="4"/>
        <v>0</v>
      </c>
      <c r="AS33" s="477">
        <f>AD33+J!AS33</f>
        <v>0</v>
      </c>
      <c r="AT33" s="477">
        <f>AA33+J!AT33</f>
        <v>0</v>
      </c>
      <c r="AU33" s="476"/>
      <c r="AV33" s="477">
        <f>J!AV33-J!AD33+K!Z33-J!AP33</f>
        <v>0</v>
      </c>
      <c r="AW33" s="476">
        <f t="shared" si="6"/>
        <v>0</v>
      </c>
      <c r="AX33" s="52">
        <f>IF(Z33=J!Z33,J!AE33-AD33,J!AE33+(Z33-J!Z33)*$AW$16-AD33)</f>
        <v>0</v>
      </c>
      <c r="AZ33" s="726">
        <f t="shared" si="7"/>
        <v>0</v>
      </c>
    </row>
    <row r="34" spans="1:52" ht="15" customHeight="1">
      <c r="A34" s="367"/>
      <c r="B34" s="850">
        <f ca="1">IF(J!B34&lt;&gt;"",J!B34,)</f>
        <v>0</v>
      </c>
      <c r="C34" s="454">
        <f ca="1">J!C34</f>
        <v>0</v>
      </c>
      <c r="D34" s="74"/>
      <c r="E34" s="521"/>
      <c r="F34" s="858"/>
      <c r="G34" s="367"/>
      <c r="H34" s="543"/>
      <c r="I34" s="853"/>
      <c r="J34" s="6"/>
      <c r="K34" s="541"/>
      <c r="L34" s="860"/>
      <c r="M34" s="20" t="str">
        <f>IF(J34="","",$M$5-SUM($J$7:J34))</f>
        <v/>
      </c>
      <c r="N34" s="367"/>
      <c r="O34" s="7"/>
      <c r="P34" s="873">
        <f>IF(J!Q34&lt;&gt;J!R34,IF(J!Q34&lt;&gt;0,IF(J!S34&lt;&gt;J!T34,J!P34,),),)</f>
        <v>0</v>
      </c>
      <c r="Q34" s="795">
        <f>IF(J!Q34&lt;&gt;J!R34,IF(J!Q34&lt;&gt;0,IF(J!S34&lt;&gt;J!T34,J!Q34,),),)</f>
        <v>0</v>
      </c>
      <c r="R34" s="628">
        <f>IF(J!Q34&lt;&gt;J!R34,IF(J!Q34&lt;&gt;0,IF(J!S34&lt;&gt;J!T34,0,Q34),Q34),Q34)</f>
        <v>0</v>
      </c>
      <c r="S34" s="796">
        <f>IF(J!Q34&lt;&gt;J!R34,IF(J!Q34&lt;&gt;0,IF(J!S34&lt;&gt;J!T34,J!S34+1,),),)</f>
        <v>0</v>
      </c>
      <c r="T34" s="796">
        <f>IF(J!Q34&lt;&gt;J!R34,IF(J!Q34&lt;&gt;0,IF(J!S34&lt;&gt;J!T34,J!T34,),),)</f>
        <v>0</v>
      </c>
      <c r="U34" s="797">
        <f>IF(J!Q34&lt;&gt;J!R34,IF(J!Q34&lt;&gt;0,IF(J!S34&lt;&gt;J!T34,J!U34,),),)</f>
        <v>0</v>
      </c>
      <c r="V34" s="875">
        <f>IF(J!Q34&lt;&gt;J!R34,IF(J!Q34&lt;&gt;0,IF(J!S34&lt;&gt;J!T34,J!V34,),),)</f>
        <v>0</v>
      </c>
      <c r="W34" s="622">
        <f>IF(Q34="","",$W$5-SUM($Q$7:Q34))</f>
        <v>0</v>
      </c>
      <c r="X34" s="10"/>
      <c r="Y34" s="905" t="str">
        <f>IF(J!Y34&lt;&gt;"",J!Y34,)</f>
        <v>Bank Interest and Fees</v>
      </c>
      <c r="Z34" s="457">
        <f>J!Z34</f>
        <v>0</v>
      </c>
      <c r="AA34" s="20">
        <f t="shared" si="0"/>
        <v>0</v>
      </c>
      <c r="AB34" s="723"/>
      <c r="AC34" s="723"/>
      <c r="AD34" s="36">
        <f t="shared" si="1"/>
        <v>0</v>
      </c>
      <c r="AE34" s="23">
        <f t="shared" si="5"/>
        <v>0</v>
      </c>
      <c r="AF34" s="367"/>
      <c r="AG34" s="728">
        <f t="shared" si="2"/>
        <v>0</v>
      </c>
      <c r="AH34" s="367"/>
      <c r="AI34" s="375">
        <v>0</v>
      </c>
      <c r="AJ34" s="367"/>
      <c r="AK34" s="530" t="s">
        <v>38</v>
      </c>
      <c r="AL34" s="536" t="s">
        <v>33</v>
      </c>
      <c r="AM34" s="367"/>
      <c r="AN34" s="367"/>
      <c r="AO34" s="86"/>
      <c r="AP34" s="51">
        <f t="shared" si="3"/>
        <v>0</v>
      </c>
      <c r="AQ34" s="476">
        <f>J!AQ34+J!AP34</f>
        <v>0</v>
      </c>
      <c r="AR34" s="476">
        <f t="shared" si="4"/>
        <v>0</v>
      </c>
      <c r="AS34" s="477">
        <f>AD34+J!AS34</f>
        <v>0</v>
      </c>
      <c r="AT34" s="477">
        <f>AA34+J!AT34</f>
        <v>0</v>
      </c>
      <c r="AU34" s="476"/>
      <c r="AV34" s="477">
        <f>J!AV34-J!AD34+K!Z34-J!AP34</f>
        <v>0</v>
      </c>
      <c r="AW34" s="476">
        <f t="shared" si="6"/>
        <v>0</v>
      </c>
      <c r="AX34" s="52">
        <f>IF(Z34=J!Z34,J!AE34-AD34,J!AE34+(Z34-J!Z34)*$AW$16-AD34)</f>
        <v>0</v>
      </c>
      <c r="AZ34" s="726">
        <f t="shared" si="7"/>
        <v>0</v>
      </c>
    </row>
    <row r="35" spans="1:52" ht="15" customHeight="1">
      <c r="A35" s="367"/>
      <c r="B35" s="850">
        <f ca="1">IF(J!B35&lt;&gt;"",J!B35,)</f>
        <v>0</v>
      </c>
      <c r="C35" s="454">
        <f ca="1">J!C35</f>
        <v>0</v>
      </c>
      <c r="D35" s="74"/>
      <c r="E35" s="521"/>
      <c r="F35" s="858"/>
      <c r="G35" s="367"/>
      <c r="H35" s="543"/>
      <c r="I35" s="853"/>
      <c r="J35" s="6"/>
      <c r="K35" s="541"/>
      <c r="L35" s="860"/>
      <c r="M35" s="20" t="str">
        <f>IF(J35="","",$M$5-SUM($J$7:J35))</f>
        <v/>
      </c>
      <c r="N35" s="367"/>
      <c r="O35" s="7"/>
      <c r="P35" s="871">
        <f>IF(J!Q35&lt;&gt;J!R35,IF(J!Q35&lt;&gt;0,IF(J!S35&lt;&gt;J!T35,J!P35,),),)</f>
        <v>0</v>
      </c>
      <c r="Q35" s="799">
        <f>IF(J!Q35&lt;&gt;J!R35,IF(J!Q35&lt;&gt;0,IF(J!S35&lt;&gt;J!T35,J!Q35,),),)</f>
        <v>0</v>
      </c>
      <c r="R35" s="628">
        <f>IF(J!Q35&lt;&gt;J!R35,IF(J!Q35&lt;&gt;0,IF(J!S35&lt;&gt;J!T35,0,Q35),Q35),Q35)</f>
        <v>0</v>
      </c>
      <c r="S35" s="796">
        <f>IF(J!Q35&lt;&gt;J!R35,IF(J!Q35&lt;&gt;0,IF(J!S35&lt;&gt;J!T35,J!S35+1,),),)</f>
        <v>0</v>
      </c>
      <c r="T35" s="796">
        <f>IF(J!Q35&lt;&gt;J!R35,IF(J!Q35&lt;&gt;0,IF(J!S35&lt;&gt;J!T35,J!T35,),),)</f>
        <v>0</v>
      </c>
      <c r="U35" s="797">
        <f>IF(J!Q35&lt;&gt;J!R35,IF(J!Q35&lt;&gt;0,IF(J!S35&lt;&gt;J!T35,J!U35,),),)</f>
        <v>0</v>
      </c>
      <c r="V35" s="875">
        <f>IF(J!Q35&lt;&gt;J!R35,IF(J!Q35&lt;&gt;0,IF(J!S35&lt;&gt;J!T35,J!V35,),),)</f>
        <v>0</v>
      </c>
      <c r="W35" s="626">
        <f>IF(Q35="","",$W$5-SUM($Q$7:Q35))</f>
        <v>0</v>
      </c>
      <c r="X35" s="395"/>
      <c r="Y35" s="905" t="str">
        <f>IF(J!Y35&lt;&gt;"",J!Y35,)</f>
        <v>Dental treatments</v>
      </c>
      <c r="Z35" s="457">
        <f>J!Z35</f>
        <v>0</v>
      </c>
      <c r="AA35" s="20">
        <f t="shared" si="0"/>
        <v>0</v>
      </c>
      <c r="AB35" s="723"/>
      <c r="AC35" s="723"/>
      <c r="AD35" s="36">
        <f t="shared" si="1"/>
        <v>0</v>
      </c>
      <c r="AE35" s="23">
        <f t="shared" si="5"/>
        <v>0</v>
      </c>
      <c r="AF35" s="367"/>
      <c r="AG35" s="728">
        <f t="shared" si="2"/>
        <v>0</v>
      </c>
      <c r="AH35" s="367"/>
      <c r="AI35" s="375">
        <v>0</v>
      </c>
      <c r="AJ35" s="367"/>
      <c r="AK35" s="530" t="s">
        <v>39</v>
      </c>
      <c r="AL35" s="537" t="s">
        <v>33</v>
      </c>
      <c r="AM35" s="367"/>
      <c r="AN35" s="367"/>
      <c r="AO35" s="86"/>
      <c r="AP35" s="51">
        <f t="shared" si="3"/>
        <v>0</v>
      </c>
      <c r="AQ35" s="476">
        <f>J!AQ35+J!AP35</f>
        <v>0</v>
      </c>
      <c r="AR35" s="476">
        <f t="shared" si="4"/>
        <v>0</v>
      </c>
      <c r="AS35" s="477">
        <f>AD35+J!AS35</f>
        <v>0</v>
      </c>
      <c r="AT35" s="477">
        <f>AA35+J!AT35</f>
        <v>0</v>
      </c>
      <c r="AU35" s="476"/>
      <c r="AV35" s="477">
        <f>J!AV35-J!AD35+K!Z35-J!AP35</f>
        <v>0</v>
      </c>
      <c r="AW35" s="476">
        <f t="shared" si="6"/>
        <v>0</v>
      </c>
      <c r="AX35" s="52">
        <f>IF(Z35=J!Z35,J!AE35-AD35,J!AE35+(Z35-J!Z35)*$AW$16-AD35)</f>
        <v>0</v>
      </c>
      <c r="AZ35" s="726">
        <f t="shared" si="7"/>
        <v>0</v>
      </c>
    </row>
    <row r="36" spans="1:52" ht="15" customHeight="1">
      <c r="A36" s="367"/>
      <c r="B36" s="850">
        <f ca="1">IF(J!B36&lt;&gt;"",J!B36,)</f>
        <v>0</v>
      </c>
      <c r="C36" s="454">
        <f ca="1">J!C36</f>
        <v>0</v>
      </c>
      <c r="D36" s="74"/>
      <c r="E36" s="521"/>
      <c r="F36" s="858"/>
      <c r="G36" s="367"/>
      <c r="H36" s="543"/>
      <c r="I36" s="853"/>
      <c r="J36" s="6"/>
      <c r="K36" s="541"/>
      <c r="L36" s="860"/>
      <c r="M36" s="20" t="str">
        <f>IF(J36="","",$M$5-SUM($J$7:J36))</f>
        <v/>
      </c>
      <c r="N36" s="367"/>
      <c r="O36" s="7"/>
      <c r="P36" s="873">
        <f>IF(J!Q36&lt;&gt;J!R36,IF(J!Q36&lt;&gt;0,IF(J!S36&lt;&gt;J!T36,J!P36,),),)</f>
        <v>0</v>
      </c>
      <c r="Q36" s="795">
        <f>IF(J!Q36&lt;&gt;J!R36,IF(J!Q36&lt;&gt;0,IF(J!S36&lt;&gt;J!T36,J!Q36,),),)</f>
        <v>0</v>
      </c>
      <c r="R36" s="628">
        <f>IF(J!Q36&lt;&gt;J!R36,IF(J!Q36&lt;&gt;0,IF(J!S36&lt;&gt;J!T36,0,Q36),Q36),Q36)</f>
        <v>0</v>
      </c>
      <c r="S36" s="796">
        <f>IF(J!Q36&lt;&gt;J!R36,IF(J!Q36&lt;&gt;0,IF(J!S36&lt;&gt;J!T36,J!S36+1,),),)</f>
        <v>0</v>
      </c>
      <c r="T36" s="796">
        <f>IF(J!Q36&lt;&gt;J!R36,IF(J!Q36&lt;&gt;0,IF(J!S36&lt;&gt;J!T36,J!T36,),),)</f>
        <v>0</v>
      </c>
      <c r="U36" s="797">
        <f>IF(J!Q36&lt;&gt;J!R36,IF(J!Q36&lt;&gt;0,IF(J!S36&lt;&gt;J!T36,J!U36,),),)</f>
        <v>0</v>
      </c>
      <c r="V36" s="875">
        <f>IF(J!Q36&lt;&gt;J!R36,IF(J!Q36&lt;&gt;0,IF(J!S36&lt;&gt;J!T36,J!V36,),),)</f>
        <v>0</v>
      </c>
      <c r="W36" s="622">
        <f>IF(Q36="","",$W$5-SUM($Q$7:Q36))</f>
        <v>0</v>
      </c>
      <c r="X36" s="395"/>
      <c r="Y36" s="905" t="str">
        <f>IF(J!Y36&lt;&gt;"",J!Y36,)</f>
        <v>Eyeglasses/Contact Lens</v>
      </c>
      <c r="Z36" s="457">
        <f>J!Z36</f>
        <v>0</v>
      </c>
      <c r="AA36" s="20">
        <f t="shared" si="0"/>
        <v>0</v>
      </c>
      <c r="AB36" s="723"/>
      <c r="AC36" s="723"/>
      <c r="AD36" s="36">
        <f t="shared" si="1"/>
        <v>0</v>
      </c>
      <c r="AE36" s="23">
        <f t="shared" si="5"/>
        <v>0</v>
      </c>
      <c r="AF36" s="367"/>
      <c r="AG36" s="728">
        <f t="shared" si="2"/>
        <v>0</v>
      </c>
      <c r="AH36" s="367"/>
      <c r="AI36" s="375">
        <v>0</v>
      </c>
      <c r="AJ36" s="367"/>
      <c r="AK36" s="530" t="s">
        <v>40</v>
      </c>
      <c r="AL36" s="538" t="s">
        <v>33</v>
      </c>
      <c r="AM36" s="367"/>
      <c r="AN36" s="367"/>
      <c r="AO36" s="86"/>
      <c r="AP36" s="51">
        <f t="shared" si="3"/>
        <v>0</v>
      </c>
      <c r="AQ36" s="476">
        <f>J!AQ36+J!AP36</f>
        <v>0</v>
      </c>
      <c r="AR36" s="476">
        <f t="shared" si="4"/>
        <v>0</v>
      </c>
      <c r="AS36" s="477">
        <f>AD36+J!AS36</f>
        <v>0</v>
      </c>
      <c r="AT36" s="477">
        <f>AA36+J!AT36</f>
        <v>0</v>
      </c>
      <c r="AU36" s="476"/>
      <c r="AV36" s="477">
        <f>J!AV36-J!AD36+K!Z36-J!AP36</f>
        <v>0</v>
      </c>
      <c r="AW36" s="476">
        <f t="shared" si="6"/>
        <v>0</v>
      </c>
      <c r="AX36" s="52">
        <f>IF(Z36=J!Z36,J!AE36-AD36,J!AE36+(Z36-J!Z36)*$AW$16-AD36)</f>
        <v>0</v>
      </c>
      <c r="AZ36" s="726">
        <f t="shared" si="7"/>
        <v>0</v>
      </c>
    </row>
    <row r="37" spans="1:52" ht="15" customHeight="1" thickBot="1">
      <c r="A37" s="367"/>
      <c r="B37" s="850">
        <f ca="1">IF(J!B37&lt;&gt;"",J!B37,)</f>
        <v>0</v>
      </c>
      <c r="C37" s="454">
        <f ca="1">J!C37</f>
        <v>0</v>
      </c>
      <c r="D37" s="74"/>
      <c r="E37" s="521"/>
      <c r="F37" s="858"/>
      <c r="G37" s="367"/>
      <c r="H37" s="543"/>
      <c r="I37" s="853"/>
      <c r="J37" s="6"/>
      <c r="K37" s="541"/>
      <c r="L37" s="860"/>
      <c r="M37" s="20" t="str">
        <f>IF(J37="","",$M$5-SUM($J$7:J37))</f>
        <v/>
      </c>
      <c r="N37" s="367"/>
      <c r="O37" s="7"/>
      <c r="P37" s="871">
        <f>IF(J!Q37&lt;&gt;J!R37,IF(J!Q37&lt;&gt;0,IF(J!S37&lt;&gt;J!T37,J!P37,),),)</f>
        <v>0</v>
      </c>
      <c r="Q37" s="795">
        <f>IF(J!Q37&lt;&gt;J!R37,IF(J!Q37&lt;&gt;0,IF(J!S37&lt;&gt;J!T37,J!Q37,),),)</f>
        <v>0</v>
      </c>
      <c r="R37" s="628">
        <f>IF(J!Q37&lt;&gt;J!R37,IF(J!Q37&lt;&gt;0,IF(J!S37&lt;&gt;J!T37,0,Q37),Q37),Q37)</f>
        <v>0</v>
      </c>
      <c r="S37" s="796">
        <f>IF(J!Q37&lt;&gt;J!R37,IF(J!Q37&lt;&gt;0,IF(J!S37&lt;&gt;J!T37,J!S37+1,),),)</f>
        <v>0</v>
      </c>
      <c r="T37" s="796">
        <f>IF(J!Q37&lt;&gt;J!R37,IF(J!Q37&lt;&gt;0,IF(J!S37&lt;&gt;J!T37,J!T37,),),)</f>
        <v>0</v>
      </c>
      <c r="U37" s="797">
        <f>IF(J!Q37&lt;&gt;J!R37,IF(J!Q37&lt;&gt;0,IF(J!S37&lt;&gt;J!T37,J!U37,),),)</f>
        <v>0</v>
      </c>
      <c r="V37" s="875">
        <f>IF(J!Q37&lt;&gt;J!R37,IF(J!Q37&lt;&gt;0,IF(J!S37&lt;&gt;J!T37,J!V37,),),)</f>
        <v>0</v>
      </c>
      <c r="W37" s="622">
        <f>IF(Q37="","",$W$5-SUM($Q$7:Q37))</f>
        <v>0</v>
      </c>
      <c r="X37" s="395"/>
      <c r="Y37" s="905" t="str">
        <f>IF(J!Y37&lt;&gt;"",J!Y37,)</f>
        <v>Vacations</v>
      </c>
      <c r="Z37" s="457">
        <f>J!Z37</f>
        <v>0</v>
      </c>
      <c r="AA37" s="20">
        <f t="shared" si="0"/>
        <v>0</v>
      </c>
      <c r="AB37" s="723"/>
      <c r="AC37" s="723"/>
      <c r="AD37" s="36">
        <f t="shared" si="1"/>
        <v>0</v>
      </c>
      <c r="AE37" s="23">
        <f t="shared" si="5"/>
        <v>0</v>
      </c>
      <c r="AF37" s="367"/>
      <c r="AG37" s="728">
        <f t="shared" si="2"/>
        <v>0</v>
      </c>
      <c r="AH37" s="367"/>
      <c r="AI37" s="375">
        <v>0</v>
      </c>
      <c r="AJ37" s="367"/>
      <c r="AK37" s="539" t="s">
        <v>41</v>
      </c>
      <c r="AL37" s="540" t="s">
        <v>33</v>
      </c>
      <c r="AM37" s="367"/>
      <c r="AN37" s="367"/>
      <c r="AO37" s="86"/>
      <c r="AP37" s="51">
        <f t="shared" si="3"/>
        <v>0</v>
      </c>
      <c r="AQ37" s="476">
        <f>J!AQ37+J!AP37</f>
        <v>0</v>
      </c>
      <c r="AR37" s="476">
        <f t="shared" si="4"/>
        <v>0</v>
      </c>
      <c r="AS37" s="477">
        <f>AD37+J!AS37</f>
        <v>0</v>
      </c>
      <c r="AT37" s="477">
        <f>AA37+J!AT37</f>
        <v>0</v>
      </c>
      <c r="AU37" s="476"/>
      <c r="AV37" s="477">
        <f>J!AV37-J!AD37+K!Z37-J!AP37</f>
        <v>0</v>
      </c>
      <c r="AW37" s="476">
        <f t="shared" si="6"/>
        <v>0</v>
      </c>
      <c r="AX37" s="52">
        <f>IF(Z37=J!Z37,J!AE37-AD37,J!AE37+(Z37-J!Z37)*$AW$16-AD37)</f>
        <v>0</v>
      </c>
      <c r="AZ37" s="726">
        <f t="shared" si="7"/>
        <v>0</v>
      </c>
    </row>
    <row r="38" spans="1:52" ht="15" customHeight="1">
      <c r="A38" s="367"/>
      <c r="B38" s="850">
        <f ca="1">IF(J!B38&lt;&gt;"",J!B38,)</f>
        <v>0</v>
      </c>
      <c r="C38" s="454">
        <f ca="1">J!C38</f>
        <v>0</v>
      </c>
      <c r="D38" s="74"/>
      <c r="E38" s="521"/>
      <c r="F38" s="858"/>
      <c r="G38" s="367"/>
      <c r="H38" s="543"/>
      <c r="I38" s="853"/>
      <c r="J38" s="6"/>
      <c r="K38" s="541"/>
      <c r="L38" s="860"/>
      <c r="M38" s="20" t="str">
        <f>IF(J38="","",$M$5-SUM($J$7:J38))</f>
        <v/>
      </c>
      <c r="N38" s="367"/>
      <c r="O38" s="7"/>
      <c r="P38" s="873">
        <f>IF(J!Q38&lt;&gt;J!R38,IF(J!Q38&lt;&gt;0,IF(J!S38&lt;&gt;J!T38,J!P38,),),)</f>
        <v>0</v>
      </c>
      <c r="Q38" s="795">
        <f>IF(J!Q38&lt;&gt;J!R38,IF(J!Q38&lt;&gt;0,IF(J!S38&lt;&gt;J!T38,J!Q38,),),)</f>
        <v>0</v>
      </c>
      <c r="R38" s="628">
        <f>IF(J!Q38&lt;&gt;J!R38,IF(J!Q38&lt;&gt;0,IF(J!S38&lt;&gt;J!T38,0,Q38),Q38),Q38)</f>
        <v>0</v>
      </c>
      <c r="S38" s="796">
        <f>IF(J!Q38&lt;&gt;J!R38,IF(J!Q38&lt;&gt;0,IF(J!S38&lt;&gt;J!T38,J!S38+1,),),)</f>
        <v>0</v>
      </c>
      <c r="T38" s="796">
        <f>IF(J!Q38&lt;&gt;J!R38,IF(J!Q38&lt;&gt;0,IF(J!S38&lt;&gt;J!T38,J!T38,),),)</f>
        <v>0</v>
      </c>
      <c r="U38" s="797">
        <f>IF(J!Q38&lt;&gt;J!R38,IF(J!Q38&lt;&gt;0,IF(J!S38&lt;&gt;J!T38,J!U38,),),)</f>
        <v>0</v>
      </c>
      <c r="V38" s="875">
        <f>IF(J!Q38&lt;&gt;J!R38,IF(J!Q38&lt;&gt;0,IF(J!S38&lt;&gt;J!T38,J!V38,),),)</f>
        <v>0</v>
      </c>
      <c r="W38" s="625">
        <f>IF(Q38="","",$W$5-SUM($Q$7:Q38))</f>
        <v>0</v>
      </c>
      <c r="X38" s="621"/>
      <c r="Y38" s="906" t="str">
        <f>IF(J!Y38&lt;&gt;"",J!Y38,)</f>
        <v>Religious expenses</v>
      </c>
      <c r="Z38" s="457">
        <f>J!Z38</f>
        <v>0</v>
      </c>
      <c r="AA38" s="20">
        <f t="shared" si="0"/>
        <v>0</v>
      </c>
      <c r="AB38" s="723"/>
      <c r="AC38" s="723"/>
      <c r="AD38" s="36">
        <f t="shared" si="1"/>
        <v>0</v>
      </c>
      <c r="AE38" s="23">
        <f t="shared" si="5"/>
        <v>0</v>
      </c>
      <c r="AF38" s="367"/>
      <c r="AG38" s="728">
        <f t="shared" si="2"/>
        <v>0</v>
      </c>
      <c r="AH38" s="367"/>
      <c r="AI38" s="375">
        <v>0</v>
      </c>
      <c r="AJ38" s="367"/>
      <c r="AK38" s="367"/>
      <c r="AL38" s="367"/>
      <c r="AM38" s="367"/>
      <c r="AN38" s="367"/>
      <c r="AO38" s="86"/>
      <c r="AP38" s="51">
        <f t="shared" si="3"/>
        <v>0</v>
      </c>
      <c r="AQ38" s="476">
        <f>J!AQ38+J!AP38</f>
        <v>0</v>
      </c>
      <c r="AR38" s="476">
        <f t="shared" si="4"/>
        <v>0</v>
      </c>
      <c r="AS38" s="477">
        <f>AD38+J!AS38</f>
        <v>0</v>
      </c>
      <c r="AT38" s="477">
        <f>AA38+J!AT38</f>
        <v>0</v>
      </c>
      <c r="AU38" s="476"/>
      <c r="AV38" s="477">
        <f>J!AV38-J!AD38+K!Z38-J!AP38</f>
        <v>0</v>
      </c>
      <c r="AW38" s="476">
        <f t="shared" si="6"/>
        <v>0</v>
      </c>
      <c r="AX38" s="52">
        <f>IF(Z38=J!Z38,J!AE38-AD38,J!AE38+(Z38-J!Z38)*$AW$16-AD38)</f>
        <v>0</v>
      </c>
      <c r="AZ38" s="726">
        <f t="shared" si="7"/>
        <v>0</v>
      </c>
    </row>
    <row r="39" spans="1:52" ht="15" customHeight="1">
      <c r="A39" s="367"/>
      <c r="B39" s="850">
        <f ca="1">IF(J!B39&lt;&gt;"",J!B39,)</f>
        <v>0</v>
      </c>
      <c r="C39" s="454">
        <f ca="1">J!C39</f>
        <v>0</v>
      </c>
      <c r="D39" s="74"/>
      <c r="E39" s="521"/>
      <c r="F39" s="858"/>
      <c r="G39" s="367"/>
      <c r="H39" s="543"/>
      <c r="I39" s="853"/>
      <c r="J39" s="6"/>
      <c r="K39" s="541"/>
      <c r="L39" s="860"/>
      <c r="M39" s="20" t="str">
        <f>IF(J39="","",$M$5-SUM($J$7:J39))</f>
        <v/>
      </c>
      <c r="N39" s="367"/>
      <c r="O39" s="7"/>
      <c r="P39" s="872">
        <f>IF(J!Q39&lt;&gt;J!R39,IF(J!Q39&lt;&gt;0,IF(J!S39&lt;&gt;J!T39,J!P39,),),)</f>
        <v>0</v>
      </c>
      <c r="Q39" s="795">
        <f>IF(J!Q39&lt;&gt;J!R39,IF(J!Q39&lt;&gt;0,IF(J!S39&lt;&gt;J!T39,J!Q39,),),)</f>
        <v>0</v>
      </c>
      <c r="R39" s="628">
        <f>IF(J!Q39&lt;&gt;J!R39,IF(J!Q39&lt;&gt;0,IF(J!S39&lt;&gt;J!T39,0,Q39),Q39),Q39)</f>
        <v>0</v>
      </c>
      <c r="S39" s="796">
        <f>IF(J!Q39&lt;&gt;J!R39,IF(J!Q39&lt;&gt;0,IF(J!S39&lt;&gt;J!T39,J!S39+1,),),)</f>
        <v>0</v>
      </c>
      <c r="T39" s="796">
        <f>IF(J!Q39&lt;&gt;J!R39,IF(J!Q39&lt;&gt;0,IF(J!S39&lt;&gt;J!T39,J!T39,),),)</f>
        <v>0</v>
      </c>
      <c r="U39" s="797">
        <f>IF(J!Q39&lt;&gt;J!R39,IF(J!Q39&lt;&gt;0,IF(J!S39&lt;&gt;J!T39,J!U39,),),)</f>
        <v>0</v>
      </c>
      <c r="V39" s="875">
        <f>IF(J!Q39&lt;&gt;J!R39,IF(J!Q39&lt;&gt;0,IF(J!S39&lt;&gt;J!T39,J!V39,),),)</f>
        <v>0</v>
      </c>
      <c r="W39" s="622">
        <f>IF(Q39="","",$W$5-SUM($Q$7:Q39))</f>
        <v>0</v>
      </c>
      <c r="X39" s="395"/>
      <c r="Y39" s="906" t="str">
        <f>IF(J!Y39&lt;&gt;"",J!Y39,)</f>
        <v>Gifts</v>
      </c>
      <c r="Z39" s="457">
        <f>J!Z39</f>
        <v>0</v>
      </c>
      <c r="AA39" s="20">
        <f t="shared" si="0"/>
        <v>0</v>
      </c>
      <c r="AB39" s="723"/>
      <c r="AC39" s="723"/>
      <c r="AD39" s="36">
        <f t="shared" si="1"/>
        <v>0</v>
      </c>
      <c r="AE39" s="23">
        <f t="shared" si="5"/>
        <v>0</v>
      </c>
      <c r="AF39" s="367"/>
      <c r="AG39" s="728">
        <f t="shared" si="2"/>
        <v>0</v>
      </c>
      <c r="AH39" s="367"/>
      <c r="AI39" s="375">
        <v>0</v>
      </c>
      <c r="AJ39" s="367"/>
      <c r="AK39" s="367"/>
      <c r="AL39" s="367"/>
      <c r="AM39" s="367"/>
      <c r="AN39" s="367"/>
      <c r="AO39" s="86"/>
      <c r="AP39" s="51">
        <f t="shared" si="3"/>
        <v>0</v>
      </c>
      <c r="AQ39" s="476">
        <f>J!AQ39+J!AP39</f>
        <v>0</v>
      </c>
      <c r="AR39" s="476">
        <f t="shared" si="4"/>
        <v>0</v>
      </c>
      <c r="AS39" s="477">
        <f>AD39+J!AS39</f>
        <v>0</v>
      </c>
      <c r="AT39" s="477">
        <f>AA39+J!AT39</f>
        <v>0</v>
      </c>
      <c r="AU39" s="476"/>
      <c r="AV39" s="477">
        <f>J!AV39-J!AD39+K!Z39-J!AP39</f>
        <v>0</v>
      </c>
      <c r="AW39" s="476">
        <f t="shared" si="6"/>
        <v>0</v>
      </c>
      <c r="AX39" s="52">
        <f>IF(Z39=J!Z39,J!AE39-AD39,J!AE39+(Z39-J!Z39)*$AW$16-AD39)</f>
        <v>0</v>
      </c>
      <c r="AZ39" s="726">
        <f t="shared" si="7"/>
        <v>0</v>
      </c>
    </row>
    <row r="40" spans="1:52" ht="15" customHeight="1">
      <c r="A40" s="367"/>
      <c r="B40" s="16" t="s">
        <v>179</v>
      </c>
      <c r="C40" s="77">
        <f ca="1">SUM(C27:C39)+SUM(C65:C86)</f>
        <v>0</v>
      </c>
      <c r="D40" s="75">
        <f>SUM(D27:D39)+SUM(D65:D86)</f>
        <v>0</v>
      </c>
      <c r="E40" s="515"/>
      <c r="F40" s="515"/>
      <c r="G40" s="367"/>
      <c r="H40" s="543"/>
      <c r="I40" s="853"/>
      <c r="J40" s="6"/>
      <c r="K40" s="541"/>
      <c r="L40" s="860"/>
      <c r="M40" s="20" t="str">
        <f>IF(J40="","",$M$5-SUM($J$7:J40))</f>
        <v/>
      </c>
      <c r="N40" s="367"/>
      <c r="O40" s="7"/>
      <c r="P40" s="871">
        <f>IF(J!Q40&lt;&gt;J!R40,IF(J!Q40&lt;&gt;0,IF(J!S40&lt;&gt;J!T40,J!P40,),),)</f>
        <v>0</v>
      </c>
      <c r="Q40" s="795">
        <f>IF(J!Q40&lt;&gt;J!R40,IF(J!Q40&lt;&gt;0,IF(J!S40&lt;&gt;J!T40,J!Q40,),),)</f>
        <v>0</v>
      </c>
      <c r="R40" s="628">
        <f>IF(J!Q40&lt;&gt;J!R40,IF(J!Q40&lt;&gt;0,IF(J!S40&lt;&gt;J!T40,0,Q40),Q40),Q40)</f>
        <v>0</v>
      </c>
      <c r="S40" s="796">
        <f>IF(J!Q40&lt;&gt;J!R40,IF(J!Q40&lt;&gt;0,IF(J!S40&lt;&gt;J!T40,J!S40+1,),),)</f>
        <v>0</v>
      </c>
      <c r="T40" s="796">
        <f>IF(J!Q40&lt;&gt;J!R40,IF(J!Q40&lt;&gt;0,IF(J!S40&lt;&gt;J!T40,J!T40,),),)</f>
        <v>0</v>
      </c>
      <c r="U40" s="797">
        <f>IF(J!Q40&lt;&gt;J!R40,IF(J!Q40&lt;&gt;0,IF(J!S40&lt;&gt;J!T40,J!U40,),),)</f>
        <v>0</v>
      </c>
      <c r="V40" s="875">
        <f>IF(J!Q40&lt;&gt;J!R40,IF(J!Q40&lt;&gt;0,IF(J!S40&lt;&gt;J!T40,J!V40,),),)</f>
        <v>0</v>
      </c>
      <c r="W40" s="622">
        <f>IF(Q40="","",$W$5-SUM($Q$7:Q40))</f>
        <v>0</v>
      </c>
      <c r="X40" s="395"/>
      <c r="Y40" s="906" t="str">
        <f>IF(J!Y40&lt;&gt;"",J!Y40,)</f>
        <v>Small Purchases</v>
      </c>
      <c r="Z40" s="457">
        <f>J!Z40</f>
        <v>0</v>
      </c>
      <c r="AA40" s="20">
        <f t="shared" si="0"/>
        <v>0</v>
      </c>
      <c r="AB40" s="723"/>
      <c r="AC40" s="723"/>
      <c r="AD40" s="36">
        <f t="shared" si="1"/>
        <v>0</v>
      </c>
      <c r="AE40" s="23">
        <f t="shared" si="5"/>
        <v>0</v>
      </c>
      <c r="AF40" s="367"/>
      <c r="AG40" s="728">
        <f t="shared" si="2"/>
        <v>0</v>
      </c>
      <c r="AH40" s="367"/>
      <c r="AI40" s="375">
        <v>0</v>
      </c>
      <c r="AJ40" s="367"/>
      <c r="AK40" s="367"/>
      <c r="AL40" s="367"/>
      <c r="AM40" s="367"/>
      <c r="AN40" s="367"/>
      <c r="AO40" s="86"/>
      <c r="AP40" s="51">
        <f t="shared" si="3"/>
        <v>0</v>
      </c>
      <c r="AQ40" s="476">
        <f>J!AQ40+J!AP40</f>
        <v>0</v>
      </c>
      <c r="AR40" s="476">
        <f t="shared" si="4"/>
        <v>0</v>
      </c>
      <c r="AS40" s="477">
        <f>AD40+J!AS40</f>
        <v>0</v>
      </c>
      <c r="AT40" s="477">
        <f>AA40+J!AT40</f>
        <v>0</v>
      </c>
      <c r="AU40" s="476"/>
      <c r="AV40" s="477">
        <f>J!AV40-J!AD40+K!Z40-J!AP40</f>
        <v>0</v>
      </c>
      <c r="AW40" s="476">
        <f t="shared" si="6"/>
        <v>0</v>
      </c>
      <c r="AX40" s="52">
        <f>IF(Z40=J!Z40,J!AE40-AD40,J!AE40+(Z40-J!Z40)*$AW$16-AD40)</f>
        <v>0</v>
      </c>
      <c r="AZ40" s="726">
        <f t="shared" si="7"/>
        <v>0</v>
      </c>
    </row>
    <row r="41" spans="1:52" ht="15" customHeight="1" thickBot="1">
      <c r="A41" s="367"/>
      <c r="B41" s="11" t="s">
        <v>367</v>
      </c>
      <c r="C41" s="1093">
        <f ca="1">C40-D40</f>
        <v>0</v>
      </c>
      <c r="D41" s="1094"/>
      <c r="E41" s="517"/>
      <c r="F41" s="517"/>
      <c r="G41" s="367"/>
      <c r="H41" s="543"/>
      <c r="I41" s="853"/>
      <c r="J41" s="6"/>
      <c r="K41" s="541"/>
      <c r="L41" s="860"/>
      <c r="M41" s="20" t="str">
        <f>IF(J41="","",$M$5-SUM($J$7:J41))</f>
        <v/>
      </c>
      <c r="N41" s="367"/>
      <c r="O41" s="7"/>
      <c r="P41" s="871">
        <f>IF(J!Q41&lt;&gt;J!R41,IF(J!Q41&lt;&gt;0,IF(J!S41&lt;&gt;J!T41,J!P41,),),)</f>
        <v>0</v>
      </c>
      <c r="Q41" s="795">
        <f>IF(J!Q41&lt;&gt;J!R41,IF(J!Q41&lt;&gt;0,IF(J!S41&lt;&gt;J!T41,J!Q41,),),)</f>
        <v>0</v>
      </c>
      <c r="R41" s="628">
        <f>IF(J!Q41&lt;&gt;J!R41,IF(J!Q41&lt;&gt;0,IF(J!S41&lt;&gt;J!T41,0,Q41),Q41),Q41)</f>
        <v>0</v>
      </c>
      <c r="S41" s="796">
        <f>IF(J!Q41&lt;&gt;J!R41,IF(J!Q41&lt;&gt;0,IF(J!S41&lt;&gt;J!T41,J!S41+1,),),)</f>
        <v>0</v>
      </c>
      <c r="T41" s="796">
        <f>IF(J!Q41&lt;&gt;J!R41,IF(J!Q41&lt;&gt;0,IF(J!S41&lt;&gt;J!T41,J!T41,),),)</f>
        <v>0</v>
      </c>
      <c r="U41" s="797">
        <f>IF(J!Q41&lt;&gt;J!R41,IF(J!Q41&lt;&gt;0,IF(J!S41&lt;&gt;J!T41,J!U41,),),)</f>
        <v>0</v>
      </c>
      <c r="V41" s="875">
        <f>IF(J!Q41&lt;&gt;J!R41,IF(J!Q41&lt;&gt;0,IF(J!S41&lt;&gt;J!T41,J!V41,),),)</f>
        <v>0</v>
      </c>
      <c r="W41" s="622">
        <f>IF(Q41="","",$W$5-SUM($Q$7:Q41))</f>
        <v>0</v>
      </c>
      <c r="X41" s="395"/>
      <c r="Y41" s="905" t="str">
        <f>IF(J!Y41&lt;&gt;"",J!Y41,)</f>
        <v>Haircuts / Cosmetics Treatments</v>
      </c>
      <c r="Z41" s="457">
        <f>J!Z41</f>
        <v>0</v>
      </c>
      <c r="AA41" s="20">
        <f t="shared" si="0"/>
        <v>0</v>
      </c>
      <c r="AB41" s="723"/>
      <c r="AC41" s="723"/>
      <c r="AD41" s="36">
        <f t="shared" si="1"/>
        <v>0</v>
      </c>
      <c r="AE41" s="23">
        <f t="shared" si="5"/>
        <v>0</v>
      </c>
      <c r="AF41" s="367"/>
      <c r="AG41" s="728">
        <f t="shared" si="2"/>
        <v>0</v>
      </c>
      <c r="AH41" s="367"/>
      <c r="AI41" s="375">
        <v>0</v>
      </c>
      <c r="AJ41" s="367"/>
      <c r="AK41" s="367"/>
      <c r="AL41" s="367"/>
      <c r="AM41" s="367"/>
      <c r="AN41" s="367"/>
      <c r="AO41" s="86"/>
      <c r="AP41" s="51">
        <f t="shared" si="3"/>
        <v>0</v>
      </c>
      <c r="AQ41" s="476">
        <f>J!AQ41+J!AP41</f>
        <v>0</v>
      </c>
      <c r="AR41" s="476">
        <f t="shared" si="4"/>
        <v>0</v>
      </c>
      <c r="AS41" s="477">
        <f>AD41+J!AS41</f>
        <v>0</v>
      </c>
      <c r="AT41" s="477">
        <f>AA41+J!AT41</f>
        <v>0</v>
      </c>
      <c r="AU41" s="476"/>
      <c r="AV41" s="477">
        <f>J!AV41-J!AD41+K!Z41-J!AP41</f>
        <v>0</v>
      </c>
      <c r="AW41" s="476">
        <f t="shared" si="6"/>
        <v>0</v>
      </c>
      <c r="AX41" s="52">
        <f>IF(Z41=J!Z41,J!AE41-AD41,J!AE41+(Z41-J!Z41)*$AW$16-AD41)</f>
        <v>0</v>
      </c>
      <c r="AZ41" s="726">
        <f t="shared" si="7"/>
        <v>0</v>
      </c>
    </row>
    <row r="42" spans="1:52" ht="15" customHeight="1">
      <c r="A42" s="367"/>
      <c r="B42" s="1095" t="str">
        <f ca="1">IF(C41&gt;0,"Unexpected positive difference - Check why!","")</f>
        <v/>
      </c>
      <c r="C42" s="1095"/>
      <c r="D42" s="1095"/>
      <c r="E42" s="514"/>
      <c r="F42" s="514"/>
      <c r="G42" s="367"/>
      <c r="H42" s="543"/>
      <c r="I42" s="853"/>
      <c r="J42" s="6"/>
      <c r="K42" s="541"/>
      <c r="L42" s="860"/>
      <c r="M42" s="20" t="str">
        <f>IF(J42="","",$M$5-SUM($J$7:J42))</f>
        <v/>
      </c>
      <c r="N42" s="367"/>
      <c r="O42" s="7"/>
      <c r="P42" s="873">
        <f>IF(J!Q42&lt;&gt;J!R42,IF(J!Q42&lt;&gt;0,IF(J!S42&lt;&gt;J!T42,J!P42,),),)</f>
        <v>0</v>
      </c>
      <c r="Q42" s="795">
        <f>IF(J!Q42&lt;&gt;J!R42,IF(J!Q42&lt;&gt;0,IF(J!S42&lt;&gt;J!T42,J!Q42,),),)</f>
        <v>0</v>
      </c>
      <c r="R42" s="628">
        <f>IF(J!Q42&lt;&gt;J!R42,IF(J!Q42&lt;&gt;0,IF(J!S42&lt;&gt;J!T42,0,Q42),Q42),Q42)</f>
        <v>0</v>
      </c>
      <c r="S42" s="796">
        <f>IF(J!Q42&lt;&gt;J!R42,IF(J!Q42&lt;&gt;0,IF(J!S42&lt;&gt;J!T42,J!S42+1,),),)</f>
        <v>0</v>
      </c>
      <c r="T42" s="796">
        <f>IF(J!Q42&lt;&gt;J!R42,IF(J!Q42&lt;&gt;0,IF(J!S42&lt;&gt;J!T42,J!T42,),),)</f>
        <v>0</v>
      </c>
      <c r="U42" s="797">
        <f>IF(J!Q42&lt;&gt;J!R42,IF(J!Q42&lt;&gt;0,IF(J!S42&lt;&gt;J!T42,J!U42,),),)</f>
        <v>0</v>
      </c>
      <c r="V42" s="875">
        <f>IF(J!Q42&lt;&gt;J!R42,IF(J!Q42&lt;&gt;0,IF(J!S42&lt;&gt;J!T42,J!V42,),),)</f>
        <v>0</v>
      </c>
      <c r="W42" s="622">
        <f>IF(Q42="","",$W$5-SUM($Q$7:Q42))</f>
        <v>0</v>
      </c>
      <c r="X42" s="395"/>
      <c r="Y42" s="905" t="str">
        <f>IF(J!Y42&lt;&gt;"",J!Y42,)</f>
        <v>National Insurance</v>
      </c>
      <c r="Z42" s="457">
        <f>J!Z42</f>
        <v>0</v>
      </c>
      <c r="AA42" s="20">
        <f t="shared" si="0"/>
        <v>0</v>
      </c>
      <c r="AB42" s="723"/>
      <c r="AC42" s="723"/>
      <c r="AD42" s="36">
        <f t="shared" si="1"/>
        <v>0</v>
      </c>
      <c r="AE42" s="23">
        <f t="shared" si="5"/>
        <v>0</v>
      </c>
      <c r="AF42" s="367"/>
      <c r="AG42" s="728">
        <f t="shared" si="2"/>
        <v>0</v>
      </c>
      <c r="AH42" s="367"/>
      <c r="AI42" s="375">
        <v>0</v>
      </c>
      <c r="AJ42" s="367"/>
      <c r="AK42" s="367"/>
      <c r="AL42" s="367"/>
      <c r="AM42" s="367"/>
      <c r="AN42" s="367"/>
      <c r="AO42" s="86"/>
      <c r="AP42" s="51">
        <f t="shared" si="3"/>
        <v>0</v>
      </c>
      <c r="AQ42" s="476">
        <f>J!AQ42+J!AP42</f>
        <v>0</v>
      </c>
      <c r="AR42" s="476">
        <f t="shared" si="4"/>
        <v>0</v>
      </c>
      <c r="AS42" s="477">
        <f>AD42+J!AS42</f>
        <v>0</v>
      </c>
      <c r="AT42" s="477">
        <f>AA42+J!AT42</f>
        <v>0</v>
      </c>
      <c r="AU42" s="476"/>
      <c r="AV42" s="477">
        <f>J!AV42-J!AD42+K!Z42-J!AP42</f>
        <v>0</v>
      </c>
      <c r="AW42" s="476">
        <f t="shared" si="6"/>
        <v>0</v>
      </c>
      <c r="AX42" s="52">
        <f>IF(Z42=J!Z42,J!AE42-AD42,J!AE42+(Z42-J!Z42)*$AW$16-AD42)</f>
        <v>0</v>
      </c>
      <c r="AZ42" s="726">
        <f t="shared" si="7"/>
        <v>0</v>
      </c>
    </row>
    <row r="43" spans="1:52" ht="15" customHeight="1" thickBot="1">
      <c r="A43" s="367"/>
      <c r="B43" s="1117" t="s">
        <v>351</v>
      </c>
      <c r="C43" s="1117"/>
      <c r="D43" s="367"/>
      <c r="E43" s="367"/>
      <c r="F43" s="367"/>
      <c r="G43" s="367"/>
      <c r="H43" s="543"/>
      <c r="I43" s="854"/>
      <c r="J43" s="6"/>
      <c r="K43" s="541"/>
      <c r="L43" s="860"/>
      <c r="M43" s="20" t="str">
        <f>IF(J43="","",$M$5-SUM($J$7:J43))</f>
        <v/>
      </c>
      <c r="N43" s="367"/>
      <c r="O43" s="7"/>
      <c r="P43" s="871">
        <f>IF(J!Q43&lt;&gt;J!R43,IF(J!Q43&lt;&gt;0,IF(J!S43&lt;&gt;J!T43,J!P43,),),)</f>
        <v>0</v>
      </c>
      <c r="Q43" s="795">
        <f>IF(J!Q43&lt;&gt;J!R43,IF(J!Q43&lt;&gt;0,IF(J!S43&lt;&gt;J!T43,J!Q43,),),)</f>
        <v>0</v>
      </c>
      <c r="R43" s="628">
        <f>IF(J!Q43&lt;&gt;J!R43,IF(J!Q43&lt;&gt;0,IF(J!S43&lt;&gt;J!T43,0,Q43),Q43),Q43)</f>
        <v>0</v>
      </c>
      <c r="S43" s="796">
        <f>IF(J!Q43&lt;&gt;J!R43,IF(J!Q43&lt;&gt;0,IF(J!S43&lt;&gt;J!T43,J!S43+1,),),)</f>
        <v>0</v>
      </c>
      <c r="T43" s="796">
        <f>IF(J!Q43&lt;&gt;J!R43,IF(J!Q43&lt;&gt;0,IF(J!S43&lt;&gt;J!T43,J!T43,),),)</f>
        <v>0</v>
      </c>
      <c r="U43" s="797">
        <f>IF(J!Q43&lt;&gt;J!R43,IF(J!Q43&lt;&gt;0,IF(J!S43&lt;&gt;J!T43,J!U43,),),)</f>
        <v>0</v>
      </c>
      <c r="V43" s="875">
        <f>IF(J!Q43&lt;&gt;J!R43,IF(J!Q43&lt;&gt;0,IF(J!S43&lt;&gt;J!T43,J!V43,),),)</f>
        <v>0</v>
      </c>
      <c r="W43" s="622">
        <f>IF(Q43="","",$W$5-SUM($Q$7:Q43))</f>
        <v>0</v>
      </c>
      <c r="X43" s="395"/>
      <c r="Y43" s="905">
        <f>IF(J!Y43&lt;&gt;"",J!Y43,)</f>
        <v>0</v>
      </c>
      <c r="Z43" s="457">
        <f>J!Z43</f>
        <v>0</v>
      </c>
      <c r="AA43" s="20">
        <f t="shared" si="0"/>
        <v>0</v>
      </c>
      <c r="AB43" s="723"/>
      <c r="AC43" s="723"/>
      <c r="AD43" s="36">
        <f t="shared" si="1"/>
        <v>0</v>
      </c>
      <c r="AE43" s="23">
        <f t="shared" si="5"/>
        <v>0</v>
      </c>
      <c r="AF43" s="367"/>
      <c r="AG43" s="728">
        <f t="shared" si="2"/>
        <v>0</v>
      </c>
      <c r="AH43" s="367"/>
      <c r="AI43" s="375">
        <v>0</v>
      </c>
      <c r="AJ43" s="367"/>
      <c r="AK43" s="367"/>
      <c r="AL43" s="367"/>
      <c r="AM43" s="367"/>
      <c r="AN43" s="367"/>
      <c r="AO43" s="86"/>
      <c r="AP43" s="51">
        <f t="shared" si="3"/>
        <v>0</v>
      </c>
      <c r="AQ43" s="476">
        <f>J!AQ43+J!AP43</f>
        <v>0</v>
      </c>
      <c r="AR43" s="476">
        <f t="shared" si="4"/>
        <v>0</v>
      </c>
      <c r="AS43" s="477">
        <f>AD43+J!AS43</f>
        <v>0</v>
      </c>
      <c r="AT43" s="477">
        <f>AA43+J!AT43</f>
        <v>0</v>
      </c>
      <c r="AU43" s="476"/>
      <c r="AV43" s="477">
        <f>J!AV43-J!AD43+K!Z43-J!AP43</f>
        <v>0</v>
      </c>
      <c r="AW43" s="476">
        <f t="shared" si="6"/>
        <v>0</v>
      </c>
      <c r="AX43" s="52">
        <f>IF(Z43=J!Z43,J!AE43-AD43,J!AE43+(Z43-J!Z43)*$AW$16-AD43)</f>
        <v>0</v>
      </c>
      <c r="AZ43" s="726">
        <f t="shared" si="7"/>
        <v>0</v>
      </c>
    </row>
    <row r="44" spans="1:52" ht="15" customHeight="1">
      <c r="A44" s="367"/>
      <c r="B44" s="811" t="s">
        <v>353</v>
      </c>
      <c r="C44" s="100" t="s">
        <v>354</v>
      </c>
      <c r="D44" s="915" t="s">
        <v>494</v>
      </c>
      <c r="E44" s="518"/>
      <c r="F44" s="518"/>
      <c r="G44" s="367"/>
      <c r="H44" s="543"/>
      <c r="I44" s="853"/>
      <c r="J44" s="6"/>
      <c r="K44" s="541"/>
      <c r="L44" s="860"/>
      <c r="M44" s="20" t="str">
        <f>IF(J44="","",$M$5-SUM($J$7:J44))</f>
        <v/>
      </c>
      <c r="N44" s="367"/>
      <c r="O44" s="7"/>
      <c r="P44" s="871">
        <f>IF(J!Q44&lt;&gt;J!R44,IF(J!Q44&lt;&gt;0,IF(J!S44&lt;&gt;J!T44,J!P44,),),)</f>
        <v>0</v>
      </c>
      <c r="Q44" s="795">
        <f>IF(J!Q44&lt;&gt;J!R44,IF(J!Q44&lt;&gt;0,IF(J!S44&lt;&gt;J!T44,J!Q44,),),)</f>
        <v>0</v>
      </c>
      <c r="R44" s="628">
        <f>IF(J!Q44&lt;&gt;J!R44,IF(J!Q44&lt;&gt;0,IF(J!S44&lt;&gt;J!T44,0,Q44),Q44),Q44)</f>
        <v>0</v>
      </c>
      <c r="S44" s="796">
        <f>IF(J!Q44&lt;&gt;J!R44,IF(J!Q44&lt;&gt;0,IF(J!S44&lt;&gt;J!T44,J!S44+1,),),)</f>
        <v>0</v>
      </c>
      <c r="T44" s="796">
        <f>IF(J!Q44&lt;&gt;J!R44,IF(J!Q44&lt;&gt;0,IF(J!S44&lt;&gt;J!T44,J!T44,),),)</f>
        <v>0</v>
      </c>
      <c r="U44" s="797">
        <f>IF(J!Q44&lt;&gt;J!R44,IF(J!Q44&lt;&gt;0,IF(J!S44&lt;&gt;J!T44,J!U44,),),)</f>
        <v>0</v>
      </c>
      <c r="V44" s="875">
        <f>IF(J!Q44&lt;&gt;J!R44,IF(J!Q44&lt;&gt;0,IF(J!S44&lt;&gt;J!T44,J!V44,),),)</f>
        <v>0</v>
      </c>
      <c r="W44" s="622">
        <f>IF(Q44="","",$W$5-SUM($Q$7:Q44))</f>
        <v>0</v>
      </c>
      <c r="X44" s="396"/>
      <c r="Y44" s="905">
        <f>IF(J!Y44&lt;&gt;"",J!Y44,)</f>
        <v>0</v>
      </c>
      <c r="Z44" s="457">
        <f>J!Z44</f>
        <v>0</v>
      </c>
      <c r="AA44" s="20">
        <f t="shared" si="0"/>
        <v>0</v>
      </c>
      <c r="AB44" s="723"/>
      <c r="AC44" s="723"/>
      <c r="AD44" s="36">
        <f t="shared" si="1"/>
        <v>0</v>
      </c>
      <c r="AE44" s="23">
        <f t="shared" si="5"/>
        <v>0</v>
      </c>
      <c r="AF44" s="367"/>
      <c r="AG44" s="728">
        <f t="shared" si="2"/>
        <v>0</v>
      </c>
      <c r="AH44" s="367"/>
      <c r="AI44" s="375">
        <v>0</v>
      </c>
      <c r="AJ44" s="367"/>
      <c r="AK44" s="367"/>
      <c r="AL44" s="367"/>
      <c r="AM44" s="367"/>
      <c r="AN44" s="367"/>
      <c r="AO44" s="86"/>
      <c r="AP44" s="51">
        <f t="shared" si="3"/>
        <v>0</v>
      </c>
      <c r="AQ44" s="476">
        <f>J!AQ44+J!AP44</f>
        <v>0</v>
      </c>
      <c r="AR44" s="476">
        <f t="shared" si="4"/>
        <v>0</v>
      </c>
      <c r="AS44" s="477">
        <f>AD44+J!AS44</f>
        <v>0</v>
      </c>
      <c r="AT44" s="477">
        <f>AA44+J!AT44</f>
        <v>0</v>
      </c>
      <c r="AU44" s="476"/>
      <c r="AV44" s="477">
        <f>J!AV44-J!AD44+K!Z44-J!AP44</f>
        <v>0</v>
      </c>
      <c r="AW44" s="476">
        <f t="shared" si="6"/>
        <v>0</v>
      </c>
      <c r="AX44" s="52">
        <f>IF(Z44=J!Z44,J!AE44-AD44,J!AE44+(Z44-J!Z44)*$AW$16-AD44)</f>
        <v>0</v>
      </c>
      <c r="AZ44" s="727">
        <f t="shared" si="7"/>
        <v>0</v>
      </c>
    </row>
    <row r="45" spans="1:52" ht="15.75">
      <c r="A45" s="367"/>
      <c r="B45" s="850" t="str">
        <f>IF(J!B45&lt;&gt;"",J!B45,)</f>
        <v>Food</v>
      </c>
      <c r="C45" s="455">
        <f>J!C45</f>
        <v>0</v>
      </c>
      <c r="D45" s="80">
        <f t="shared" ref="D45:D56" si="8">SUMIF($I$7:$I$110,B45,$J$7:$J$110)</f>
        <v>0</v>
      </c>
      <c r="E45" s="519"/>
      <c r="F45" s="519"/>
      <c r="G45" s="367"/>
      <c r="H45" s="543"/>
      <c r="I45" s="853"/>
      <c r="J45" s="6"/>
      <c r="K45" s="541"/>
      <c r="L45" s="860"/>
      <c r="M45" s="20" t="str">
        <f>IF(J45="","",$M$5-SUM($J$7:J45))</f>
        <v/>
      </c>
      <c r="N45" s="367"/>
      <c r="O45" s="107"/>
      <c r="P45" s="873">
        <f>IF(J!Q45&lt;&gt;J!R45,IF(J!Q45&lt;&gt;0,IF(J!S45&lt;&gt;J!T45,J!P45,),),)</f>
        <v>0</v>
      </c>
      <c r="Q45" s="795">
        <f>IF(J!Q45&lt;&gt;J!R45,IF(J!Q45&lt;&gt;0,IF(J!S45&lt;&gt;J!T45,J!Q45,),),)</f>
        <v>0</v>
      </c>
      <c r="R45" s="628">
        <f>IF(J!Q45&lt;&gt;J!R45,IF(J!Q45&lt;&gt;0,IF(J!S45&lt;&gt;J!T45,0,Q45),Q45),Q45)</f>
        <v>0</v>
      </c>
      <c r="S45" s="796">
        <f>IF(J!Q45&lt;&gt;J!R45,IF(J!Q45&lt;&gt;0,IF(J!S45&lt;&gt;J!T45,J!S45+1,),),)</f>
        <v>0</v>
      </c>
      <c r="T45" s="796">
        <f>IF(J!Q45&lt;&gt;J!R45,IF(J!Q45&lt;&gt;0,IF(J!S45&lt;&gt;J!T45,J!T45,),),)</f>
        <v>0</v>
      </c>
      <c r="U45" s="797">
        <f>IF(J!Q45&lt;&gt;J!R45,IF(J!Q45&lt;&gt;0,IF(J!S45&lt;&gt;J!T45,J!U45,),),)</f>
        <v>0</v>
      </c>
      <c r="V45" s="875">
        <f>IF(J!Q45&lt;&gt;J!R45,IF(J!Q45&lt;&gt;0,IF(J!S45&lt;&gt;J!T45,J!V45,),),)</f>
        <v>0</v>
      </c>
      <c r="W45" s="622">
        <f>IF(Q45="","",$W$5-SUM($Q$7:Q45))</f>
        <v>0</v>
      </c>
      <c r="X45" s="397"/>
      <c r="Y45" s="18" t="s">
        <v>179</v>
      </c>
      <c r="Z45" s="17">
        <f>SUM(Z23:Z44)</f>
        <v>0</v>
      </c>
      <c r="AA45" s="20">
        <f>SUM(AA23:AA44)</f>
        <v>0</v>
      </c>
      <c r="AB45" s="723"/>
      <c r="AC45" s="723"/>
      <c r="AD45" s="36"/>
      <c r="AE45" s="24">
        <f>SUM(AE23:AE44)</f>
        <v>0</v>
      </c>
      <c r="AF45" s="367"/>
      <c r="AG45" s="367"/>
      <c r="AH45" s="367"/>
      <c r="AI45" s="367"/>
      <c r="AJ45" s="367"/>
      <c r="AK45" s="367"/>
      <c r="AL45" s="367"/>
      <c r="AM45" s="367"/>
      <c r="AN45" s="367"/>
      <c r="AO45" s="86"/>
      <c r="AP45" s="52">
        <f>SUM(AP23:AP44)</f>
        <v>0</v>
      </c>
      <c r="AQ45" s="476">
        <f>SUM(AQ23:AQ44)</f>
        <v>0</v>
      </c>
      <c r="AR45" s="476">
        <f>SUM(AR23:AR44)</f>
        <v>0</v>
      </c>
      <c r="AS45" s="476">
        <f>SUM(AS23:AS44)</f>
        <v>0</v>
      </c>
      <c r="AT45" s="476">
        <f>SUM(AT23:AT44)</f>
        <v>0</v>
      </c>
      <c r="AU45" s="476"/>
      <c r="AV45" s="476">
        <f>SUM(AV23:AV44)</f>
        <v>0</v>
      </c>
      <c r="AW45" s="476">
        <f>SUM(AW23:AW44)</f>
        <v>0</v>
      </c>
      <c r="AX45" s="52">
        <f>SUM(AX23:AX44)</f>
        <v>0</v>
      </c>
    </row>
    <row r="46" spans="1:52" ht="15.75" customHeight="1" thickBot="1">
      <c r="A46" s="367"/>
      <c r="B46" s="850" t="str">
        <f>IF(J!B46&lt;&gt;"",J!B46,)</f>
        <v>Public Transportation</v>
      </c>
      <c r="C46" s="455">
        <f>J!C46</f>
        <v>0</v>
      </c>
      <c r="D46" s="80">
        <f t="shared" si="8"/>
        <v>0</v>
      </c>
      <c r="E46" s="519"/>
      <c r="F46" s="519"/>
      <c r="G46" s="367"/>
      <c r="H46" s="543"/>
      <c r="I46" s="853"/>
      <c r="J46" s="6"/>
      <c r="K46" s="541"/>
      <c r="L46" s="860"/>
      <c r="M46" s="20" t="str">
        <f>IF(J46="","",$M$5-SUM($J$7:J46))</f>
        <v/>
      </c>
      <c r="N46" s="367"/>
      <c r="O46" s="652"/>
      <c r="P46" s="865" t="s">
        <v>429</v>
      </c>
      <c r="Q46" s="620"/>
      <c r="R46" s="619"/>
      <c r="S46" s="629"/>
      <c r="T46" s="629"/>
      <c r="U46" s="646"/>
      <c r="V46" s="618"/>
      <c r="W46" s="627">
        <f>W5-AA45</f>
        <v>0</v>
      </c>
      <c r="X46" s="386"/>
      <c r="Y46" s="125" t="s">
        <v>367</v>
      </c>
      <c r="Z46" s="1202">
        <f>Z45-AA45</f>
        <v>0</v>
      </c>
      <c r="AA46" s="1203"/>
      <c r="AB46" s="644"/>
      <c r="AC46" s="644"/>
      <c r="AD46" s="37"/>
      <c r="AF46" s="367"/>
      <c r="AG46" s="367"/>
      <c r="AH46" s="367"/>
      <c r="AI46" s="367"/>
      <c r="AJ46" s="367"/>
      <c r="AK46" s="367"/>
      <c r="AL46" s="367"/>
      <c r="AM46" s="367"/>
      <c r="AN46" s="367"/>
      <c r="AO46" s="86"/>
    </row>
    <row r="47" spans="1:52" ht="15.75" customHeight="1">
      <c r="A47" s="367"/>
      <c r="B47" s="850" t="str">
        <f>IF(J!B47&lt;&gt;"",J!B47,)</f>
        <v>Gas and Parking</v>
      </c>
      <c r="C47" s="455">
        <f>J!C47</f>
        <v>0</v>
      </c>
      <c r="D47" s="80">
        <f t="shared" si="8"/>
        <v>0</v>
      </c>
      <c r="E47" s="519"/>
      <c r="F47" s="519"/>
      <c r="G47" s="367"/>
      <c r="H47" s="543"/>
      <c r="I47" s="853"/>
      <c r="J47" s="6"/>
      <c r="K47" s="541"/>
      <c r="L47" s="860"/>
      <c r="M47" s="20" t="str">
        <f>IF(J47="","",$M$5-SUM($J$7:J47))</f>
        <v/>
      </c>
      <c r="N47" s="367"/>
      <c r="O47" s="385"/>
      <c r="P47" s="393"/>
      <c r="Q47" s="378"/>
      <c r="R47" s="392"/>
      <c r="S47" s="387"/>
      <c r="T47" s="387"/>
      <c r="U47" s="387"/>
      <c r="V47" s="617"/>
      <c r="W47" s="392"/>
      <c r="X47" s="386"/>
      <c r="Y47" s="388"/>
      <c r="Z47" s="389"/>
      <c r="AA47" s="389"/>
      <c r="AB47" s="389"/>
      <c r="AC47" s="389"/>
      <c r="AD47" s="389"/>
      <c r="AE47" s="367"/>
      <c r="AF47" s="367"/>
      <c r="AG47" s="367"/>
      <c r="AH47" s="367"/>
      <c r="AI47" s="367"/>
      <c r="AJ47" s="367"/>
      <c r="AK47" s="367"/>
      <c r="AL47" s="367"/>
      <c r="AM47" s="367"/>
      <c r="AN47" s="367"/>
      <c r="AO47" s="86"/>
    </row>
    <row r="48" spans="1:52" ht="19.5" thickBot="1">
      <c r="A48" s="367"/>
      <c r="B48" s="850" t="str">
        <f>IF(J!B48&lt;&gt;"",J!B48,)</f>
        <v>Telephone-Landline/Long Distance</v>
      </c>
      <c r="C48" s="455">
        <f>J!C48</f>
        <v>0</v>
      </c>
      <c r="D48" s="80">
        <f t="shared" si="8"/>
        <v>0</v>
      </c>
      <c r="E48" s="519"/>
      <c r="F48" s="519"/>
      <c r="G48" s="367"/>
      <c r="H48" s="543"/>
      <c r="I48" s="853"/>
      <c r="J48" s="6"/>
      <c r="K48" s="541"/>
      <c r="L48" s="860"/>
      <c r="M48" s="20" t="str">
        <f>IF(J48="","",$M$5-SUM($J$7:J48))</f>
        <v/>
      </c>
      <c r="N48" s="367"/>
      <c r="P48" s="819" t="s">
        <v>395</v>
      </c>
      <c r="Q48" s="94" t="str">
        <f>M2</f>
        <v/>
      </c>
      <c r="R48" s="94" t="str">
        <f>N2</f>
        <v/>
      </c>
      <c r="S48" s="1215"/>
      <c r="T48" s="1215"/>
      <c r="U48" s="390"/>
      <c r="V48" s="390"/>
      <c r="W48" s="390"/>
      <c r="X48" s="386"/>
      <c r="Y48" s="386"/>
      <c r="Z48" s="386"/>
      <c r="AA48" s="386"/>
      <c r="AB48" s="391"/>
      <c r="AC48" s="391"/>
      <c r="AD48" s="391"/>
      <c r="AE48" s="367"/>
      <c r="AF48" s="367"/>
      <c r="AG48" s="367"/>
      <c r="AH48" s="367"/>
      <c r="AI48" s="367"/>
      <c r="AJ48" s="367"/>
      <c r="AK48" s="367"/>
      <c r="AL48" s="367"/>
      <c r="AM48" s="367"/>
      <c r="AN48" s="367"/>
      <c r="AO48" s="86"/>
    </row>
    <row r="49" spans="1:92" ht="16.5" thickBot="1">
      <c r="A49" s="367"/>
      <c r="B49" s="850" t="str">
        <f>IF(J!B49&lt;&gt;"",J!B49,)</f>
        <v>Cell Phones</v>
      </c>
      <c r="C49" s="455">
        <f>J!C49</f>
        <v>0</v>
      </c>
      <c r="D49" s="80">
        <f t="shared" si="8"/>
        <v>0</v>
      </c>
      <c r="E49" s="519"/>
      <c r="F49" s="519"/>
      <c r="G49" s="367"/>
      <c r="H49" s="543"/>
      <c r="I49" s="853"/>
      <c r="J49" s="6"/>
      <c r="K49" s="541"/>
      <c r="L49" s="860"/>
      <c r="M49" s="20" t="str">
        <f>IF(J49="","",$M$5-SUM($J$7:J49))</f>
        <v/>
      </c>
      <c r="N49" s="367"/>
      <c r="O49" s="377"/>
      <c r="P49" s="653" t="s">
        <v>288</v>
      </c>
      <c r="Q49" s="654" t="s">
        <v>354</v>
      </c>
      <c r="R49" s="654" t="s">
        <v>398</v>
      </c>
      <c r="S49" s="1216" t="s">
        <v>298</v>
      </c>
      <c r="T49" s="1217"/>
      <c r="U49" s="648"/>
      <c r="V49" s="371"/>
      <c r="W49" s="371"/>
      <c r="X49" s="367"/>
      <c r="Y49" s="386"/>
      <c r="Z49" s="386"/>
      <c r="AA49" s="386"/>
      <c r="AB49" s="391"/>
      <c r="AC49" s="391"/>
      <c r="AD49" s="391"/>
      <c r="AE49" s="367"/>
      <c r="AF49" s="367"/>
      <c r="AG49" s="367"/>
      <c r="AH49" s="367"/>
      <c r="AI49" s="367"/>
      <c r="AJ49" s="367"/>
      <c r="AK49" s="367"/>
      <c r="AL49" s="367"/>
      <c r="AM49" s="367"/>
      <c r="AN49" s="367"/>
      <c r="AO49" s="86"/>
    </row>
    <row r="50" spans="1:92" ht="15.75">
      <c r="A50" s="367"/>
      <c r="B50" s="850" t="str">
        <f>IF(J!B50&lt;&gt;"",J!B50,)</f>
        <v>Home</v>
      </c>
      <c r="C50" s="455">
        <f>J!C50</f>
        <v>0</v>
      </c>
      <c r="D50" s="80">
        <f t="shared" si="8"/>
        <v>0</v>
      </c>
      <c r="E50" s="519"/>
      <c r="F50" s="519"/>
      <c r="G50" s="367"/>
      <c r="H50" s="543"/>
      <c r="I50" s="853"/>
      <c r="J50" s="6"/>
      <c r="K50" s="541"/>
      <c r="L50" s="860"/>
      <c r="M50" s="20" t="str">
        <f>IF(J50="","",$M$5-SUM($J$7:J50))</f>
        <v/>
      </c>
      <c r="N50" s="367"/>
      <c r="O50" s="377"/>
      <c r="P50" s="655" t="s">
        <v>151</v>
      </c>
      <c r="Q50" s="22">
        <f>C18</f>
        <v>0</v>
      </c>
      <c r="R50" s="22">
        <f>D18</f>
        <v>0</v>
      </c>
      <c r="S50" s="1096">
        <f>Q50-R50</f>
        <v>0</v>
      </c>
      <c r="T50" s="1097"/>
      <c r="U50" s="647"/>
      <c r="V50" s="371"/>
      <c r="W50" s="371"/>
      <c r="X50" s="367"/>
      <c r="Y50" s="386"/>
      <c r="Z50" s="386"/>
      <c r="AA50" s="386"/>
      <c r="AB50" s="386"/>
      <c r="AC50" s="386"/>
      <c r="AD50" s="386"/>
      <c r="AE50" s="367"/>
      <c r="AF50" s="367"/>
      <c r="AG50" s="367"/>
      <c r="AH50" s="367"/>
      <c r="AI50" s="367"/>
      <c r="AJ50" s="367"/>
      <c r="AK50" s="367"/>
      <c r="AL50" s="367"/>
      <c r="AM50" s="367"/>
      <c r="AN50" s="367"/>
      <c r="AO50" s="86"/>
    </row>
    <row r="51" spans="1:92" ht="15.75">
      <c r="A51" s="367"/>
      <c r="B51" s="850" t="str">
        <f>IF(J!B51&lt;&gt;"",J!B51,)</f>
        <v>Cleaning help / Babysitter</v>
      </c>
      <c r="C51" s="455">
        <f>J!C51</f>
        <v>0</v>
      </c>
      <c r="D51" s="80">
        <f t="shared" si="8"/>
        <v>0</v>
      </c>
      <c r="E51" s="519"/>
      <c r="F51" s="519"/>
      <c r="G51" s="367"/>
      <c r="H51" s="543"/>
      <c r="I51" s="853"/>
      <c r="J51" s="6"/>
      <c r="K51" s="541"/>
      <c r="L51" s="860"/>
      <c r="M51" s="20" t="str">
        <f>IF(J51="","",$M$5-SUM($J$7:J51))</f>
        <v/>
      </c>
      <c r="N51" s="367"/>
      <c r="O51" s="377"/>
      <c r="P51" s="656" t="s">
        <v>396</v>
      </c>
      <c r="Q51" s="22">
        <f>Z45</f>
        <v>0</v>
      </c>
      <c r="R51" s="22">
        <f>AA45</f>
        <v>0</v>
      </c>
      <c r="S51" s="1147">
        <f>Q51-R51</f>
        <v>0</v>
      </c>
      <c r="T51" s="1147"/>
      <c r="U51" s="647"/>
      <c r="V51" s="371"/>
      <c r="W51" s="371"/>
      <c r="X51" s="367"/>
      <c r="Y51" s="367"/>
      <c r="Z51" s="367"/>
      <c r="AA51" s="367"/>
      <c r="AB51" s="367"/>
      <c r="AC51" s="367"/>
      <c r="AD51" s="367"/>
      <c r="AE51" s="367"/>
      <c r="AF51" s="367"/>
      <c r="AG51" s="367"/>
      <c r="AH51" s="367"/>
      <c r="AI51" s="367"/>
      <c r="AJ51" s="367"/>
      <c r="AK51" s="367"/>
      <c r="AL51" s="367"/>
      <c r="AM51" s="367"/>
      <c r="AN51" s="367"/>
      <c r="AO51" s="86"/>
    </row>
    <row r="52" spans="1:92" ht="15.75">
      <c r="A52" s="367"/>
      <c r="B52" s="850" t="str">
        <f>IF(J!B52&lt;&gt;"",J!B52,)</f>
        <v>Cigarettes</v>
      </c>
      <c r="C52" s="455">
        <f>J!C52</f>
        <v>0</v>
      </c>
      <c r="D52" s="80">
        <f t="shared" si="8"/>
        <v>0</v>
      </c>
      <c r="E52" s="519"/>
      <c r="F52" s="519"/>
      <c r="G52" s="367"/>
      <c r="H52" s="543"/>
      <c r="I52" s="853"/>
      <c r="J52" s="6"/>
      <c r="K52" s="541"/>
      <c r="L52" s="860"/>
      <c r="M52" s="20" t="str">
        <f>IF(J52="","",$M$5-SUM($J$7:J52))</f>
        <v/>
      </c>
      <c r="N52" s="367"/>
      <c r="O52" s="377"/>
      <c r="P52" s="657" t="s">
        <v>397</v>
      </c>
      <c r="Q52" s="22">
        <f>C57</f>
        <v>0</v>
      </c>
      <c r="R52" s="22">
        <f>D57</f>
        <v>0</v>
      </c>
      <c r="S52" s="1098">
        <f>Q52-R52</f>
        <v>0</v>
      </c>
      <c r="T52" s="1099"/>
      <c r="U52" s="649"/>
      <c r="V52" s="371"/>
      <c r="W52" s="370"/>
      <c r="X52" s="367"/>
      <c r="Y52" s="367"/>
      <c r="Z52" s="367"/>
      <c r="AA52" s="367"/>
      <c r="AB52" s="367"/>
      <c r="AC52" s="367"/>
      <c r="AD52" s="367"/>
      <c r="AE52" s="367"/>
      <c r="AF52" s="367"/>
      <c r="AG52" s="367"/>
      <c r="AH52" s="367"/>
      <c r="AI52" s="367"/>
      <c r="AJ52" s="367"/>
      <c r="AK52" s="367"/>
      <c r="AL52" s="367"/>
      <c r="AM52" s="367"/>
      <c r="AN52" s="367"/>
      <c r="AO52" s="86"/>
    </row>
    <row r="53" spans="1:92" ht="15.75">
      <c r="A53" s="367"/>
      <c r="B53" s="850" t="str">
        <f>IF(J!B53&lt;&gt;"",J!B53,)</f>
        <v>Other</v>
      </c>
      <c r="C53" s="455">
        <f>J!C53</f>
        <v>0</v>
      </c>
      <c r="D53" s="80">
        <f t="shared" si="8"/>
        <v>0</v>
      </c>
      <c r="E53" s="519"/>
      <c r="F53" s="519"/>
      <c r="G53" s="367"/>
      <c r="H53" s="543"/>
      <c r="I53" s="853"/>
      <c r="J53" s="6"/>
      <c r="K53" s="541"/>
      <c r="L53" s="860"/>
      <c r="M53" s="20" t="str">
        <f>IF(J53="","",$M$5-SUM($J$7:J53))</f>
        <v/>
      </c>
      <c r="N53" s="1110" t="str">
        <f ca="1">IF(D19&lt;=0,IF(C41&lt;=0,"","Pass positive diff?"),"Pass positive diff?")</f>
        <v/>
      </c>
      <c r="O53" s="1233"/>
      <c r="P53" s="658" t="s">
        <v>308</v>
      </c>
      <c r="Q53" s="150">
        <f>SUM(Q50:Q52)</f>
        <v>0</v>
      </c>
      <c r="R53" s="150">
        <f>SUM(R50:R52)</f>
        <v>0</v>
      </c>
      <c r="S53" s="1100">
        <f>Q53-R53</f>
        <v>0</v>
      </c>
      <c r="T53" s="1101"/>
      <c r="U53" s="788"/>
      <c r="V53" s="371"/>
      <c r="W53" s="371"/>
      <c r="X53" s="367"/>
      <c r="Y53" s="367"/>
      <c r="Z53" s="367"/>
      <c r="AA53" s="367"/>
      <c r="AB53" s="367"/>
      <c r="AC53" s="367"/>
      <c r="AD53" s="367"/>
      <c r="AE53" s="367"/>
      <c r="AF53" s="367"/>
      <c r="AG53" s="367"/>
      <c r="AH53" s="367"/>
      <c r="AI53" s="367"/>
      <c r="AJ53" s="367"/>
      <c r="AK53" s="367"/>
      <c r="AL53" s="367"/>
      <c r="AM53" s="367"/>
      <c r="AN53" s="367"/>
      <c r="AO53" s="86"/>
    </row>
    <row r="54" spans="1:92" ht="15.75">
      <c r="A54" s="367"/>
      <c r="B54" s="850">
        <f>IF(J!B54&lt;&gt;"",J!B54,)</f>
        <v>0</v>
      </c>
      <c r="C54" s="455">
        <f>J!C54</f>
        <v>0</v>
      </c>
      <c r="D54" s="80">
        <f t="shared" si="8"/>
        <v>0</v>
      </c>
      <c r="E54" s="519"/>
      <c r="F54" s="519"/>
      <c r="G54" s="367"/>
      <c r="H54" s="1199" t="s">
        <v>392</v>
      </c>
      <c r="I54" s="855" t="s">
        <v>430</v>
      </c>
      <c r="J54" s="816"/>
      <c r="K54" s="589"/>
      <c r="L54" s="590"/>
      <c r="M54" s="102">
        <f ca="1">M5-D57</f>
        <v>0</v>
      </c>
      <c r="N54" s="1110"/>
      <c r="O54" s="1233"/>
      <c r="P54" s="659" t="s">
        <v>296</v>
      </c>
      <c r="Q54" s="22">
        <f>AA4</f>
        <v>0</v>
      </c>
      <c r="R54" s="22">
        <f>AA17</f>
        <v>0</v>
      </c>
      <c r="S54" s="1096">
        <f>R54-Q54</f>
        <v>0</v>
      </c>
      <c r="T54" s="1097"/>
      <c r="U54" s="647"/>
      <c r="V54" s="371"/>
      <c r="W54" s="371"/>
      <c r="X54" s="367"/>
      <c r="Y54" s="367"/>
      <c r="Z54" s="367"/>
      <c r="AA54" s="367"/>
      <c r="AB54" s="367"/>
      <c r="AC54" s="367"/>
      <c r="AD54" s="367"/>
      <c r="AE54" s="367"/>
      <c r="AF54" s="367"/>
      <c r="AG54" s="367"/>
      <c r="AH54" s="367"/>
      <c r="AI54" s="367"/>
      <c r="AJ54" s="367"/>
      <c r="AK54" s="367"/>
      <c r="AL54" s="367"/>
      <c r="AM54" s="367"/>
      <c r="AN54" s="367"/>
      <c r="AO54" s="86"/>
    </row>
    <row r="55" spans="1:92" ht="16.5" thickBot="1">
      <c r="A55" s="367"/>
      <c r="B55" s="850">
        <f>IF(J!B55&lt;&gt;"",J!B55,)</f>
        <v>0</v>
      </c>
      <c r="C55" s="455">
        <f>J!C55</f>
        <v>0</v>
      </c>
      <c r="D55" s="80">
        <f t="shared" si="8"/>
        <v>0</v>
      </c>
      <c r="E55" s="519"/>
      <c r="F55" s="519"/>
      <c r="G55" s="367"/>
      <c r="H55" s="1200"/>
      <c r="I55" s="856" t="s">
        <v>393</v>
      </c>
      <c r="J55" s="821"/>
      <c r="K55" s="592"/>
      <c r="L55" s="591"/>
      <c r="M55" s="99">
        <f>IF(D19&lt;=0,D19,IF(N55="Yes",D19,0))</f>
        <v>0</v>
      </c>
      <c r="N55" s="438" t="str">
        <f>IF(D19&gt;0,"No","")</f>
        <v/>
      </c>
      <c r="O55" s="377"/>
      <c r="P55" s="660" t="s">
        <v>349</v>
      </c>
      <c r="Q55" s="22">
        <f ca="1">C40</f>
        <v>0</v>
      </c>
      <c r="R55" s="22">
        <f>D40</f>
        <v>0</v>
      </c>
      <c r="S55" s="1144">
        <f ca="1">Q55-R55</f>
        <v>0</v>
      </c>
      <c r="T55" s="1146"/>
      <c r="U55" s="649"/>
      <c r="V55" s="370"/>
      <c r="W55" s="371"/>
      <c r="X55" s="367"/>
      <c r="Y55" s="367"/>
      <c r="Z55" s="367"/>
      <c r="AA55" s="367"/>
      <c r="AB55" s="367"/>
      <c r="AC55" s="367"/>
      <c r="AD55" s="367"/>
      <c r="AE55" s="367"/>
      <c r="AF55" s="367"/>
      <c r="AG55" s="367"/>
      <c r="AH55" s="367"/>
      <c r="AI55" s="367"/>
      <c r="AJ55" s="367"/>
      <c r="AK55" s="367"/>
      <c r="AL55" s="367"/>
      <c r="AM55" s="367"/>
      <c r="AN55" s="367"/>
      <c r="AO55" s="86"/>
      <c r="AP55" s="52" t="s">
        <v>408</v>
      </c>
      <c r="AQ55" s="52" t="s">
        <v>410</v>
      </c>
    </row>
    <row r="56" spans="1:92" ht="16.5" thickBot="1">
      <c r="A56" s="367"/>
      <c r="B56" s="850">
        <f>IF(J!B56&lt;&gt;"",J!B56,)</f>
        <v>0</v>
      </c>
      <c r="C56" s="455">
        <f>J!C56</f>
        <v>0</v>
      </c>
      <c r="D56" s="80">
        <f t="shared" si="8"/>
        <v>0</v>
      </c>
      <c r="E56" s="519"/>
      <c r="F56" s="519"/>
      <c r="G56" s="367"/>
      <c r="H56" s="1201"/>
      <c r="I56" s="1115" t="s">
        <v>394</v>
      </c>
      <c r="J56" s="1116"/>
      <c r="K56" s="587"/>
      <c r="L56" s="594"/>
      <c r="M56" s="1">
        <f ca="1">IF(C41&lt;=0,C41,IF(N56="Yes",C41,0))</f>
        <v>0</v>
      </c>
      <c r="N56" s="438" t="str">
        <f ca="1">IF(C41&gt;0,"No","")</f>
        <v/>
      </c>
      <c r="O56" s="377"/>
      <c r="P56" s="661" t="s">
        <v>179</v>
      </c>
      <c r="Q56" s="662">
        <f ca="1">Q54-Q53-Q55</f>
        <v>0</v>
      </c>
      <c r="R56" s="662">
        <f>R54-R53-R55</f>
        <v>0</v>
      </c>
      <c r="S56" s="1144">
        <f ca="1">SUM(S53:S55)</f>
        <v>0</v>
      </c>
      <c r="T56" s="1145"/>
      <c r="U56" s="647"/>
      <c r="V56" s="371"/>
      <c r="W56" s="371"/>
      <c r="X56" s="367"/>
      <c r="Y56" s="367"/>
      <c r="Z56" s="367"/>
      <c r="AA56" s="367"/>
      <c r="AB56" s="367"/>
      <c r="AC56" s="367"/>
      <c r="AD56" s="367"/>
      <c r="AE56" s="367"/>
      <c r="AF56" s="367"/>
      <c r="AG56" s="367"/>
      <c r="AH56" s="367"/>
      <c r="AI56" s="367"/>
      <c r="AJ56" s="367"/>
      <c r="AK56" s="367"/>
      <c r="AL56" s="367"/>
      <c r="AM56" s="367"/>
      <c r="AN56" s="367"/>
      <c r="AO56" s="86"/>
      <c r="AP56" s="52" t="s">
        <v>409</v>
      </c>
      <c r="AQ56" s="52" t="s">
        <v>411</v>
      </c>
    </row>
    <row r="57" spans="1:92" ht="16.5" thickBot="1">
      <c r="A57" s="367"/>
      <c r="B57" s="16" t="s">
        <v>179</v>
      </c>
      <c r="C57" s="77">
        <f>SUM(C45:C56)</f>
        <v>0</v>
      </c>
      <c r="D57" s="76">
        <f>SUM(D45:D56)</f>
        <v>0</v>
      </c>
      <c r="E57" s="520"/>
      <c r="F57" s="520"/>
      <c r="G57" s="367"/>
      <c r="H57" s="12"/>
      <c r="I57" s="13"/>
      <c r="J57" s="14"/>
      <c r="K57" s="593"/>
      <c r="L57" s="14"/>
      <c r="M57" s="14"/>
      <c r="N57" s="367"/>
      <c r="O57" s="377"/>
      <c r="P57" s="438"/>
      <c r="Q57" s="790"/>
      <c r="R57" s="790"/>
      <c r="S57" s="789"/>
      <c r="T57" s="370"/>
      <c r="U57" s="370"/>
      <c r="V57" s="371"/>
      <c r="W57" s="371"/>
      <c r="X57" s="367"/>
      <c r="Y57" s="367"/>
      <c r="Z57" s="367"/>
      <c r="AA57" s="367"/>
      <c r="AB57" s="367"/>
      <c r="AC57" s="367"/>
      <c r="AD57" s="367"/>
      <c r="AE57" s="367"/>
      <c r="AF57" s="367"/>
      <c r="AG57" s="367"/>
      <c r="AH57" s="367"/>
      <c r="AI57" s="367"/>
      <c r="AJ57" s="367"/>
      <c r="AK57" s="367"/>
      <c r="AL57" s="367"/>
      <c r="AM57" s="367"/>
      <c r="AN57" s="367"/>
      <c r="AO57" s="86"/>
    </row>
    <row r="58" spans="1:92" ht="16.5" customHeight="1" thickBot="1">
      <c r="A58" s="367"/>
      <c r="B58" s="101" t="s">
        <v>367</v>
      </c>
      <c r="C58" s="1113">
        <f>C57-D57</f>
        <v>0</v>
      </c>
      <c r="D58" s="1114"/>
      <c r="E58" s="517"/>
      <c r="F58" s="517"/>
      <c r="G58" s="367"/>
      <c r="H58" s="818" t="s">
        <v>431</v>
      </c>
      <c r="I58" s="817"/>
      <c r="J58" s="817"/>
      <c r="K58" s="588"/>
      <c r="L58" s="588"/>
      <c r="M58" s="103">
        <f ca="1">SUM(M54:M56)</f>
        <v>0</v>
      </c>
      <c r="N58" s="729" t="str">
        <f>AQ55</f>
        <v>Pass</v>
      </c>
      <c r="O58" s="377"/>
      <c r="P58" s="663" t="s">
        <v>400</v>
      </c>
      <c r="Q58" s="664" t="str">
        <f>IF(Z56="","","Expected")</f>
        <v/>
      </c>
      <c r="R58" s="664" t="s">
        <v>398</v>
      </c>
      <c r="S58" s="1236" t="str">
        <f>IF(Z56="","","Diff")</f>
        <v/>
      </c>
      <c r="T58" s="1237"/>
      <c r="U58" s="651"/>
      <c r="V58" s="370"/>
      <c r="W58" s="371"/>
      <c r="X58" s="367"/>
      <c r="Y58" s="367"/>
      <c r="Z58" s="367"/>
      <c r="AA58" s="367"/>
      <c r="AB58" s="367"/>
      <c r="AC58" s="367"/>
      <c r="AD58" s="367"/>
      <c r="AE58" s="367"/>
      <c r="AF58" s="367"/>
      <c r="AG58" s="367"/>
      <c r="AH58" s="367"/>
      <c r="AI58" s="367"/>
      <c r="AJ58" s="367"/>
      <c r="AK58" s="367"/>
      <c r="AL58" s="367"/>
      <c r="AM58" s="367"/>
      <c r="AN58" s="367"/>
      <c r="AO58" s="86"/>
    </row>
    <row r="59" spans="1:92" ht="16.5" thickTop="1" thickBot="1">
      <c r="A59" s="367"/>
      <c r="B59" s="880" t="s">
        <v>382</v>
      </c>
      <c r="C59" s="367"/>
      <c r="D59" s="367"/>
      <c r="E59" s="367"/>
      <c r="F59" s="367"/>
      <c r="G59" s="367"/>
      <c r="H59" s="367"/>
      <c r="I59" s="367"/>
      <c r="J59" s="367"/>
      <c r="K59" s="367"/>
      <c r="L59" s="367"/>
      <c r="M59" s="367"/>
      <c r="N59" s="367"/>
      <c r="O59" s="377"/>
      <c r="P59" s="665" t="s">
        <v>399</v>
      </c>
      <c r="Q59" s="666">
        <f>J!R59+K!R56</f>
        <v>0</v>
      </c>
      <c r="R59" s="667"/>
      <c r="S59" s="1235">
        <f>Q59-R59</f>
        <v>0</v>
      </c>
      <c r="T59" s="1146"/>
      <c r="U59" s="649"/>
      <c r="V59" s="371"/>
      <c r="W59" s="371"/>
      <c r="X59" s="367"/>
      <c r="Y59" s="367"/>
      <c r="Z59" s="367"/>
      <c r="AA59" s="367"/>
      <c r="AB59" s="367"/>
      <c r="AC59" s="367"/>
      <c r="AD59" s="367"/>
      <c r="AE59" s="367"/>
      <c r="AF59" s="367"/>
      <c r="AG59" s="367"/>
      <c r="AH59" s="367"/>
      <c r="AI59" s="367"/>
      <c r="AJ59" s="367"/>
      <c r="AK59" s="367"/>
      <c r="AL59" s="367"/>
      <c r="AM59" s="367"/>
      <c r="AN59" s="367"/>
      <c r="AO59" s="86"/>
    </row>
    <row r="60" spans="1:92" ht="15">
      <c r="A60" s="367"/>
      <c r="B60" s="807" t="s">
        <v>383</v>
      </c>
      <c r="C60" s="367"/>
      <c r="D60" s="882" t="s">
        <v>384</v>
      </c>
      <c r="E60" s="367"/>
      <c r="F60" s="367"/>
      <c r="G60" s="367"/>
      <c r="I60" s="367"/>
      <c r="J60" s="367"/>
      <c r="K60" s="367"/>
      <c r="L60" s="367"/>
      <c r="M60" s="367"/>
      <c r="N60" s="367"/>
      <c r="O60" s="377"/>
      <c r="P60" s="367"/>
      <c r="Q60" s="367"/>
      <c r="R60" s="367"/>
      <c r="S60" s="371"/>
      <c r="T60" s="371"/>
      <c r="U60" s="371"/>
      <c r="V60" s="371"/>
      <c r="W60" s="367"/>
      <c r="X60" s="367"/>
      <c r="Y60" s="367"/>
      <c r="Z60" s="367"/>
      <c r="AA60" s="367"/>
      <c r="AB60" s="367"/>
      <c r="AC60" s="367"/>
      <c r="AD60" s="367"/>
      <c r="AE60" s="367"/>
      <c r="AF60" s="367"/>
      <c r="AG60" s="367"/>
      <c r="AH60" s="367"/>
      <c r="AI60" s="367"/>
      <c r="AJ60" s="367"/>
      <c r="AK60" s="367"/>
      <c r="AL60" s="367"/>
      <c r="AM60" s="367"/>
      <c r="AN60" s="367"/>
      <c r="AO60" s="86"/>
    </row>
    <row r="61" spans="1:92" ht="15.75" collapsed="1" thickBot="1">
      <c r="A61" s="367"/>
      <c r="B61" s="884" t="s">
        <v>385</v>
      </c>
      <c r="C61" s="367"/>
      <c r="D61" s="367"/>
      <c r="E61" s="367"/>
      <c r="F61" s="367"/>
      <c r="G61" s="367"/>
      <c r="I61" s="367"/>
      <c r="K61" s="510"/>
      <c r="L61" s="510"/>
      <c r="M61" s="510"/>
      <c r="N61" s="367"/>
      <c r="O61" s="511"/>
      <c r="Q61" s="367"/>
      <c r="R61" s="367"/>
      <c r="S61" s="371"/>
      <c r="T61" s="371"/>
      <c r="U61" s="371"/>
      <c r="V61" s="371"/>
      <c r="W61" s="367"/>
      <c r="X61" s="367"/>
      <c r="Y61" s="367"/>
      <c r="Z61" s="367"/>
      <c r="AA61" s="367"/>
      <c r="AB61" s="367"/>
      <c r="AC61" s="367"/>
      <c r="AD61" s="367"/>
      <c r="AE61" s="367"/>
      <c r="AF61" s="367"/>
      <c r="AG61" s="367"/>
      <c r="AH61" s="367"/>
      <c r="AI61" s="367"/>
      <c r="AJ61" s="367"/>
      <c r="AK61" s="367"/>
      <c r="AL61" s="367"/>
      <c r="AM61" s="367"/>
      <c r="AN61" s="367"/>
      <c r="AO61" s="86"/>
    </row>
    <row r="62" spans="1:92" ht="15.75" hidden="1" customHeight="1" outlineLevel="1" thickBot="1">
      <c r="A62" s="367"/>
      <c r="B62" s="367"/>
      <c r="C62" s="367"/>
      <c r="D62" s="367"/>
      <c r="E62" s="367"/>
      <c r="F62" s="367"/>
      <c r="G62" s="367"/>
      <c r="H62" s="505"/>
      <c r="I62" s="367"/>
      <c r="J62" s="367"/>
      <c r="K62" s="581"/>
      <c r="L62" s="367"/>
      <c r="M62" s="367"/>
      <c r="N62" s="367"/>
      <c r="O62" s="511"/>
      <c r="P62" s="505"/>
      <c r="Q62" s="367"/>
      <c r="R62" s="367"/>
      <c r="S62" s="371"/>
      <c r="T62" s="371"/>
      <c r="U62" s="371"/>
      <c r="V62" s="631"/>
      <c r="W62" s="367"/>
      <c r="X62" s="367"/>
      <c r="Y62" s="367"/>
      <c r="Z62" s="367"/>
      <c r="AA62" s="367"/>
      <c r="AB62" s="367"/>
      <c r="AC62" s="367"/>
      <c r="AD62" s="367"/>
      <c r="AE62" s="367"/>
      <c r="AF62" s="367"/>
      <c r="AG62" s="367"/>
      <c r="AH62" s="367"/>
      <c r="AI62" s="367"/>
      <c r="AJ62" s="367"/>
      <c r="AK62" s="367"/>
      <c r="AL62" s="367"/>
      <c r="AM62" s="367"/>
      <c r="AN62" s="367"/>
      <c r="AO62" s="86"/>
    </row>
    <row r="63" spans="1:92" s="367" customFormat="1" ht="33.75" hidden="1" customHeight="1" outlineLevel="1">
      <c r="B63" s="1120" t="s">
        <v>388</v>
      </c>
      <c r="C63" s="1122" t="s">
        <v>354</v>
      </c>
      <c r="D63" s="1124" t="s">
        <v>358</v>
      </c>
      <c r="E63" s="1126" t="s">
        <v>380</v>
      </c>
      <c r="F63" s="1127" t="s">
        <v>335</v>
      </c>
      <c r="H63" s="503" t="s">
        <v>356</v>
      </c>
      <c r="I63" s="682" t="s">
        <v>357</v>
      </c>
      <c r="J63" s="812" t="s">
        <v>358</v>
      </c>
      <c r="K63" s="598" t="s">
        <v>380</v>
      </c>
      <c r="L63" s="600" t="s">
        <v>335</v>
      </c>
      <c r="M63" s="504" t="s">
        <v>389</v>
      </c>
      <c r="O63" s="506" t="s">
        <v>356</v>
      </c>
      <c r="P63" s="507" t="s">
        <v>357</v>
      </c>
      <c r="Q63" s="813" t="s">
        <v>358</v>
      </c>
      <c r="R63" s="507" t="s">
        <v>359</v>
      </c>
      <c r="S63" s="814" t="s">
        <v>390</v>
      </c>
      <c r="T63" s="815" t="s">
        <v>391</v>
      </c>
      <c r="U63" s="637" t="s">
        <v>380</v>
      </c>
      <c r="V63" s="616" t="s">
        <v>335</v>
      </c>
      <c r="W63" s="632" t="s">
        <v>389</v>
      </c>
      <c r="AO63" s="86"/>
      <c r="AP63" s="86"/>
      <c r="AQ63" s="86"/>
      <c r="AR63" s="86"/>
      <c r="AS63" s="86"/>
      <c r="AT63" s="86"/>
      <c r="AU63" s="86"/>
      <c r="AV63" s="86"/>
      <c r="AW63" s="86"/>
      <c r="AX63" s="86"/>
      <c r="AY63" s="86"/>
      <c r="CM63" s="86"/>
      <c r="CN63" s="86"/>
    </row>
    <row r="64" spans="1:92" s="367" customFormat="1" ht="15" hidden="1" customHeight="1" outlineLevel="1">
      <c r="B64" s="1121"/>
      <c r="C64" s="1123"/>
      <c r="D64" s="1125"/>
      <c r="E64" s="1126"/>
      <c r="F64" s="1127"/>
      <c r="H64" s="543"/>
      <c r="I64" s="853"/>
      <c r="J64" s="6"/>
      <c r="K64" s="541"/>
      <c r="L64" s="860"/>
      <c r="M64" s="20" t="str">
        <f>IF(J64="","",$M$5-SUM($J$7:J64))</f>
        <v/>
      </c>
      <c r="O64" s="106"/>
      <c r="P64" s="871">
        <f>IF(J!Q64&lt;&gt;J!R64,IF(J!Q64&lt;&gt;0,IF(J!S64&lt;&gt;J!T64,J!P64,),),)</f>
        <v>0</v>
      </c>
      <c r="Q64" s="795">
        <f>IF(J!Q64&lt;&gt;J!R64,IF(J!Q64&lt;&gt;0,IF(J!S64&lt;&gt;J!T64,J!Q64,),),)</f>
        <v>0</v>
      </c>
      <c r="R64" s="628">
        <f>IF(J!Q64&lt;&gt;J!R64,IF(J!Q64&lt;&gt;0,IF(J!S64&lt;&gt;J!T64,0,Q64),Q64),Q64)</f>
        <v>0</v>
      </c>
      <c r="S64" s="796">
        <f>IF(J!Q64&lt;&gt;J!R64,IF(J!Q64&lt;&gt;0,IF(J!S64&lt;&gt;J!T64,J!S64+1,),),)</f>
        <v>0</v>
      </c>
      <c r="T64" s="796">
        <f>IF(J!Q64&lt;&gt;J!R64,IF(J!Q64&lt;&gt;0,IF(J!S64&lt;&gt;J!T64,J!T64,),),)</f>
        <v>0</v>
      </c>
      <c r="U64" s="797">
        <f>IF(J!Q64&lt;&gt;J!R64,IF(J!Q64&lt;&gt;0,IF(J!S64&lt;&gt;J!T64,J!U64,),),)</f>
        <v>0</v>
      </c>
      <c r="V64" s="875">
        <f>IF(J!Q64&lt;&gt;J!R64,IF(J!Q64&lt;&gt;0,IF(J!S64&lt;&gt;J!T64,J!V64,),),)</f>
        <v>0</v>
      </c>
      <c r="W64" s="633">
        <f>IF(Q64="","",$W$5-SUM($Q$7:$Q$45)-SUM($Q$64:Q64))</f>
        <v>0</v>
      </c>
      <c r="AO64" s="86"/>
      <c r="AP64" s="86"/>
      <c r="AQ64" s="86"/>
      <c r="AR64" s="86"/>
      <c r="AS64" s="86"/>
      <c r="AT64" s="86"/>
      <c r="AU64" s="86"/>
      <c r="AV64" s="86"/>
      <c r="AW64" s="86"/>
      <c r="AX64" s="86"/>
      <c r="AY64" s="86"/>
      <c r="CM64" s="86"/>
      <c r="CN64" s="86"/>
    </row>
    <row r="65" spans="2:92" s="367" customFormat="1" ht="15" hidden="1" customHeight="1" outlineLevel="1">
      <c r="B65" s="852">
        <f ca="1">IF(J!B65&lt;&gt;"",J!B65,)</f>
        <v>0</v>
      </c>
      <c r="C65" s="454">
        <f ca="1">J!C65</f>
        <v>0</v>
      </c>
      <c r="D65" s="74"/>
      <c r="E65" s="521"/>
      <c r="F65" s="858"/>
      <c r="H65" s="543"/>
      <c r="I65" s="853"/>
      <c r="J65" s="6"/>
      <c r="K65" s="541"/>
      <c r="L65" s="860"/>
      <c r="M65" s="20" t="str">
        <f>IF(J65="","",$M$5-SUM($J$7:J65))</f>
        <v/>
      </c>
      <c r="O65" s="7"/>
      <c r="P65" s="872">
        <f>IF(J!Q65&lt;&gt;J!R65,IF(J!Q65&lt;&gt;0,IF(J!S65&lt;&gt;J!T65,J!P65,),),)</f>
        <v>0</v>
      </c>
      <c r="Q65" s="795">
        <f>IF(J!Q65&lt;&gt;J!R65,IF(J!Q65&lt;&gt;0,IF(J!S65&lt;&gt;J!T65,J!Q65,),),)</f>
        <v>0</v>
      </c>
      <c r="R65" s="628">
        <f>IF(J!Q65&lt;&gt;J!R65,IF(J!Q65&lt;&gt;0,IF(J!S65&lt;&gt;J!T65,0,Q65),Q65),Q65)</f>
        <v>0</v>
      </c>
      <c r="S65" s="796">
        <f>IF(J!Q65&lt;&gt;J!R65,IF(J!Q65&lt;&gt;0,IF(J!S65&lt;&gt;J!T65,J!S65+1,),),)</f>
        <v>0</v>
      </c>
      <c r="T65" s="796">
        <f>IF(J!Q65&lt;&gt;J!R65,IF(J!Q65&lt;&gt;0,IF(J!S65&lt;&gt;J!T65,J!T65,),),)</f>
        <v>0</v>
      </c>
      <c r="U65" s="797">
        <f>IF(J!Q65&lt;&gt;J!R65,IF(J!Q65&lt;&gt;0,IF(J!S65&lt;&gt;J!T65,J!U65,),),)</f>
        <v>0</v>
      </c>
      <c r="V65" s="875">
        <f>IF(J!Q65&lt;&gt;J!R65,IF(J!Q65&lt;&gt;0,IF(J!S65&lt;&gt;J!T65,J!V65,),),)</f>
        <v>0</v>
      </c>
      <c r="W65" s="633">
        <f>IF(Q65="","",$W$5-SUM($Q$7:$Q$45)-SUM($Q$64:Q65))</f>
        <v>0</v>
      </c>
      <c r="AO65" s="86"/>
      <c r="AP65" s="86"/>
      <c r="AQ65" s="86"/>
      <c r="AR65" s="86"/>
      <c r="AS65" s="86"/>
      <c r="AT65" s="86"/>
      <c r="AU65" s="86"/>
      <c r="AV65" s="86"/>
      <c r="AW65" s="86"/>
      <c r="AX65" s="86"/>
      <c r="AY65" s="86"/>
      <c r="CM65" s="86"/>
      <c r="CN65" s="86"/>
    </row>
    <row r="66" spans="2:92" s="367" customFormat="1" ht="15.75" hidden="1" customHeight="1" outlineLevel="1">
      <c r="B66" s="852">
        <f ca="1">IF(J!B66&lt;&gt;"",J!B66,)</f>
        <v>0</v>
      </c>
      <c r="C66" s="454">
        <f ca="1">J!C66</f>
        <v>0</v>
      </c>
      <c r="D66" s="74"/>
      <c r="E66" s="521"/>
      <c r="F66" s="858"/>
      <c r="H66" s="543"/>
      <c r="I66" s="853"/>
      <c r="J66" s="6"/>
      <c r="K66" s="541"/>
      <c r="L66" s="860"/>
      <c r="M66" s="20" t="str">
        <f>IF(J66="","",$M$5-SUM($J$7:J66))</f>
        <v/>
      </c>
      <c r="O66" s="7"/>
      <c r="P66" s="871">
        <f>IF(J!Q66&lt;&gt;J!R66,IF(J!Q66&lt;&gt;0,IF(J!S66&lt;&gt;J!T66,J!P66,),),)</f>
        <v>0</v>
      </c>
      <c r="Q66" s="795">
        <f>IF(J!Q66&lt;&gt;J!R66,IF(J!Q66&lt;&gt;0,IF(J!S66&lt;&gt;J!T66,J!Q66,),),)</f>
        <v>0</v>
      </c>
      <c r="R66" s="628">
        <f>IF(J!Q66&lt;&gt;J!R66,IF(J!Q66&lt;&gt;0,IF(J!S66&lt;&gt;J!T66,0,Q66),Q66),Q66)</f>
        <v>0</v>
      </c>
      <c r="S66" s="796">
        <f>IF(J!Q66&lt;&gt;J!R66,IF(J!Q66&lt;&gt;0,IF(J!S66&lt;&gt;J!T66,J!S66+1,),),)</f>
        <v>0</v>
      </c>
      <c r="T66" s="796">
        <f>IF(J!Q66&lt;&gt;J!R66,IF(J!Q66&lt;&gt;0,IF(J!S66&lt;&gt;J!T66,J!T66,),),)</f>
        <v>0</v>
      </c>
      <c r="U66" s="797">
        <f>IF(J!Q66&lt;&gt;J!R66,IF(J!Q66&lt;&gt;0,IF(J!S66&lt;&gt;J!T66,J!U66,),),)</f>
        <v>0</v>
      </c>
      <c r="V66" s="875">
        <f>IF(J!Q66&lt;&gt;J!R66,IF(J!Q66&lt;&gt;0,IF(J!S66&lt;&gt;J!T66,J!V66,),),)</f>
        <v>0</v>
      </c>
      <c r="W66" s="633">
        <f>IF(Q66="","",$W$5-SUM($Q$7:$Q$45)-SUM($Q$64:Q66))</f>
        <v>0</v>
      </c>
      <c r="AO66" s="86"/>
      <c r="AP66" s="86"/>
      <c r="AQ66" s="86"/>
      <c r="AR66" s="86"/>
      <c r="AS66" s="86"/>
      <c r="AT66" s="86"/>
      <c r="AU66" s="86"/>
      <c r="AV66" s="86"/>
      <c r="AW66" s="86"/>
      <c r="AX66" s="86"/>
      <c r="AY66" s="86"/>
      <c r="CM66" s="86"/>
      <c r="CN66" s="86"/>
    </row>
    <row r="67" spans="2:92" s="367" customFormat="1" ht="15.75" hidden="1" customHeight="1" outlineLevel="1">
      <c r="B67" s="852">
        <f ca="1">IF(J!B67&lt;&gt;"",J!B67,)</f>
        <v>0</v>
      </c>
      <c r="C67" s="454">
        <f ca="1">J!C67</f>
        <v>0</v>
      </c>
      <c r="D67" s="74"/>
      <c r="E67" s="521"/>
      <c r="F67" s="858"/>
      <c r="H67" s="543"/>
      <c r="I67" s="853"/>
      <c r="J67" s="6"/>
      <c r="K67" s="541"/>
      <c r="L67" s="860"/>
      <c r="M67" s="20" t="str">
        <f>IF(J67="","",$M$5-SUM($J$7:J67))</f>
        <v/>
      </c>
      <c r="O67" s="7"/>
      <c r="P67" s="871">
        <f>IF(J!Q67&lt;&gt;J!R67,IF(J!Q67&lt;&gt;0,IF(J!S67&lt;&gt;J!T67,J!P67,),),)</f>
        <v>0</v>
      </c>
      <c r="Q67" s="798">
        <f>IF(J!Q67&lt;&gt;J!R67,IF(J!Q67&lt;&gt;0,IF(J!S67&lt;&gt;J!T67,J!Q67,),),)</f>
        <v>0</v>
      </c>
      <c r="R67" s="628">
        <f>IF(J!Q67&lt;&gt;J!R67,IF(J!Q67&lt;&gt;0,IF(J!S67&lt;&gt;J!T67,0,Q67),Q67),Q67)</f>
        <v>0</v>
      </c>
      <c r="S67" s="796">
        <f>IF(J!Q67&lt;&gt;J!R67,IF(J!Q67&lt;&gt;0,IF(J!S67&lt;&gt;J!T67,J!S67+1,),),)</f>
        <v>0</v>
      </c>
      <c r="T67" s="796">
        <f>IF(J!Q67&lt;&gt;J!R67,IF(J!Q67&lt;&gt;0,IF(J!S67&lt;&gt;J!T67,J!T67,),),)</f>
        <v>0</v>
      </c>
      <c r="U67" s="797">
        <f>IF(J!Q67&lt;&gt;J!R67,IF(J!Q67&lt;&gt;0,IF(J!S67&lt;&gt;J!T67,J!U67,),),)</f>
        <v>0</v>
      </c>
      <c r="V67" s="875">
        <f>IF(J!Q67&lt;&gt;J!R67,IF(J!Q67&lt;&gt;0,IF(J!S67&lt;&gt;J!T67,J!V67,),),)</f>
        <v>0</v>
      </c>
      <c r="W67" s="633">
        <f>IF(Q67="","",$W$5-SUM($Q$7:$Q$45)-SUM($Q$64:Q67))</f>
        <v>0</v>
      </c>
      <c r="AO67" s="86"/>
      <c r="AP67" s="86"/>
      <c r="AQ67" s="86"/>
      <c r="AR67" s="86"/>
      <c r="AS67" s="86"/>
      <c r="AT67" s="86"/>
      <c r="AU67" s="86"/>
      <c r="AV67" s="86"/>
      <c r="AW67" s="86"/>
      <c r="AX67" s="86"/>
      <c r="AY67" s="86"/>
      <c r="CM67" s="86"/>
      <c r="CN67" s="86"/>
    </row>
    <row r="68" spans="2:92" s="367" customFormat="1" ht="15.75" hidden="1" customHeight="1" outlineLevel="1">
      <c r="B68" s="852">
        <f ca="1">IF(J!B68&lt;&gt;"",J!B68,)</f>
        <v>0</v>
      </c>
      <c r="C68" s="454">
        <f ca="1">J!C68</f>
        <v>0</v>
      </c>
      <c r="D68" s="74"/>
      <c r="E68" s="521"/>
      <c r="F68" s="858"/>
      <c r="H68" s="543"/>
      <c r="I68" s="853"/>
      <c r="J68" s="6"/>
      <c r="K68" s="541"/>
      <c r="L68" s="860"/>
      <c r="M68" s="20" t="str">
        <f>IF(J68="","",$M$5-SUM($J$7:J68))</f>
        <v/>
      </c>
      <c r="O68" s="7"/>
      <c r="P68" s="871">
        <f>IF(J!Q68&lt;&gt;J!R68,IF(J!Q68&lt;&gt;0,IF(J!S68&lt;&gt;J!T68,J!P68,),),)</f>
        <v>0</v>
      </c>
      <c r="Q68" s="795">
        <f>IF(J!Q68&lt;&gt;J!R68,IF(J!Q68&lt;&gt;0,IF(J!S68&lt;&gt;J!T68,J!Q68,),),)</f>
        <v>0</v>
      </c>
      <c r="R68" s="628">
        <f>IF(J!Q68&lt;&gt;J!R68,IF(J!Q68&lt;&gt;0,IF(J!S68&lt;&gt;J!T68,0,Q68),Q68),Q68)</f>
        <v>0</v>
      </c>
      <c r="S68" s="796">
        <f>IF(J!Q68&lt;&gt;J!R68,IF(J!Q68&lt;&gt;0,IF(J!S68&lt;&gt;J!T68,J!S68+1,),),)</f>
        <v>0</v>
      </c>
      <c r="T68" s="796">
        <f>IF(J!Q68&lt;&gt;J!R68,IF(J!Q68&lt;&gt;0,IF(J!S68&lt;&gt;J!T68,J!T68,),),)</f>
        <v>0</v>
      </c>
      <c r="U68" s="797">
        <f>IF(J!Q68&lt;&gt;J!R68,IF(J!Q68&lt;&gt;0,IF(J!S68&lt;&gt;J!T68,J!U68,),),)</f>
        <v>0</v>
      </c>
      <c r="V68" s="875">
        <f>IF(J!Q68&lt;&gt;J!R68,IF(J!Q68&lt;&gt;0,IF(J!S68&lt;&gt;J!T68,J!V68,),),)</f>
        <v>0</v>
      </c>
      <c r="W68" s="633">
        <f>IF(Q68="","",$W$5-SUM($Q$7:$Q$45)-SUM($Q$64:Q68))</f>
        <v>0</v>
      </c>
      <c r="AO68" s="86"/>
      <c r="AP68" s="86"/>
      <c r="AQ68" s="86"/>
      <c r="AR68" s="86"/>
      <c r="AS68" s="86"/>
      <c r="AT68" s="86"/>
      <c r="AU68" s="86"/>
      <c r="AV68" s="86"/>
      <c r="AW68" s="86"/>
      <c r="AX68" s="86"/>
      <c r="AY68" s="86"/>
      <c r="CM68" s="86"/>
      <c r="CN68" s="86"/>
    </row>
    <row r="69" spans="2:92" s="367" customFormat="1" ht="15.75" hidden="1" customHeight="1" outlineLevel="1">
      <c r="B69" s="852">
        <f ca="1">IF(J!B69&lt;&gt;"",J!B69,)</f>
        <v>0</v>
      </c>
      <c r="C69" s="454">
        <f ca="1">J!C69</f>
        <v>0</v>
      </c>
      <c r="D69" s="74"/>
      <c r="E69" s="521"/>
      <c r="F69" s="858"/>
      <c r="H69" s="543"/>
      <c r="I69" s="853"/>
      <c r="J69" s="6"/>
      <c r="K69" s="541"/>
      <c r="L69" s="860"/>
      <c r="M69" s="20" t="str">
        <f>IF(J69="","",$M$5-SUM($J$7:J69))</f>
        <v/>
      </c>
      <c r="O69" s="7"/>
      <c r="P69" s="871">
        <f>IF(J!Q69&lt;&gt;J!R69,IF(J!Q69&lt;&gt;0,IF(J!S69&lt;&gt;J!T69,J!P69,),),)</f>
        <v>0</v>
      </c>
      <c r="Q69" s="795">
        <f>IF(J!Q69&lt;&gt;J!R69,IF(J!Q69&lt;&gt;0,IF(J!S69&lt;&gt;J!T69,J!Q69,),),)</f>
        <v>0</v>
      </c>
      <c r="R69" s="628">
        <f>IF(J!Q69&lt;&gt;J!R69,IF(J!Q69&lt;&gt;0,IF(J!S69&lt;&gt;J!T69,0,Q69),Q69),Q69)</f>
        <v>0</v>
      </c>
      <c r="S69" s="796">
        <f>IF(J!Q69&lt;&gt;J!R69,IF(J!Q69&lt;&gt;0,IF(J!S69&lt;&gt;J!T69,J!S69+1,),),)</f>
        <v>0</v>
      </c>
      <c r="T69" s="796">
        <f>IF(J!Q69&lt;&gt;J!R69,IF(J!Q69&lt;&gt;0,IF(J!S69&lt;&gt;J!T69,J!T69,),),)</f>
        <v>0</v>
      </c>
      <c r="U69" s="797">
        <f>IF(J!Q69&lt;&gt;J!R69,IF(J!Q69&lt;&gt;0,IF(J!S69&lt;&gt;J!T69,J!U69,),),)</f>
        <v>0</v>
      </c>
      <c r="V69" s="875">
        <f>IF(J!Q69&lt;&gt;J!R69,IF(J!Q69&lt;&gt;0,IF(J!S69&lt;&gt;J!T69,J!V69,),),)</f>
        <v>0</v>
      </c>
      <c r="W69" s="633">
        <f>IF(Q69="","",$W$5-SUM($Q$7:$Q$45)-SUM($Q$64:Q69))</f>
        <v>0</v>
      </c>
      <c r="AO69" s="86"/>
      <c r="AP69" s="86"/>
      <c r="AQ69" s="86"/>
      <c r="AR69" s="86"/>
      <c r="AS69" s="86"/>
      <c r="AT69" s="86"/>
      <c r="AU69" s="86"/>
      <c r="AV69" s="86"/>
      <c r="AW69" s="86"/>
      <c r="AX69" s="86"/>
      <c r="AY69" s="86"/>
      <c r="CM69" s="86"/>
      <c r="CN69" s="86"/>
    </row>
    <row r="70" spans="2:92" s="367" customFormat="1" ht="15.75" hidden="1" customHeight="1" outlineLevel="1">
      <c r="B70" s="852">
        <f ca="1">IF(J!B70&lt;&gt;"",J!B70,)</f>
        <v>0</v>
      </c>
      <c r="C70" s="454">
        <f ca="1">J!C70</f>
        <v>0</v>
      </c>
      <c r="D70" s="74"/>
      <c r="E70" s="521"/>
      <c r="F70" s="858"/>
      <c r="H70" s="543"/>
      <c r="I70" s="853"/>
      <c r="J70" s="6"/>
      <c r="K70" s="541"/>
      <c r="L70" s="860"/>
      <c r="M70" s="20" t="str">
        <f>IF(J70="","",$M$5-SUM($J$7:J70))</f>
        <v/>
      </c>
      <c r="O70" s="7"/>
      <c r="P70" s="871">
        <f>IF(J!Q70&lt;&gt;J!R70,IF(J!Q70&lt;&gt;0,IF(J!S70&lt;&gt;J!T70,J!P70,),),)</f>
        <v>0</v>
      </c>
      <c r="Q70" s="795">
        <f>IF(J!Q70&lt;&gt;J!R70,IF(J!Q70&lt;&gt;0,IF(J!S70&lt;&gt;J!T70,J!Q70,),),)</f>
        <v>0</v>
      </c>
      <c r="R70" s="628">
        <f>IF(J!Q70&lt;&gt;J!R70,IF(J!Q70&lt;&gt;0,IF(J!S70&lt;&gt;J!T70,0,Q70),Q70),Q70)</f>
        <v>0</v>
      </c>
      <c r="S70" s="796">
        <f>IF(J!Q70&lt;&gt;J!R70,IF(J!Q70&lt;&gt;0,IF(J!S70&lt;&gt;J!T70,J!S70+1,),),)</f>
        <v>0</v>
      </c>
      <c r="T70" s="796">
        <f>IF(J!Q70&lt;&gt;J!R70,IF(J!Q70&lt;&gt;0,IF(J!S70&lt;&gt;J!T70,J!T70,),),)</f>
        <v>0</v>
      </c>
      <c r="U70" s="797">
        <f>IF(J!Q70&lt;&gt;J!R70,IF(J!Q70&lt;&gt;0,IF(J!S70&lt;&gt;J!T70,J!U70,),),)</f>
        <v>0</v>
      </c>
      <c r="V70" s="875">
        <f>IF(J!Q70&lt;&gt;J!R70,IF(J!Q70&lt;&gt;0,IF(J!S70&lt;&gt;J!T70,J!V70,),),)</f>
        <v>0</v>
      </c>
      <c r="W70" s="633">
        <f>IF(Q70="","",$W$5-SUM($Q$7:$Q$45)-SUM($Q$64:Q70))</f>
        <v>0</v>
      </c>
      <c r="AO70" s="86"/>
      <c r="AP70" s="86"/>
      <c r="AQ70" s="86"/>
      <c r="AR70" s="86"/>
      <c r="AS70" s="86"/>
      <c r="AT70" s="86"/>
      <c r="AU70" s="86"/>
      <c r="AV70" s="86"/>
      <c r="AW70" s="86"/>
      <c r="AX70" s="86"/>
      <c r="AY70" s="86"/>
      <c r="CM70" s="86"/>
      <c r="CN70" s="86"/>
    </row>
    <row r="71" spans="2:92" s="367" customFormat="1" ht="15.75" hidden="1" customHeight="1" outlineLevel="1">
      <c r="B71" s="852">
        <f ca="1">IF(J!B71&lt;&gt;"",J!B71,)</f>
        <v>0</v>
      </c>
      <c r="C71" s="454">
        <f ca="1">J!C71</f>
        <v>0</v>
      </c>
      <c r="D71" s="74"/>
      <c r="E71" s="521"/>
      <c r="F71" s="858"/>
      <c r="H71" s="543"/>
      <c r="I71" s="853"/>
      <c r="J71" s="6"/>
      <c r="K71" s="541"/>
      <c r="L71" s="860"/>
      <c r="M71" s="20" t="str">
        <f>IF(J71="","",$M$5-SUM($J$7:J71))</f>
        <v/>
      </c>
      <c r="O71" s="7"/>
      <c r="P71" s="871">
        <f>IF(J!Q71&lt;&gt;J!R71,IF(J!Q71&lt;&gt;0,IF(J!S71&lt;&gt;J!T71,J!P71,),),)</f>
        <v>0</v>
      </c>
      <c r="Q71" s="795">
        <f>IF(J!Q71&lt;&gt;J!R71,IF(J!Q71&lt;&gt;0,IF(J!S71&lt;&gt;J!T71,J!Q71,),),)</f>
        <v>0</v>
      </c>
      <c r="R71" s="628">
        <f>IF(J!Q71&lt;&gt;J!R71,IF(J!Q71&lt;&gt;0,IF(J!S71&lt;&gt;J!T71,0,Q71),Q71),Q71)</f>
        <v>0</v>
      </c>
      <c r="S71" s="796">
        <f>IF(J!Q71&lt;&gt;J!R71,IF(J!Q71&lt;&gt;0,IF(J!S71&lt;&gt;J!T71,J!S71+1,),),)</f>
        <v>0</v>
      </c>
      <c r="T71" s="796">
        <f>IF(J!Q71&lt;&gt;J!R71,IF(J!Q71&lt;&gt;0,IF(J!S71&lt;&gt;J!T71,J!T71,),),)</f>
        <v>0</v>
      </c>
      <c r="U71" s="797">
        <f>IF(J!Q71&lt;&gt;J!R71,IF(J!Q71&lt;&gt;0,IF(J!S71&lt;&gt;J!T71,J!U71,),),)</f>
        <v>0</v>
      </c>
      <c r="V71" s="875">
        <f>IF(J!Q71&lt;&gt;J!R71,IF(J!Q71&lt;&gt;0,IF(J!S71&lt;&gt;J!T71,J!V71,),),)</f>
        <v>0</v>
      </c>
      <c r="W71" s="633">
        <f>IF(Q71="","",$W$5-SUM($Q$7:$Q$45)-SUM($Q$64:Q71))</f>
        <v>0</v>
      </c>
      <c r="AO71" s="86"/>
      <c r="AP71" s="86"/>
      <c r="AQ71" s="86"/>
      <c r="AR71" s="86"/>
      <c r="AS71" s="86"/>
      <c r="AT71" s="86"/>
      <c r="AU71" s="86"/>
      <c r="AV71" s="86"/>
      <c r="AW71" s="86"/>
      <c r="AX71" s="86"/>
      <c r="AY71" s="86"/>
      <c r="CM71" s="86"/>
      <c r="CN71" s="86"/>
    </row>
    <row r="72" spans="2:92" s="367" customFormat="1" ht="15.75" hidden="1" customHeight="1" outlineLevel="1">
      <c r="B72" s="852">
        <f ca="1">IF(J!B72&lt;&gt;"",J!B72,)</f>
        <v>0</v>
      </c>
      <c r="C72" s="454">
        <f ca="1">J!C72</f>
        <v>0</v>
      </c>
      <c r="D72" s="74"/>
      <c r="E72" s="521"/>
      <c r="F72" s="858"/>
      <c r="H72" s="543"/>
      <c r="I72" s="853"/>
      <c r="J72" s="6"/>
      <c r="K72" s="541"/>
      <c r="L72" s="860"/>
      <c r="M72" s="20" t="str">
        <f>IF(J72="","",$M$5-SUM($J$7:J72))</f>
        <v/>
      </c>
      <c r="O72" s="7"/>
      <c r="P72" s="871">
        <f>IF(J!Q72&lt;&gt;J!R72,IF(J!Q72&lt;&gt;0,IF(J!S72&lt;&gt;J!T72,J!P72,),),)</f>
        <v>0</v>
      </c>
      <c r="Q72" s="795">
        <f>IF(J!Q72&lt;&gt;J!R72,IF(J!Q72&lt;&gt;0,IF(J!S72&lt;&gt;J!T72,J!Q72,),),)</f>
        <v>0</v>
      </c>
      <c r="R72" s="628">
        <f>IF(J!Q72&lt;&gt;J!R72,IF(J!Q72&lt;&gt;0,IF(J!S72&lt;&gt;J!T72,0,Q72),Q72),Q72)</f>
        <v>0</v>
      </c>
      <c r="S72" s="796">
        <f>IF(J!Q72&lt;&gt;J!R72,IF(J!Q72&lt;&gt;0,IF(J!S72&lt;&gt;J!T72,J!S72+1,),),)</f>
        <v>0</v>
      </c>
      <c r="T72" s="796">
        <f>IF(J!Q72&lt;&gt;J!R72,IF(J!Q72&lt;&gt;0,IF(J!S72&lt;&gt;J!T72,J!T72,),),)</f>
        <v>0</v>
      </c>
      <c r="U72" s="797">
        <f>IF(J!Q72&lt;&gt;J!R72,IF(J!Q72&lt;&gt;0,IF(J!S72&lt;&gt;J!T72,J!U72,),),)</f>
        <v>0</v>
      </c>
      <c r="V72" s="875">
        <f>IF(J!Q72&lt;&gt;J!R72,IF(J!Q72&lt;&gt;0,IF(J!S72&lt;&gt;J!T72,J!V72,),),)</f>
        <v>0</v>
      </c>
      <c r="W72" s="633">
        <f>IF(Q72="","",$W$5-SUM($Q$7:$Q$45)-SUM($Q$64:Q72))</f>
        <v>0</v>
      </c>
      <c r="AO72" s="86"/>
      <c r="AP72" s="86"/>
      <c r="AQ72" s="86"/>
      <c r="AR72" s="86"/>
      <c r="AS72" s="86"/>
      <c r="AT72" s="86"/>
      <c r="AU72" s="86"/>
      <c r="AV72" s="86"/>
      <c r="AW72" s="86"/>
      <c r="AX72" s="86"/>
      <c r="AY72" s="86"/>
      <c r="CM72" s="86"/>
      <c r="CN72" s="86"/>
    </row>
    <row r="73" spans="2:92" s="367" customFormat="1" ht="15.75" hidden="1" customHeight="1" outlineLevel="1">
      <c r="B73" s="852">
        <f ca="1">IF(J!B73&lt;&gt;"",J!B73,)</f>
        <v>0</v>
      </c>
      <c r="C73" s="454">
        <f ca="1">J!C73</f>
        <v>0</v>
      </c>
      <c r="D73" s="74"/>
      <c r="E73" s="521"/>
      <c r="F73" s="858"/>
      <c r="H73" s="543"/>
      <c r="I73" s="853"/>
      <c r="J73" s="6"/>
      <c r="K73" s="541"/>
      <c r="L73" s="860"/>
      <c r="M73" s="20" t="str">
        <f>IF(J73="","",$M$5-SUM($J$7:J73))</f>
        <v/>
      </c>
      <c r="O73" s="7"/>
      <c r="P73" s="873">
        <f>IF(J!Q73&lt;&gt;J!R73,IF(J!Q73&lt;&gt;0,IF(J!S73&lt;&gt;J!T73,J!P73,),),)</f>
        <v>0</v>
      </c>
      <c r="Q73" s="795">
        <f>IF(J!Q73&lt;&gt;J!R73,IF(J!Q73&lt;&gt;0,IF(J!S73&lt;&gt;J!T73,J!Q73,),),)</f>
        <v>0</v>
      </c>
      <c r="R73" s="628">
        <f>IF(J!Q73&lt;&gt;J!R73,IF(J!Q73&lt;&gt;0,IF(J!S73&lt;&gt;J!T73,0,Q73),Q73),Q73)</f>
        <v>0</v>
      </c>
      <c r="S73" s="796">
        <f>IF(J!Q73&lt;&gt;J!R73,IF(J!Q73&lt;&gt;0,IF(J!S73&lt;&gt;J!T73,J!S73+1,),),)</f>
        <v>0</v>
      </c>
      <c r="T73" s="796">
        <f>IF(J!Q73&lt;&gt;J!R73,IF(J!Q73&lt;&gt;0,IF(J!S73&lt;&gt;J!T73,J!T73,),),)</f>
        <v>0</v>
      </c>
      <c r="U73" s="797">
        <f>IF(J!Q73&lt;&gt;J!R73,IF(J!Q73&lt;&gt;0,IF(J!S73&lt;&gt;J!T73,J!U73,),),)</f>
        <v>0</v>
      </c>
      <c r="V73" s="875">
        <f>IF(J!Q73&lt;&gt;J!R73,IF(J!Q73&lt;&gt;0,IF(J!S73&lt;&gt;J!T73,J!V73,),),)</f>
        <v>0</v>
      </c>
      <c r="W73" s="633">
        <f>IF(Q73="","",$W$5-SUM($Q$7:$Q$45)-SUM($Q$64:Q73))</f>
        <v>0</v>
      </c>
      <c r="AO73" s="86"/>
      <c r="AP73" s="86"/>
      <c r="AQ73" s="86"/>
      <c r="AR73" s="86"/>
      <c r="AS73" s="86"/>
      <c r="AT73" s="86"/>
      <c r="AU73" s="86"/>
      <c r="AV73" s="86"/>
      <c r="AW73" s="86"/>
      <c r="AX73" s="86"/>
      <c r="AY73" s="86"/>
      <c r="CM73" s="86"/>
      <c r="CN73" s="86"/>
    </row>
    <row r="74" spans="2:92" s="367" customFormat="1" ht="15.75" hidden="1" customHeight="1" outlineLevel="1">
      <c r="B74" s="852">
        <f ca="1">IF(J!B74&lt;&gt;"",J!B74,)</f>
        <v>0</v>
      </c>
      <c r="C74" s="454">
        <f ca="1">J!C74</f>
        <v>0</v>
      </c>
      <c r="D74" s="74"/>
      <c r="E74" s="521"/>
      <c r="F74" s="858"/>
      <c r="H74" s="543"/>
      <c r="I74" s="853"/>
      <c r="J74" s="6"/>
      <c r="K74" s="541"/>
      <c r="L74" s="860"/>
      <c r="M74" s="20" t="str">
        <f>IF(J74="","",$M$5-SUM($J$7:J74))</f>
        <v/>
      </c>
      <c r="O74" s="7"/>
      <c r="P74" s="871">
        <f>IF(J!Q74&lt;&gt;J!R74,IF(J!Q74&lt;&gt;0,IF(J!S74&lt;&gt;J!T74,J!P74,),),)</f>
        <v>0</v>
      </c>
      <c r="Q74" s="795">
        <f>IF(J!Q74&lt;&gt;J!R74,IF(J!Q74&lt;&gt;0,IF(J!S74&lt;&gt;J!T74,J!Q74,),),)</f>
        <v>0</v>
      </c>
      <c r="R74" s="628">
        <f>IF(J!Q74&lt;&gt;J!R74,IF(J!Q74&lt;&gt;0,IF(J!S74&lt;&gt;J!T74,0,Q74),Q74),Q74)</f>
        <v>0</v>
      </c>
      <c r="S74" s="796">
        <f>IF(J!Q74&lt;&gt;J!R74,IF(J!Q74&lt;&gt;0,IF(J!S74&lt;&gt;J!T74,J!S74+1,),),)</f>
        <v>0</v>
      </c>
      <c r="T74" s="796">
        <f>IF(J!Q74&lt;&gt;J!R74,IF(J!Q74&lt;&gt;0,IF(J!S74&lt;&gt;J!T74,J!T74,),),)</f>
        <v>0</v>
      </c>
      <c r="U74" s="797">
        <f>IF(J!Q74&lt;&gt;J!R74,IF(J!Q74&lt;&gt;0,IF(J!S74&lt;&gt;J!T74,J!U74,),),)</f>
        <v>0</v>
      </c>
      <c r="V74" s="875">
        <f>IF(J!Q74&lt;&gt;J!R74,IF(J!Q74&lt;&gt;0,IF(J!S74&lt;&gt;J!T74,J!V74,),),)</f>
        <v>0</v>
      </c>
      <c r="W74" s="633">
        <f>IF(Q74="","",$W$5-SUM($Q$7:$Q$45)-SUM($Q$64:Q74))</f>
        <v>0</v>
      </c>
      <c r="AO74" s="86"/>
      <c r="AP74" s="86"/>
      <c r="AQ74" s="86"/>
      <c r="AR74" s="86"/>
      <c r="AS74" s="86"/>
      <c r="AT74" s="86"/>
      <c r="AU74" s="86"/>
      <c r="AV74" s="86"/>
      <c r="AW74" s="86"/>
      <c r="AX74" s="86"/>
      <c r="AY74" s="86"/>
      <c r="CM74" s="86"/>
      <c r="CN74" s="86"/>
    </row>
    <row r="75" spans="2:92" s="367" customFormat="1" ht="15.75" hidden="1" customHeight="1" outlineLevel="1">
      <c r="B75" s="852">
        <f ca="1">IF(J!B75&lt;&gt;"",J!B75,)</f>
        <v>0</v>
      </c>
      <c r="C75" s="454">
        <f ca="1">J!C75</f>
        <v>0</v>
      </c>
      <c r="D75" s="74"/>
      <c r="E75" s="521"/>
      <c r="F75" s="858"/>
      <c r="H75" s="543"/>
      <c r="I75" s="853"/>
      <c r="J75" s="6"/>
      <c r="K75" s="541"/>
      <c r="L75" s="860"/>
      <c r="M75" s="20" t="str">
        <f>IF(J75="","",$M$5-SUM($J$7:J75))</f>
        <v/>
      </c>
      <c r="O75" s="7"/>
      <c r="P75" s="873">
        <f>IF(J!Q75&lt;&gt;J!R75,IF(J!Q75&lt;&gt;0,IF(J!S75&lt;&gt;J!T75,J!P75,),),)</f>
        <v>0</v>
      </c>
      <c r="Q75" s="795">
        <f>IF(J!Q75&lt;&gt;J!R75,IF(J!Q75&lt;&gt;0,IF(J!S75&lt;&gt;J!T75,J!Q75,),),)</f>
        <v>0</v>
      </c>
      <c r="R75" s="628">
        <f>IF(J!Q75&lt;&gt;J!R75,IF(J!Q75&lt;&gt;0,IF(J!S75&lt;&gt;J!T75,0,Q75),Q75),Q75)</f>
        <v>0</v>
      </c>
      <c r="S75" s="796">
        <f>IF(J!Q75&lt;&gt;J!R75,IF(J!Q75&lt;&gt;0,IF(J!S75&lt;&gt;J!T75,J!S75+1,),),)</f>
        <v>0</v>
      </c>
      <c r="T75" s="796">
        <f>IF(J!Q75&lt;&gt;J!R75,IF(J!Q75&lt;&gt;0,IF(J!S75&lt;&gt;J!T75,J!T75,),),)</f>
        <v>0</v>
      </c>
      <c r="U75" s="797">
        <f>IF(J!Q75&lt;&gt;J!R75,IF(J!Q75&lt;&gt;0,IF(J!S75&lt;&gt;J!T75,J!U75,),),)</f>
        <v>0</v>
      </c>
      <c r="V75" s="875">
        <f>IF(J!Q75&lt;&gt;J!R75,IF(J!Q75&lt;&gt;0,IF(J!S75&lt;&gt;J!T75,J!V75,),),)</f>
        <v>0</v>
      </c>
      <c r="W75" s="633">
        <f>IF(Q75="","",$W$5-SUM($Q$7:$Q$45)-SUM($Q$64:Q75))</f>
        <v>0</v>
      </c>
      <c r="AO75" s="86"/>
      <c r="AP75" s="86"/>
      <c r="AQ75" s="86"/>
      <c r="AR75" s="86"/>
      <c r="AS75" s="86"/>
      <c r="AT75" s="86"/>
      <c r="AU75" s="86"/>
      <c r="AV75" s="86"/>
      <c r="AW75" s="86"/>
      <c r="AX75" s="86"/>
      <c r="AY75" s="86"/>
      <c r="CM75" s="86"/>
      <c r="CN75" s="86"/>
    </row>
    <row r="76" spans="2:92" s="367" customFormat="1" ht="15.75" hidden="1" customHeight="1" outlineLevel="1">
      <c r="B76" s="852">
        <f ca="1">IF(J!B76&lt;&gt;"",J!B76,)</f>
        <v>0</v>
      </c>
      <c r="C76" s="454">
        <f ca="1">J!C76</f>
        <v>0</v>
      </c>
      <c r="D76" s="74"/>
      <c r="E76" s="521"/>
      <c r="F76" s="858"/>
      <c r="H76" s="543"/>
      <c r="I76" s="853"/>
      <c r="J76" s="6"/>
      <c r="K76" s="541"/>
      <c r="L76" s="860"/>
      <c r="M76" s="20" t="str">
        <f>IF(J76="","",$M$5-SUM($J$7:J76))</f>
        <v/>
      </c>
      <c r="O76" s="7"/>
      <c r="P76" s="871">
        <f>IF(J!Q76&lt;&gt;J!R76,IF(J!Q76&lt;&gt;0,IF(J!S76&lt;&gt;J!T76,J!P76,),),)</f>
        <v>0</v>
      </c>
      <c r="Q76" s="795">
        <f>IF(J!Q76&lt;&gt;J!R76,IF(J!Q76&lt;&gt;0,IF(J!S76&lt;&gt;J!T76,J!Q76,),),)</f>
        <v>0</v>
      </c>
      <c r="R76" s="628">
        <f>IF(J!Q76&lt;&gt;J!R76,IF(J!Q76&lt;&gt;0,IF(J!S76&lt;&gt;J!T76,0,Q76),Q76),Q76)</f>
        <v>0</v>
      </c>
      <c r="S76" s="796">
        <f>IF(J!Q76&lt;&gt;J!R76,IF(J!Q76&lt;&gt;0,IF(J!S76&lt;&gt;J!T76,J!S76+1,),),)</f>
        <v>0</v>
      </c>
      <c r="T76" s="796">
        <f>IF(J!Q76&lt;&gt;J!R76,IF(J!Q76&lt;&gt;0,IF(J!S76&lt;&gt;J!T76,J!T76,),),)</f>
        <v>0</v>
      </c>
      <c r="U76" s="797">
        <f>IF(J!Q76&lt;&gt;J!R76,IF(J!Q76&lt;&gt;0,IF(J!S76&lt;&gt;J!T76,J!U76,),),)</f>
        <v>0</v>
      </c>
      <c r="V76" s="875">
        <f>IF(J!Q76&lt;&gt;J!R76,IF(J!Q76&lt;&gt;0,IF(J!S76&lt;&gt;J!T76,J!V76,),),)</f>
        <v>0</v>
      </c>
      <c r="W76" s="633">
        <f>IF(Q76="","",$W$5-SUM($Q$7:$Q$45)-SUM($Q$64:Q76))</f>
        <v>0</v>
      </c>
      <c r="AO76" s="86"/>
      <c r="AP76" s="86"/>
      <c r="AQ76" s="86"/>
      <c r="AR76" s="86"/>
      <c r="AS76" s="86"/>
      <c r="AT76" s="86"/>
      <c r="AU76" s="86"/>
      <c r="AV76" s="86"/>
      <c r="AW76" s="86"/>
      <c r="AX76" s="86"/>
      <c r="AY76" s="86"/>
      <c r="CM76" s="86"/>
      <c r="CN76" s="86"/>
    </row>
    <row r="77" spans="2:92" s="367" customFormat="1" ht="15.75" hidden="1" customHeight="1" outlineLevel="1">
      <c r="B77" s="852">
        <f ca="1">IF(J!B77&lt;&gt;"",J!B77,)</f>
        <v>0</v>
      </c>
      <c r="C77" s="454">
        <f ca="1">J!C77</f>
        <v>0</v>
      </c>
      <c r="D77" s="74"/>
      <c r="E77" s="521"/>
      <c r="F77" s="858"/>
      <c r="H77" s="543"/>
      <c r="I77" s="853"/>
      <c r="J77" s="6"/>
      <c r="K77" s="541"/>
      <c r="L77" s="860"/>
      <c r="M77" s="20" t="str">
        <f>IF(J77="","",$M$5-SUM($J$7:J77))</f>
        <v/>
      </c>
      <c r="O77" s="7"/>
      <c r="P77" s="871">
        <f>IF(J!Q77&lt;&gt;J!R77,IF(J!Q77&lt;&gt;0,IF(J!S77&lt;&gt;J!T77,J!P77,),),)</f>
        <v>0</v>
      </c>
      <c r="Q77" s="795">
        <f>IF(J!Q77&lt;&gt;J!R77,IF(J!Q77&lt;&gt;0,IF(J!S77&lt;&gt;J!T77,J!Q77,),),)</f>
        <v>0</v>
      </c>
      <c r="R77" s="628">
        <f>IF(J!Q77&lt;&gt;J!R77,IF(J!Q77&lt;&gt;0,IF(J!S77&lt;&gt;J!T77,0,Q77),Q77),Q77)</f>
        <v>0</v>
      </c>
      <c r="S77" s="796">
        <f>IF(J!Q77&lt;&gt;J!R77,IF(J!Q77&lt;&gt;0,IF(J!S77&lt;&gt;J!T77,J!S77+1,),),)</f>
        <v>0</v>
      </c>
      <c r="T77" s="796">
        <f>IF(J!Q77&lt;&gt;J!R77,IF(J!Q77&lt;&gt;0,IF(J!S77&lt;&gt;J!T77,J!T77,),),)</f>
        <v>0</v>
      </c>
      <c r="U77" s="797">
        <f>IF(J!Q77&lt;&gt;J!R77,IF(J!Q77&lt;&gt;0,IF(J!S77&lt;&gt;J!T77,J!U77,),),)</f>
        <v>0</v>
      </c>
      <c r="V77" s="875">
        <f>IF(J!Q77&lt;&gt;J!R77,IF(J!Q77&lt;&gt;0,IF(J!S77&lt;&gt;J!T77,J!V77,),),)</f>
        <v>0</v>
      </c>
      <c r="W77" s="633">
        <f>IF(Q77="","",$W$5-SUM($Q$7:$Q$45)-SUM($Q$64:Q77))</f>
        <v>0</v>
      </c>
      <c r="AO77" s="86"/>
      <c r="AP77" s="86"/>
      <c r="AQ77" s="86"/>
      <c r="AR77" s="86"/>
      <c r="AS77" s="86"/>
      <c r="AT77" s="86"/>
      <c r="AU77" s="86"/>
      <c r="AV77" s="86"/>
      <c r="AW77" s="86"/>
      <c r="AX77" s="86"/>
      <c r="AY77" s="86"/>
      <c r="CM77" s="86"/>
      <c r="CN77" s="86"/>
    </row>
    <row r="78" spans="2:92" s="367" customFormat="1" ht="15.75" hidden="1" customHeight="1" outlineLevel="1">
      <c r="B78" s="852">
        <f ca="1">IF(J!B78&lt;&gt;"",J!B78,)</f>
        <v>0</v>
      </c>
      <c r="C78" s="454">
        <f ca="1">J!C78</f>
        <v>0</v>
      </c>
      <c r="D78" s="74"/>
      <c r="E78" s="521"/>
      <c r="F78" s="858"/>
      <c r="H78" s="543"/>
      <c r="I78" s="853"/>
      <c r="J78" s="6"/>
      <c r="K78" s="541"/>
      <c r="L78" s="860"/>
      <c r="M78" s="20" t="str">
        <f>IF(J78="","",$M$5-SUM($J$7:J78))</f>
        <v/>
      </c>
      <c r="O78" s="7"/>
      <c r="P78" s="873">
        <f>IF(J!Q78&lt;&gt;J!R78,IF(J!Q78&lt;&gt;0,IF(J!S78&lt;&gt;J!T78,J!P78,),),)</f>
        <v>0</v>
      </c>
      <c r="Q78" s="795">
        <f>IF(J!Q78&lt;&gt;J!R78,IF(J!Q78&lt;&gt;0,IF(J!S78&lt;&gt;J!T78,J!Q78,),),)</f>
        <v>0</v>
      </c>
      <c r="R78" s="628">
        <f>IF(J!Q78&lt;&gt;J!R78,IF(J!Q78&lt;&gt;0,IF(J!S78&lt;&gt;J!T78,0,Q78),Q78),Q78)</f>
        <v>0</v>
      </c>
      <c r="S78" s="796">
        <f>IF(J!Q78&lt;&gt;J!R78,IF(J!Q78&lt;&gt;0,IF(J!S78&lt;&gt;J!T78,J!S78+1,),),)</f>
        <v>0</v>
      </c>
      <c r="T78" s="796">
        <f>IF(J!Q78&lt;&gt;J!R78,IF(J!Q78&lt;&gt;0,IF(J!S78&lt;&gt;J!T78,J!T78,),),)</f>
        <v>0</v>
      </c>
      <c r="U78" s="797">
        <f>IF(J!Q78&lt;&gt;J!R78,IF(J!Q78&lt;&gt;0,IF(J!S78&lt;&gt;J!T78,J!U78,),),)</f>
        <v>0</v>
      </c>
      <c r="V78" s="875">
        <f>IF(J!Q78&lt;&gt;J!R78,IF(J!Q78&lt;&gt;0,IF(J!S78&lt;&gt;J!T78,J!V78,),),)</f>
        <v>0</v>
      </c>
      <c r="W78" s="633">
        <f>IF(Q78="","",$W$5-SUM($Q$7:$Q$45)-SUM($Q$64:Q78))</f>
        <v>0</v>
      </c>
      <c r="AO78" s="86"/>
      <c r="AP78" s="86"/>
      <c r="AQ78" s="86"/>
      <c r="AR78" s="86"/>
      <c r="AS78" s="86"/>
      <c r="AT78" s="86"/>
      <c r="AU78" s="86"/>
      <c r="AV78" s="86"/>
      <c r="AW78" s="86"/>
      <c r="AX78" s="86"/>
      <c r="AY78" s="86"/>
      <c r="CM78" s="86"/>
      <c r="CN78" s="86"/>
    </row>
    <row r="79" spans="2:92" s="367" customFormat="1" ht="15.75" hidden="1" customHeight="1" outlineLevel="1">
      <c r="B79" s="852">
        <f ca="1">IF(J!B79&lt;&gt;"",J!B79,)</f>
        <v>0</v>
      </c>
      <c r="C79" s="454">
        <f ca="1">J!C79</f>
        <v>0</v>
      </c>
      <c r="D79" s="74"/>
      <c r="E79" s="521"/>
      <c r="F79" s="858"/>
      <c r="H79" s="543"/>
      <c r="I79" s="853"/>
      <c r="J79" s="6"/>
      <c r="K79" s="541"/>
      <c r="L79" s="860"/>
      <c r="M79" s="20" t="str">
        <f>IF(J79="","",$M$5-SUM($J$7:J79))</f>
        <v/>
      </c>
      <c r="O79" s="7"/>
      <c r="P79" s="871">
        <f>IF(J!Q79&lt;&gt;J!R79,IF(J!Q79&lt;&gt;0,IF(J!S79&lt;&gt;J!T79,J!P79,),),)</f>
        <v>0</v>
      </c>
      <c r="Q79" s="795">
        <f>IF(J!Q79&lt;&gt;J!R79,IF(J!Q79&lt;&gt;0,IF(J!S79&lt;&gt;J!T79,J!Q79,),),)</f>
        <v>0</v>
      </c>
      <c r="R79" s="628">
        <f>IF(J!Q79&lt;&gt;J!R79,IF(J!Q79&lt;&gt;0,IF(J!S79&lt;&gt;J!T79,0,Q79),Q79),Q79)</f>
        <v>0</v>
      </c>
      <c r="S79" s="796">
        <f>IF(J!Q79&lt;&gt;J!R79,IF(J!Q79&lt;&gt;0,IF(J!S79&lt;&gt;J!T79,J!S79+1,),),)</f>
        <v>0</v>
      </c>
      <c r="T79" s="796">
        <f>IF(J!Q79&lt;&gt;J!R79,IF(J!Q79&lt;&gt;0,IF(J!S79&lt;&gt;J!T79,J!T79,),),)</f>
        <v>0</v>
      </c>
      <c r="U79" s="797">
        <f>IF(J!Q79&lt;&gt;J!R79,IF(J!Q79&lt;&gt;0,IF(J!S79&lt;&gt;J!T79,J!U79,),),)</f>
        <v>0</v>
      </c>
      <c r="V79" s="875">
        <f>IF(J!Q79&lt;&gt;J!R79,IF(J!Q79&lt;&gt;0,IF(J!S79&lt;&gt;J!T79,J!V79,),),)</f>
        <v>0</v>
      </c>
      <c r="W79" s="633">
        <f>IF(Q79="","",$W$5-SUM($Q$7:$Q$45)-SUM($Q$64:Q79))</f>
        <v>0</v>
      </c>
      <c r="AO79" s="86"/>
      <c r="AP79" s="86"/>
      <c r="AQ79" s="86"/>
      <c r="AR79" s="86"/>
      <c r="AS79" s="86"/>
      <c r="AT79" s="86"/>
      <c r="AU79" s="86"/>
      <c r="AV79" s="86"/>
      <c r="AW79" s="86"/>
      <c r="AX79" s="86"/>
      <c r="AY79" s="86"/>
      <c r="CM79" s="86"/>
      <c r="CN79" s="86"/>
    </row>
    <row r="80" spans="2:92" s="367" customFormat="1" ht="15.75" hidden="1" customHeight="1" outlineLevel="1">
      <c r="B80" s="852">
        <f ca="1">IF(J!B80&lt;&gt;"",J!B80,)</f>
        <v>0</v>
      </c>
      <c r="C80" s="454">
        <f ca="1">J!C80</f>
        <v>0</v>
      </c>
      <c r="D80" s="74"/>
      <c r="E80" s="521"/>
      <c r="F80" s="858"/>
      <c r="H80" s="543"/>
      <c r="I80" s="853"/>
      <c r="J80" s="6"/>
      <c r="K80" s="541"/>
      <c r="L80" s="860"/>
      <c r="M80" s="20" t="str">
        <f>IF(J80="","",$M$5-SUM($J$7:J80))</f>
        <v/>
      </c>
      <c r="O80" s="7"/>
      <c r="P80" s="873">
        <f>IF(J!Q80&lt;&gt;J!R80,IF(J!Q80&lt;&gt;0,IF(J!S80&lt;&gt;J!T80,J!P80,),),)</f>
        <v>0</v>
      </c>
      <c r="Q80" s="795">
        <f>IF(J!Q80&lt;&gt;J!R80,IF(J!Q80&lt;&gt;0,IF(J!S80&lt;&gt;J!T80,J!Q80,),),)</f>
        <v>0</v>
      </c>
      <c r="R80" s="628">
        <f>IF(J!Q80&lt;&gt;J!R80,IF(J!Q80&lt;&gt;0,IF(J!S80&lt;&gt;J!T80,0,Q80),Q80),Q80)</f>
        <v>0</v>
      </c>
      <c r="S80" s="796">
        <f>IF(J!Q80&lt;&gt;J!R80,IF(J!Q80&lt;&gt;0,IF(J!S80&lt;&gt;J!T80,J!S80+1,),),)</f>
        <v>0</v>
      </c>
      <c r="T80" s="796">
        <f>IF(J!Q80&lt;&gt;J!R80,IF(J!Q80&lt;&gt;0,IF(J!S80&lt;&gt;J!T80,J!T80,),),)</f>
        <v>0</v>
      </c>
      <c r="U80" s="797">
        <f>IF(J!Q80&lt;&gt;J!R80,IF(J!Q80&lt;&gt;0,IF(J!S80&lt;&gt;J!T80,J!U80,),),)</f>
        <v>0</v>
      </c>
      <c r="V80" s="875">
        <f>IF(J!Q80&lt;&gt;J!R80,IF(J!Q80&lt;&gt;0,IF(J!S80&lt;&gt;J!T80,J!V80,),),)</f>
        <v>0</v>
      </c>
      <c r="W80" s="633">
        <f>IF(Q80="","",$W$5-SUM($Q$7:$Q$45)-SUM($Q$64:Q80))</f>
        <v>0</v>
      </c>
      <c r="AO80" s="86"/>
      <c r="AP80" s="86"/>
      <c r="AQ80" s="86"/>
      <c r="AR80" s="86"/>
      <c r="AS80" s="86"/>
      <c r="AT80" s="86"/>
      <c r="AU80" s="86"/>
      <c r="AV80" s="86"/>
      <c r="AW80" s="86"/>
      <c r="AX80" s="86"/>
      <c r="AY80" s="86"/>
      <c r="CM80" s="86"/>
      <c r="CN80" s="86"/>
    </row>
    <row r="81" spans="2:92" s="367" customFormat="1" ht="15.75" hidden="1" customHeight="1" outlineLevel="1">
      <c r="B81" s="852">
        <f ca="1">IF(J!B81&lt;&gt;"",J!B81,)</f>
        <v>0</v>
      </c>
      <c r="C81" s="454">
        <f ca="1">J!C81</f>
        <v>0</v>
      </c>
      <c r="D81" s="74"/>
      <c r="E81" s="521"/>
      <c r="F81" s="858"/>
      <c r="H81" s="543"/>
      <c r="I81" s="853"/>
      <c r="J81" s="6"/>
      <c r="K81" s="541"/>
      <c r="L81" s="860"/>
      <c r="M81" s="20" t="str">
        <f>IF(J81="","",$M$5-SUM($J$7:J81))</f>
        <v/>
      </c>
      <c r="O81" s="7"/>
      <c r="P81" s="873">
        <f>IF(J!Q81&lt;&gt;J!R81,IF(J!Q81&lt;&gt;0,IF(J!S81&lt;&gt;J!T81,J!P81,),),)</f>
        <v>0</v>
      </c>
      <c r="Q81" s="795">
        <f>IF(J!Q81&lt;&gt;J!R81,IF(J!Q81&lt;&gt;0,IF(J!S81&lt;&gt;J!T81,J!Q81,),),)</f>
        <v>0</v>
      </c>
      <c r="R81" s="628">
        <f>IF(J!Q81&lt;&gt;J!R81,IF(J!Q81&lt;&gt;0,IF(J!S81&lt;&gt;J!T81,0,Q81),Q81),Q81)</f>
        <v>0</v>
      </c>
      <c r="S81" s="796">
        <f>IF(J!Q81&lt;&gt;J!R81,IF(J!Q81&lt;&gt;0,IF(J!S81&lt;&gt;J!T81,J!S81+1,),),)</f>
        <v>0</v>
      </c>
      <c r="T81" s="796">
        <f>IF(J!Q81&lt;&gt;J!R81,IF(J!Q81&lt;&gt;0,IF(J!S81&lt;&gt;J!T81,J!T81,),),)</f>
        <v>0</v>
      </c>
      <c r="U81" s="797">
        <f>IF(J!Q81&lt;&gt;J!R81,IF(J!Q81&lt;&gt;0,IF(J!S81&lt;&gt;J!T81,J!U81,),),)</f>
        <v>0</v>
      </c>
      <c r="V81" s="875">
        <f>IF(J!Q81&lt;&gt;J!R81,IF(J!Q81&lt;&gt;0,IF(J!S81&lt;&gt;J!T81,J!V81,),),)</f>
        <v>0</v>
      </c>
      <c r="W81" s="633">
        <f>IF(Q81="","",$W$5-SUM($Q$7:$Q$45)-SUM($Q$64:Q81))</f>
        <v>0</v>
      </c>
      <c r="AO81" s="86"/>
      <c r="AP81" s="86"/>
      <c r="AQ81" s="86"/>
      <c r="AR81" s="86"/>
      <c r="AS81" s="86"/>
      <c r="AT81" s="86"/>
      <c r="AU81" s="86"/>
      <c r="AV81" s="86"/>
      <c r="AW81" s="86"/>
      <c r="AX81" s="86"/>
      <c r="AY81" s="86"/>
      <c r="CM81" s="86"/>
      <c r="CN81" s="86"/>
    </row>
    <row r="82" spans="2:92" s="367" customFormat="1" ht="15.75" hidden="1" customHeight="1" outlineLevel="1">
      <c r="B82" s="852">
        <f ca="1">IF(J!B82&lt;&gt;"",J!B82,)</f>
        <v>0</v>
      </c>
      <c r="C82" s="454">
        <f ca="1">J!C82</f>
        <v>0</v>
      </c>
      <c r="D82" s="74"/>
      <c r="E82" s="521"/>
      <c r="F82" s="858"/>
      <c r="H82" s="543"/>
      <c r="I82" s="853"/>
      <c r="J82" s="6"/>
      <c r="K82" s="541"/>
      <c r="L82" s="860"/>
      <c r="M82" s="20" t="str">
        <f>IF(J82="","",$M$5-SUM($J$7:J82))</f>
        <v/>
      </c>
      <c r="O82" s="7"/>
      <c r="P82" s="873">
        <f>IF(J!Q82&lt;&gt;J!R82,IF(J!Q82&lt;&gt;0,IF(J!S82&lt;&gt;J!T82,J!P82,),),)</f>
        <v>0</v>
      </c>
      <c r="Q82" s="795">
        <f>IF(J!Q82&lt;&gt;J!R82,IF(J!Q82&lt;&gt;0,IF(J!S82&lt;&gt;J!T82,J!Q82,),),)</f>
        <v>0</v>
      </c>
      <c r="R82" s="628">
        <f>IF(J!Q82&lt;&gt;J!R82,IF(J!Q82&lt;&gt;0,IF(J!S82&lt;&gt;J!T82,0,Q82),Q82),Q82)</f>
        <v>0</v>
      </c>
      <c r="S82" s="796">
        <f>IF(J!Q82&lt;&gt;J!R82,IF(J!Q82&lt;&gt;0,IF(J!S82&lt;&gt;J!T82,J!S82+1,),),)</f>
        <v>0</v>
      </c>
      <c r="T82" s="796">
        <f>IF(J!Q82&lt;&gt;J!R82,IF(J!Q82&lt;&gt;0,IF(J!S82&lt;&gt;J!T82,J!T82,),),)</f>
        <v>0</v>
      </c>
      <c r="U82" s="797">
        <f>IF(J!Q82&lt;&gt;J!R82,IF(J!Q82&lt;&gt;0,IF(J!S82&lt;&gt;J!T82,J!U82,),),)</f>
        <v>0</v>
      </c>
      <c r="V82" s="875">
        <f>IF(J!Q82&lt;&gt;J!R82,IF(J!Q82&lt;&gt;0,IF(J!S82&lt;&gt;J!T82,J!V82,),),)</f>
        <v>0</v>
      </c>
      <c r="W82" s="633">
        <f>IF(Q82="","",$W$5-SUM($Q$7:$Q$45)-SUM($Q$64:Q82))</f>
        <v>0</v>
      </c>
      <c r="AO82" s="86"/>
      <c r="AP82" s="86"/>
      <c r="AQ82" s="86"/>
      <c r="AR82" s="86"/>
      <c r="AS82" s="86"/>
      <c r="AT82" s="86"/>
      <c r="AU82" s="86"/>
      <c r="AV82" s="86"/>
      <c r="AW82" s="86"/>
      <c r="AX82" s="86"/>
      <c r="AY82" s="86"/>
      <c r="CM82" s="86"/>
      <c r="CN82" s="86"/>
    </row>
    <row r="83" spans="2:92" s="367" customFormat="1" ht="15.75" hidden="1" customHeight="1" outlineLevel="1">
      <c r="B83" s="852">
        <f ca="1">IF(J!B83&lt;&gt;"",J!B83,)</f>
        <v>0</v>
      </c>
      <c r="C83" s="454">
        <f ca="1">J!C83</f>
        <v>0</v>
      </c>
      <c r="D83" s="74"/>
      <c r="E83" s="521"/>
      <c r="F83" s="858"/>
      <c r="H83" s="543"/>
      <c r="I83" s="853"/>
      <c r="J83" s="6"/>
      <c r="K83" s="541"/>
      <c r="L83" s="860"/>
      <c r="M83" s="20" t="str">
        <f>IF(J83="","",$M$5-SUM($J$7:J83))</f>
        <v/>
      </c>
      <c r="O83" s="7"/>
      <c r="P83" s="873">
        <f>IF(J!Q83&lt;&gt;J!R83,IF(J!Q83&lt;&gt;0,IF(J!S83&lt;&gt;J!T83,J!P83,),),)</f>
        <v>0</v>
      </c>
      <c r="Q83" s="795">
        <f>IF(J!Q83&lt;&gt;J!R83,IF(J!Q83&lt;&gt;0,IF(J!S83&lt;&gt;J!T83,J!Q83,),),)</f>
        <v>0</v>
      </c>
      <c r="R83" s="628">
        <f>IF(J!Q83&lt;&gt;J!R83,IF(J!Q83&lt;&gt;0,IF(J!S83&lt;&gt;J!T83,0,Q83),Q83),Q83)</f>
        <v>0</v>
      </c>
      <c r="S83" s="796">
        <f>IF(J!Q83&lt;&gt;J!R83,IF(J!Q83&lt;&gt;0,IF(J!S83&lt;&gt;J!T83,J!S83+1,),),)</f>
        <v>0</v>
      </c>
      <c r="T83" s="796">
        <f>IF(J!Q83&lt;&gt;J!R83,IF(J!Q83&lt;&gt;0,IF(J!S83&lt;&gt;J!T83,J!T83,),),)</f>
        <v>0</v>
      </c>
      <c r="U83" s="797">
        <f>IF(J!Q83&lt;&gt;J!R83,IF(J!Q83&lt;&gt;0,IF(J!S83&lt;&gt;J!T83,J!U83,),),)</f>
        <v>0</v>
      </c>
      <c r="V83" s="875">
        <f>IF(J!Q83&lt;&gt;J!R83,IF(J!Q83&lt;&gt;0,IF(J!S83&lt;&gt;J!T83,J!V83,),),)</f>
        <v>0</v>
      </c>
      <c r="W83" s="633">
        <f>IF(Q83="","",$W$5-SUM($Q$7:$Q$45)-SUM($Q$64:Q83))</f>
        <v>0</v>
      </c>
      <c r="AO83" s="86"/>
      <c r="AP83" s="86"/>
      <c r="AQ83" s="86"/>
      <c r="AR83" s="86"/>
      <c r="AS83" s="86"/>
      <c r="AT83" s="86"/>
      <c r="AU83" s="86"/>
      <c r="AV83" s="86"/>
      <c r="AW83" s="86"/>
      <c r="AX83" s="86"/>
      <c r="AY83" s="86"/>
      <c r="CM83" s="86"/>
      <c r="CN83" s="86"/>
    </row>
    <row r="84" spans="2:92" s="367" customFormat="1" ht="15.75" hidden="1" customHeight="1" outlineLevel="1">
      <c r="B84" s="852">
        <f ca="1">IF(J!B84&lt;&gt;"",J!B84,)</f>
        <v>0</v>
      </c>
      <c r="C84" s="454">
        <f ca="1">J!C84</f>
        <v>0</v>
      </c>
      <c r="D84" s="74"/>
      <c r="E84" s="521"/>
      <c r="F84" s="858"/>
      <c r="H84" s="543"/>
      <c r="I84" s="853"/>
      <c r="J84" s="6"/>
      <c r="K84" s="541"/>
      <c r="L84" s="860"/>
      <c r="M84" s="20" t="str">
        <f>IF(J84="","",$M$5-SUM($J$7:J84))</f>
        <v/>
      </c>
      <c r="O84" s="7"/>
      <c r="P84" s="873">
        <f>IF(J!Q84&lt;&gt;J!R84,IF(J!Q84&lt;&gt;0,IF(J!S84&lt;&gt;J!T84,J!P84,),),)</f>
        <v>0</v>
      </c>
      <c r="Q84" s="795">
        <f>IF(J!Q84&lt;&gt;J!R84,IF(J!Q84&lt;&gt;0,IF(J!S84&lt;&gt;J!T84,J!Q84,),),)</f>
        <v>0</v>
      </c>
      <c r="R84" s="628">
        <f>IF(J!Q84&lt;&gt;J!R84,IF(J!Q84&lt;&gt;0,IF(J!S84&lt;&gt;J!T84,0,Q84),Q84),Q84)</f>
        <v>0</v>
      </c>
      <c r="S84" s="796">
        <f>IF(J!Q84&lt;&gt;J!R84,IF(J!Q84&lt;&gt;0,IF(J!S84&lt;&gt;J!T84,J!S84+1,),),)</f>
        <v>0</v>
      </c>
      <c r="T84" s="796">
        <f>IF(J!Q84&lt;&gt;J!R84,IF(J!Q84&lt;&gt;0,IF(J!S84&lt;&gt;J!T84,J!T84,),),)</f>
        <v>0</v>
      </c>
      <c r="U84" s="797">
        <f>IF(J!Q84&lt;&gt;J!R84,IF(J!Q84&lt;&gt;0,IF(J!S84&lt;&gt;J!T84,J!U84,),),)</f>
        <v>0</v>
      </c>
      <c r="V84" s="875">
        <f>IF(J!Q84&lt;&gt;J!R84,IF(J!Q84&lt;&gt;0,IF(J!S84&lt;&gt;J!T84,J!V84,),),)</f>
        <v>0</v>
      </c>
      <c r="W84" s="633">
        <f>IF(Q84="","",$W$5-SUM($Q$7:$Q$45)-SUM($Q$64:Q84))</f>
        <v>0</v>
      </c>
      <c r="AO84" s="86"/>
      <c r="AP84" s="86"/>
      <c r="AQ84" s="86"/>
      <c r="AR84" s="86"/>
      <c r="AS84" s="86"/>
      <c r="AT84" s="86"/>
      <c r="AU84" s="86"/>
      <c r="AV84" s="86"/>
      <c r="AW84" s="86"/>
      <c r="AX84" s="86"/>
      <c r="AY84" s="86"/>
      <c r="CM84" s="86"/>
      <c r="CN84" s="86"/>
    </row>
    <row r="85" spans="2:92" s="367" customFormat="1" ht="15.75" hidden="1" customHeight="1" outlineLevel="1">
      <c r="B85" s="852">
        <f ca="1">IF(J!B85&lt;&gt;"",J!B85,)</f>
        <v>0</v>
      </c>
      <c r="C85" s="454">
        <f ca="1">J!C85</f>
        <v>0</v>
      </c>
      <c r="D85" s="74"/>
      <c r="E85" s="521"/>
      <c r="F85" s="858"/>
      <c r="H85" s="543"/>
      <c r="I85" s="853"/>
      <c r="J85" s="6"/>
      <c r="K85" s="541"/>
      <c r="L85" s="860"/>
      <c r="M85" s="20" t="str">
        <f>IF(J85="","",$M$5-SUM($J$7:J85))</f>
        <v/>
      </c>
      <c r="O85" s="7"/>
      <c r="P85" s="873">
        <f>IF(J!Q85&lt;&gt;J!R85,IF(J!Q85&lt;&gt;0,IF(J!S85&lt;&gt;J!T85,J!P85,),),)</f>
        <v>0</v>
      </c>
      <c r="Q85" s="795">
        <f>IF(J!Q85&lt;&gt;J!R85,IF(J!Q85&lt;&gt;0,IF(J!S85&lt;&gt;J!T85,J!Q85,),),)</f>
        <v>0</v>
      </c>
      <c r="R85" s="628">
        <f>IF(J!Q85&lt;&gt;J!R85,IF(J!Q85&lt;&gt;0,IF(J!S85&lt;&gt;J!T85,0,Q85),Q85),Q85)</f>
        <v>0</v>
      </c>
      <c r="S85" s="796">
        <f>IF(J!Q85&lt;&gt;J!R85,IF(J!Q85&lt;&gt;0,IF(J!S85&lt;&gt;J!T85,J!S85+1,),),)</f>
        <v>0</v>
      </c>
      <c r="T85" s="796">
        <f>IF(J!Q85&lt;&gt;J!R85,IF(J!Q85&lt;&gt;0,IF(J!S85&lt;&gt;J!T85,J!T85,),),)</f>
        <v>0</v>
      </c>
      <c r="U85" s="797">
        <f>IF(J!Q85&lt;&gt;J!R85,IF(J!Q85&lt;&gt;0,IF(J!S85&lt;&gt;J!T85,J!U85,),),)</f>
        <v>0</v>
      </c>
      <c r="V85" s="875">
        <f>IF(J!Q85&lt;&gt;J!R85,IF(J!Q85&lt;&gt;0,IF(J!S85&lt;&gt;J!T85,J!V85,),),)</f>
        <v>0</v>
      </c>
      <c r="W85" s="633">
        <f>IF(Q85="","",$W$5-SUM($Q$7:$Q$45)-SUM($Q$64:Q85))</f>
        <v>0</v>
      </c>
      <c r="AO85" s="86"/>
      <c r="AP85" s="86"/>
      <c r="AQ85" s="86"/>
      <c r="AR85" s="86"/>
      <c r="AS85" s="86"/>
      <c r="AT85" s="86"/>
      <c r="AU85" s="86"/>
      <c r="AV85" s="86"/>
      <c r="AW85" s="86"/>
      <c r="AX85" s="86"/>
      <c r="AY85" s="86"/>
      <c r="CM85" s="86"/>
      <c r="CN85" s="86"/>
    </row>
    <row r="86" spans="2:92" s="367" customFormat="1" ht="15.75" hidden="1" customHeight="1" outlineLevel="1">
      <c r="B86" s="852">
        <f ca="1">IF(J!B86&lt;&gt;"",J!B86,)</f>
        <v>0</v>
      </c>
      <c r="C86" s="454">
        <f ca="1">J!C86</f>
        <v>0</v>
      </c>
      <c r="D86" s="74"/>
      <c r="E86" s="521"/>
      <c r="F86" s="858"/>
      <c r="H86" s="543"/>
      <c r="I86" s="854"/>
      <c r="J86" s="6"/>
      <c r="K86" s="541"/>
      <c r="L86" s="860"/>
      <c r="M86" s="20" t="str">
        <f>IF(J86="","",$M$5-SUM($J$7:J86))</f>
        <v/>
      </c>
      <c r="O86" s="7"/>
      <c r="P86" s="873">
        <f>IF(J!Q86&lt;&gt;J!R86,IF(J!Q86&lt;&gt;0,IF(J!S86&lt;&gt;J!T86,J!P86,),),)</f>
        <v>0</v>
      </c>
      <c r="Q86" s="795">
        <f>IF(J!Q86&lt;&gt;J!R86,IF(J!Q86&lt;&gt;0,IF(J!S86&lt;&gt;J!T86,J!Q86,),),)</f>
        <v>0</v>
      </c>
      <c r="R86" s="628">
        <f>IF(J!Q86&lt;&gt;J!R86,IF(J!Q86&lt;&gt;0,IF(J!S86&lt;&gt;J!T86,0,Q86),Q86),Q86)</f>
        <v>0</v>
      </c>
      <c r="S86" s="796">
        <f>IF(J!Q86&lt;&gt;J!R86,IF(J!Q86&lt;&gt;0,IF(J!S86&lt;&gt;J!T86,J!S86+1,),),)</f>
        <v>0</v>
      </c>
      <c r="T86" s="796">
        <f>IF(J!Q86&lt;&gt;J!R86,IF(J!Q86&lt;&gt;0,IF(J!S86&lt;&gt;J!T86,J!T86,),),)</f>
        <v>0</v>
      </c>
      <c r="U86" s="797">
        <f>IF(J!Q86&lt;&gt;J!R86,IF(J!Q86&lt;&gt;0,IF(J!S86&lt;&gt;J!T86,J!U86,),),)</f>
        <v>0</v>
      </c>
      <c r="V86" s="875">
        <f>IF(J!Q86&lt;&gt;J!R86,IF(J!Q86&lt;&gt;0,IF(J!S86&lt;&gt;J!T86,J!V86,),),)</f>
        <v>0</v>
      </c>
      <c r="W86" s="633">
        <f>IF(Q86="","",$W$5-SUM($Q$7:$Q$45)-SUM($Q$64:Q86))</f>
        <v>0</v>
      </c>
      <c r="AO86" s="86"/>
      <c r="AP86" s="86"/>
      <c r="AQ86" s="86"/>
      <c r="AR86" s="86"/>
      <c r="AS86" s="86"/>
      <c r="AT86" s="86"/>
      <c r="AU86" s="86"/>
      <c r="AV86" s="86"/>
      <c r="AW86" s="86"/>
      <c r="AX86" s="86"/>
      <c r="AY86" s="86"/>
      <c r="CM86" s="86"/>
      <c r="CN86" s="86"/>
    </row>
    <row r="87" spans="2:92" s="367" customFormat="1" ht="15.75" hidden="1" customHeight="1" outlineLevel="1">
      <c r="H87" s="543"/>
      <c r="I87" s="853"/>
      <c r="J87" s="6"/>
      <c r="K87" s="541"/>
      <c r="L87" s="860"/>
      <c r="M87" s="20" t="str">
        <f>IF(J87="","",$M$5-SUM($J$7:J87))</f>
        <v/>
      </c>
      <c r="O87" s="7"/>
      <c r="P87" s="873">
        <f>IF(J!Q87&lt;&gt;J!R87,IF(J!Q87&lt;&gt;0,IF(J!S87&lt;&gt;J!T87,J!P87,),),)</f>
        <v>0</v>
      </c>
      <c r="Q87" s="795">
        <f>IF(J!Q87&lt;&gt;J!R87,IF(J!Q87&lt;&gt;0,IF(J!S87&lt;&gt;J!T87,J!Q87,),),)</f>
        <v>0</v>
      </c>
      <c r="R87" s="628">
        <f>IF(J!Q87&lt;&gt;J!R87,IF(J!Q87&lt;&gt;0,IF(J!S87&lt;&gt;J!T87,0,Q87),Q87),Q87)</f>
        <v>0</v>
      </c>
      <c r="S87" s="796">
        <f>IF(J!Q87&lt;&gt;J!R87,IF(J!Q87&lt;&gt;0,IF(J!S87&lt;&gt;J!T87,J!S87+1,),),)</f>
        <v>0</v>
      </c>
      <c r="T87" s="796">
        <f>IF(J!Q87&lt;&gt;J!R87,IF(J!Q87&lt;&gt;0,IF(J!S87&lt;&gt;J!T87,J!T87,),),)</f>
        <v>0</v>
      </c>
      <c r="U87" s="797">
        <f>IF(J!Q87&lt;&gt;J!R87,IF(J!Q87&lt;&gt;0,IF(J!S87&lt;&gt;J!T87,J!U87,),),)</f>
        <v>0</v>
      </c>
      <c r="V87" s="875">
        <f>IF(J!Q87&lt;&gt;J!R87,IF(J!Q87&lt;&gt;0,IF(J!S87&lt;&gt;J!T87,J!V87,),),)</f>
        <v>0</v>
      </c>
      <c r="W87" s="633">
        <f>IF(Q87="","",$W$5-SUM($Q$7:$Q$45)-SUM($Q$64:Q87))</f>
        <v>0</v>
      </c>
      <c r="AO87" s="86"/>
      <c r="AP87" s="86"/>
      <c r="AQ87" s="86"/>
      <c r="AR87" s="86"/>
      <c r="AS87" s="86"/>
      <c r="AT87" s="86"/>
      <c r="AU87" s="86"/>
      <c r="AV87" s="86"/>
      <c r="AW87" s="86"/>
      <c r="AX87" s="86"/>
      <c r="AY87" s="86"/>
      <c r="CM87" s="86"/>
      <c r="CN87" s="86"/>
    </row>
    <row r="88" spans="2:92" s="367" customFormat="1" ht="15.75" hidden="1" customHeight="1" outlineLevel="1">
      <c r="H88" s="543"/>
      <c r="I88" s="853"/>
      <c r="J88" s="6"/>
      <c r="K88" s="541"/>
      <c r="L88" s="860"/>
      <c r="M88" s="20" t="str">
        <f>IF(J88="","",$M$5-SUM($J$7:J88))</f>
        <v/>
      </c>
      <c r="O88" s="7"/>
      <c r="P88" s="871">
        <f>IF(J!Q88&lt;&gt;J!R88,IF(J!Q88&lt;&gt;0,IF(J!S88&lt;&gt;J!T88,J!P88,),),)</f>
        <v>0</v>
      </c>
      <c r="Q88" s="795">
        <f>IF(J!Q88&lt;&gt;J!R88,IF(J!Q88&lt;&gt;0,IF(J!S88&lt;&gt;J!T88,J!Q88,),),)</f>
        <v>0</v>
      </c>
      <c r="R88" s="628">
        <f>IF(J!Q88&lt;&gt;J!R88,IF(J!Q88&lt;&gt;0,IF(J!S88&lt;&gt;J!T88,0,Q88),Q88),Q88)</f>
        <v>0</v>
      </c>
      <c r="S88" s="796">
        <f>IF(J!Q88&lt;&gt;J!R88,IF(J!Q88&lt;&gt;0,IF(J!S88&lt;&gt;J!T88,J!S88+1,),),)</f>
        <v>0</v>
      </c>
      <c r="T88" s="796">
        <f>IF(J!Q88&lt;&gt;J!R88,IF(J!Q88&lt;&gt;0,IF(J!S88&lt;&gt;J!T88,J!T88,),),)</f>
        <v>0</v>
      </c>
      <c r="U88" s="797">
        <f>IF(J!Q88&lt;&gt;J!R88,IF(J!Q88&lt;&gt;0,IF(J!S88&lt;&gt;J!T88,J!U88,),),)</f>
        <v>0</v>
      </c>
      <c r="V88" s="875">
        <f>IF(J!Q88&lt;&gt;J!R88,IF(J!Q88&lt;&gt;0,IF(J!S88&lt;&gt;J!T88,J!V88,),),)</f>
        <v>0</v>
      </c>
      <c r="W88" s="633">
        <f>IF(Q88="","",$W$5-SUM($Q$7:$Q$45)-SUM($Q$64:Q88))</f>
        <v>0</v>
      </c>
      <c r="AO88" s="86"/>
      <c r="AP88" s="86"/>
      <c r="AQ88" s="86"/>
      <c r="AR88" s="86"/>
      <c r="AS88" s="86"/>
      <c r="AT88" s="86"/>
      <c r="AU88" s="86"/>
      <c r="AV88" s="86"/>
      <c r="AW88" s="86"/>
      <c r="AX88" s="86"/>
      <c r="AY88" s="86"/>
      <c r="CM88" s="86"/>
      <c r="CN88" s="86"/>
    </row>
    <row r="89" spans="2:92" s="367" customFormat="1" ht="15.75" hidden="1" customHeight="1" outlineLevel="1">
      <c r="H89" s="543"/>
      <c r="I89" s="853"/>
      <c r="J89" s="6"/>
      <c r="K89" s="541"/>
      <c r="L89" s="860"/>
      <c r="M89" s="20" t="str">
        <f>IF(J89="","",$M$5-SUM($J$7:J89))</f>
        <v/>
      </c>
      <c r="O89" s="7"/>
      <c r="P89" s="873">
        <f>IF(J!Q89&lt;&gt;J!R89,IF(J!Q89&lt;&gt;0,IF(J!S89&lt;&gt;J!T89,J!P89,),),)</f>
        <v>0</v>
      </c>
      <c r="Q89" s="795">
        <f>IF(J!Q89&lt;&gt;J!R89,IF(J!Q89&lt;&gt;0,IF(J!S89&lt;&gt;J!T89,J!Q89,),),)</f>
        <v>0</v>
      </c>
      <c r="R89" s="628">
        <f>IF(J!Q89&lt;&gt;J!R89,IF(J!Q89&lt;&gt;0,IF(J!S89&lt;&gt;J!T89,0,Q89),Q89),Q89)</f>
        <v>0</v>
      </c>
      <c r="S89" s="796">
        <f>IF(J!Q89&lt;&gt;J!R89,IF(J!Q89&lt;&gt;0,IF(J!S89&lt;&gt;J!T89,J!S89+1,),),)</f>
        <v>0</v>
      </c>
      <c r="T89" s="796">
        <f>IF(J!Q89&lt;&gt;J!R89,IF(J!Q89&lt;&gt;0,IF(J!S89&lt;&gt;J!T89,J!T89,),),)</f>
        <v>0</v>
      </c>
      <c r="U89" s="797">
        <f>IF(J!Q89&lt;&gt;J!R89,IF(J!Q89&lt;&gt;0,IF(J!S89&lt;&gt;J!T89,J!U89,),),)</f>
        <v>0</v>
      </c>
      <c r="V89" s="875">
        <f>IF(J!Q89&lt;&gt;J!R89,IF(J!Q89&lt;&gt;0,IF(J!S89&lt;&gt;J!T89,J!V89,),),)</f>
        <v>0</v>
      </c>
      <c r="W89" s="633">
        <f>IF(Q89="","",$W$5-SUM($Q$7:$Q$45)-SUM($Q$64:Q89))</f>
        <v>0</v>
      </c>
      <c r="AO89" s="86"/>
      <c r="AP89" s="86"/>
      <c r="AQ89" s="86"/>
      <c r="AR89" s="86"/>
      <c r="AS89" s="86"/>
      <c r="AT89" s="86"/>
      <c r="AU89" s="86"/>
      <c r="AV89" s="86"/>
      <c r="AW89" s="86"/>
      <c r="AX89" s="86"/>
      <c r="AY89" s="86"/>
      <c r="CM89" s="86"/>
      <c r="CN89" s="86"/>
    </row>
    <row r="90" spans="2:92" s="367" customFormat="1" ht="15.75" hidden="1" customHeight="1" outlineLevel="1">
      <c r="H90" s="543"/>
      <c r="I90" s="853"/>
      <c r="J90" s="6"/>
      <c r="K90" s="541"/>
      <c r="L90" s="860"/>
      <c r="M90" s="20" t="str">
        <f>IF(J90="","",$M$5-SUM($J$7:J90))</f>
        <v/>
      </c>
      <c r="O90" s="7"/>
      <c r="P90" s="871">
        <f>IF(J!Q90&lt;&gt;J!R90,IF(J!Q90&lt;&gt;0,IF(J!S90&lt;&gt;J!T90,J!P90,),),)</f>
        <v>0</v>
      </c>
      <c r="Q90" s="795">
        <f>IF(J!Q90&lt;&gt;J!R90,IF(J!Q90&lt;&gt;0,IF(J!S90&lt;&gt;J!T90,J!Q90,),),)</f>
        <v>0</v>
      </c>
      <c r="R90" s="628">
        <f>IF(J!Q90&lt;&gt;J!R90,IF(J!Q90&lt;&gt;0,IF(J!S90&lt;&gt;J!T90,0,Q90),Q90),Q90)</f>
        <v>0</v>
      </c>
      <c r="S90" s="796">
        <f>IF(J!Q90&lt;&gt;J!R90,IF(J!Q90&lt;&gt;0,IF(J!S90&lt;&gt;J!T90,J!S90+1,),),)</f>
        <v>0</v>
      </c>
      <c r="T90" s="796">
        <f>IF(J!Q90&lt;&gt;J!R90,IF(J!Q90&lt;&gt;0,IF(J!S90&lt;&gt;J!T90,J!T90,),),)</f>
        <v>0</v>
      </c>
      <c r="U90" s="797">
        <f>IF(J!Q90&lt;&gt;J!R90,IF(J!Q90&lt;&gt;0,IF(J!S90&lt;&gt;J!T90,J!U90,),),)</f>
        <v>0</v>
      </c>
      <c r="V90" s="875">
        <f>IF(J!Q90&lt;&gt;J!R90,IF(J!Q90&lt;&gt;0,IF(J!S90&lt;&gt;J!T90,J!V90,),),)</f>
        <v>0</v>
      </c>
      <c r="W90" s="633">
        <f>IF(Q90="","",$W$5-SUM($Q$7:$Q$45)-SUM($Q$64:Q90))</f>
        <v>0</v>
      </c>
      <c r="AO90" s="86"/>
      <c r="AP90" s="86"/>
      <c r="AQ90" s="86"/>
      <c r="AR90" s="86"/>
      <c r="AS90" s="86"/>
      <c r="AT90" s="86"/>
      <c r="AU90" s="86"/>
      <c r="AV90" s="86"/>
      <c r="AW90" s="86"/>
      <c r="AX90" s="86"/>
      <c r="AY90" s="86"/>
      <c r="CM90" s="86"/>
      <c r="CN90" s="86"/>
    </row>
    <row r="91" spans="2:92" s="367" customFormat="1" ht="15.75" hidden="1" customHeight="1" outlineLevel="1">
      <c r="H91" s="543"/>
      <c r="I91" s="853"/>
      <c r="J91" s="6"/>
      <c r="K91" s="541"/>
      <c r="L91" s="860"/>
      <c r="M91" s="20" t="str">
        <f>IF(J91="","",$M$5-SUM($J$7:J91))</f>
        <v/>
      </c>
      <c r="O91" s="7"/>
      <c r="P91" s="873">
        <f>IF(J!Q91&lt;&gt;J!R91,IF(J!Q91&lt;&gt;0,IF(J!S91&lt;&gt;J!T91,J!P91,),),)</f>
        <v>0</v>
      </c>
      <c r="Q91" s="795">
        <f>IF(J!Q91&lt;&gt;J!R91,IF(J!Q91&lt;&gt;0,IF(J!S91&lt;&gt;J!T91,J!Q91,),),)</f>
        <v>0</v>
      </c>
      <c r="R91" s="628">
        <f>IF(J!Q91&lt;&gt;J!R91,IF(J!Q91&lt;&gt;0,IF(J!S91&lt;&gt;J!T91,0,Q91),Q91),Q91)</f>
        <v>0</v>
      </c>
      <c r="S91" s="796">
        <f>IF(J!Q91&lt;&gt;J!R91,IF(J!Q91&lt;&gt;0,IF(J!S91&lt;&gt;J!T91,J!S91+1,),),)</f>
        <v>0</v>
      </c>
      <c r="T91" s="796">
        <f>IF(J!Q91&lt;&gt;J!R91,IF(J!Q91&lt;&gt;0,IF(J!S91&lt;&gt;J!T91,J!T91,),),)</f>
        <v>0</v>
      </c>
      <c r="U91" s="797">
        <f>IF(J!Q91&lt;&gt;J!R91,IF(J!Q91&lt;&gt;0,IF(J!S91&lt;&gt;J!T91,J!U91,),),)</f>
        <v>0</v>
      </c>
      <c r="V91" s="875">
        <f>IF(J!Q91&lt;&gt;J!R91,IF(J!Q91&lt;&gt;0,IF(J!S91&lt;&gt;J!T91,J!V91,),),)</f>
        <v>0</v>
      </c>
      <c r="W91" s="633">
        <f>IF(Q91="","",$W$5-SUM($Q$7:$Q$45)-SUM($Q$64:Q91))</f>
        <v>0</v>
      </c>
      <c r="AO91" s="86"/>
      <c r="AP91" s="86"/>
      <c r="AQ91" s="86"/>
      <c r="AR91" s="86"/>
      <c r="AS91" s="86"/>
      <c r="AT91" s="86"/>
      <c r="AU91" s="86"/>
      <c r="AV91" s="86"/>
      <c r="AW91" s="86"/>
      <c r="AX91" s="86"/>
      <c r="AY91" s="86"/>
      <c r="CM91" s="86"/>
      <c r="CN91" s="86"/>
    </row>
    <row r="92" spans="2:92" s="367" customFormat="1" ht="15.75" hidden="1" customHeight="1" outlineLevel="1">
      <c r="H92" s="543"/>
      <c r="I92" s="853"/>
      <c r="J92" s="6"/>
      <c r="K92" s="541"/>
      <c r="L92" s="860"/>
      <c r="M92" s="20" t="str">
        <f>IF(J92="","",$M$5-SUM($J$7:J92))</f>
        <v/>
      </c>
      <c r="O92" s="7"/>
      <c r="P92" s="871">
        <f>IF(J!Q92&lt;&gt;J!R92,IF(J!Q92&lt;&gt;0,IF(J!S92&lt;&gt;J!T92,J!P92,),),)</f>
        <v>0</v>
      </c>
      <c r="Q92" s="799">
        <f>IF(J!Q92&lt;&gt;J!R92,IF(J!Q92&lt;&gt;0,IF(J!S92&lt;&gt;J!T92,J!Q92,),),)</f>
        <v>0</v>
      </c>
      <c r="R92" s="628">
        <f>IF(J!Q92&lt;&gt;J!R92,IF(J!Q92&lt;&gt;0,IF(J!S92&lt;&gt;J!T92,0,Q92),Q92),Q92)</f>
        <v>0</v>
      </c>
      <c r="S92" s="796">
        <f>IF(J!Q92&lt;&gt;J!R92,IF(J!Q92&lt;&gt;0,IF(J!S92&lt;&gt;J!T92,J!S92+1,),),)</f>
        <v>0</v>
      </c>
      <c r="T92" s="796">
        <f>IF(J!Q92&lt;&gt;J!R92,IF(J!Q92&lt;&gt;0,IF(J!S92&lt;&gt;J!T92,J!T92,),),)</f>
        <v>0</v>
      </c>
      <c r="U92" s="797">
        <f>IF(J!Q92&lt;&gt;J!R92,IF(J!Q92&lt;&gt;0,IF(J!S92&lt;&gt;J!T92,J!U92,),),)</f>
        <v>0</v>
      </c>
      <c r="V92" s="875">
        <f>IF(J!Q92&lt;&gt;J!R92,IF(J!Q92&lt;&gt;0,IF(J!S92&lt;&gt;J!T92,J!V92,),),)</f>
        <v>0</v>
      </c>
      <c r="W92" s="634">
        <f>IF(Q92="","",$W$5-SUM($Q$7:$Q$45)-SUM($Q$64:Q92))</f>
        <v>0</v>
      </c>
      <c r="AO92" s="86"/>
      <c r="AP92" s="86"/>
      <c r="AQ92" s="86"/>
      <c r="AR92" s="86"/>
      <c r="AS92" s="86"/>
      <c r="AT92" s="86"/>
      <c r="AU92" s="86"/>
      <c r="AV92" s="86"/>
      <c r="AW92" s="86"/>
      <c r="AX92" s="86"/>
      <c r="AY92" s="86"/>
      <c r="CM92" s="86"/>
      <c r="CN92" s="86"/>
    </row>
    <row r="93" spans="2:92" s="367" customFormat="1" ht="15.75" hidden="1" customHeight="1" outlineLevel="1">
      <c r="H93" s="543"/>
      <c r="I93" s="853"/>
      <c r="J93" s="6"/>
      <c r="K93" s="541"/>
      <c r="L93" s="860"/>
      <c r="M93" s="20" t="str">
        <f>IF(J93="","",$M$5-SUM($J$7:J93))</f>
        <v/>
      </c>
      <c r="O93" s="7"/>
      <c r="P93" s="873">
        <f>IF(J!Q93&lt;&gt;J!R93,IF(J!Q93&lt;&gt;0,IF(J!S93&lt;&gt;J!T93,J!P93,),),)</f>
        <v>0</v>
      </c>
      <c r="Q93" s="795">
        <f>IF(J!Q93&lt;&gt;J!R93,IF(J!Q93&lt;&gt;0,IF(J!S93&lt;&gt;J!T93,J!Q93,),),)</f>
        <v>0</v>
      </c>
      <c r="R93" s="628">
        <f>IF(J!Q93&lt;&gt;J!R93,IF(J!Q93&lt;&gt;0,IF(J!S93&lt;&gt;J!T93,0,Q93),Q93),Q93)</f>
        <v>0</v>
      </c>
      <c r="S93" s="796">
        <f>IF(J!Q93&lt;&gt;J!R93,IF(J!Q93&lt;&gt;0,IF(J!S93&lt;&gt;J!T93,J!S93+1,),),)</f>
        <v>0</v>
      </c>
      <c r="T93" s="796">
        <f>IF(J!Q93&lt;&gt;J!R93,IF(J!Q93&lt;&gt;0,IF(J!S93&lt;&gt;J!T93,J!T93,),),)</f>
        <v>0</v>
      </c>
      <c r="U93" s="797">
        <f>IF(J!Q93&lt;&gt;J!R93,IF(J!Q93&lt;&gt;0,IF(J!S93&lt;&gt;J!T93,J!U93,),),)</f>
        <v>0</v>
      </c>
      <c r="V93" s="875">
        <f>IF(J!Q93&lt;&gt;J!R93,IF(J!Q93&lt;&gt;0,IF(J!S93&lt;&gt;J!T93,J!V93,),),)</f>
        <v>0</v>
      </c>
      <c r="W93" s="633">
        <f>IF(Q93="","",$W$5-SUM($Q$7:$Q$45)-SUM($Q$64:Q93))</f>
        <v>0</v>
      </c>
      <c r="AO93" s="86"/>
      <c r="AP93" s="86"/>
      <c r="AQ93" s="86"/>
      <c r="AR93" s="86"/>
      <c r="AS93" s="86"/>
      <c r="AT93" s="86"/>
      <c r="AU93" s="86"/>
      <c r="AV93" s="86"/>
      <c r="AW93" s="86"/>
      <c r="AX93" s="86"/>
      <c r="AY93" s="86"/>
      <c r="CM93" s="86"/>
      <c r="CN93" s="86"/>
    </row>
    <row r="94" spans="2:92" s="367" customFormat="1" ht="15.75" hidden="1" customHeight="1" outlineLevel="1">
      <c r="H94" s="543"/>
      <c r="I94" s="853"/>
      <c r="J94" s="6"/>
      <c r="K94" s="541"/>
      <c r="L94" s="860"/>
      <c r="M94" s="20" t="str">
        <f>IF(J94="","",$M$5-SUM($J$7:J94))</f>
        <v/>
      </c>
      <c r="O94" s="7"/>
      <c r="P94" s="871">
        <f>IF(J!Q94&lt;&gt;J!R94,IF(J!Q94&lt;&gt;0,IF(J!S94&lt;&gt;J!T94,J!P94,),),)</f>
        <v>0</v>
      </c>
      <c r="Q94" s="795">
        <f>IF(J!Q94&lt;&gt;J!R94,IF(J!Q94&lt;&gt;0,IF(J!S94&lt;&gt;J!T94,J!Q94,),),)</f>
        <v>0</v>
      </c>
      <c r="R94" s="628">
        <f>IF(J!Q94&lt;&gt;J!R94,IF(J!Q94&lt;&gt;0,IF(J!S94&lt;&gt;J!T94,0,Q94),Q94),Q94)</f>
        <v>0</v>
      </c>
      <c r="S94" s="796">
        <f>IF(J!Q94&lt;&gt;J!R94,IF(J!Q94&lt;&gt;0,IF(J!S94&lt;&gt;J!T94,J!S94+1,),),)</f>
        <v>0</v>
      </c>
      <c r="T94" s="796">
        <f>IF(J!Q94&lt;&gt;J!R94,IF(J!Q94&lt;&gt;0,IF(J!S94&lt;&gt;J!T94,J!T94,),),)</f>
        <v>0</v>
      </c>
      <c r="U94" s="797">
        <f>IF(J!Q94&lt;&gt;J!R94,IF(J!Q94&lt;&gt;0,IF(J!S94&lt;&gt;J!T94,J!U94,),),)</f>
        <v>0</v>
      </c>
      <c r="V94" s="875">
        <f>IF(J!Q94&lt;&gt;J!R94,IF(J!Q94&lt;&gt;0,IF(J!S94&lt;&gt;J!T94,J!V94,),),)</f>
        <v>0</v>
      </c>
      <c r="W94" s="633">
        <f>IF(Q94="","",$W$5-SUM($Q$7:$Q$45)-SUM($Q$64:Q94))</f>
        <v>0</v>
      </c>
      <c r="AO94" s="86"/>
      <c r="AP94" s="86"/>
      <c r="AQ94" s="86"/>
      <c r="AR94" s="86"/>
      <c r="AS94" s="86"/>
      <c r="AT94" s="86"/>
      <c r="AU94" s="86"/>
      <c r="AV94" s="86"/>
      <c r="AW94" s="86"/>
      <c r="AX94" s="86"/>
      <c r="AY94" s="86"/>
      <c r="CM94" s="86"/>
      <c r="CN94" s="86"/>
    </row>
    <row r="95" spans="2:92" s="367" customFormat="1" ht="15.75" hidden="1" customHeight="1" outlineLevel="1">
      <c r="H95" s="543"/>
      <c r="I95" s="853"/>
      <c r="J95" s="6"/>
      <c r="K95" s="541"/>
      <c r="L95" s="860"/>
      <c r="M95" s="20" t="str">
        <f>IF(J95="","",$M$5-SUM($J$7:J95))</f>
        <v/>
      </c>
      <c r="O95" s="7"/>
      <c r="P95" s="873">
        <f>IF(J!Q95&lt;&gt;J!R95,IF(J!Q95&lt;&gt;0,IF(J!S95&lt;&gt;J!T95,J!P95,),),)</f>
        <v>0</v>
      </c>
      <c r="Q95" s="795">
        <f>IF(J!Q95&lt;&gt;J!R95,IF(J!Q95&lt;&gt;0,IF(J!S95&lt;&gt;J!T95,J!Q95,),),)</f>
        <v>0</v>
      </c>
      <c r="R95" s="628">
        <f>IF(J!Q95&lt;&gt;J!R95,IF(J!Q95&lt;&gt;0,IF(J!S95&lt;&gt;J!T95,0,Q95),Q95),Q95)</f>
        <v>0</v>
      </c>
      <c r="S95" s="796">
        <f>IF(J!Q95&lt;&gt;J!R95,IF(J!Q95&lt;&gt;0,IF(J!S95&lt;&gt;J!T95,J!S95+1,),),)</f>
        <v>0</v>
      </c>
      <c r="T95" s="796">
        <f>IF(J!Q95&lt;&gt;J!R95,IF(J!Q95&lt;&gt;0,IF(J!S95&lt;&gt;J!T95,J!T95,),),)</f>
        <v>0</v>
      </c>
      <c r="U95" s="797">
        <f>IF(J!Q95&lt;&gt;J!R95,IF(J!Q95&lt;&gt;0,IF(J!S95&lt;&gt;J!T95,J!U95,),),)</f>
        <v>0</v>
      </c>
      <c r="V95" s="875">
        <f>IF(J!Q95&lt;&gt;J!R95,IF(J!Q95&lt;&gt;0,IF(J!S95&lt;&gt;J!T95,J!V95,),),)</f>
        <v>0</v>
      </c>
      <c r="W95" s="633">
        <f>IF(Q95="","",$W$5-SUM($Q$7:$Q$45)-SUM($Q$64:Q95))</f>
        <v>0</v>
      </c>
      <c r="AO95" s="86"/>
      <c r="AP95" s="86"/>
      <c r="AQ95" s="86"/>
      <c r="AR95" s="86"/>
      <c r="AS95" s="86"/>
      <c r="AT95" s="86"/>
      <c r="AU95" s="86"/>
      <c r="AV95" s="86"/>
      <c r="AW95" s="86"/>
      <c r="AX95" s="86"/>
      <c r="AY95" s="86"/>
      <c r="CM95" s="86"/>
      <c r="CN95" s="86"/>
    </row>
    <row r="96" spans="2:92" s="367" customFormat="1" ht="15.75" hidden="1" customHeight="1" outlineLevel="1">
      <c r="H96" s="543"/>
      <c r="I96" s="853"/>
      <c r="J96" s="6"/>
      <c r="K96" s="541"/>
      <c r="L96" s="860"/>
      <c r="M96" s="20" t="str">
        <f>IF(J96="","",$M$5-SUM($J$7:J96))</f>
        <v/>
      </c>
      <c r="O96" s="7"/>
      <c r="P96" s="872">
        <f>IF(J!Q96&lt;&gt;J!R96,IF(J!Q96&lt;&gt;0,IF(J!S96&lt;&gt;J!T96,J!P96,),),)</f>
        <v>0</v>
      </c>
      <c r="Q96" s="795">
        <f>IF(J!Q96&lt;&gt;J!R96,IF(J!Q96&lt;&gt;0,IF(J!S96&lt;&gt;J!T96,J!Q96,),),)</f>
        <v>0</v>
      </c>
      <c r="R96" s="628">
        <f>IF(J!Q96&lt;&gt;J!R96,IF(J!Q96&lt;&gt;0,IF(J!S96&lt;&gt;J!T96,0,Q96),Q96),Q96)</f>
        <v>0</v>
      </c>
      <c r="S96" s="796">
        <f>IF(J!Q96&lt;&gt;J!R96,IF(J!Q96&lt;&gt;0,IF(J!S96&lt;&gt;J!T96,J!S96+1,),),)</f>
        <v>0</v>
      </c>
      <c r="T96" s="796">
        <f>IF(J!Q96&lt;&gt;J!R96,IF(J!Q96&lt;&gt;0,IF(J!S96&lt;&gt;J!T96,J!T96,),),)</f>
        <v>0</v>
      </c>
      <c r="U96" s="797">
        <f>IF(J!Q96&lt;&gt;J!R96,IF(J!Q96&lt;&gt;0,IF(J!S96&lt;&gt;J!T96,J!U96,),),)</f>
        <v>0</v>
      </c>
      <c r="V96" s="875">
        <f>IF(J!Q96&lt;&gt;J!R96,IF(J!Q96&lt;&gt;0,IF(J!S96&lt;&gt;J!T96,J!V96,),),)</f>
        <v>0</v>
      </c>
      <c r="W96" s="633">
        <f>IF(Q96="","",$W$5-SUM($Q$7:$Q$45)-SUM($Q$64:Q96))</f>
        <v>0</v>
      </c>
      <c r="AO96" s="86"/>
      <c r="AP96" s="86"/>
      <c r="AQ96" s="86"/>
      <c r="AR96" s="86"/>
      <c r="AS96" s="86"/>
      <c r="AT96" s="86"/>
      <c r="AU96" s="86"/>
      <c r="AV96" s="86"/>
      <c r="AW96" s="86"/>
      <c r="AX96" s="86"/>
      <c r="AY96" s="86"/>
      <c r="CM96" s="86"/>
      <c r="CN96" s="86"/>
    </row>
    <row r="97" spans="8:92" s="367" customFormat="1" ht="15.75" hidden="1" customHeight="1" outlineLevel="1">
      <c r="H97" s="543"/>
      <c r="I97" s="853"/>
      <c r="J97" s="6"/>
      <c r="K97" s="541"/>
      <c r="L97" s="860"/>
      <c r="M97" s="20" t="str">
        <f>IF(J97="","",$M$5-SUM($J$7:J97))</f>
        <v/>
      </c>
      <c r="O97" s="7"/>
      <c r="P97" s="871">
        <f>IF(J!Q97&lt;&gt;J!R97,IF(J!Q97&lt;&gt;0,IF(J!S97&lt;&gt;J!T97,J!P97,),),)</f>
        <v>0</v>
      </c>
      <c r="Q97" s="795">
        <f>IF(J!Q97&lt;&gt;J!R97,IF(J!Q97&lt;&gt;0,IF(J!S97&lt;&gt;J!T97,J!Q97,),),)</f>
        <v>0</v>
      </c>
      <c r="R97" s="628">
        <f>IF(J!Q97&lt;&gt;J!R97,IF(J!Q97&lt;&gt;0,IF(J!S97&lt;&gt;J!T97,0,Q97),Q97),Q97)</f>
        <v>0</v>
      </c>
      <c r="S97" s="796">
        <f>IF(J!Q97&lt;&gt;J!R97,IF(J!Q97&lt;&gt;0,IF(J!S97&lt;&gt;J!T97,J!S97+1,),),)</f>
        <v>0</v>
      </c>
      <c r="T97" s="796">
        <f>IF(J!Q97&lt;&gt;J!R97,IF(J!Q97&lt;&gt;0,IF(J!S97&lt;&gt;J!T97,J!T97,),),)</f>
        <v>0</v>
      </c>
      <c r="U97" s="797">
        <f>IF(J!Q97&lt;&gt;J!R97,IF(J!Q97&lt;&gt;0,IF(J!S97&lt;&gt;J!T97,J!U97,),),)</f>
        <v>0</v>
      </c>
      <c r="V97" s="875">
        <f>IF(J!Q97&lt;&gt;J!R97,IF(J!Q97&lt;&gt;0,IF(J!S97&lt;&gt;J!T97,J!V97,),),)</f>
        <v>0</v>
      </c>
      <c r="W97" s="633">
        <f>IF(Q97="","",$W$5-SUM($Q$7:$Q$45)-SUM($Q$64:Q97))</f>
        <v>0</v>
      </c>
      <c r="AO97" s="86"/>
      <c r="AP97" s="86"/>
      <c r="AQ97" s="86"/>
      <c r="AR97" s="86"/>
      <c r="AS97" s="86"/>
      <c r="AT97" s="86"/>
      <c r="AU97" s="86"/>
      <c r="AV97" s="86"/>
      <c r="AW97" s="86"/>
      <c r="AX97" s="86"/>
      <c r="AY97" s="86"/>
      <c r="CM97" s="86"/>
      <c r="CN97" s="86"/>
    </row>
    <row r="98" spans="8:92" s="367" customFormat="1" ht="15.75" hidden="1" customHeight="1" outlineLevel="1">
      <c r="H98" s="543"/>
      <c r="I98" s="853"/>
      <c r="J98" s="6"/>
      <c r="K98" s="541"/>
      <c r="L98" s="860"/>
      <c r="M98" s="20" t="str">
        <f>IF(J98="","",$M$5-SUM($J$7:J98))</f>
        <v/>
      </c>
      <c r="O98" s="7"/>
      <c r="P98" s="871">
        <f>IF(J!Q98&lt;&gt;J!R98,IF(J!Q98&lt;&gt;0,IF(J!S98&lt;&gt;J!T98,J!P98,),),)</f>
        <v>0</v>
      </c>
      <c r="Q98" s="795">
        <f>IF(J!Q98&lt;&gt;J!R98,IF(J!Q98&lt;&gt;0,IF(J!S98&lt;&gt;J!T98,J!Q98,),),)</f>
        <v>0</v>
      </c>
      <c r="R98" s="628">
        <f>IF(J!Q98&lt;&gt;J!R98,IF(J!Q98&lt;&gt;0,IF(J!S98&lt;&gt;J!T98,0,Q98),Q98),Q98)</f>
        <v>0</v>
      </c>
      <c r="S98" s="796">
        <f>IF(J!Q98&lt;&gt;J!R98,IF(J!Q98&lt;&gt;0,IF(J!S98&lt;&gt;J!T98,J!S98+1,),),)</f>
        <v>0</v>
      </c>
      <c r="T98" s="796">
        <f>IF(J!Q98&lt;&gt;J!R98,IF(J!Q98&lt;&gt;0,IF(J!S98&lt;&gt;J!T98,J!T98,),),)</f>
        <v>0</v>
      </c>
      <c r="U98" s="797">
        <f>IF(J!Q98&lt;&gt;J!R98,IF(J!Q98&lt;&gt;0,IF(J!S98&lt;&gt;J!T98,J!U98,),),)</f>
        <v>0</v>
      </c>
      <c r="V98" s="875">
        <f>IF(J!Q98&lt;&gt;J!R98,IF(J!Q98&lt;&gt;0,IF(J!S98&lt;&gt;J!T98,J!V98,),),)</f>
        <v>0</v>
      </c>
      <c r="W98" s="633">
        <f>IF(Q98="","",$W$5-SUM($Q$7:$Q$45)-SUM($Q$64:Q98))</f>
        <v>0</v>
      </c>
      <c r="AO98" s="86"/>
      <c r="AP98" s="86"/>
      <c r="AQ98" s="86"/>
      <c r="AR98" s="86"/>
      <c r="AS98" s="86"/>
      <c r="AT98" s="86"/>
      <c r="AU98" s="86"/>
      <c r="AV98" s="86"/>
      <c r="AW98" s="86"/>
      <c r="AX98" s="86"/>
      <c r="AY98" s="86"/>
      <c r="CM98" s="86"/>
      <c r="CN98" s="86"/>
    </row>
    <row r="99" spans="8:92" s="367" customFormat="1" ht="15.75" hidden="1" customHeight="1" outlineLevel="1">
      <c r="H99" s="543"/>
      <c r="I99" s="853"/>
      <c r="J99" s="6"/>
      <c r="K99" s="541"/>
      <c r="L99" s="860"/>
      <c r="M99" s="20" t="str">
        <f>IF(J99="","",$M$5-SUM($J$7:J99))</f>
        <v/>
      </c>
      <c r="O99" s="7"/>
      <c r="P99" s="873">
        <f>IF(J!Q99&lt;&gt;J!R99,IF(J!Q99&lt;&gt;0,IF(J!S99&lt;&gt;J!T99,J!P99,),),)</f>
        <v>0</v>
      </c>
      <c r="Q99" s="795">
        <f>IF(J!Q99&lt;&gt;J!R99,IF(J!Q99&lt;&gt;0,IF(J!S99&lt;&gt;J!T99,J!Q99,),),)</f>
        <v>0</v>
      </c>
      <c r="R99" s="628">
        <f>IF(J!Q99&lt;&gt;J!R99,IF(J!Q99&lt;&gt;0,IF(J!S99&lt;&gt;J!T99,0,Q99),Q99),Q99)</f>
        <v>0</v>
      </c>
      <c r="S99" s="796">
        <f>IF(J!Q99&lt;&gt;J!R99,IF(J!Q99&lt;&gt;0,IF(J!S99&lt;&gt;J!T99,J!S99+1,),),)</f>
        <v>0</v>
      </c>
      <c r="T99" s="796">
        <f>IF(J!Q99&lt;&gt;J!R99,IF(J!Q99&lt;&gt;0,IF(J!S99&lt;&gt;J!T99,J!T99,),),)</f>
        <v>0</v>
      </c>
      <c r="U99" s="797">
        <f>IF(J!Q99&lt;&gt;J!R99,IF(J!Q99&lt;&gt;0,IF(J!S99&lt;&gt;J!T99,J!U99,),),)</f>
        <v>0</v>
      </c>
      <c r="V99" s="875">
        <f>IF(J!Q99&lt;&gt;J!R99,IF(J!Q99&lt;&gt;0,IF(J!S99&lt;&gt;J!T99,J!V99,),),)</f>
        <v>0</v>
      </c>
      <c r="W99" s="633">
        <f>IF(Q99="","",$W$5-SUM($Q$7:$Q$45)-SUM($Q$64:Q99))</f>
        <v>0</v>
      </c>
      <c r="AO99" s="86"/>
      <c r="AP99" s="86"/>
      <c r="AQ99" s="86"/>
      <c r="AR99" s="86"/>
      <c r="AS99" s="86"/>
      <c r="AT99" s="86"/>
      <c r="AU99" s="86"/>
      <c r="AV99" s="86"/>
      <c r="AW99" s="86"/>
      <c r="AX99" s="86"/>
      <c r="AY99" s="86"/>
      <c r="CM99" s="86"/>
      <c r="CN99" s="86"/>
    </row>
    <row r="100" spans="8:92" s="367" customFormat="1" ht="15.75" hidden="1" customHeight="1" outlineLevel="1">
      <c r="H100" s="543"/>
      <c r="I100" s="854"/>
      <c r="J100" s="6"/>
      <c r="K100" s="541"/>
      <c r="L100" s="860"/>
      <c r="M100" s="20" t="str">
        <f>IF(J100="","",$M$5-SUM($J$7:J100))</f>
        <v/>
      </c>
      <c r="O100" s="7"/>
      <c r="P100" s="871">
        <f>IF(J!Q100&lt;&gt;J!R100,IF(J!Q100&lt;&gt;0,IF(J!S100&lt;&gt;J!T100,J!P100,),),)</f>
        <v>0</v>
      </c>
      <c r="Q100" s="795">
        <f>IF(J!Q100&lt;&gt;J!R100,IF(J!Q100&lt;&gt;0,IF(J!S100&lt;&gt;J!T100,J!Q100,),),)</f>
        <v>0</v>
      </c>
      <c r="R100" s="628">
        <f>IF(J!Q100&lt;&gt;J!R100,IF(J!Q100&lt;&gt;0,IF(J!S100&lt;&gt;J!T100,0,Q100),Q100),Q100)</f>
        <v>0</v>
      </c>
      <c r="S100" s="796">
        <f>IF(J!Q100&lt;&gt;J!R100,IF(J!Q100&lt;&gt;0,IF(J!S100&lt;&gt;J!T100,J!S100+1,),),)</f>
        <v>0</v>
      </c>
      <c r="T100" s="796">
        <f>IF(J!Q100&lt;&gt;J!R100,IF(J!Q100&lt;&gt;0,IF(J!S100&lt;&gt;J!T100,J!T100,),),)</f>
        <v>0</v>
      </c>
      <c r="U100" s="797">
        <f>IF(J!Q100&lt;&gt;J!R100,IF(J!Q100&lt;&gt;0,IF(J!S100&lt;&gt;J!T100,J!U100,),),)</f>
        <v>0</v>
      </c>
      <c r="V100" s="875">
        <f>IF(J!Q100&lt;&gt;J!R100,IF(J!Q100&lt;&gt;0,IF(J!S100&lt;&gt;J!T100,J!V100,),),)</f>
        <v>0</v>
      </c>
      <c r="W100" s="633">
        <f>IF(Q100="","",$W$5-SUM($Q$7:$Q$45)-SUM($Q$64:Q100))</f>
        <v>0</v>
      </c>
      <c r="AO100" s="86"/>
      <c r="AP100" s="86"/>
      <c r="AQ100" s="86"/>
      <c r="AR100" s="86"/>
      <c r="AS100" s="86"/>
      <c r="AT100" s="86"/>
      <c r="AU100" s="86"/>
      <c r="AV100" s="86"/>
      <c r="AW100" s="86"/>
      <c r="AX100" s="86"/>
      <c r="AY100" s="86"/>
      <c r="CM100" s="86"/>
      <c r="CN100" s="86"/>
    </row>
    <row r="101" spans="8:92" s="367" customFormat="1" ht="15.75" hidden="1" customHeight="1" outlineLevel="1">
      <c r="H101" s="543"/>
      <c r="I101" s="853"/>
      <c r="J101" s="6"/>
      <c r="K101" s="541"/>
      <c r="L101" s="860"/>
      <c r="M101" s="20" t="str">
        <f>IF(J101="","",$M$5-SUM($J$7:J101))</f>
        <v/>
      </c>
      <c r="O101" s="7"/>
      <c r="P101" s="871">
        <f>IF(J!Q101&lt;&gt;J!R101,IF(J!Q101&lt;&gt;0,IF(J!S101&lt;&gt;J!T101,J!P101,),),)</f>
        <v>0</v>
      </c>
      <c r="Q101" s="795">
        <f>IF(J!Q101&lt;&gt;J!R101,IF(J!Q101&lt;&gt;0,IF(J!S101&lt;&gt;J!T101,J!Q101,),),)</f>
        <v>0</v>
      </c>
      <c r="R101" s="628">
        <f>IF(J!Q101&lt;&gt;J!R101,IF(J!Q101&lt;&gt;0,IF(J!S101&lt;&gt;J!T101,0,Q101),Q101),Q101)</f>
        <v>0</v>
      </c>
      <c r="S101" s="796">
        <f>IF(J!Q101&lt;&gt;J!R101,IF(J!Q101&lt;&gt;0,IF(J!S101&lt;&gt;J!T101,J!S101+1,),),)</f>
        <v>0</v>
      </c>
      <c r="T101" s="796">
        <f>IF(J!Q101&lt;&gt;J!R101,IF(J!Q101&lt;&gt;0,IF(J!S101&lt;&gt;J!T101,J!T101,),),)</f>
        <v>0</v>
      </c>
      <c r="U101" s="797">
        <f>IF(J!Q101&lt;&gt;J!R101,IF(J!Q101&lt;&gt;0,IF(J!S101&lt;&gt;J!T101,J!U101,),),)</f>
        <v>0</v>
      </c>
      <c r="V101" s="875">
        <f>IF(J!Q101&lt;&gt;J!R101,IF(J!Q101&lt;&gt;0,IF(J!S101&lt;&gt;J!T101,J!V101,),),)</f>
        <v>0</v>
      </c>
      <c r="W101" s="633">
        <f>IF(Q101="","",$W$5-SUM($Q$7:$Q$45)-SUM($Q$64:Q101))</f>
        <v>0</v>
      </c>
      <c r="AO101" s="86"/>
      <c r="AP101" s="86"/>
      <c r="AQ101" s="86"/>
      <c r="AR101" s="86"/>
      <c r="AS101" s="86"/>
      <c r="AT101" s="86"/>
      <c r="AU101" s="86"/>
      <c r="AV101" s="86"/>
      <c r="AW101" s="86"/>
      <c r="AX101" s="86"/>
      <c r="AY101" s="86"/>
      <c r="CM101" s="86"/>
      <c r="CN101" s="86"/>
    </row>
    <row r="102" spans="8:92" s="367" customFormat="1" ht="15.75" hidden="1" customHeight="1" outlineLevel="1">
      <c r="H102" s="543"/>
      <c r="I102" s="853"/>
      <c r="J102" s="6"/>
      <c r="K102" s="541"/>
      <c r="L102" s="860"/>
      <c r="M102" s="20" t="str">
        <f>IF(J102="","",$M$5-SUM($J$7:J102))</f>
        <v/>
      </c>
      <c r="O102" s="7"/>
      <c r="P102" s="873">
        <f>IF(J!Q102&lt;&gt;J!R102,IF(J!Q102&lt;&gt;0,IF(J!S102&lt;&gt;J!T102,J!P102,),),)</f>
        <v>0</v>
      </c>
      <c r="Q102" s="795">
        <f>IF(J!Q102&lt;&gt;J!R102,IF(J!Q102&lt;&gt;0,IF(J!S102&lt;&gt;J!T102,J!Q102,),),)</f>
        <v>0</v>
      </c>
      <c r="R102" s="628">
        <f>IF(J!Q102&lt;&gt;J!R102,IF(J!Q102&lt;&gt;0,IF(J!S102&lt;&gt;J!T102,0,Q102),Q102),Q102)</f>
        <v>0</v>
      </c>
      <c r="S102" s="796">
        <f>IF(J!Q102&lt;&gt;J!R102,IF(J!Q102&lt;&gt;0,IF(J!S102&lt;&gt;J!T102,J!S102+1,),),)</f>
        <v>0</v>
      </c>
      <c r="T102" s="796">
        <f>IF(J!Q102&lt;&gt;J!R102,IF(J!Q102&lt;&gt;0,IF(J!S102&lt;&gt;J!T102,J!T102,),),)</f>
        <v>0</v>
      </c>
      <c r="U102" s="797">
        <f>IF(J!Q102&lt;&gt;J!R102,IF(J!Q102&lt;&gt;0,IF(J!S102&lt;&gt;J!T102,J!U102,),),)</f>
        <v>0</v>
      </c>
      <c r="V102" s="875">
        <f>IF(J!Q102&lt;&gt;J!R102,IF(J!Q102&lt;&gt;0,IF(J!S102&lt;&gt;J!T102,J!V102,),),)</f>
        <v>0</v>
      </c>
      <c r="W102" s="633">
        <f>IF(Q102="","",$W$5-SUM($Q$7:$Q$45)-SUM($Q$64:Q102))</f>
        <v>0</v>
      </c>
      <c r="AO102" s="86"/>
      <c r="AP102" s="86"/>
      <c r="AQ102" s="86"/>
      <c r="AR102" s="86"/>
      <c r="AS102" s="86"/>
      <c r="AT102" s="86"/>
      <c r="AU102" s="86"/>
      <c r="AV102" s="86"/>
      <c r="AW102" s="86"/>
      <c r="AX102" s="86"/>
      <c r="AY102" s="86"/>
      <c r="CM102" s="86"/>
      <c r="CN102" s="86"/>
    </row>
    <row r="103" spans="8:92" s="367" customFormat="1" ht="15.75" hidden="1" customHeight="1" outlineLevel="1">
      <c r="H103" s="543"/>
      <c r="I103" s="853"/>
      <c r="J103" s="6"/>
      <c r="K103" s="541"/>
      <c r="L103" s="860"/>
      <c r="M103" s="20" t="str">
        <f>IF(J103="","",$M$5-SUM($J$7:J103))</f>
        <v/>
      </c>
      <c r="O103" s="7"/>
      <c r="P103" s="871">
        <f>IF(J!Q103&lt;&gt;J!R103,IF(J!Q103&lt;&gt;0,IF(J!S103&lt;&gt;J!T103,J!P103,),),)</f>
        <v>0</v>
      </c>
      <c r="Q103" s="795">
        <f>IF(J!Q103&lt;&gt;J!R103,IF(J!Q103&lt;&gt;0,IF(J!S103&lt;&gt;J!T103,J!Q103,),),)</f>
        <v>0</v>
      </c>
      <c r="R103" s="628">
        <f>IF(J!Q103&lt;&gt;J!R103,IF(J!Q103&lt;&gt;0,IF(J!S103&lt;&gt;J!T103,0,Q103),Q103),Q103)</f>
        <v>0</v>
      </c>
      <c r="S103" s="796">
        <f>IF(J!Q103&lt;&gt;J!R103,IF(J!Q103&lt;&gt;0,IF(J!S103&lt;&gt;J!T103,J!S103+1,),),)</f>
        <v>0</v>
      </c>
      <c r="T103" s="796">
        <f>IF(J!Q103&lt;&gt;J!R103,IF(J!Q103&lt;&gt;0,IF(J!S103&lt;&gt;J!T103,J!T103,),),)</f>
        <v>0</v>
      </c>
      <c r="U103" s="797">
        <f>IF(J!Q103&lt;&gt;J!R103,IF(J!Q103&lt;&gt;0,IF(J!S103&lt;&gt;J!T103,J!U103,),),)</f>
        <v>0</v>
      </c>
      <c r="V103" s="875">
        <f>IF(J!Q103&lt;&gt;J!R103,IF(J!Q103&lt;&gt;0,IF(J!S103&lt;&gt;J!T103,J!V103,),),)</f>
        <v>0</v>
      </c>
      <c r="W103" s="633">
        <f>IF(Q103="","",$W$5-SUM($Q$7:$Q$45)-SUM($Q$64:Q103))</f>
        <v>0</v>
      </c>
      <c r="AO103" s="86"/>
      <c r="AP103" s="86"/>
      <c r="AQ103" s="86"/>
      <c r="AR103" s="86"/>
      <c r="AS103" s="86"/>
      <c r="AT103" s="86"/>
      <c r="AU103" s="86"/>
      <c r="AV103" s="86"/>
      <c r="AW103" s="86"/>
      <c r="AX103" s="86"/>
      <c r="AY103" s="86"/>
      <c r="CM103" s="86"/>
      <c r="CN103" s="86"/>
    </row>
    <row r="104" spans="8:92" s="367" customFormat="1" ht="15.75" hidden="1" customHeight="1" outlineLevel="1">
      <c r="H104" s="543"/>
      <c r="I104" s="853"/>
      <c r="J104" s="6"/>
      <c r="K104" s="541"/>
      <c r="L104" s="860"/>
      <c r="M104" s="20" t="str">
        <f>IF(J104="","",$M$5-SUM($J$7:J104))</f>
        <v/>
      </c>
      <c r="O104" s="7"/>
      <c r="P104" s="873">
        <f>IF(J!Q104&lt;&gt;J!R104,IF(J!Q104&lt;&gt;0,IF(J!S104&lt;&gt;J!T104,J!P104,),),)</f>
        <v>0</v>
      </c>
      <c r="Q104" s="795">
        <f>IF(J!Q104&lt;&gt;J!R104,IF(J!Q104&lt;&gt;0,IF(J!S104&lt;&gt;J!T104,J!Q104,),),)</f>
        <v>0</v>
      </c>
      <c r="R104" s="628">
        <f>IF(J!Q104&lt;&gt;J!R104,IF(J!Q104&lt;&gt;0,IF(J!S104&lt;&gt;J!T104,0,Q104),Q104),Q104)</f>
        <v>0</v>
      </c>
      <c r="S104" s="796">
        <f>IF(J!Q104&lt;&gt;J!R104,IF(J!Q104&lt;&gt;0,IF(J!S104&lt;&gt;J!T104,J!S104+1,),),)</f>
        <v>0</v>
      </c>
      <c r="T104" s="796">
        <f>IF(J!Q104&lt;&gt;J!R104,IF(J!Q104&lt;&gt;0,IF(J!S104&lt;&gt;J!T104,J!T104,),),)</f>
        <v>0</v>
      </c>
      <c r="U104" s="797">
        <f>IF(J!Q104&lt;&gt;J!R104,IF(J!Q104&lt;&gt;0,IF(J!S104&lt;&gt;J!T104,J!U104,),),)</f>
        <v>0</v>
      </c>
      <c r="V104" s="875">
        <f>IF(J!Q104&lt;&gt;J!R104,IF(J!Q104&lt;&gt;0,IF(J!S104&lt;&gt;J!T104,J!V104,),),)</f>
        <v>0</v>
      </c>
      <c r="W104" s="633">
        <f>IF(Q104="","",$W$5-SUM($Q$7:$Q$45)-SUM($Q$64:Q104))</f>
        <v>0</v>
      </c>
      <c r="AO104" s="86"/>
      <c r="AP104" s="86"/>
      <c r="AQ104" s="86"/>
      <c r="AR104" s="86"/>
      <c r="AS104" s="86"/>
      <c r="AT104" s="86"/>
      <c r="AU104" s="86"/>
      <c r="AV104" s="86"/>
      <c r="AW104" s="86"/>
      <c r="AX104" s="86"/>
      <c r="AY104" s="86"/>
      <c r="CM104" s="86"/>
      <c r="CN104" s="86"/>
    </row>
    <row r="105" spans="8:92" s="367" customFormat="1" ht="15.75" hidden="1" customHeight="1" outlineLevel="1">
      <c r="H105" s="543"/>
      <c r="I105" s="853"/>
      <c r="J105" s="6"/>
      <c r="K105" s="541"/>
      <c r="L105" s="860"/>
      <c r="M105" s="20" t="str">
        <f>IF(J105="","",$M$5-SUM($J$7:J105))</f>
        <v/>
      </c>
      <c r="O105" s="7"/>
      <c r="P105" s="872">
        <f>IF(J!Q105&lt;&gt;J!R105,IF(J!Q105&lt;&gt;0,IF(J!S105&lt;&gt;J!T105,J!P105,),),)</f>
        <v>0</v>
      </c>
      <c r="Q105" s="795">
        <f>IF(J!Q105&lt;&gt;J!R105,IF(J!Q105&lt;&gt;0,IF(J!S105&lt;&gt;J!T105,J!Q105,),),)</f>
        <v>0</v>
      </c>
      <c r="R105" s="628">
        <f>IF(J!Q105&lt;&gt;J!R105,IF(J!Q105&lt;&gt;0,IF(J!S105&lt;&gt;J!T105,0,Q105),Q105),Q105)</f>
        <v>0</v>
      </c>
      <c r="S105" s="796">
        <f>IF(J!Q105&lt;&gt;J!R105,IF(J!Q105&lt;&gt;0,IF(J!S105&lt;&gt;J!T105,J!S105+1,),),)</f>
        <v>0</v>
      </c>
      <c r="T105" s="796">
        <f>IF(J!Q105&lt;&gt;J!R105,IF(J!Q105&lt;&gt;0,IF(J!S105&lt;&gt;J!T105,J!T105,),),)</f>
        <v>0</v>
      </c>
      <c r="U105" s="797">
        <f>IF(J!Q105&lt;&gt;J!R105,IF(J!Q105&lt;&gt;0,IF(J!S105&lt;&gt;J!T105,J!U105,),),)</f>
        <v>0</v>
      </c>
      <c r="V105" s="875">
        <f>IF(J!Q105&lt;&gt;J!R105,IF(J!Q105&lt;&gt;0,IF(J!S105&lt;&gt;J!T105,J!V105,),),)</f>
        <v>0</v>
      </c>
      <c r="W105" s="633">
        <f>IF(Q105="","",$W$5-SUM($Q$7:$Q$45)-SUM($Q$64:Q105))</f>
        <v>0</v>
      </c>
      <c r="AO105" s="86"/>
      <c r="AP105" s="86"/>
      <c r="AQ105" s="86"/>
      <c r="AR105" s="86"/>
      <c r="AS105" s="86"/>
      <c r="AT105" s="86"/>
      <c r="AU105" s="86"/>
      <c r="AV105" s="86"/>
      <c r="AW105" s="86"/>
      <c r="AX105" s="86"/>
      <c r="AY105" s="86"/>
      <c r="CM105" s="86"/>
      <c r="CN105" s="86"/>
    </row>
    <row r="106" spans="8:92" s="367" customFormat="1" ht="15.75" hidden="1" customHeight="1" outlineLevel="1">
      <c r="H106" s="543"/>
      <c r="I106" s="853"/>
      <c r="J106" s="6"/>
      <c r="K106" s="541"/>
      <c r="L106" s="860"/>
      <c r="M106" s="20" t="str">
        <f>IF(J106="","",$M$5-SUM($J$7:J106))</f>
        <v/>
      </c>
      <c r="O106" s="7"/>
      <c r="P106" s="871">
        <f>IF(J!Q106&lt;&gt;J!R106,IF(J!Q106&lt;&gt;0,IF(J!S106&lt;&gt;J!T106,J!P106,),),)</f>
        <v>0</v>
      </c>
      <c r="Q106" s="795">
        <f>IF(J!Q106&lt;&gt;J!R106,IF(J!Q106&lt;&gt;0,IF(J!S106&lt;&gt;J!T106,J!Q106,),),)</f>
        <v>0</v>
      </c>
      <c r="R106" s="628">
        <f>IF(J!Q106&lt;&gt;J!R106,IF(J!Q106&lt;&gt;0,IF(J!S106&lt;&gt;J!T106,0,Q106),Q106),Q106)</f>
        <v>0</v>
      </c>
      <c r="S106" s="796">
        <f>IF(J!Q106&lt;&gt;J!R106,IF(J!Q106&lt;&gt;0,IF(J!S106&lt;&gt;J!T106,J!S106+1,),),)</f>
        <v>0</v>
      </c>
      <c r="T106" s="796">
        <f>IF(J!Q106&lt;&gt;J!R106,IF(J!Q106&lt;&gt;0,IF(J!S106&lt;&gt;J!T106,J!T106,),),)</f>
        <v>0</v>
      </c>
      <c r="U106" s="797">
        <f>IF(J!Q106&lt;&gt;J!R106,IF(J!Q106&lt;&gt;0,IF(J!S106&lt;&gt;J!T106,J!U106,),),)</f>
        <v>0</v>
      </c>
      <c r="V106" s="875">
        <f>IF(J!Q106&lt;&gt;J!R106,IF(J!Q106&lt;&gt;0,IF(J!S106&lt;&gt;J!T106,J!V106,),),)</f>
        <v>0</v>
      </c>
      <c r="W106" s="633">
        <f>IF(Q106="","",$W$5-SUM($Q$7:$Q$45)-SUM($Q$64:Q106))</f>
        <v>0</v>
      </c>
      <c r="AO106" s="86"/>
      <c r="AP106" s="86"/>
      <c r="AQ106" s="86"/>
      <c r="AR106" s="86"/>
      <c r="AS106" s="86"/>
      <c r="AT106" s="86"/>
      <c r="AU106" s="86"/>
      <c r="AV106" s="86"/>
      <c r="AW106" s="86"/>
      <c r="AX106" s="86"/>
      <c r="AY106" s="86"/>
      <c r="CM106" s="86"/>
      <c r="CN106" s="86"/>
    </row>
    <row r="107" spans="8:92" s="367" customFormat="1" ht="15.75" hidden="1" customHeight="1" outlineLevel="1">
      <c r="H107" s="543"/>
      <c r="I107" s="853"/>
      <c r="J107" s="6"/>
      <c r="K107" s="541"/>
      <c r="L107" s="860"/>
      <c r="M107" s="20" t="str">
        <f>IF(J107="","",$M$5-SUM($J$7:J107))</f>
        <v/>
      </c>
      <c r="O107" s="7"/>
      <c r="P107" s="871">
        <f>IF(J!Q107&lt;&gt;J!R107,IF(J!Q107&lt;&gt;0,IF(J!S107&lt;&gt;J!T107,J!P107,),),)</f>
        <v>0</v>
      </c>
      <c r="Q107" s="795">
        <f>IF(J!Q107&lt;&gt;J!R107,IF(J!Q107&lt;&gt;0,IF(J!S107&lt;&gt;J!T107,J!Q107,),),)</f>
        <v>0</v>
      </c>
      <c r="R107" s="628">
        <f>IF(J!Q107&lt;&gt;J!R107,IF(J!Q107&lt;&gt;0,IF(J!S107&lt;&gt;J!T107,0,Q107),Q107),Q107)</f>
        <v>0</v>
      </c>
      <c r="S107" s="796">
        <f>IF(J!Q107&lt;&gt;J!R107,IF(J!Q107&lt;&gt;0,IF(J!S107&lt;&gt;J!T107,J!S107+1,),),)</f>
        <v>0</v>
      </c>
      <c r="T107" s="796">
        <f>IF(J!Q107&lt;&gt;J!R107,IF(J!Q107&lt;&gt;0,IF(J!S107&lt;&gt;J!T107,J!T107,),),)</f>
        <v>0</v>
      </c>
      <c r="U107" s="797">
        <f>IF(J!Q107&lt;&gt;J!R107,IF(J!Q107&lt;&gt;0,IF(J!S107&lt;&gt;J!T107,J!U107,),),)</f>
        <v>0</v>
      </c>
      <c r="V107" s="875">
        <f>IF(J!Q107&lt;&gt;J!R107,IF(J!Q107&lt;&gt;0,IF(J!S107&lt;&gt;J!T107,J!V107,),),)</f>
        <v>0</v>
      </c>
      <c r="W107" s="633">
        <f>IF(Q107="","",$W$5-SUM($Q$7:$Q$45)-SUM($Q$64:Q107))</f>
        <v>0</v>
      </c>
      <c r="AO107" s="86"/>
      <c r="AP107" s="86"/>
      <c r="AQ107" s="86"/>
      <c r="AR107" s="86"/>
      <c r="AS107" s="86"/>
      <c r="AT107" s="86"/>
      <c r="AU107" s="86"/>
      <c r="AV107" s="86"/>
      <c r="AW107" s="86"/>
      <c r="AX107" s="86"/>
      <c r="AY107" s="86"/>
      <c r="CM107" s="86"/>
      <c r="CN107" s="86"/>
    </row>
    <row r="108" spans="8:92" s="367" customFormat="1" ht="15.75" hidden="1" customHeight="1" outlineLevel="1">
      <c r="H108" s="543"/>
      <c r="I108" s="853"/>
      <c r="J108" s="6"/>
      <c r="K108" s="541"/>
      <c r="L108" s="860"/>
      <c r="M108" s="20" t="str">
        <f>IF(J108="","",$M$5-SUM($J$7:J108))</f>
        <v/>
      </c>
      <c r="O108" s="7"/>
      <c r="P108" s="873">
        <f>IF(J!Q108&lt;&gt;J!R108,IF(J!Q108&lt;&gt;0,IF(J!S108&lt;&gt;J!T108,J!P108,),),)</f>
        <v>0</v>
      </c>
      <c r="Q108" s="795">
        <f>IF(J!Q108&lt;&gt;J!R108,IF(J!Q108&lt;&gt;0,IF(J!S108&lt;&gt;J!T108,J!Q108,),),)</f>
        <v>0</v>
      </c>
      <c r="R108" s="628">
        <f>IF(J!Q108&lt;&gt;J!R108,IF(J!Q108&lt;&gt;0,IF(J!S108&lt;&gt;J!T108,0,Q108),Q108),Q108)</f>
        <v>0</v>
      </c>
      <c r="S108" s="796">
        <f>IF(J!Q108&lt;&gt;J!R108,IF(J!Q108&lt;&gt;0,IF(J!S108&lt;&gt;J!T108,J!S108+1,),),)</f>
        <v>0</v>
      </c>
      <c r="T108" s="796">
        <f>IF(J!Q108&lt;&gt;J!R108,IF(J!Q108&lt;&gt;0,IF(J!S108&lt;&gt;J!T108,J!T108,),),)</f>
        <v>0</v>
      </c>
      <c r="U108" s="797">
        <f>IF(J!Q108&lt;&gt;J!R108,IF(J!Q108&lt;&gt;0,IF(J!S108&lt;&gt;J!T108,J!U108,),),)</f>
        <v>0</v>
      </c>
      <c r="V108" s="875">
        <f>IF(J!Q108&lt;&gt;J!R108,IF(J!Q108&lt;&gt;0,IF(J!S108&lt;&gt;J!T108,J!V108,),),)</f>
        <v>0</v>
      </c>
      <c r="W108" s="633">
        <f>IF(Q108="","",$W$5-SUM($Q$7:$Q$45)-SUM($Q$64:Q108))</f>
        <v>0</v>
      </c>
      <c r="AO108" s="86"/>
      <c r="AP108" s="86"/>
      <c r="AQ108" s="86"/>
      <c r="AR108" s="86"/>
      <c r="AS108" s="86"/>
      <c r="AT108" s="86"/>
      <c r="AU108" s="86"/>
      <c r="AV108" s="86"/>
      <c r="AW108" s="86"/>
      <c r="AX108" s="86"/>
      <c r="AY108" s="86"/>
      <c r="CM108" s="86"/>
      <c r="CN108" s="86"/>
    </row>
    <row r="109" spans="8:92" s="367" customFormat="1" ht="15.75" hidden="1" customHeight="1" outlineLevel="1">
      <c r="H109" s="543"/>
      <c r="I109" s="853"/>
      <c r="J109" s="6"/>
      <c r="K109" s="541"/>
      <c r="L109" s="860"/>
      <c r="M109" s="20" t="str">
        <f>IF(J109="","",$M$5-SUM($J$7:J109))</f>
        <v/>
      </c>
      <c r="O109" s="7"/>
      <c r="P109" s="871">
        <f>IF(J!Q109&lt;&gt;J!R109,IF(J!Q109&lt;&gt;0,IF(J!S109&lt;&gt;J!T109,J!P109,),),)</f>
        <v>0</v>
      </c>
      <c r="Q109" s="795">
        <f>IF(J!Q109&lt;&gt;J!R109,IF(J!Q109&lt;&gt;0,IF(J!S109&lt;&gt;J!T109,J!Q109,),),)</f>
        <v>0</v>
      </c>
      <c r="R109" s="628">
        <f>IF(J!Q109&lt;&gt;J!R109,IF(J!Q109&lt;&gt;0,IF(J!S109&lt;&gt;J!T109,0,Q109),Q109),Q109)</f>
        <v>0</v>
      </c>
      <c r="S109" s="796">
        <f>IF(J!Q109&lt;&gt;J!R109,IF(J!Q109&lt;&gt;0,IF(J!S109&lt;&gt;J!T109,J!S109+1,),),)</f>
        <v>0</v>
      </c>
      <c r="T109" s="796">
        <f>IF(J!Q109&lt;&gt;J!R109,IF(J!Q109&lt;&gt;0,IF(J!S109&lt;&gt;J!T109,J!T109,),),)</f>
        <v>0</v>
      </c>
      <c r="U109" s="797">
        <f>IF(J!Q109&lt;&gt;J!R109,IF(J!Q109&lt;&gt;0,IF(J!S109&lt;&gt;J!T109,J!U109,),),)</f>
        <v>0</v>
      </c>
      <c r="V109" s="875">
        <f>IF(J!Q109&lt;&gt;J!R109,IF(J!Q109&lt;&gt;0,IF(J!S109&lt;&gt;J!T109,J!V109,),),)</f>
        <v>0</v>
      </c>
      <c r="W109" s="633">
        <f>IF(Q109="","",$W$5-SUM($Q$7:$Q$45)-SUM($Q$64:Q109))</f>
        <v>0</v>
      </c>
      <c r="AO109" s="86"/>
      <c r="AP109" s="86"/>
      <c r="AQ109" s="86"/>
      <c r="AR109" s="86"/>
      <c r="AS109" s="86"/>
      <c r="AT109" s="86"/>
      <c r="AU109" s="86"/>
      <c r="AV109" s="86"/>
      <c r="AW109" s="86"/>
      <c r="AX109" s="86"/>
      <c r="AY109" s="86"/>
      <c r="CM109" s="86"/>
      <c r="CN109" s="86"/>
    </row>
    <row r="110" spans="8:92" s="367" customFormat="1" ht="16.5" hidden="1" customHeight="1" outlineLevel="1" thickBot="1">
      <c r="H110" s="544"/>
      <c r="I110" s="857"/>
      <c r="J110" s="545"/>
      <c r="K110" s="601"/>
      <c r="L110" s="861"/>
      <c r="M110" s="546" t="str">
        <f>IF(J110="","",$M$5-SUM($J$7:J110))</f>
        <v/>
      </c>
      <c r="O110" s="523"/>
      <c r="P110" s="874">
        <f>IF(J!Q110&lt;&gt;J!R110,IF(J!Q110&lt;&gt;0,IF(J!S110&lt;&gt;J!T110,J!P110,),),)</f>
        <v>0</v>
      </c>
      <c r="Q110" s="800">
        <f>IF(J!Q110&lt;&gt;J!R110,IF(J!Q110&lt;&gt;0,IF(J!S110&lt;&gt;J!T110,J!Q110,),),)</f>
        <v>0</v>
      </c>
      <c r="R110" s="630">
        <f>IF(J!Q110&lt;&gt;J!R110,IF(J!Q110&lt;&gt;0,IF(J!S110&lt;&gt;J!T110,0,Q110),Q110),Q110)</f>
        <v>0</v>
      </c>
      <c r="S110" s="801">
        <f>IF(J!Q110&lt;&gt;J!R110,IF(J!Q110&lt;&gt;0,IF(J!S110&lt;&gt;J!T110,J!S110+1,),),)</f>
        <v>0</v>
      </c>
      <c r="T110" s="801">
        <f>IF(J!Q110&lt;&gt;J!R110,IF(J!Q110&lt;&gt;0,IF(J!S110&lt;&gt;J!T110,J!T110,),),)</f>
        <v>0</v>
      </c>
      <c r="U110" s="802">
        <f>IF(J!Q110&lt;&gt;J!R110,IF(J!Q110&lt;&gt;0,IF(J!S110&lt;&gt;J!T110,J!U110,),),)</f>
        <v>0</v>
      </c>
      <c r="V110" s="876">
        <f>IF(J!Q110&lt;&gt;J!R110,IF(J!Q110&lt;&gt;0,IF(J!S110&lt;&gt;J!T110,J!V110,),),)</f>
        <v>0</v>
      </c>
      <c r="W110" s="635">
        <f>IF(Q110="","",$W$5-SUM($Q$7:$Q$45)-SUM($Q$64:Q110))</f>
        <v>0</v>
      </c>
      <c r="AO110" s="86"/>
      <c r="AP110" s="86"/>
      <c r="AQ110" s="86"/>
      <c r="AR110" s="86"/>
      <c r="AS110" s="86"/>
      <c r="AT110" s="86"/>
      <c r="AU110" s="86"/>
      <c r="AV110" s="86"/>
      <c r="AW110" s="86"/>
      <c r="AX110" s="86"/>
      <c r="AY110" s="86"/>
      <c r="CM110" s="86"/>
      <c r="CN110" s="86"/>
    </row>
    <row r="111" spans="8:92" s="367" customFormat="1">
      <c r="K111" s="593"/>
      <c r="L111" s="593"/>
      <c r="O111" s="511"/>
      <c r="S111" s="371"/>
      <c r="T111" s="371"/>
      <c r="U111" s="371"/>
      <c r="V111" s="371"/>
      <c r="AO111" s="86"/>
      <c r="AP111" s="86"/>
      <c r="AQ111" s="86"/>
      <c r="AR111" s="86"/>
      <c r="AS111" s="86"/>
      <c r="AT111" s="86"/>
      <c r="AU111" s="86"/>
      <c r="AV111" s="86"/>
      <c r="AW111" s="86"/>
      <c r="AX111" s="86"/>
      <c r="AY111" s="86"/>
      <c r="CM111" s="86"/>
      <c r="CN111" s="86"/>
    </row>
    <row r="112" spans="8:92" s="367" customFormat="1">
      <c r="O112" s="511"/>
      <c r="S112" s="371"/>
      <c r="T112" s="371"/>
      <c r="U112" s="371"/>
      <c r="V112" s="371"/>
      <c r="AO112" s="86"/>
      <c r="AP112" s="86"/>
      <c r="AQ112" s="86"/>
      <c r="AR112" s="86"/>
      <c r="AS112" s="86"/>
      <c r="AT112" s="86"/>
      <c r="AU112" s="86"/>
      <c r="AV112" s="86"/>
      <c r="AW112" s="86"/>
      <c r="AX112" s="86"/>
      <c r="AY112" s="86"/>
      <c r="CM112" s="86"/>
      <c r="CN112" s="86"/>
    </row>
    <row r="113" spans="15:92" s="367" customFormat="1">
      <c r="O113" s="511"/>
      <c r="S113" s="371"/>
      <c r="T113" s="371"/>
      <c r="U113" s="371"/>
      <c r="V113" s="371"/>
      <c r="AO113" s="86"/>
      <c r="AP113" s="86"/>
      <c r="AQ113" s="86"/>
      <c r="AR113" s="86"/>
      <c r="AS113" s="86"/>
      <c r="AT113" s="86"/>
      <c r="AU113" s="86"/>
      <c r="AV113" s="86"/>
      <c r="AW113" s="86"/>
      <c r="AX113" s="86"/>
      <c r="AY113" s="86"/>
      <c r="CM113" s="86"/>
      <c r="CN113" s="86"/>
    </row>
    <row r="114" spans="15:92" s="367" customFormat="1">
      <c r="O114" s="511"/>
      <c r="S114" s="371"/>
      <c r="T114" s="371"/>
      <c r="U114" s="371"/>
      <c r="V114" s="371"/>
      <c r="AO114" s="86"/>
      <c r="AP114" s="86"/>
      <c r="AQ114" s="86"/>
      <c r="AR114" s="86"/>
      <c r="AS114" s="86"/>
      <c r="AT114" s="86"/>
      <c r="AU114" s="86"/>
      <c r="AV114" s="86"/>
      <c r="AW114" s="86"/>
      <c r="AX114" s="86"/>
      <c r="AY114" s="86"/>
      <c r="CM114" s="86"/>
      <c r="CN114" s="86"/>
    </row>
    <row r="115" spans="15:92" s="367" customFormat="1">
      <c r="O115" s="511"/>
      <c r="S115" s="371"/>
      <c r="T115" s="371"/>
      <c r="U115" s="371"/>
      <c r="V115" s="371"/>
      <c r="AO115" s="86"/>
      <c r="AP115" s="86"/>
      <c r="AQ115" s="86"/>
      <c r="AR115" s="86"/>
      <c r="AS115" s="86"/>
      <c r="AT115" s="86"/>
      <c r="AU115" s="86"/>
      <c r="AV115" s="86"/>
      <c r="AW115" s="86"/>
      <c r="AX115" s="86"/>
      <c r="AY115" s="86"/>
      <c r="CM115" s="86"/>
      <c r="CN115" s="86"/>
    </row>
    <row r="116" spans="15:92" s="367" customFormat="1">
      <c r="O116" s="511"/>
      <c r="S116" s="371"/>
      <c r="T116" s="371"/>
      <c r="U116" s="371"/>
      <c r="V116" s="371"/>
      <c r="AO116" s="86"/>
      <c r="AP116" s="86"/>
      <c r="AQ116" s="86"/>
      <c r="AR116" s="86"/>
      <c r="AS116" s="86"/>
      <c r="AT116" s="86"/>
      <c r="AU116" s="86"/>
      <c r="AV116" s="86"/>
      <c r="AW116" s="86"/>
      <c r="AX116" s="86"/>
      <c r="AY116" s="86"/>
      <c r="CM116" s="86"/>
      <c r="CN116" s="86"/>
    </row>
    <row r="117" spans="15:92" s="367" customFormat="1">
      <c r="O117" s="511"/>
      <c r="S117" s="371"/>
      <c r="T117" s="371"/>
      <c r="U117" s="371"/>
      <c r="V117" s="371"/>
      <c r="AO117" s="86"/>
      <c r="AP117" s="86"/>
      <c r="AQ117" s="86"/>
      <c r="AR117" s="86"/>
      <c r="AS117" s="86"/>
      <c r="AT117" s="86"/>
      <c r="AU117" s="86"/>
      <c r="AV117" s="86"/>
      <c r="AW117" s="86"/>
      <c r="AX117" s="86"/>
      <c r="AY117" s="86"/>
      <c r="CM117" s="86"/>
      <c r="CN117" s="86"/>
    </row>
    <row r="118" spans="15:92" s="367" customFormat="1">
      <c r="O118" s="511"/>
      <c r="S118" s="371"/>
      <c r="T118" s="371"/>
      <c r="U118" s="371"/>
      <c r="V118" s="371"/>
      <c r="AO118" s="86"/>
      <c r="AP118" s="86"/>
      <c r="AQ118" s="86"/>
      <c r="AR118" s="86"/>
      <c r="AS118" s="86"/>
      <c r="AT118" s="86"/>
      <c r="AU118" s="86"/>
      <c r="AV118" s="86"/>
      <c r="AW118" s="86"/>
      <c r="AX118" s="86"/>
      <c r="AY118" s="86"/>
      <c r="CM118" s="86"/>
      <c r="CN118" s="86"/>
    </row>
    <row r="119" spans="15:92" s="367" customFormat="1">
      <c r="O119" s="511"/>
      <c r="S119" s="371"/>
      <c r="T119" s="371"/>
      <c r="U119" s="371"/>
      <c r="V119" s="371"/>
      <c r="AO119" s="86"/>
      <c r="AP119" s="86"/>
      <c r="AQ119" s="86"/>
      <c r="AR119" s="86"/>
      <c r="AS119" s="86"/>
      <c r="AT119" s="86"/>
      <c r="AU119" s="86"/>
      <c r="AV119" s="86"/>
      <c r="AW119" s="86"/>
      <c r="AX119" s="86"/>
      <c r="AY119" s="86"/>
      <c r="CM119" s="86"/>
      <c r="CN119" s="86"/>
    </row>
    <row r="120" spans="15:92" s="367" customFormat="1">
      <c r="O120" s="511"/>
      <c r="S120" s="371"/>
      <c r="T120" s="371"/>
      <c r="U120" s="371"/>
      <c r="V120" s="371"/>
      <c r="AO120" s="86"/>
      <c r="AP120" s="86"/>
      <c r="AQ120" s="86"/>
      <c r="AR120" s="86"/>
      <c r="AS120" s="86"/>
      <c r="AT120" s="86"/>
      <c r="AU120" s="86"/>
      <c r="AV120" s="86"/>
      <c r="AW120" s="86"/>
      <c r="AX120" s="86"/>
      <c r="AY120" s="86"/>
      <c r="CM120" s="86"/>
      <c r="CN120" s="86"/>
    </row>
    <row r="121" spans="15:92" s="367" customFormat="1">
      <c r="O121" s="511"/>
      <c r="S121" s="371"/>
      <c r="T121" s="371"/>
      <c r="U121" s="371"/>
      <c r="V121" s="371"/>
      <c r="AO121" s="86"/>
      <c r="AP121" s="86"/>
      <c r="AQ121" s="86"/>
      <c r="AR121" s="86"/>
      <c r="AS121" s="86"/>
      <c r="AT121" s="86"/>
      <c r="AU121" s="86"/>
      <c r="AV121" s="86"/>
      <c r="AW121" s="86"/>
      <c r="AX121" s="86"/>
      <c r="AY121" s="86"/>
      <c r="CM121" s="86"/>
      <c r="CN121" s="86"/>
    </row>
    <row r="122" spans="15:92" s="367" customFormat="1">
      <c r="O122" s="511"/>
      <c r="S122" s="371"/>
      <c r="T122" s="371"/>
      <c r="U122" s="371"/>
      <c r="V122" s="371"/>
      <c r="AO122" s="86"/>
      <c r="AP122" s="86"/>
      <c r="AQ122" s="86"/>
      <c r="AR122" s="86"/>
      <c r="AS122" s="86"/>
      <c r="AT122" s="86"/>
      <c r="AU122" s="86"/>
      <c r="AV122" s="86"/>
      <c r="AW122" s="86"/>
      <c r="AX122" s="86"/>
      <c r="AY122" s="86"/>
      <c r="CM122" s="86"/>
      <c r="CN122" s="86"/>
    </row>
    <row r="123" spans="15:92" s="367" customFormat="1">
      <c r="O123" s="511"/>
      <c r="S123" s="371"/>
      <c r="T123" s="371"/>
      <c r="U123" s="371"/>
      <c r="V123" s="371"/>
      <c r="AO123" s="86"/>
      <c r="AP123" s="86"/>
      <c r="AQ123" s="86"/>
      <c r="AR123" s="86"/>
      <c r="AS123" s="86"/>
      <c r="AT123" s="86"/>
      <c r="AU123" s="86"/>
      <c r="AV123" s="86"/>
      <c r="AW123" s="86"/>
      <c r="AX123" s="86"/>
      <c r="AY123" s="86"/>
      <c r="CM123" s="86"/>
      <c r="CN123" s="86"/>
    </row>
    <row r="124" spans="15:92" s="367" customFormat="1">
      <c r="O124" s="511"/>
      <c r="S124" s="371"/>
      <c r="T124" s="371"/>
      <c r="U124" s="371"/>
      <c r="V124" s="371"/>
      <c r="AO124" s="86"/>
      <c r="AP124" s="86"/>
      <c r="AQ124" s="86"/>
      <c r="AR124" s="86"/>
      <c r="AS124" s="86"/>
      <c r="AT124" s="86"/>
      <c r="AU124" s="86"/>
      <c r="AV124" s="86"/>
      <c r="AW124" s="86"/>
      <c r="AX124" s="86"/>
      <c r="AY124" s="86"/>
      <c r="CM124" s="86"/>
      <c r="CN124" s="86"/>
    </row>
    <row r="125" spans="15:92" s="367" customFormat="1">
      <c r="O125" s="511"/>
      <c r="S125" s="371"/>
      <c r="T125" s="371"/>
      <c r="U125" s="371"/>
      <c r="V125" s="371"/>
      <c r="AO125" s="86"/>
      <c r="AP125" s="86"/>
      <c r="AQ125" s="86"/>
      <c r="AR125" s="86"/>
      <c r="AS125" s="86"/>
      <c r="AT125" s="86"/>
      <c r="AU125" s="86"/>
      <c r="AV125" s="86"/>
      <c r="AW125" s="86"/>
      <c r="AX125" s="86"/>
      <c r="AY125" s="86"/>
      <c r="CM125" s="86"/>
      <c r="CN125" s="86"/>
    </row>
    <row r="126" spans="15:92" s="367" customFormat="1">
      <c r="O126" s="511"/>
      <c r="S126" s="371"/>
      <c r="T126" s="371"/>
      <c r="U126" s="371"/>
      <c r="V126" s="371"/>
      <c r="AO126" s="86"/>
      <c r="AP126" s="86"/>
      <c r="AQ126" s="86"/>
      <c r="AR126" s="86"/>
      <c r="AS126" s="86"/>
      <c r="AT126" s="86"/>
      <c r="AU126" s="86"/>
      <c r="AV126" s="86"/>
      <c r="AW126" s="86"/>
      <c r="AX126" s="86"/>
      <c r="AY126" s="86"/>
      <c r="CM126" s="86"/>
      <c r="CN126" s="86"/>
    </row>
    <row r="127" spans="15:92" s="367" customFormat="1">
      <c r="O127" s="511"/>
      <c r="S127" s="371"/>
      <c r="T127" s="371"/>
      <c r="U127" s="371"/>
      <c r="V127" s="371"/>
      <c r="AO127" s="86"/>
      <c r="AP127" s="86"/>
      <c r="AQ127" s="86"/>
      <c r="AR127" s="86"/>
      <c r="AS127" s="86"/>
      <c r="AT127" s="86"/>
      <c r="AU127" s="86"/>
      <c r="AV127" s="86"/>
      <c r="AW127" s="86"/>
      <c r="AX127" s="86"/>
      <c r="AY127" s="86"/>
      <c r="CM127" s="86"/>
      <c r="CN127" s="86"/>
    </row>
    <row r="128" spans="15:92" s="367" customFormat="1">
      <c r="O128" s="511"/>
      <c r="S128" s="371"/>
      <c r="T128" s="371"/>
      <c r="U128" s="371"/>
      <c r="V128" s="371"/>
      <c r="AO128" s="86"/>
      <c r="AP128" s="86"/>
      <c r="AQ128" s="86"/>
      <c r="AR128" s="86"/>
      <c r="AS128" s="86"/>
      <c r="AT128" s="86"/>
      <c r="AU128" s="86"/>
      <c r="AV128" s="86"/>
      <c r="AW128" s="86"/>
      <c r="AX128" s="86"/>
      <c r="AY128" s="86"/>
      <c r="CM128" s="86"/>
      <c r="CN128" s="86"/>
    </row>
    <row r="129" spans="15:92" s="367" customFormat="1">
      <c r="O129" s="511"/>
      <c r="S129" s="371"/>
      <c r="T129" s="371"/>
      <c r="U129" s="371"/>
      <c r="V129" s="371"/>
      <c r="AO129" s="86"/>
      <c r="AP129" s="86"/>
      <c r="AQ129" s="86"/>
      <c r="AR129" s="86"/>
      <c r="AS129" s="86"/>
      <c r="AT129" s="86"/>
      <c r="AU129" s="86"/>
      <c r="AV129" s="86"/>
      <c r="AW129" s="86"/>
      <c r="AX129" s="86"/>
      <c r="AY129" s="86"/>
      <c r="CM129" s="86"/>
      <c r="CN129" s="86"/>
    </row>
    <row r="130" spans="15:92" s="367" customFormat="1">
      <c r="O130" s="511"/>
      <c r="S130" s="371"/>
      <c r="T130" s="371"/>
      <c r="U130" s="371"/>
      <c r="V130" s="371"/>
      <c r="AO130" s="86"/>
      <c r="AP130" s="86"/>
      <c r="AQ130" s="86"/>
      <c r="AR130" s="86"/>
      <c r="AS130" s="86"/>
      <c r="AT130" s="86"/>
      <c r="AU130" s="86"/>
      <c r="AV130" s="86"/>
      <c r="AW130" s="86"/>
      <c r="AX130" s="86"/>
      <c r="AY130" s="86"/>
      <c r="CM130" s="86"/>
      <c r="CN130" s="86"/>
    </row>
    <row r="131" spans="15:92" s="367" customFormat="1">
      <c r="O131" s="511"/>
      <c r="S131" s="371"/>
      <c r="T131" s="371"/>
      <c r="U131" s="371"/>
      <c r="V131" s="371"/>
      <c r="AO131" s="86"/>
      <c r="AP131" s="86"/>
      <c r="AQ131" s="86"/>
      <c r="AR131" s="86"/>
      <c r="AS131" s="86"/>
      <c r="AT131" s="86"/>
      <c r="AU131" s="86"/>
      <c r="AV131" s="86"/>
      <c r="AW131" s="86"/>
      <c r="AX131" s="86"/>
      <c r="AY131" s="86"/>
      <c r="CM131" s="86"/>
      <c r="CN131" s="86"/>
    </row>
    <row r="132" spans="15:92" s="367" customFormat="1">
      <c r="O132" s="511"/>
      <c r="S132" s="371"/>
      <c r="T132" s="371"/>
      <c r="U132" s="371"/>
      <c r="V132" s="371"/>
      <c r="AO132" s="86"/>
      <c r="AP132" s="86"/>
      <c r="AQ132" s="86"/>
      <c r="AR132" s="86"/>
      <c r="AS132" s="86"/>
      <c r="AT132" s="86"/>
      <c r="AU132" s="86"/>
      <c r="AV132" s="86"/>
      <c r="AW132" s="86"/>
      <c r="AX132" s="86"/>
      <c r="AY132" s="86"/>
      <c r="CM132" s="86"/>
      <c r="CN132" s="86"/>
    </row>
    <row r="133" spans="15:92" s="367" customFormat="1">
      <c r="O133" s="511"/>
      <c r="S133" s="371"/>
      <c r="T133" s="371"/>
      <c r="U133" s="371"/>
      <c r="V133" s="371"/>
      <c r="AO133" s="86"/>
      <c r="AP133" s="86"/>
      <c r="AQ133" s="86"/>
      <c r="AR133" s="86"/>
      <c r="AS133" s="86"/>
      <c r="AT133" s="86"/>
      <c r="AU133" s="86"/>
      <c r="AV133" s="86"/>
      <c r="AW133" s="86"/>
      <c r="AX133" s="86"/>
      <c r="AY133" s="86"/>
      <c r="CM133" s="86"/>
      <c r="CN133" s="86"/>
    </row>
    <row r="134" spans="15:92" s="367" customFormat="1">
      <c r="O134" s="511"/>
      <c r="S134" s="371"/>
      <c r="T134" s="371"/>
      <c r="U134" s="371"/>
      <c r="V134" s="371"/>
      <c r="AO134" s="86"/>
      <c r="AP134" s="86"/>
      <c r="AQ134" s="86"/>
      <c r="AR134" s="86"/>
      <c r="AS134" s="86"/>
      <c r="AT134" s="86"/>
      <c r="AU134" s="86"/>
      <c r="AV134" s="86"/>
      <c r="AW134" s="86"/>
      <c r="AX134" s="86"/>
      <c r="AY134" s="86"/>
      <c r="CM134" s="86"/>
      <c r="CN134" s="86"/>
    </row>
    <row r="135" spans="15:92" s="367" customFormat="1">
      <c r="O135" s="511"/>
      <c r="S135" s="371"/>
      <c r="T135" s="371"/>
      <c r="U135" s="371"/>
      <c r="V135" s="371"/>
      <c r="AO135" s="86"/>
      <c r="AP135" s="86"/>
      <c r="AQ135" s="86"/>
      <c r="AR135" s="86"/>
      <c r="AS135" s="86"/>
      <c r="AT135" s="86"/>
      <c r="AU135" s="86"/>
      <c r="AV135" s="86"/>
      <c r="AW135" s="86"/>
      <c r="AX135" s="86"/>
      <c r="AY135" s="86"/>
      <c r="CM135" s="86"/>
      <c r="CN135" s="86"/>
    </row>
    <row r="136" spans="15:92" s="367" customFormat="1">
      <c r="O136" s="511"/>
      <c r="S136" s="371"/>
      <c r="T136" s="371"/>
      <c r="U136" s="371"/>
      <c r="V136" s="371"/>
      <c r="AO136" s="86"/>
      <c r="AP136" s="86"/>
      <c r="AQ136" s="86"/>
      <c r="AR136" s="86"/>
      <c r="AS136" s="86"/>
      <c r="AT136" s="86"/>
      <c r="AU136" s="86"/>
      <c r="AV136" s="86"/>
      <c r="AW136" s="86"/>
      <c r="AX136" s="86"/>
      <c r="AY136" s="86"/>
      <c r="CM136" s="86"/>
      <c r="CN136" s="86"/>
    </row>
    <row r="137" spans="15:92" s="367" customFormat="1">
      <c r="O137" s="511"/>
      <c r="S137" s="371"/>
      <c r="T137" s="371"/>
      <c r="U137" s="371"/>
      <c r="V137" s="371"/>
      <c r="AO137" s="86"/>
      <c r="AP137" s="86"/>
      <c r="AQ137" s="86"/>
      <c r="AR137" s="86"/>
      <c r="AS137" s="86"/>
      <c r="AT137" s="86"/>
      <c r="AU137" s="86"/>
      <c r="AV137" s="86"/>
      <c r="AW137" s="86"/>
      <c r="AX137" s="86"/>
      <c r="AY137" s="86"/>
      <c r="CM137" s="86"/>
      <c r="CN137" s="86"/>
    </row>
    <row r="138" spans="15:92" s="367" customFormat="1">
      <c r="O138" s="511"/>
      <c r="S138" s="371"/>
      <c r="T138" s="371"/>
      <c r="U138" s="371"/>
      <c r="V138" s="371"/>
      <c r="AO138" s="86"/>
      <c r="AP138" s="86"/>
      <c r="AQ138" s="86"/>
      <c r="AR138" s="86"/>
      <c r="AS138" s="86"/>
      <c r="AT138" s="86"/>
      <c r="AU138" s="86"/>
      <c r="AV138" s="86"/>
      <c r="AW138" s="86"/>
      <c r="AX138" s="86"/>
      <c r="AY138" s="86"/>
      <c r="CM138" s="86"/>
      <c r="CN138" s="86"/>
    </row>
    <row r="139" spans="15:92" s="367" customFormat="1">
      <c r="O139" s="511"/>
      <c r="S139" s="371"/>
      <c r="T139" s="371"/>
      <c r="U139" s="371"/>
      <c r="V139" s="371"/>
      <c r="AO139" s="86"/>
      <c r="AP139" s="86"/>
      <c r="AQ139" s="86"/>
      <c r="AR139" s="86"/>
      <c r="AS139" s="86"/>
      <c r="AT139" s="86"/>
      <c r="AU139" s="86"/>
      <c r="AV139" s="86"/>
      <c r="AW139" s="86"/>
      <c r="AX139" s="86"/>
      <c r="AY139" s="86"/>
      <c r="CM139" s="86"/>
      <c r="CN139" s="86"/>
    </row>
    <row r="140" spans="15:92" s="367" customFormat="1">
      <c r="O140" s="511"/>
      <c r="S140" s="371"/>
      <c r="T140" s="371"/>
      <c r="U140" s="371"/>
      <c r="V140" s="371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CM140" s="86"/>
      <c r="CN140" s="86"/>
    </row>
    <row r="141" spans="15:92" s="367" customFormat="1">
      <c r="O141" s="511"/>
      <c r="S141" s="371"/>
      <c r="T141" s="371"/>
      <c r="U141" s="371"/>
      <c r="V141" s="371"/>
      <c r="AO141" s="86"/>
      <c r="AP141" s="86"/>
      <c r="AQ141" s="86"/>
      <c r="AR141" s="86"/>
      <c r="AS141" s="86"/>
      <c r="AT141" s="86"/>
      <c r="AU141" s="86"/>
      <c r="AV141" s="86"/>
      <c r="AW141" s="86"/>
      <c r="AX141" s="86"/>
      <c r="AY141" s="86"/>
      <c r="CM141" s="86"/>
      <c r="CN141" s="86"/>
    </row>
    <row r="142" spans="15:92" s="367" customFormat="1">
      <c r="O142" s="511"/>
      <c r="S142" s="371"/>
      <c r="T142" s="371"/>
      <c r="U142" s="371"/>
      <c r="V142" s="371"/>
      <c r="AO142" s="86"/>
      <c r="AP142" s="86"/>
      <c r="AQ142" s="86"/>
      <c r="AR142" s="86"/>
      <c r="AS142" s="86"/>
      <c r="AT142" s="86"/>
      <c r="AU142" s="86"/>
      <c r="AV142" s="86"/>
      <c r="AW142" s="86"/>
      <c r="AX142" s="86"/>
      <c r="AY142" s="86"/>
      <c r="CM142" s="86"/>
      <c r="CN142" s="86"/>
    </row>
    <row r="143" spans="15:92" s="367" customFormat="1">
      <c r="O143" s="511"/>
      <c r="S143" s="371"/>
      <c r="T143" s="371"/>
      <c r="U143" s="371"/>
      <c r="V143" s="371"/>
      <c r="AO143" s="86"/>
      <c r="AP143" s="86"/>
      <c r="AQ143" s="86"/>
      <c r="AR143" s="86"/>
      <c r="AS143" s="86"/>
      <c r="AT143" s="86"/>
      <c r="AU143" s="86"/>
      <c r="AV143" s="86"/>
      <c r="AW143" s="86"/>
      <c r="AX143" s="86"/>
      <c r="AY143" s="86"/>
      <c r="CM143" s="86"/>
      <c r="CN143" s="86"/>
    </row>
    <row r="144" spans="15:92" s="367" customFormat="1">
      <c r="O144" s="511"/>
      <c r="S144" s="371"/>
      <c r="T144" s="371"/>
      <c r="U144" s="371"/>
      <c r="V144" s="371"/>
      <c r="AO144" s="86"/>
      <c r="AP144" s="86"/>
      <c r="AQ144" s="86"/>
      <c r="AR144" s="86"/>
      <c r="AS144" s="86"/>
      <c r="AT144" s="86"/>
      <c r="AU144" s="86"/>
      <c r="AV144" s="86"/>
      <c r="AW144" s="86"/>
      <c r="AX144" s="86"/>
      <c r="AY144" s="86"/>
      <c r="CM144" s="86"/>
      <c r="CN144" s="86"/>
    </row>
    <row r="145" spans="1:92" s="367" customFormat="1">
      <c r="O145" s="511"/>
      <c r="S145" s="371"/>
      <c r="T145" s="371"/>
      <c r="U145" s="371"/>
      <c r="V145" s="371"/>
      <c r="AO145" s="86"/>
      <c r="AP145" s="86"/>
      <c r="AQ145" s="86"/>
      <c r="AR145" s="86"/>
      <c r="AS145" s="86"/>
      <c r="AT145" s="86"/>
      <c r="AU145" s="86"/>
      <c r="AV145" s="86"/>
      <c r="AW145" s="86"/>
      <c r="AX145" s="86"/>
      <c r="AY145" s="86"/>
      <c r="CM145" s="86"/>
      <c r="CN145" s="86"/>
    </row>
    <row r="146" spans="1:92" s="367" customFormat="1">
      <c r="O146" s="511"/>
      <c r="S146" s="371"/>
      <c r="T146" s="371"/>
      <c r="U146" s="371"/>
      <c r="V146" s="371"/>
      <c r="AO146" s="86"/>
      <c r="AP146" s="86"/>
      <c r="AQ146" s="86"/>
      <c r="AR146" s="86"/>
      <c r="AS146" s="86"/>
      <c r="AT146" s="86"/>
      <c r="AU146" s="86"/>
      <c r="AV146" s="86"/>
      <c r="AW146" s="86"/>
      <c r="AX146" s="86"/>
      <c r="AY146" s="86"/>
      <c r="CM146" s="86"/>
      <c r="CN146" s="86"/>
    </row>
    <row r="147" spans="1:92" s="367" customFormat="1">
      <c r="O147" s="511"/>
      <c r="S147" s="371"/>
      <c r="T147" s="371"/>
      <c r="U147" s="371"/>
      <c r="V147" s="371"/>
      <c r="AO147" s="86"/>
      <c r="AP147" s="86"/>
      <c r="AQ147" s="86"/>
      <c r="AR147" s="86"/>
      <c r="AS147" s="86"/>
      <c r="AT147" s="86"/>
      <c r="AU147" s="86"/>
      <c r="AV147" s="86"/>
      <c r="AW147" s="86"/>
      <c r="AX147" s="86"/>
      <c r="AY147" s="86"/>
      <c r="CM147" s="86"/>
      <c r="CN147" s="86"/>
    </row>
    <row r="148" spans="1:92" s="367" customFormat="1">
      <c r="O148" s="511"/>
      <c r="S148" s="371"/>
      <c r="T148" s="371"/>
      <c r="U148" s="371"/>
      <c r="V148" s="371"/>
      <c r="AO148" s="86"/>
      <c r="AP148" s="86"/>
      <c r="AQ148" s="86"/>
      <c r="AR148" s="86"/>
      <c r="AS148" s="86"/>
      <c r="AT148" s="86"/>
      <c r="AU148" s="86"/>
      <c r="AV148" s="86"/>
      <c r="AW148" s="86"/>
      <c r="AX148" s="86"/>
      <c r="AY148" s="86"/>
      <c r="CM148" s="86"/>
      <c r="CN148" s="86"/>
    </row>
    <row r="149" spans="1:92" s="367" customFormat="1">
      <c r="O149" s="511"/>
      <c r="S149" s="371"/>
      <c r="T149" s="371"/>
      <c r="U149" s="371"/>
      <c r="V149" s="371"/>
      <c r="AO149" s="86"/>
      <c r="AP149" s="86"/>
      <c r="AQ149" s="86"/>
      <c r="AR149" s="86"/>
      <c r="AS149" s="86"/>
      <c r="AT149" s="86"/>
      <c r="AU149" s="86"/>
      <c r="AV149" s="86"/>
      <c r="AW149" s="86"/>
      <c r="AX149" s="86"/>
      <c r="AY149" s="86"/>
      <c r="CM149" s="86"/>
      <c r="CN149" s="86"/>
    </row>
    <row r="150" spans="1:92" s="367" customFormat="1">
      <c r="O150" s="511"/>
      <c r="S150" s="371"/>
      <c r="T150" s="371"/>
      <c r="U150" s="371"/>
      <c r="V150" s="371"/>
      <c r="AO150" s="86"/>
      <c r="AP150" s="86"/>
      <c r="AQ150" s="86"/>
      <c r="AR150" s="86"/>
      <c r="AS150" s="86"/>
      <c r="AT150" s="86"/>
      <c r="AU150" s="86"/>
      <c r="AV150" s="86"/>
      <c r="AW150" s="86"/>
      <c r="AX150" s="86"/>
      <c r="AY150" s="86"/>
      <c r="CM150" s="86"/>
      <c r="CN150" s="86"/>
    </row>
    <row r="151" spans="1:92" s="367" customFormat="1">
      <c r="O151" s="511"/>
      <c r="S151" s="371"/>
      <c r="T151" s="371"/>
      <c r="U151" s="371"/>
      <c r="V151" s="371"/>
      <c r="AO151" s="86"/>
      <c r="AP151" s="86"/>
      <c r="AQ151" s="86"/>
      <c r="AR151" s="86"/>
      <c r="AS151" s="86"/>
      <c r="AT151" s="86"/>
      <c r="AU151" s="86"/>
      <c r="AV151" s="86"/>
      <c r="AW151" s="86"/>
      <c r="AX151" s="86"/>
      <c r="AY151" s="86"/>
      <c r="CM151" s="86"/>
      <c r="CN151" s="86"/>
    </row>
    <row r="152" spans="1:92">
      <c r="A152" s="367"/>
      <c r="B152" s="367"/>
      <c r="C152" s="367"/>
      <c r="D152" s="367"/>
      <c r="E152" s="367"/>
      <c r="F152" s="367"/>
      <c r="G152" s="367"/>
      <c r="H152" s="367"/>
      <c r="I152" s="367"/>
      <c r="J152" s="367"/>
      <c r="K152" s="367"/>
      <c r="L152" s="367"/>
      <c r="M152" s="367"/>
      <c r="N152" s="367"/>
      <c r="O152" s="377"/>
      <c r="P152" s="367"/>
      <c r="Q152" s="367"/>
      <c r="R152" s="367"/>
      <c r="S152" s="371"/>
      <c r="T152" s="371"/>
      <c r="U152" s="371"/>
      <c r="V152" s="371"/>
      <c r="W152" s="367"/>
      <c r="X152" s="367"/>
      <c r="Y152" s="367"/>
      <c r="Z152" s="367"/>
      <c r="AA152" s="367"/>
      <c r="AB152" s="367"/>
      <c r="AC152" s="367"/>
      <c r="AD152" s="367"/>
      <c r="AE152" s="367"/>
      <c r="AF152" s="367"/>
      <c r="AG152" s="367"/>
      <c r="AH152" s="367"/>
      <c r="AI152" s="367"/>
      <c r="AJ152" s="367"/>
      <c r="AK152" s="367"/>
      <c r="AL152" s="367"/>
      <c r="AM152" s="367"/>
      <c r="AN152" s="367"/>
      <c r="AO152" s="86"/>
    </row>
  </sheetData>
  <sheetProtection password="D37A" sheet="1" scenarios="1" formatCells="0" formatColumns="0" formatRows="0" insertColumns="0" insertRows="0" sort="0" autoFilter="0"/>
  <mergeCells count="72">
    <mergeCell ref="S51:T51"/>
    <mergeCell ref="S52:T52"/>
    <mergeCell ref="S59:T59"/>
    <mergeCell ref="S53:T53"/>
    <mergeCell ref="S54:T54"/>
    <mergeCell ref="S55:T55"/>
    <mergeCell ref="S56:T56"/>
    <mergeCell ref="S58:T58"/>
    <mergeCell ref="N2:O2"/>
    <mergeCell ref="H54:H56"/>
    <mergeCell ref="C41:D41"/>
    <mergeCell ref="I56:J56"/>
    <mergeCell ref="B42:D42"/>
    <mergeCell ref="B3:C3"/>
    <mergeCell ref="B23:B24"/>
    <mergeCell ref="B25:B26"/>
    <mergeCell ref="N53:O54"/>
    <mergeCell ref="E5:E6"/>
    <mergeCell ref="C5:C6"/>
    <mergeCell ref="F5:F6"/>
    <mergeCell ref="K5:K6"/>
    <mergeCell ref="Y3:AA3"/>
    <mergeCell ref="C58:D58"/>
    <mergeCell ref="C23:D24"/>
    <mergeCell ref="D25:D26"/>
    <mergeCell ref="C25:C26"/>
    <mergeCell ref="F25:F26"/>
    <mergeCell ref="E25:E26"/>
    <mergeCell ref="E23:F24"/>
    <mergeCell ref="C4:D4"/>
    <mergeCell ref="Y4:Z4"/>
    <mergeCell ref="E4:F4"/>
    <mergeCell ref="D5:D6"/>
    <mergeCell ref="H5:H6"/>
    <mergeCell ref="O5:O6"/>
    <mergeCell ref="B43:C43"/>
    <mergeCell ref="L5:L6"/>
    <mergeCell ref="AR21:AR22"/>
    <mergeCell ref="AE15:AE20"/>
    <mergeCell ref="AE21:AE22"/>
    <mergeCell ref="Y21:Y22"/>
    <mergeCell ref="Z21:Z22"/>
    <mergeCell ref="AG21:AG22"/>
    <mergeCell ref="AD21:AD22"/>
    <mergeCell ref="AA21:AA22"/>
    <mergeCell ref="AP12:AX12"/>
    <mergeCell ref="Y18:Z18"/>
    <mergeCell ref="Y20:AA20"/>
    <mergeCell ref="AQ20:AT20"/>
    <mergeCell ref="P5:Q6"/>
    <mergeCell ref="AE5:AE7"/>
    <mergeCell ref="AE10:AE12"/>
    <mergeCell ref="U5:U6"/>
    <mergeCell ref="S4:S5"/>
    <mergeCell ref="R5:R6"/>
    <mergeCell ref="T4:T5"/>
    <mergeCell ref="AB4:AC4"/>
    <mergeCell ref="V5:V6"/>
    <mergeCell ref="W5:W6"/>
    <mergeCell ref="B63:B64"/>
    <mergeCell ref="C63:C64"/>
    <mergeCell ref="D63:D64"/>
    <mergeCell ref="E63:E64"/>
    <mergeCell ref="F63:F64"/>
    <mergeCell ref="S49:T49"/>
    <mergeCell ref="S50:T50"/>
    <mergeCell ref="S48:T48"/>
    <mergeCell ref="Z46:AA46"/>
    <mergeCell ref="B5:B6"/>
    <mergeCell ref="B20:D20"/>
    <mergeCell ref="I5:J6"/>
    <mergeCell ref="M5:M6"/>
  </mergeCells>
  <conditionalFormatting sqref="AE23:AE44 Q56:S56 S50:S55">
    <cfRule type="cellIs" dxfId="1596" priority="6" stopIfTrue="1" operator="lessThan">
      <formula>0</formula>
    </cfRule>
  </conditionalFormatting>
  <conditionalFormatting sqref="AE13:AE14">
    <cfRule type="containsText" dxfId="1595" priority="364" stopIfTrue="1" operator="containsText" text="חריגה">
      <formula>NOT(ISERROR(SEARCH("חריגה",AE13)))</formula>
    </cfRule>
  </conditionalFormatting>
  <conditionalFormatting sqref="AI23:AI44">
    <cfRule type="cellIs" dxfId="1594" priority="363" stopIfTrue="1" operator="equal">
      <formula>1</formula>
    </cfRule>
  </conditionalFormatting>
  <conditionalFormatting sqref="E20:F20 E42:F42">
    <cfRule type="containsText" dxfId="1593" priority="362" stopIfTrue="1" operator="containsText" text="חיובי">
      <formula>NOT(ISERROR(SEARCH("חיובי",E20)))</formula>
    </cfRule>
  </conditionalFormatting>
  <conditionalFormatting sqref="W46 K54:M54 K58:M58 D19 C41">
    <cfRule type="cellIs" dxfId="1592" priority="361" stopIfTrue="1" operator="lessThan">
      <formula>0</formula>
    </cfRule>
  </conditionalFormatting>
  <conditionalFormatting sqref="D45">
    <cfRule type="cellIs" dxfId="1591" priority="382" stopIfTrue="1" operator="greaterThan">
      <formula>$C$45</formula>
    </cfRule>
  </conditionalFormatting>
  <conditionalFormatting sqref="D46">
    <cfRule type="cellIs" dxfId="1590" priority="383" stopIfTrue="1" operator="greaterThan">
      <formula>$C$46</formula>
    </cfRule>
  </conditionalFormatting>
  <conditionalFormatting sqref="D47">
    <cfRule type="cellIs" dxfId="1589" priority="384" stopIfTrue="1" operator="greaterThan">
      <formula>$C$47</formula>
    </cfRule>
  </conditionalFormatting>
  <conditionalFormatting sqref="D48">
    <cfRule type="cellIs" dxfId="1588" priority="385" stopIfTrue="1" operator="greaterThan">
      <formula>$C$48</formula>
    </cfRule>
  </conditionalFormatting>
  <conditionalFormatting sqref="D49">
    <cfRule type="cellIs" dxfId="1587" priority="386" stopIfTrue="1" operator="greaterThan">
      <formula>$C$49</formula>
    </cfRule>
  </conditionalFormatting>
  <conditionalFormatting sqref="D50">
    <cfRule type="cellIs" dxfId="1586" priority="387" stopIfTrue="1" operator="greaterThan">
      <formula>$C$50</formula>
    </cfRule>
  </conditionalFormatting>
  <conditionalFormatting sqref="D51">
    <cfRule type="cellIs" dxfId="1585" priority="388" stopIfTrue="1" operator="greaterThan">
      <formula>$C$51</formula>
    </cfRule>
  </conditionalFormatting>
  <conditionalFormatting sqref="D52">
    <cfRule type="cellIs" dxfId="1584" priority="389" stopIfTrue="1" operator="greaterThan">
      <formula>$C$52</formula>
    </cfRule>
  </conditionalFormatting>
  <conditionalFormatting sqref="D53">
    <cfRule type="cellIs" dxfId="1583" priority="390" stopIfTrue="1" operator="greaterThan">
      <formula>$C$53</formula>
    </cfRule>
  </conditionalFormatting>
  <conditionalFormatting sqref="D54">
    <cfRule type="cellIs" dxfId="1582" priority="391" stopIfTrue="1" operator="greaterThan">
      <formula>$C$54</formula>
    </cfRule>
  </conditionalFormatting>
  <conditionalFormatting sqref="D55">
    <cfRule type="cellIs" dxfId="1581" priority="392" stopIfTrue="1" operator="greaterThan">
      <formula>$C$55</formula>
    </cfRule>
  </conditionalFormatting>
  <conditionalFormatting sqref="D56">
    <cfRule type="cellIs" dxfId="1580" priority="393" stopIfTrue="1" operator="greaterThan">
      <formula>$C$56</formula>
    </cfRule>
  </conditionalFormatting>
  <conditionalFormatting sqref="C7">
    <cfRule type="expression" dxfId="1579" priority="357" stopIfTrue="1">
      <formula>AND(C7&lt;&gt;0, NOT(ISTEXT(B7)))</formula>
    </cfRule>
    <cfRule type="cellIs" dxfId="1578" priority="358" stopIfTrue="1" operator="lessThan">
      <formula>0</formula>
    </cfRule>
  </conditionalFormatting>
  <conditionalFormatting sqref="C8">
    <cfRule type="expression" dxfId="1577" priority="355" stopIfTrue="1">
      <formula>AND(C8&lt;&gt;0, NOT(ISTEXT(B8)))</formula>
    </cfRule>
    <cfRule type="cellIs" dxfId="1576" priority="356" stopIfTrue="1" operator="lessThan">
      <formula>0</formula>
    </cfRule>
  </conditionalFormatting>
  <conditionalFormatting sqref="C9">
    <cfRule type="expression" dxfId="1575" priority="353" stopIfTrue="1">
      <formula>AND(C9&lt;&gt;0, NOT(ISTEXT(B9)))</formula>
    </cfRule>
    <cfRule type="cellIs" dxfId="1574" priority="354" stopIfTrue="1" operator="lessThan">
      <formula>0</formula>
    </cfRule>
  </conditionalFormatting>
  <conditionalFormatting sqref="C10">
    <cfRule type="expression" dxfId="1573" priority="351" stopIfTrue="1">
      <formula>AND(C10&lt;&gt;0, NOT(ISTEXT(B10)))</formula>
    </cfRule>
    <cfRule type="cellIs" dxfId="1572" priority="352" stopIfTrue="1" operator="lessThan">
      <formula>0</formula>
    </cfRule>
  </conditionalFormatting>
  <conditionalFormatting sqref="C11">
    <cfRule type="expression" dxfId="1571" priority="349" stopIfTrue="1">
      <formula>AND(C11&lt;&gt;0, NOT(ISTEXT(B11)))</formula>
    </cfRule>
    <cfRule type="cellIs" dxfId="1570" priority="350" stopIfTrue="1" operator="lessThan">
      <formula>0</formula>
    </cfRule>
  </conditionalFormatting>
  <conditionalFormatting sqref="C12">
    <cfRule type="expression" dxfId="1569" priority="347" stopIfTrue="1">
      <formula>AND(C12&lt;&gt;0, NOT(ISTEXT(B12)))</formula>
    </cfRule>
    <cfRule type="cellIs" dxfId="1568" priority="348" stopIfTrue="1" operator="lessThan">
      <formula>0</formula>
    </cfRule>
  </conditionalFormatting>
  <conditionalFormatting sqref="C13">
    <cfRule type="expression" dxfId="1567" priority="345" stopIfTrue="1">
      <formula>AND(C13&lt;&gt;0, NOT(ISTEXT(B13)))</formula>
    </cfRule>
    <cfRule type="cellIs" dxfId="1566" priority="346" stopIfTrue="1" operator="lessThan">
      <formula>0</formula>
    </cfRule>
  </conditionalFormatting>
  <conditionalFormatting sqref="C14">
    <cfRule type="expression" dxfId="1565" priority="343" stopIfTrue="1">
      <formula>AND(C14&lt;&gt;0, NOT(ISTEXT(B14)))</formula>
    </cfRule>
    <cfRule type="cellIs" dxfId="1564" priority="344" stopIfTrue="1" operator="lessThan">
      <formula>0</formula>
    </cfRule>
  </conditionalFormatting>
  <conditionalFormatting sqref="C15">
    <cfRule type="expression" dxfId="1563" priority="341" stopIfTrue="1">
      <formula>AND(C15&lt;&gt;0, NOT(ISTEXT(B15)))</formula>
    </cfRule>
    <cfRule type="cellIs" dxfId="1562" priority="342" stopIfTrue="1" operator="lessThan">
      <formula>0</formula>
    </cfRule>
  </conditionalFormatting>
  <conditionalFormatting sqref="C16">
    <cfRule type="expression" dxfId="1561" priority="339" stopIfTrue="1">
      <formula>AND(C16&lt;&gt;0, NOT(ISTEXT(B16)))</formula>
    </cfRule>
    <cfRule type="cellIs" dxfId="1560" priority="340" stopIfTrue="1" operator="lessThan">
      <formula>0</formula>
    </cfRule>
  </conditionalFormatting>
  <conditionalFormatting sqref="C17">
    <cfRule type="expression" dxfId="1559" priority="337" stopIfTrue="1">
      <formula>AND(C17&lt;&gt;0, NOT(ISTEXT(B17)))</formula>
    </cfRule>
    <cfRule type="cellIs" dxfId="1558" priority="338" stopIfTrue="1" operator="lessThan">
      <formula>0</formula>
    </cfRule>
  </conditionalFormatting>
  <conditionalFormatting sqref="C27">
    <cfRule type="expression" dxfId="1557" priority="335" stopIfTrue="1">
      <formula>AND(C27&lt;&gt;0, NOT(ISTEXT(B27)))</formula>
    </cfRule>
    <cfRule type="cellIs" dxfId="1556" priority="336" stopIfTrue="1" operator="lessThan">
      <formula>0</formula>
    </cfRule>
  </conditionalFormatting>
  <conditionalFormatting sqref="C39">
    <cfRule type="expression" dxfId="1555" priority="333" stopIfTrue="1">
      <formula>AND(C39&lt;&gt;0, NOT(ISTEXT(B39)))</formula>
    </cfRule>
    <cfRule type="cellIs" dxfId="1554" priority="334" stopIfTrue="1" operator="lessThan">
      <formula>0</formula>
    </cfRule>
  </conditionalFormatting>
  <conditionalFormatting sqref="C28">
    <cfRule type="expression" dxfId="1553" priority="331" stopIfTrue="1">
      <formula>AND(C28&lt;&gt;0, NOT(ISTEXT(B28)))</formula>
    </cfRule>
    <cfRule type="cellIs" dxfId="1552" priority="332" stopIfTrue="1" operator="lessThan">
      <formula>0</formula>
    </cfRule>
  </conditionalFormatting>
  <conditionalFormatting sqref="C29">
    <cfRule type="expression" dxfId="1551" priority="329" stopIfTrue="1">
      <formula>AND(C29&lt;&gt;0, NOT(ISTEXT(B29)))</formula>
    </cfRule>
    <cfRule type="cellIs" dxfId="1550" priority="330" stopIfTrue="1" operator="lessThan">
      <formula>0</formula>
    </cfRule>
  </conditionalFormatting>
  <conditionalFormatting sqref="C30">
    <cfRule type="expression" dxfId="1549" priority="327" stopIfTrue="1">
      <formula>AND(C30&lt;&gt;0, NOT(ISTEXT(B30)))</formula>
    </cfRule>
    <cfRule type="cellIs" dxfId="1548" priority="328" stopIfTrue="1" operator="lessThan">
      <formula>0</formula>
    </cfRule>
  </conditionalFormatting>
  <conditionalFormatting sqref="C31">
    <cfRule type="expression" dxfId="1547" priority="325" stopIfTrue="1">
      <formula>AND(C31&lt;&gt;0, NOT(ISTEXT(B31)))</formula>
    </cfRule>
    <cfRule type="cellIs" dxfId="1546" priority="326" stopIfTrue="1" operator="lessThan">
      <formula>0</formula>
    </cfRule>
  </conditionalFormatting>
  <conditionalFormatting sqref="C32">
    <cfRule type="expression" dxfId="1545" priority="323" stopIfTrue="1">
      <formula>AND(C32&lt;&gt;0, NOT(ISTEXT(B32)))</formula>
    </cfRule>
    <cfRule type="cellIs" dxfId="1544" priority="324" stopIfTrue="1" operator="lessThan">
      <formula>0</formula>
    </cfRule>
  </conditionalFormatting>
  <conditionalFormatting sqref="C33">
    <cfRule type="expression" dxfId="1543" priority="321" stopIfTrue="1">
      <formula>AND(C33&lt;&gt;0, NOT(ISTEXT(B33)))</formula>
    </cfRule>
    <cfRule type="cellIs" dxfId="1542" priority="322" stopIfTrue="1" operator="lessThan">
      <formula>0</formula>
    </cfRule>
  </conditionalFormatting>
  <conditionalFormatting sqref="C34">
    <cfRule type="expression" dxfId="1541" priority="319" stopIfTrue="1">
      <formula>AND(C34&lt;&gt;0, NOT(ISTEXT(B34)))</formula>
    </cfRule>
    <cfRule type="cellIs" dxfId="1540" priority="320" stopIfTrue="1" operator="lessThan">
      <formula>0</formula>
    </cfRule>
  </conditionalFormatting>
  <conditionalFormatting sqref="C35">
    <cfRule type="expression" dxfId="1539" priority="317" stopIfTrue="1">
      <formula>AND(C35&lt;&gt;0, NOT(ISTEXT(B35)))</formula>
    </cfRule>
    <cfRule type="cellIs" dxfId="1538" priority="318" stopIfTrue="1" operator="lessThan">
      <formula>0</formula>
    </cfRule>
  </conditionalFormatting>
  <conditionalFormatting sqref="C36">
    <cfRule type="expression" dxfId="1537" priority="315" stopIfTrue="1">
      <formula>AND(C36&lt;&gt;0, NOT(ISTEXT(B36)))</formula>
    </cfRule>
    <cfRule type="cellIs" dxfId="1536" priority="316" stopIfTrue="1" operator="lessThan">
      <formula>0</formula>
    </cfRule>
  </conditionalFormatting>
  <conditionalFormatting sqref="C37">
    <cfRule type="expression" dxfId="1535" priority="313" stopIfTrue="1">
      <formula>AND(C37&lt;&gt;0, NOT(ISTEXT(B37)))</formula>
    </cfRule>
    <cfRule type="cellIs" dxfId="1534" priority="314" stopIfTrue="1" operator="lessThan">
      <formula>0</formula>
    </cfRule>
  </conditionalFormatting>
  <conditionalFormatting sqref="C38">
    <cfRule type="expression" dxfId="1533" priority="311" stopIfTrue="1">
      <formula>AND(C38&lt;&gt;0, NOT(ISTEXT(B38)))</formula>
    </cfRule>
    <cfRule type="cellIs" dxfId="1532" priority="312" stopIfTrue="1" operator="lessThan">
      <formula>0</formula>
    </cfRule>
  </conditionalFormatting>
  <conditionalFormatting sqref="C45">
    <cfRule type="expression" dxfId="1531" priority="309" stopIfTrue="1">
      <formula>AND(C45&lt;&gt;0, NOT(ISTEXT(B45)))</formula>
    </cfRule>
    <cfRule type="cellIs" dxfId="1530" priority="310" stopIfTrue="1" operator="lessThan">
      <formula>0</formula>
    </cfRule>
  </conditionalFormatting>
  <conditionalFormatting sqref="C56">
    <cfRule type="expression" dxfId="1529" priority="307" stopIfTrue="1">
      <formula>AND(C56&lt;&gt;0, NOT(ISTEXT(B56)))</formula>
    </cfRule>
    <cfRule type="cellIs" dxfId="1528" priority="308" stopIfTrue="1" operator="lessThan">
      <formula>0</formula>
    </cfRule>
  </conditionalFormatting>
  <conditionalFormatting sqref="C46">
    <cfRule type="expression" dxfId="1527" priority="305" stopIfTrue="1">
      <formula>AND(C46&lt;&gt;0, NOT(ISTEXT(B46)))</formula>
    </cfRule>
    <cfRule type="cellIs" dxfId="1526" priority="306" stopIfTrue="1" operator="lessThan">
      <formula>0</formula>
    </cfRule>
  </conditionalFormatting>
  <conditionalFormatting sqref="C47">
    <cfRule type="expression" dxfId="1525" priority="303" stopIfTrue="1">
      <formula>AND(C47&lt;&gt;0, NOT(ISTEXT(B47)))</formula>
    </cfRule>
    <cfRule type="cellIs" dxfId="1524" priority="304" stopIfTrue="1" operator="lessThan">
      <formula>0</formula>
    </cfRule>
  </conditionalFormatting>
  <conditionalFormatting sqref="C48">
    <cfRule type="expression" dxfId="1523" priority="301" stopIfTrue="1">
      <formula>AND(C48&lt;&gt;0, NOT(ISTEXT(B48)))</formula>
    </cfRule>
    <cfRule type="cellIs" dxfId="1522" priority="302" stopIfTrue="1" operator="lessThan">
      <formula>0</formula>
    </cfRule>
  </conditionalFormatting>
  <conditionalFormatting sqref="C49">
    <cfRule type="expression" dxfId="1521" priority="299" stopIfTrue="1">
      <formula>AND(C49&lt;&gt;0, NOT(ISTEXT(B49)))</formula>
    </cfRule>
    <cfRule type="cellIs" dxfId="1520" priority="300" stopIfTrue="1" operator="lessThan">
      <formula>0</formula>
    </cfRule>
  </conditionalFormatting>
  <conditionalFormatting sqref="C50">
    <cfRule type="expression" dxfId="1519" priority="297" stopIfTrue="1">
      <formula>AND(C50&lt;&gt;0, NOT(ISTEXT(B50)))</formula>
    </cfRule>
    <cfRule type="cellIs" dxfId="1518" priority="298" stopIfTrue="1" operator="lessThan">
      <formula>0</formula>
    </cfRule>
  </conditionalFormatting>
  <conditionalFormatting sqref="C51">
    <cfRule type="expression" dxfId="1517" priority="295" stopIfTrue="1">
      <formula>AND(C51&lt;&gt;0, NOT(ISTEXT(B51)))</formula>
    </cfRule>
    <cfRule type="cellIs" dxfId="1516" priority="296" stopIfTrue="1" operator="lessThan">
      <formula>0</formula>
    </cfRule>
  </conditionalFormatting>
  <conditionalFormatting sqref="C52">
    <cfRule type="expression" dxfId="1515" priority="293" stopIfTrue="1">
      <formula>AND(C52&lt;&gt;0, NOT(ISTEXT(B52)))</formula>
    </cfRule>
    <cfRule type="cellIs" dxfId="1514" priority="294" stopIfTrue="1" operator="lessThan">
      <formula>0</formula>
    </cfRule>
  </conditionalFormatting>
  <conditionalFormatting sqref="C53">
    <cfRule type="expression" dxfId="1513" priority="291" stopIfTrue="1">
      <formula>AND(C53&lt;&gt;0, NOT(ISTEXT(B53)))</formula>
    </cfRule>
    <cfRule type="cellIs" dxfId="1512" priority="292" stopIfTrue="1" operator="lessThan">
      <formula>0</formula>
    </cfRule>
  </conditionalFormatting>
  <conditionalFormatting sqref="C54">
    <cfRule type="expression" dxfId="1511" priority="289" stopIfTrue="1">
      <formula>AND(C54&lt;&gt;0, NOT(ISTEXT(B54)))</formula>
    </cfRule>
    <cfRule type="cellIs" dxfId="1510" priority="290" stopIfTrue="1" operator="lessThan">
      <formula>0</formula>
    </cfRule>
  </conditionalFormatting>
  <conditionalFormatting sqref="C55">
    <cfRule type="expression" dxfId="1509" priority="287" stopIfTrue="1">
      <formula>AND(C55&lt;&gt;0, NOT(ISTEXT(B55)))</formula>
    </cfRule>
    <cfRule type="cellIs" dxfId="1508" priority="288" stopIfTrue="1" operator="lessThan">
      <formula>0</formula>
    </cfRule>
  </conditionalFormatting>
  <conditionalFormatting sqref="Z6">
    <cfRule type="expression" dxfId="1507" priority="285" stopIfTrue="1">
      <formula>AND(Z6&lt;&gt;0, NOT(ISTEXT(Y6)))</formula>
    </cfRule>
    <cfRule type="cellIs" dxfId="1506" priority="286" stopIfTrue="1" operator="lessThan">
      <formula>0</formula>
    </cfRule>
  </conditionalFormatting>
  <conditionalFormatting sqref="Z16">
    <cfRule type="expression" dxfId="1505" priority="283" stopIfTrue="1">
      <formula>AND(Z16&lt;&gt;0, NOT(ISTEXT(Y16)))</formula>
    </cfRule>
    <cfRule type="cellIs" dxfId="1504" priority="284" stopIfTrue="1" operator="lessThan">
      <formula>0</formula>
    </cfRule>
  </conditionalFormatting>
  <conditionalFormatting sqref="Z7">
    <cfRule type="expression" dxfId="1503" priority="281" stopIfTrue="1">
      <formula>AND(Z7&lt;&gt;0, NOT(ISTEXT(Y7)))</formula>
    </cfRule>
    <cfRule type="cellIs" dxfId="1502" priority="282" stopIfTrue="1" operator="lessThan">
      <formula>0</formula>
    </cfRule>
  </conditionalFormatting>
  <conditionalFormatting sqref="Z8">
    <cfRule type="expression" dxfId="1501" priority="279" stopIfTrue="1">
      <formula>AND(Z8&lt;&gt;0, NOT(ISTEXT(Y8)))</formula>
    </cfRule>
    <cfRule type="cellIs" dxfId="1500" priority="280" stopIfTrue="1" operator="lessThan">
      <formula>0</formula>
    </cfRule>
  </conditionalFormatting>
  <conditionalFormatting sqref="Z9">
    <cfRule type="expression" dxfId="1499" priority="277" stopIfTrue="1">
      <formula>AND(Z9&lt;&gt;0, NOT(ISTEXT(Y9)))</formula>
    </cfRule>
    <cfRule type="cellIs" dxfId="1498" priority="278" stopIfTrue="1" operator="lessThan">
      <formula>0</formula>
    </cfRule>
  </conditionalFormatting>
  <conditionalFormatting sqref="Z10">
    <cfRule type="expression" dxfId="1497" priority="275" stopIfTrue="1">
      <formula>AND(Z10&lt;&gt;0, NOT(ISTEXT(Y10)))</formula>
    </cfRule>
    <cfRule type="cellIs" dxfId="1496" priority="276" stopIfTrue="1" operator="lessThan">
      <formula>0</formula>
    </cfRule>
  </conditionalFormatting>
  <conditionalFormatting sqref="Z11">
    <cfRule type="expression" dxfId="1495" priority="273" stopIfTrue="1">
      <formula>AND(Z11&lt;&gt;0, NOT(ISTEXT(Y11)))</formula>
    </cfRule>
    <cfRule type="cellIs" dxfId="1494" priority="274" stopIfTrue="1" operator="lessThan">
      <formula>0</formula>
    </cfRule>
  </conditionalFormatting>
  <conditionalFormatting sqref="Z12">
    <cfRule type="expression" dxfId="1493" priority="271" stopIfTrue="1">
      <formula>AND(Z12&lt;&gt;0, NOT(ISTEXT(Y12)))</formula>
    </cfRule>
    <cfRule type="cellIs" dxfId="1492" priority="272" stopIfTrue="1" operator="lessThan">
      <formula>0</formula>
    </cfRule>
  </conditionalFormatting>
  <conditionalFormatting sqref="Z13">
    <cfRule type="expression" dxfId="1491" priority="269" stopIfTrue="1">
      <formula>AND(Z13&lt;&gt;0, NOT(ISTEXT(Y13)))</formula>
    </cfRule>
    <cfRule type="cellIs" dxfId="1490" priority="270" stopIfTrue="1" operator="lessThan">
      <formula>0</formula>
    </cfRule>
  </conditionalFormatting>
  <conditionalFormatting sqref="Z14">
    <cfRule type="expression" dxfId="1489" priority="267" stopIfTrue="1">
      <formula>AND(Z14&lt;&gt;0, NOT(ISTEXT(Y14)))</formula>
    </cfRule>
    <cfRule type="cellIs" dxfId="1488" priority="268" stopIfTrue="1" operator="lessThan">
      <formula>0</formula>
    </cfRule>
  </conditionalFormatting>
  <conditionalFormatting sqref="Z15">
    <cfRule type="expression" dxfId="1487" priority="265" stopIfTrue="1">
      <formula>AND(Z15&lt;&gt;0, NOT(ISTEXT(Y15)))</formula>
    </cfRule>
    <cfRule type="cellIs" dxfId="1486" priority="266" stopIfTrue="1" operator="lessThan">
      <formula>0</formula>
    </cfRule>
  </conditionalFormatting>
  <conditionalFormatting sqref="Z23">
    <cfRule type="expression" dxfId="1485" priority="263" stopIfTrue="1">
      <formula>AND(Z23&lt;&gt;0, NOT(ISTEXT(Y23)))</formula>
    </cfRule>
    <cfRule type="cellIs" dxfId="1484" priority="264" stopIfTrue="1" operator="lessThan">
      <formula>0</formula>
    </cfRule>
  </conditionalFormatting>
  <conditionalFormatting sqref="Z44">
    <cfRule type="expression" dxfId="1483" priority="261" stopIfTrue="1">
      <formula>AND(Z44&lt;&gt;0, NOT(ISTEXT(Y44)))</formula>
    </cfRule>
    <cfRule type="cellIs" dxfId="1482" priority="262" stopIfTrue="1" operator="lessThan">
      <formula>0</formula>
    </cfRule>
  </conditionalFormatting>
  <conditionalFormatting sqref="Z24">
    <cfRule type="expression" dxfId="1481" priority="259" stopIfTrue="1">
      <formula>AND(Z24&lt;&gt;0, NOT(ISTEXT(Y24)))</formula>
    </cfRule>
    <cfRule type="cellIs" dxfId="1480" priority="260" stopIfTrue="1" operator="lessThan">
      <formula>0</formula>
    </cfRule>
  </conditionalFormatting>
  <conditionalFormatting sqref="Z25">
    <cfRule type="expression" dxfId="1479" priority="257" stopIfTrue="1">
      <formula>AND(Z25&lt;&gt;0, NOT(ISTEXT(Y25)))</formula>
    </cfRule>
    <cfRule type="cellIs" dxfId="1478" priority="258" stopIfTrue="1" operator="lessThan">
      <formula>0</formula>
    </cfRule>
  </conditionalFormatting>
  <conditionalFormatting sqref="Z26">
    <cfRule type="expression" dxfId="1477" priority="255" stopIfTrue="1">
      <formula>AND(Z26&lt;&gt;0, NOT(ISTEXT(Y26)))</formula>
    </cfRule>
    <cfRule type="cellIs" dxfId="1476" priority="256" stopIfTrue="1" operator="lessThan">
      <formula>0</formula>
    </cfRule>
  </conditionalFormatting>
  <conditionalFormatting sqref="Z27">
    <cfRule type="expression" dxfId="1475" priority="253" stopIfTrue="1">
      <formula>AND(Z27&lt;&gt;0, NOT(ISTEXT(Y27)))</formula>
    </cfRule>
    <cfRule type="cellIs" dxfId="1474" priority="254" stopIfTrue="1" operator="lessThan">
      <formula>0</formula>
    </cfRule>
  </conditionalFormatting>
  <conditionalFormatting sqref="Z28">
    <cfRule type="expression" dxfId="1473" priority="251" stopIfTrue="1">
      <formula>AND(Z28&lt;&gt;0, NOT(ISTEXT(Y28)))</formula>
    </cfRule>
    <cfRule type="cellIs" dxfId="1472" priority="252" stopIfTrue="1" operator="lessThan">
      <formula>0</formula>
    </cfRule>
  </conditionalFormatting>
  <conditionalFormatting sqref="Z29">
    <cfRule type="expression" dxfId="1471" priority="249" stopIfTrue="1">
      <formula>AND(Z29&lt;&gt;0, NOT(ISTEXT(Y29)))</formula>
    </cfRule>
    <cfRule type="cellIs" dxfId="1470" priority="250" stopIfTrue="1" operator="lessThan">
      <formula>0</formula>
    </cfRule>
  </conditionalFormatting>
  <conditionalFormatting sqref="Z30">
    <cfRule type="expression" dxfId="1469" priority="247" stopIfTrue="1">
      <formula>AND(Z30&lt;&gt;0, NOT(ISTEXT(Y30)))</formula>
    </cfRule>
    <cfRule type="cellIs" dxfId="1468" priority="248" stopIfTrue="1" operator="lessThan">
      <formula>0</formula>
    </cfRule>
  </conditionalFormatting>
  <conditionalFormatting sqref="Z31">
    <cfRule type="expression" dxfId="1467" priority="245" stopIfTrue="1">
      <formula>AND(Z31&lt;&gt;0, NOT(ISTEXT(Y31)))</formula>
    </cfRule>
    <cfRule type="cellIs" dxfId="1466" priority="246" stopIfTrue="1" operator="lessThan">
      <formula>0</formula>
    </cfRule>
  </conditionalFormatting>
  <conditionalFormatting sqref="Z32">
    <cfRule type="expression" dxfId="1465" priority="243" stopIfTrue="1">
      <formula>AND(Z32&lt;&gt;0, NOT(ISTEXT(Y32)))</formula>
    </cfRule>
    <cfRule type="cellIs" dxfId="1464" priority="244" stopIfTrue="1" operator="lessThan">
      <formula>0</formula>
    </cfRule>
  </conditionalFormatting>
  <conditionalFormatting sqref="Z33">
    <cfRule type="expression" dxfId="1463" priority="241" stopIfTrue="1">
      <formula>AND(Z33&lt;&gt;0, NOT(ISTEXT(Y33)))</formula>
    </cfRule>
    <cfRule type="cellIs" dxfId="1462" priority="242" stopIfTrue="1" operator="lessThan">
      <formula>0</formula>
    </cfRule>
  </conditionalFormatting>
  <conditionalFormatting sqref="Z34">
    <cfRule type="expression" dxfId="1461" priority="239" stopIfTrue="1">
      <formula>AND(Z34&lt;&gt;0, NOT(ISTEXT(Y34)))</formula>
    </cfRule>
    <cfRule type="cellIs" dxfId="1460" priority="240" stopIfTrue="1" operator="lessThan">
      <formula>0</formula>
    </cfRule>
  </conditionalFormatting>
  <conditionalFormatting sqref="Z35">
    <cfRule type="expression" dxfId="1459" priority="237" stopIfTrue="1">
      <formula>AND(Z35&lt;&gt;0, NOT(ISTEXT(Y35)))</formula>
    </cfRule>
    <cfRule type="cellIs" dxfId="1458" priority="238" stopIfTrue="1" operator="lessThan">
      <formula>0</formula>
    </cfRule>
  </conditionalFormatting>
  <conditionalFormatting sqref="Z36">
    <cfRule type="expression" dxfId="1457" priority="235" stopIfTrue="1">
      <formula>AND(Z36&lt;&gt;0, NOT(ISTEXT(Y36)))</formula>
    </cfRule>
    <cfRule type="cellIs" dxfId="1456" priority="236" stopIfTrue="1" operator="lessThan">
      <formula>0</formula>
    </cfRule>
  </conditionalFormatting>
  <conditionalFormatting sqref="Z37">
    <cfRule type="expression" dxfId="1455" priority="233" stopIfTrue="1">
      <formula>AND(Z37&lt;&gt;0, NOT(ISTEXT(Y37)))</formula>
    </cfRule>
    <cfRule type="cellIs" dxfId="1454" priority="234" stopIfTrue="1" operator="lessThan">
      <formula>0</formula>
    </cfRule>
  </conditionalFormatting>
  <conditionalFormatting sqref="Z38">
    <cfRule type="expression" dxfId="1453" priority="231" stopIfTrue="1">
      <formula>AND(Z38&lt;&gt;0, NOT(ISTEXT(Y38)))</formula>
    </cfRule>
    <cfRule type="cellIs" dxfId="1452" priority="232" stopIfTrue="1" operator="lessThan">
      <formula>0</formula>
    </cfRule>
  </conditionalFormatting>
  <conditionalFormatting sqref="Z39">
    <cfRule type="expression" dxfId="1451" priority="229" stopIfTrue="1">
      <formula>AND(Z39&lt;&gt;0, NOT(ISTEXT(Y39)))</formula>
    </cfRule>
    <cfRule type="cellIs" dxfId="1450" priority="230" stopIfTrue="1" operator="lessThan">
      <formula>0</formula>
    </cfRule>
  </conditionalFormatting>
  <conditionalFormatting sqref="Z40">
    <cfRule type="expression" dxfId="1449" priority="227" stopIfTrue="1">
      <formula>AND(Z40&lt;&gt;0, NOT(ISTEXT(Y40)))</formula>
    </cfRule>
    <cfRule type="cellIs" dxfId="1448" priority="228" stopIfTrue="1" operator="lessThan">
      <formula>0</formula>
    </cfRule>
  </conditionalFormatting>
  <conditionalFormatting sqref="Z41">
    <cfRule type="expression" dxfId="1447" priority="225" stopIfTrue="1">
      <formula>AND(Z41&lt;&gt;0, NOT(ISTEXT(Y41)))</formula>
    </cfRule>
    <cfRule type="cellIs" dxfId="1446" priority="226" stopIfTrue="1" operator="lessThan">
      <formula>0</formula>
    </cfRule>
  </conditionalFormatting>
  <conditionalFormatting sqref="Z42">
    <cfRule type="expression" dxfId="1445" priority="223" stopIfTrue="1">
      <formula>AND(Z42&lt;&gt;0, NOT(ISTEXT(Y42)))</formula>
    </cfRule>
    <cfRule type="cellIs" dxfId="1444" priority="224" stopIfTrue="1" operator="lessThan">
      <formula>0</formula>
    </cfRule>
  </conditionalFormatting>
  <conditionalFormatting sqref="Z43">
    <cfRule type="expression" dxfId="1443" priority="221" stopIfTrue="1">
      <formula>AND(Z43&lt;&gt;0, NOT(ISTEXT(Y43)))</formula>
    </cfRule>
    <cfRule type="cellIs" dxfId="1442" priority="222" stopIfTrue="1" operator="lessThan">
      <formula>0</formula>
    </cfRule>
  </conditionalFormatting>
  <conditionalFormatting sqref="N53:O54">
    <cfRule type="containsText" dxfId="1441" priority="219" stopIfTrue="1" operator="containsText" text="הפרש">
      <formula>NOT(ISERROR(SEARCH("הפרש",N53)))</formula>
    </cfRule>
  </conditionalFormatting>
  <conditionalFormatting sqref="Z23:Z44 Q64:Q110 Q7:Q45 J7:J53 D27:D39 C45:C56 J64:J110 D65:D86 C7:D17 Z6:AA16">
    <cfRule type="expression" dxfId="1440" priority="217" stopIfTrue="1">
      <formula>ISTEXT(C6)</formula>
    </cfRule>
  </conditionalFormatting>
  <conditionalFormatting sqref="C7">
    <cfRule type="expression" dxfId="1439" priority="215" stopIfTrue="1">
      <formula>AND(C7&lt;&gt;0, NOT(ISTEXT(B7)))</formula>
    </cfRule>
    <cfRule type="cellIs" dxfId="1438" priority="216" stopIfTrue="1" operator="lessThan">
      <formula>0</formula>
    </cfRule>
  </conditionalFormatting>
  <conditionalFormatting sqref="C8">
    <cfRule type="expression" dxfId="1437" priority="213" stopIfTrue="1">
      <formula>AND(C8&lt;&gt;0, NOT(ISTEXT(B8)))</formula>
    </cfRule>
    <cfRule type="cellIs" dxfId="1436" priority="214" stopIfTrue="1" operator="lessThan">
      <formula>0</formula>
    </cfRule>
  </conditionalFormatting>
  <conditionalFormatting sqref="C9">
    <cfRule type="expression" dxfId="1435" priority="211" stopIfTrue="1">
      <formula>AND(C9&lt;&gt;0, NOT(ISTEXT(B9)))</formula>
    </cfRule>
    <cfRule type="cellIs" dxfId="1434" priority="212" stopIfTrue="1" operator="lessThan">
      <formula>0</formula>
    </cfRule>
  </conditionalFormatting>
  <conditionalFormatting sqref="C10">
    <cfRule type="expression" dxfId="1433" priority="209" stopIfTrue="1">
      <formula>AND(C10&lt;&gt;0, NOT(ISTEXT(B10)))</formula>
    </cfRule>
    <cfRule type="cellIs" dxfId="1432" priority="210" stopIfTrue="1" operator="lessThan">
      <formula>0</formula>
    </cfRule>
  </conditionalFormatting>
  <conditionalFormatting sqref="C11">
    <cfRule type="expression" dxfId="1431" priority="207" stopIfTrue="1">
      <formula>AND(C11&lt;&gt;0, NOT(ISTEXT(B11)))</formula>
    </cfRule>
    <cfRule type="cellIs" dxfId="1430" priority="208" stopIfTrue="1" operator="lessThan">
      <formula>0</formula>
    </cfRule>
  </conditionalFormatting>
  <conditionalFormatting sqref="C12">
    <cfRule type="expression" dxfId="1429" priority="205" stopIfTrue="1">
      <formula>AND(C12&lt;&gt;0, NOT(ISTEXT(B12)))</formula>
    </cfRule>
    <cfRule type="cellIs" dxfId="1428" priority="206" stopIfTrue="1" operator="lessThan">
      <formula>0</formula>
    </cfRule>
  </conditionalFormatting>
  <conditionalFormatting sqref="C13">
    <cfRule type="expression" dxfId="1427" priority="203" stopIfTrue="1">
      <formula>AND(C13&lt;&gt;0, NOT(ISTEXT(B13)))</formula>
    </cfRule>
    <cfRule type="cellIs" dxfId="1426" priority="204" stopIfTrue="1" operator="lessThan">
      <formula>0</formula>
    </cfRule>
  </conditionalFormatting>
  <conditionalFormatting sqref="C14">
    <cfRule type="expression" dxfId="1425" priority="201" stopIfTrue="1">
      <formula>AND(C14&lt;&gt;0, NOT(ISTEXT(B14)))</formula>
    </cfRule>
    <cfRule type="cellIs" dxfId="1424" priority="202" stopIfTrue="1" operator="lessThan">
      <formula>0</formula>
    </cfRule>
  </conditionalFormatting>
  <conditionalFormatting sqref="C15">
    <cfRule type="expression" dxfId="1423" priority="199" stopIfTrue="1">
      <formula>AND(C15&lt;&gt;0, NOT(ISTEXT(B15)))</formula>
    </cfRule>
    <cfRule type="cellIs" dxfId="1422" priority="200" stopIfTrue="1" operator="lessThan">
      <formula>0</formula>
    </cfRule>
  </conditionalFormatting>
  <conditionalFormatting sqref="C16">
    <cfRule type="expression" dxfId="1421" priority="197" stopIfTrue="1">
      <formula>AND(C16&lt;&gt;0, NOT(ISTEXT(B16)))</formula>
    </cfRule>
    <cfRule type="cellIs" dxfId="1420" priority="198" stopIfTrue="1" operator="lessThan">
      <formula>0</formula>
    </cfRule>
  </conditionalFormatting>
  <conditionalFormatting sqref="C17">
    <cfRule type="expression" dxfId="1419" priority="195" stopIfTrue="1">
      <formula>AND(C17&lt;&gt;0, NOT(ISTEXT(B17)))</formula>
    </cfRule>
    <cfRule type="cellIs" dxfId="1418" priority="196" stopIfTrue="1" operator="lessThan">
      <formula>0</formula>
    </cfRule>
  </conditionalFormatting>
  <conditionalFormatting sqref="C7">
    <cfRule type="expression" dxfId="1417" priority="192" stopIfTrue="1">
      <formula>AND(C7&lt;&gt;0, NOT(ISTEXT(B7)))</formula>
    </cfRule>
    <cfRule type="cellIs" dxfId="1416" priority="193" stopIfTrue="1" operator="lessThan">
      <formula>0</formula>
    </cfRule>
  </conditionalFormatting>
  <conditionalFormatting sqref="C8">
    <cfRule type="expression" dxfId="1415" priority="190" stopIfTrue="1">
      <formula>AND(C8&lt;&gt;0, NOT(ISTEXT(B8)))</formula>
    </cfRule>
    <cfRule type="cellIs" dxfId="1414" priority="191" stopIfTrue="1" operator="lessThan">
      <formula>0</formula>
    </cfRule>
  </conditionalFormatting>
  <conditionalFormatting sqref="C9">
    <cfRule type="expression" dxfId="1413" priority="188" stopIfTrue="1">
      <formula>AND(C9&lt;&gt;0, NOT(ISTEXT(B9)))</formula>
    </cfRule>
    <cfRule type="cellIs" dxfId="1412" priority="189" stopIfTrue="1" operator="lessThan">
      <formula>0</formula>
    </cfRule>
  </conditionalFormatting>
  <conditionalFormatting sqref="C10">
    <cfRule type="expression" dxfId="1411" priority="186" stopIfTrue="1">
      <formula>AND(C10&lt;&gt;0, NOT(ISTEXT(B10)))</formula>
    </cfRule>
    <cfRule type="cellIs" dxfId="1410" priority="187" stopIfTrue="1" operator="lessThan">
      <formula>0</formula>
    </cfRule>
  </conditionalFormatting>
  <conditionalFormatting sqref="C11">
    <cfRule type="expression" dxfId="1409" priority="184" stopIfTrue="1">
      <formula>AND(C11&lt;&gt;0, NOT(ISTEXT(B11)))</formula>
    </cfRule>
    <cfRule type="cellIs" dxfId="1408" priority="185" stopIfTrue="1" operator="lessThan">
      <formula>0</formula>
    </cfRule>
  </conditionalFormatting>
  <conditionalFormatting sqref="C12">
    <cfRule type="expression" dxfId="1407" priority="182" stopIfTrue="1">
      <formula>AND(C12&lt;&gt;0, NOT(ISTEXT(B12)))</formula>
    </cfRule>
    <cfRule type="cellIs" dxfId="1406" priority="183" stopIfTrue="1" operator="lessThan">
      <formula>0</formula>
    </cfRule>
  </conditionalFormatting>
  <conditionalFormatting sqref="C13">
    <cfRule type="expression" dxfId="1405" priority="180" stopIfTrue="1">
      <formula>AND(C13&lt;&gt;0, NOT(ISTEXT(B13)))</formula>
    </cfRule>
    <cfRule type="cellIs" dxfId="1404" priority="181" stopIfTrue="1" operator="lessThan">
      <formula>0</formula>
    </cfRule>
  </conditionalFormatting>
  <conditionalFormatting sqref="C14">
    <cfRule type="expression" dxfId="1403" priority="178" stopIfTrue="1">
      <formula>AND(C14&lt;&gt;0, NOT(ISTEXT(B14)))</formula>
    </cfRule>
    <cfRule type="cellIs" dxfId="1402" priority="179" stopIfTrue="1" operator="lessThan">
      <formula>0</formula>
    </cfRule>
  </conditionalFormatting>
  <conditionalFormatting sqref="C15">
    <cfRule type="expression" dxfId="1401" priority="176" stopIfTrue="1">
      <formula>AND(C15&lt;&gt;0, NOT(ISTEXT(B15)))</formula>
    </cfRule>
    <cfRule type="cellIs" dxfId="1400" priority="177" stopIfTrue="1" operator="lessThan">
      <formula>0</formula>
    </cfRule>
  </conditionalFormatting>
  <conditionalFormatting sqref="C16">
    <cfRule type="expression" dxfId="1399" priority="174" stopIfTrue="1">
      <formula>AND(C16&lt;&gt;0, NOT(ISTEXT(B16)))</formula>
    </cfRule>
    <cfRule type="cellIs" dxfId="1398" priority="175" stopIfTrue="1" operator="lessThan">
      <formula>0</formula>
    </cfRule>
  </conditionalFormatting>
  <conditionalFormatting sqref="C17">
    <cfRule type="expression" dxfId="1397" priority="172" stopIfTrue="1">
      <formula>AND(C17&lt;&gt;0, NOT(ISTEXT(B17)))</formula>
    </cfRule>
    <cfRule type="cellIs" dxfId="1396" priority="173" stopIfTrue="1" operator="lessThan">
      <formula>0</formula>
    </cfRule>
  </conditionalFormatting>
  <conditionalFormatting sqref="C45">
    <cfRule type="expression" dxfId="1395" priority="169" stopIfTrue="1">
      <formula>AND(C45&lt;&gt;0, NOT(ISTEXT(B45)))</formula>
    </cfRule>
    <cfRule type="cellIs" dxfId="1394" priority="170" stopIfTrue="1" operator="lessThan">
      <formula>0</formula>
    </cfRule>
  </conditionalFormatting>
  <conditionalFormatting sqref="C56">
    <cfRule type="expression" dxfId="1393" priority="167" stopIfTrue="1">
      <formula>AND(C56&lt;&gt;0, NOT(ISTEXT(B56)))</formula>
    </cfRule>
    <cfRule type="cellIs" dxfId="1392" priority="168" stopIfTrue="1" operator="lessThan">
      <formula>0</formula>
    </cfRule>
  </conditionalFormatting>
  <conditionalFormatting sqref="C46">
    <cfRule type="expression" dxfId="1391" priority="165" stopIfTrue="1">
      <formula>AND(C46&lt;&gt;0, NOT(ISTEXT(B46)))</formula>
    </cfRule>
    <cfRule type="cellIs" dxfId="1390" priority="166" stopIfTrue="1" operator="lessThan">
      <formula>0</formula>
    </cfRule>
  </conditionalFormatting>
  <conditionalFormatting sqref="C47">
    <cfRule type="expression" dxfId="1389" priority="163" stopIfTrue="1">
      <formula>AND(C47&lt;&gt;0, NOT(ISTEXT(B47)))</formula>
    </cfRule>
    <cfRule type="cellIs" dxfId="1388" priority="164" stopIfTrue="1" operator="lessThan">
      <formula>0</formula>
    </cfRule>
  </conditionalFormatting>
  <conditionalFormatting sqref="C48">
    <cfRule type="expression" dxfId="1387" priority="161" stopIfTrue="1">
      <formula>AND(C48&lt;&gt;0, NOT(ISTEXT(B48)))</formula>
    </cfRule>
    <cfRule type="cellIs" dxfId="1386" priority="162" stopIfTrue="1" operator="lessThan">
      <formula>0</formula>
    </cfRule>
  </conditionalFormatting>
  <conditionalFormatting sqref="C49">
    <cfRule type="expression" dxfId="1385" priority="159" stopIfTrue="1">
      <formula>AND(C49&lt;&gt;0, NOT(ISTEXT(B49)))</formula>
    </cfRule>
    <cfRule type="cellIs" dxfId="1384" priority="160" stopIfTrue="1" operator="lessThan">
      <formula>0</formula>
    </cfRule>
  </conditionalFormatting>
  <conditionalFormatting sqref="C50">
    <cfRule type="expression" dxfId="1383" priority="157" stopIfTrue="1">
      <formula>AND(C50&lt;&gt;0, NOT(ISTEXT(B50)))</formula>
    </cfRule>
    <cfRule type="cellIs" dxfId="1382" priority="158" stopIfTrue="1" operator="lessThan">
      <formula>0</formula>
    </cfRule>
  </conditionalFormatting>
  <conditionalFormatting sqref="C51">
    <cfRule type="expression" dxfId="1381" priority="155" stopIfTrue="1">
      <formula>AND(C51&lt;&gt;0, NOT(ISTEXT(B51)))</formula>
    </cfRule>
    <cfRule type="cellIs" dxfId="1380" priority="156" stopIfTrue="1" operator="lessThan">
      <formula>0</formula>
    </cfRule>
  </conditionalFormatting>
  <conditionalFormatting sqref="C52">
    <cfRule type="expression" dxfId="1379" priority="153" stopIfTrue="1">
      <formula>AND(C52&lt;&gt;0, NOT(ISTEXT(B52)))</formula>
    </cfRule>
    <cfRule type="cellIs" dxfId="1378" priority="154" stopIfTrue="1" operator="lessThan">
      <formula>0</formula>
    </cfRule>
  </conditionalFormatting>
  <conditionalFormatting sqref="C53">
    <cfRule type="expression" dxfId="1377" priority="151" stopIfTrue="1">
      <formula>AND(C53&lt;&gt;0, NOT(ISTEXT(B53)))</formula>
    </cfRule>
    <cfRule type="cellIs" dxfId="1376" priority="152" stopIfTrue="1" operator="lessThan">
      <formula>0</formula>
    </cfRule>
  </conditionalFormatting>
  <conditionalFormatting sqref="C54">
    <cfRule type="expression" dxfId="1375" priority="149" stopIfTrue="1">
      <formula>AND(C54&lt;&gt;0, NOT(ISTEXT(B54)))</formula>
    </cfRule>
    <cfRule type="cellIs" dxfId="1374" priority="150" stopIfTrue="1" operator="lessThan">
      <formula>0</formula>
    </cfRule>
  </conditionalFormatting>
  <conditionalFormatting sqref="C55">
    <cfRule type="expression" dxfId="1373" priority="147" stopIfTrue="1">
      <formula>AND(C55&lt;&gt;0, NOT(ISTEXT(B55)))</formula>
    </cfRule>
    <cfRule type="cellIs" dxfId="1372" priority="148" stopIfTrue="1" operator="lessThan">
      <formula>0</formula>
    </cfRule>
  </conditionalFormatting>
  <conditionalFormatting sqref="Z6">
    <cfRule type="expression" dxfId="1371" priority="144" stopIfTrue="1">
      <formula>AND(Z6&lt;&gt;0, NOT(ISTEXT(Y6)))</formula>
    </cfRule>
    <cfRule type="cellIs" dxfId="1370" priority="145" stopIfTrue="1" operator="lessThan">
      <formula>0</formula>
    </cfRule>
  </conditionalFormatting>
  <conditionalFormatting sqref="Z16">
    <cfRule type="expression" dxfId="1369" priority="142" stopIfTrue="1">
      <formula>AND(Z16&lt;&gt;0, NOT(ISTEXT(Y16)))</formula>
    </cfRule>
    <cfRule type="cellIs" dxfId="1368" priority="143" stopIfTrue="1" operator="lessThan">
      <formula>0</formula>
    </cfRule>
  </conditionalFormatting>
  <conditionalFormatting sqref="Z7">
    <cfRule type="expression" dxfId="1367" priority="140" stopIfTrue="1">
      <formula>AND(Z7&lt;&gt;0, NOT(ISTEXT(Y7)))</formula>
    </cfRule>
    <cfRule type="cellIs" dxfId="1366" priority="141" stopIfTrue="1" operator="lessThan">
      <formula>0</formula>
    </cfRule>
  </conditionalFormatting>
  <conditionalFormatting sqref="Z8">
    <cfRule type="expression" dxfId="1365" priority="138" stopIfTrue="1">
      <formula>AND(Z8&lt;&gt;0, NOT(ISTEXT(Y8)))</formula>
    </cfRule>
    <cfRule type="cellIs" dxfId="1364" priority="139" stopIfTrue="1" operator="lessThan">
      <formula>0</formula>
    </cfRule>
  </conditionalFormatting>
  <conditionalFormatting sqref="Z9">
    <cfRule type="expression" dxfId="1363" priority="136" stopIfTrue="1">
      <formula>AND(Z9&lt;&gt;0, NOT(ISTEXT(Y9)))</formula>
    </cfRule>
    <cfRule type="cellIs" dxfId="1362" priority="137" stopIfTrue="1" operator="lessThan">
      <formula>0</formula>
    </cfRule>
  </conditionalFormatting>
  <conditionalFormatting sqref="Z10">
    <cfRule type="expression" dxfId="1361" priority="134" stopIfTrue="1">
      <formula>AND(Z10&lt;&gt;0, NOT(ISTEXT(Y10)))</formula>
    </cfRule>
    <cfRule type="cellIs" dxfId="1360" priority="135" stopIfTrue="1" operator="lessThan">
      <formula>0</formula>
    </cfRule>
  </conditionalFormatting>
  <conditionalFormatting sqref="Z11">
    <cfRule type="expression" dxfId="1359" priority="132" stopIfTrue="1">
      <formula>AND(Z11&lt;&gt;0, NOT(ISTEXT(Y11)))</formula>
    </cfRule>
    <cfRule type="cellIs" dxfId="1358" priority="133" stopIfTrue="1" operator="lessThan">
      <formula>0</formula>
    </cfRule>
  </conditionalFormatting>
  <conditionalFormatting sqref="Z12">
    <cfRule type="expression" dxfId="1357" priority="130" stopIfTrue="1">
      <formula>AND(Z12&lt;&gt;0, NOT(ISTEXT(Y12)))</formula>
    </cfRule>
    <cfRule type="cellIs" dxfId="1356" priority="131" stopIfTrue="1" operator="lessThan">
      <formula>0</formula>
    </cfRule>
  </conditionalFormatting>
  <conditionalFormatting sqref="Z13">
    <cfRule type="expression" dxfId="1355" priority="128" stopIfTrue="1">
      <formula>AND(Z13&lt;&gt;0, NOT(ISTEXT(Y13)))</formula>
    </cfRule>
    <cfRule type="cellIs" dxfId="1354" priority="129" stopIfTrue="1" operator="lessThan">
      <formula>0</formula>
    </cfRule>
  </conditionalFormatting>
  <conditionalFormatting sqref="Z14">
    <cfRule type="expression" dxfId="1353" priority="126" stopIfTrue="1">
      <formula>AND(Z14&lt;&gt;0, NOT(ISTEXT(Y14)))</formula>
    </cfRule>
    <cfRule type="cellIs" dxfId="1352" priority="127" stopIfTrue="1" operator="lessThan">
      <formula>0</formula>
    </cfRule>
  </conditionalFormatting>
  <conditionalFormatting sqref="Z15">
    <cfRule type="expression" dxfId="1351" priority="124" stopIfTrue="1">
      <formula>AND(Z15&lt;&gt;0, NOT(ISTEXT(Y15)))</formula>
    </cfRule>
    <cfRule type="cellIs" dxfId="1350" priority="125" stopIfTrue="1" operator="lessThan">
      <formula>0</formula>
    </cfRule>
  </conditionalFormatting>
  <conditionalFormatting sqref="Z23">
    <cfRule type="expression" dxfId="1349" priority="121" stopIfTrue="1">
      <formula>AND(Z23&lt;&gt;0, NOT(ISTEXT(Y23)))</formula>
    </cfRule>
    <cfRule type="cellIs" dxfId="1348" priority="122" stopIfTrue="1" operator="lessThan">
      <formula>0</formula>
    </cfRule>
  </conditionalFormatting>
  <conditionalFormatting sqref="Z44">
    <cfRule type="expression" dxfId="1347" priority="119" stopIfTrue="1">
      <formula>AND(Z44&lt;&gt;0, NOT(ISTEXT(Y44)))</formula>
    </cfRule>
    <cfRule type="cellIs" dxfId="1346" priority="120" stopIfTrue="1" operator="lessThan">
      <formula>0</formula>
    </cfRule>
  </conditionalFormatting>
  <conditionalFormatting sqref="Z24">
    <cfRule type="expression" dxfId="1345" priority="117" stopIfTrue="1">
      <formula>AND(Z24&lt;&gt;0, NOT(ISTEXT(Y24)))</formula>
    </cfRule>
    <cfRule type="cellIs" dxfId="1344" priority="118" stopIfTrue="1" operator="lessThan">
      <formula>0</formula>
    </cfRule>
  </conditionalFormatting>
  <conditionalFormatting sqref="Z25">
    <cfRule type="expression" dxfId="1343" priority="115" stopIfTrue="1">
      <formula>AND(Z25&lt;&gt;0, NOT(ISTEXT(Y25)))</formula>
    </cfRule>
    <cfRule type="cellIs" dxfId="1342" priority="116" stopIfTrue="1" operator="lessThan">
      <formula>0</formula>
    </cfRule>
  </conditionalFormatting>
  <conditionalFormatting sqref="Z26">
    <cfRule type="expression" dxfId="1341" priority="113" stopIfTrue="1">
      <formula>AND(Z26&lt;&gt;0, NOT(ISTEXT(Y26)))</formula>
    </cfRule>
    <cfRule type="cellIs" dxfId="1340" priority="114" stopIfTrue="1" operator="lessThan">
      <formula>0</formula>
    </cfRule>
  </conditionalFormatting>
  <conditionalFormatting sqref="Z27">
    <cfRule type="expression" dxfId="1339" priority="111" stopIfTrue="1">
      <formula>AND(Z27&lt;&gt;0, NOT(ISTEXT(Y27)))</formula>
    </cfRule>
    <cfRule type="cellIs" dxfId="1338" priority="112" stopIfTrue="1" operator="lessThan">
      <formula>0</formula>
    </cfRule>
  </conditionalFormatting>
  <conditionalFormatting sqref="Z28">
    <cfRule type="expression" dxfId="1337" priority="109" stopIfTrue="1">
      <formula>AND(Z28&lt;&gt;0, NOT(ISTEXT(Y28)))</formula>
    </cfRule>
    <cfRule type="cellIs" dxfId="1336" priority="110" stopIfTrue="1" operator="lessThan">
      <formula>0</formula>
    </cfRule>
  </conditionalFormatting>
  <conditionalFormatting sqref="Z29">
    <cfRule type="expression" dxfId="1335" priority="107" stopIfTrue="1">
      <formula>AND(Z29&lt;&gt;0, NOT(ISTEXT(Y29)))</formula>
    </cfRule>
    <cfRule type="cellIs" dxfId="1334" priority="108" stopIfTrue="1" operator="lessThan">
      <formula>0</formula>
    </cfRule>
  </conditionalFormatting>
  <conditionalFormatting sqref="Z30">
    <cfRule type="expression" dxfId="1333" priority="105" stopIfTrue="1">
      <formula>AND(Z30&lt;&gt;0, NOT(ISTEXT(Y30)))</formula>
    </cfRule>
    <cfRule type="cellIs" dxfId="1332" priority="106" stopIfTrue="1" operator="lessThan">
      <formula>0</formula>
    </cfRule>
  </conditionalFormatting>
  <conditionalFormatting sqref="Z31">
    <cfRule type="expression" dxfId="1331" priority="103" stopIfTrue="1">
      <formula>AND(Z31&lt;&gt;0, NOT(ISTEXT(Y31)))</formula>
    </cfRule>
    <cfRule type="cellIs" dxfId="1330" priority="104" stopIfTrue="1" operator="lessThan">
      <formula>0</formula>
    </cfRule>
  </conditionalFormatting>
  <conditionalFormatting sqref="Z32">
    <cfRule type="expression" dxfId="1329" priority="101" stopIfTrue="1">
      <formula>AND(Z32&lt;&gt;0, NOT(ISTEXT(Y32)))</formula>
    </cfRule>
    <cfRule type="cellIs" dxfId="1328" priority="102" stopIfTrue="1" operator="lessThan">
      <formula>0</formula>
    </cfRule>
  </conditionalFormatting>
  <conditionalFormatting sqref="Z33">
    <cfRule type="expression" dxfId="1327" priority="99" stopIfTrue="1">
      <formula>AND(Z33&lt;&gt;0, NOT(ISTEXT(Y33)))</formula>
    </cfRule>
    <cfRule type="cellIs" dxfId="1326" priority="100" stopIfTrue="1" operator="lessThan">
      <formula>0</formula>
    </cfRule>
  </conditionalFormatting>
  <conditionalFormatting sqref="Z34">
    <cfRule type="expression" dxfId="1325" priority="97" stopIfTrue="1">
      <formula>AND(Z34&lt;&gt;0, NOT(ISTEXT(Y34)))</formula>
    </cfRule>
    <cfRule type="cellIs" dxfId="1324" priority="98" stopIfTrue="1" operator="lessThan">
      <formula>0</formula>
    </cfRule>
  </conditionalFormatting>
  <conditionalFormatting sqref="Z35">
    <cfRule type="expression" dxfId="1323" priority="95" stopIfTrue="1">
      <formula>AND(Z35&lt;&gt;0, NOT(ISTEXT(Y35)))</formula>
    </cfRule>
    <cfRule type="cellIs" dxfId="1322" priority="96" stopIfTrue="1" operator="lessThan">
      <formula>0</formula>
    </cfRule>
  </conditionalFormatting>
  <conditionalFormatting sqref="Z36">
    <cfRule type="expression" dxfId="1321" priority="93" stopIfTrue="1">
      <formula>AND(Z36&lt;&gt;0, NOT(ISTEXT(Y36)))</formula>
    </cfRule>
    <cfRule type="cellIs" dxfId="1320" priority="94" stopIfTrue="1" operator="lessThan">
      <formula>0</formula>
    </cfRule>
  </conditionalFormatting>
  <conditionalFormatting sqref="Z37">
    <cfRule type="expression" dxfId="1319" priority="91" stopIfTrue="1">
      <formula>AND(Z37&lt;&gt;0, NOT(ISTEXT(Y37)))</formula>
    </cfRule>
    <cfRule type="cellIs" dxfId="1318" priority="92" stopIfTrue="1" operator="lessThan">
      <formula>0</formula>
    </cfRule>
  </conditionalFormatting>
  <conditionalFormatting sqref="Z38">
    <cfRule type="expression" dxfId="1317" priority="89" stopIfTrue="1">
      <formula>AND(Z38&lt;&gt;0, NOT(ISTEXT(Y38)))</formula>
    </cfRule>
    <cfRule type="cellIs" dxfId="1316" priority="90" stopIfTrue="1" operator="lessThan">
      <formula>0</formula>
    </cfRule>
  </conditionalFormatting>
  <conditionalFormatting sqref="Z39">
    <cfRule type="expression" dxfId="1315" priority="87" stopIfTrue="1">
      <formula>AND(Z39&lt;&gt;0, NOT(ISTEXT(Y39)))</formula>
    </cfRule>
    <cfRule type="cellIs" dxfId="1314" priority="88" stopIfTrue="1" operator="lessThan">
      <formula>0</formula>
    </cfRule>
  </conditionalFormatting>
  <conditionalFormatting sqref="Z40">
    <cfRule type="expression" dxfId="1313" priority="85" stopIfTrue="1">
      <formula>AND(Z40&lt;&gt;0, NOT(ISTEXT(Y40)))</formula>
    </cfRule>
    <cfRule type="cellIs" dxfId="1312" priority="86" stopIfTrue="1" operator="lessThan">
      <formula>0</formula>
    </cfRule>
  </conditionalFormatting>
  <conditionalFormatting sqref="Z41">
    <cfRule type="expression" dxfId="1311" priority="83" stopIfTrue="1">
      <formula>AND(Z41&lt;&gt;0, NOT(ISTEXT(Y41)))</formula>
    </cfRule>
    <cfRule type="cellIs" dxfId="1310" priority="84" stopIfTrue="1" operator="lessThan">
      <formula>0</formula>
    </cfRule>
  </conditionalFormatting>
  <conditionalFormatting sqref="Z42">
    <cfRule type="expression" dxfId="1309" priority="81" stopIfTrue="1">
      <formula>AND(Z42&lt;&gt;0, NOT(ISTEXT(Y42)))</formula>
    </cfRule>
    <cfRule type="cellIs" dxfId="1308" priority="82" stopIfTrue="1" operator="lessThan">
      <formula>0</formula>
    </cfRule>
  </conditionalFormatting>
  <conditionalFormatting sqref="Z43">
    <cfRule type="expression" dxfId="1307" priority="79" stopIfTrue="1">
      <formula>AND(Z43&lt;&gt;0, NOT(ISTEXT(Y43)))</formula>
    </cfRule>
    <cfRule type="cellIs" dxfId="1306" priority="80" stopIfTrue="1" operator="lessThan">
      <formula>0</formula>
    </cfRule>
  </conditionalFormatting>
  <conditionalFormatting sqref="D7:D17 D27:D39 AA6:AA16">
    <cfRule type="expression" dxfId="1305" priority="71" stopIfTrue="1">
      <formula>AND(D6&lt;&gt;0,NOT(ISTEXT(B6)))</formula>
    </cfRule>
  </conditionalFormatting>
  <conditionalFormatting sqref="C65">
    <cfRule type="expression" dxfId="1304" priority="67" stopIfTrue="1">
      <formula>AND(C65&lt;&gt;0, NOT(ISTEXT(B65)))</formula>
    </cfRule>
    <cfRule type="cellIs" dxfId="1303" priority="68" stopIfTrue="1" operator="lessThan">
      <formula>0</formula>
    </cfRule>
  </conditionalFormatting>
  <conditionalFormatting sqref="C77">
    <cfRule type="expression" dxfId="1302" priority="65" stopIfTrue="1">
      <formula>AND(C77&lt;&gt;0, NOT(ISTEXT(B77)))</formula>
    </cfRule>
    <cfRule type="cellIs" dxfId="1301" priority="66" stopIfTrue="1" operator="lessThan">
      <formula>0</formula>
    </cfRule>
  </conditionalFormatting>
  <conditionalFormatting sqref="C66">
    <cfRule type="expression" dxfId="1300" priority="63" stopIfTrue="1">
      <formula>AND(C66&lt;&gt;0, NOT(ISTEXT(B66)))</formula>
    </cfRule>
    <cfRule type="cellIs" dxfId="1299" priority="64" stopIfTrue="1" operator="lessThan">
      <formula>0</formula>
    </cfRule>
  </conditionalFormatting>
  <conditionalFormatting sqref="C67">
    <cfRule type="expression" dxfId="1298" priority="61" stopIfTrue="1">
      <formula>AND(C67&lt;&gt;0, NOT(ISTEXT(B67)))</formula>
    </cfRule>
    <cfRule type="cellIs" dxfId="1297" priority="62" stopIfTrue="1" operator="lessThan">
      <formula>0</formula>
    </cfRule>
  </conditionalFormatting>
  <conditionalFormatting sqref="C68">
    <cfRule type="expression" dxfId="1296" priority="59" stopIfTrue="1">
      <formula>AND(C68&lt;&gt;0, NOT(ISTEXT(B68)))</formula>
    </cfRule>
    <cfRule type="cellIs" dxfId="1295" priority="60" stopIfTrue="1" operator="lessThan">
      <formula>0</formula>
    </cfRule>
  </conditionalFormatting>
  <conditionalFormatting sqref="C69">
    <cfRule type="expression" dxfId="1294" priority="57" stopIfTrue="1">
      <formula>AND(C69&lt;&gt;0, NOT(ISTEXT(B69)))</formula>
    </cfRule>
    <cfRule type="cellIs" dxfId="1293" priority="58" stopIfTrue="1" operator="lessThan">
      <formula>0</formula>
    </cfRule>
  </conditionalFormatting>
  <conditionalFormatting sqref="C70">
    <cfRule type="expression" dxfId="1292" priority="55" stopIfTrue="1">
      <formula>AND(C70&lt;&gt;0, NOT(ISTEXT(B70)))</formula>
    </cfRule>
    <cfRule type="cellIs" dxfId="1291" priority="56" stopIfTrue="1" operator="lessThan">
      <formula>0</formula>
    </cfRule>
  </conditionalFormatting>
  <conditionalFormatting sqref="C71">
    <cfRule type="expression" dxfId="1290" priority="53" stopIfTrue="1">
      <formula>AND(C71&lt;&gt;0, NOT(ISTEXT(B71)))</formula>
    </cfRule>
    <cfRule type="cellIs" dxfId="1289" priority="54" stopIfTrue="1" operator="lessThan">
      <formula>0</formula>
    </cfRule>
  </conditionalFormatting>
  <conditionalFormatting sqref="C72">
    <cfRule type="expression" dxfId="1288" priority="51" stopIfTrue="1">
      <formula>AND(C72&lt;&gt;0, NOT(ISTEXT(B72)))</formula>
    </cfRule>
    <cfRule type="cellIs" dxfId="1287" priority="52" stopIfTrue="1" operator="lessThan">
      <formula>0</formula>
    </cfRule>
  </conditionalFormatting>
  <conditionalFormatting sqref="C73">
    <cfRule type="expression" dxfId="1286" priority="49" stopIfTrue="1">
      <formula>AND(C73&lt;&gt;0, NOT(ISTEXT(B73)))</formula>
    </cfRule>
    <cfRule type="cellIs" dxfId="1285" priority="50" stopIfTrue="1" operator="lessThan">
      <formula>0</formula>
    </cfRule>
  </conditionalFormatting>
  <conditionalFormatting sqref="C74">
    <cfRule type="expression" dxfId="1284" priority="47" stopIfTrue="1">
      <formula>AND(C74&lt;&gt;0, NOT(ISTEXT(B74)))</formula>
    </cfRule>
    <cfRule type="cellIs" dxfId="1283" priority="48" stopIfTrue="1" operator="lessThan">
      <formula>0</formula>
    </cfRule>
  </conditionalFormatting>
  <conditionalFormatting sqref="C75">
    <cfRule type="expression" dxfId="1282" priority="45" stopIfTrue="1">
      <formula>AND(C75&lt;&gt;0, NOT(ISTEXT(B75)))</formula>
    </cfRule>
    <cfRule type="cellIs" dxfId="1281" priority="46" stopIfTrue="1" operator="lessThan">
      <formula>0</formula>
    </cfRule>
  </conditionalFormatting>
  <conditionalFormatting sqref="C76">
    <cfRule type="expression" dxfId="1280" priority="43" stopIfTrue="1">
      <formula>AND(C76&lt;&gt;0, NOT(ISTEXT(B76)))</formula>
    </cfRule>
    <cfRule type="cellIs" dxfId="1279" priority="44" stopIfTrue="1" operator="lessThan">
      <formula>0</formula>
    </cfRule>
  </conditionalFormatting>
  <conditionalFormatting sqref="D65:D77">
    <cfRule type="expression" dxfId="1278" priority="41" stopIfTrue="1">
      <formula>AND(D65&lt;&gt;0,NOT(ISTEXT(B65)))</formula>
    </cfRule>
  </conditionalFormatting>
  <conditionalFormatting sqref="C86">
    <cfRule type="expression" dxfId="1277" priority="37" stopIfTrue="1">
      <formula>AND(C86&lt;&gt;0, NOT(ISTEXT(B86)))</formula>
    </cfRule>
    <cfRule type="cellIs" dxfId="1276" priority="38" stopIfTrue="1" operator="lessThan">
      <formula>0</formula>
    </cfRule>
  </conditionalFormatting>
  <conditionalFormatting sqref="C78">
    <cfRule type="expression" dxfId="1275" priority="35" stopIfTrue="1">
      <formula>AND(C78&lt;&gt;0, NOT(ISTEXT(B78)))</formula>
    </cfRule>
    <cfRule type="cellIs" dxfId="1274" priority="36" stopIfTrue="1" operator="lessThan">
      <formula>0</formula>
    </cfRule>
  </conditionalFormatting>
  <conditionalFormatting sqref="C79">
    <cfRule type="expression" dxfId="1273" priority="33" stopIfTrue="1">
      <formula>AND(C79&lt;&gt;0, NOT(ISTEXT(B79)))</formula>
    </cfRule>
    <cfRule type="cellIs" dxfId="1272" priority="34" stopIfTrue="1" operator="lessThan">
      <formula>0</formula>
    </cfRule>
  </conditionalFormatting>
  <conditionalFormatting sqref="C80">
    <cfRule type="expression" dxfId="1271" priority="31" stopIfTrue="1">
      <formula>AND(C80&lt;&gt;0, NOT(ISTEXT(B80)))</formula>
    </cfRule>
    <cfRule type="cellIs" dxfId="1270" priority="32" stopIfTrue="1" operator="lessThan">
      <formula>0</formula>
    </cfRule>
  </conditionalFormatting>
  <conditionalFormatting sqref="C81">
    <cfRule type="expression" dxfId="1269" priority="29" stopIfTrue="1">
      <formula>AND(C81&lt;&gt;0, NOT(ISTEXT(B81)))</formula>
    </cfRule>
    <cfRule type="cellIs" dxfId="1268" priority="30" stopIfTrue="1" operator="lessThan">
      <formula>0</formula>
    </cfRule>
  </conditionalFormatting>
  <conditionalFormatting sqref="C82">
    <cfRule type="expression" dxfId="1267" priority="27" stopIfTrue="1">
      <formula>AND(C82&lt;&gt;0, NOT(ISTEXT(B82)))</formula>
    </cfRule>
    <cfRule type="cellIs" dxfId="1266" priority="28" stopIfTrue="1" operator="lessThan">
      <formula>0</formula>
    </cfRule>
  </conditionalFormatting>
  <conditionalFormatting sqref="C83">
    <cfRule type="expression" dxfId="1265" priority="25" stopIfTrue="1">
      <formula>AND(C83&lt;&gt;0, NOT(ISTEXT(B83)))</formula>
    </cfRule>
    <cfRule type="cellIs" dxfId="1264" priority="26" stopIfTrue="1" operator="lessThan">
      <formula>0</formula>
    </cfRule>
  </conditionalFormatting>
  <conditionalFormatting sqref="C84">
    <cfRule type="expression" dxfId="1263" priority="23" stopIfTrue="1">
      <formula>AND(C84&lt;&gt;0, NOT(ISTEXT(B84)))</formula>
    </cfRule>
    <cfRule type="cellIs" dxfId="1262" priority="24" stopIfTrue="1" operator="lessThan">
      <formula>0</formula>
    </cfRule>
  </conditionalFormatting>
  <conditionalFormatting sqref="C85">
    <cfRule type="expression" dxfId="1261" priority="21" stopIfTrue="1">
      <formula>AND(C85&lt;&gt;0, NOT(ISTEXT(B85)))</formula>
    </cfRule>
    <cfRule type="cellIs" dxfId="1260" priority="22" stopIfTrue="1" operator="lessThan">
      <formula>0</formula>
    </cfRule>
  </conditionalFormatting>
  <conditionalFormatting sqref="D78:D86">
    <cfRule type="expression" dxfId="1259" priority="19" stopIfTrue="1">
      <formula>AND(D78&lt;&gt;0,NOT(ISTEXT(B78)))</formula>
    </cfRule>
  </conditionalFormatting>
  <conditionalFormatting sqref="D7:D17 D27:D39 D65:D86">
    <cfRule type="cellIs" dxfId="1258" priority="16" stopIfTrue="1" operator="greaterThan">
      <formula>"C7"</formula>
    </cfRule>
  </conditionalFormatting>
  <conditionalFormatting sqref="AE23:AE44">
    <cfRule type="expression" dxfId="1257" priority="7" stopIfTrue="1">
      <formula>((Z23*(12-$AR$19))-AE23)/(Z23*(12-$AR$19)+0.00001)&gt;0.9</formula>
    </cfRule>
    <cfRule type="expression" dxfId="1256" priority="8" stopIfTrue="1">
      <formula>((Z23*(12-$AR$19))-AE23)/(Z23*(12-$AR$19)+0.00001)&gt;0.8</formula>
    </cfRule>
    <cfRule type="expression" dxfId="1255" priority="9" stopIfTrue="1">
      <formula>((Z23*(12-$AR$19))-AE23)/(Z23*(12-$AR$19)+0.00001)&gt;0.7</formula>
    </cfRule>
    <cfRule type="expression" dxfId="1254" priority="10" stopIfTrue="1">
      <formula>((Z23*(12-$AR$19))-AE23)/(Z23*(12-$AR$19)+0.00001)&gt;0.6</formula>
    </cfRule>
    <cfRule type="expression" dxfId="1253" priority="11" stopIfTrue="1">
      <formula>((Z23*(12-$AR$19))-AE23)/(Z23*(12-$AR$19)+0.00001)&gt;0.5</formula>
    </cfRule>
    <cfRule type="expression" dxfId="1252" priority="12" stopIfTrue="1">
      <formula>((Z23*(12-$AR$19))-AE23)/(Z23*(12-$AR$19)+0.00001)&gt;0.4</formula>
    </cfRule>
    <cfRule type="expression" dxfId="1251" priority="13" stopIfTrue="1">
      <formula>((Z23*(12-$AR$19))-AE23)/(Z23*(12-$AR$19)+0.00001)&gt;0.3</formula>
    </cfRule>
    <cfRule type="expression" dxfId="1250" priority="377" stopIfTrue="1">
      <formula>((Z23*(12-$AR$19))-AE23)/(Z23*(12-$AR$19)+0.00001)&gt;0.2</formula>
    </cfRule>
  </conditionalFormatting>
  <conditionalFormatting sqref="N55:N56">
    <cfRule type="containsText" dxfId="1249" priority="4" stopIfTrue="1" operator="containsText" text="No">
      <formula>NOT(ISERROR(SEARCH("No",N55)))</formula>
    </cfRule>
  </conditionalFormatting>
  <conditionalFormatting sqref="AE15:AE20">
    <cfRule type="containsText" dxfId="1248" priority="3" stopIfTrue="1" operator="containsText" text="Over">
      <formula>NOT(ISERROR(SEARCH("Over",AE15)))</formula>
    </cfRule>
  </conditionalFormatting>
  <conditionalFormatting sqref="B20:D20">
    <cfRule type="containsText" dxfId="1247" priority="2" stopIfTrue="1" operator="containsText" text="Check">
      <formula>NOT(ISERROR(SEARCH("Check",B20)))</formula>
    </cfRule>
  </conditionalFormatting>
  <conditionalFormatting sqref="B42:D42">
    <cfRule type="containsText" dxfId="1246" priority="1" stopIfTrue="1" operator="containsText" text="Check">
      <formula>NOT(ISERROR(SEARCH("Check",B42)))</formula>
    </cfRule>
  </conditionalFormatting>
  <dataValidations count="14">
    <dataValidation type="custom" showInputMessage="1" showErrorMessage="1" errorTitle="שגיאה" error="חובה למלא את שם ההוצאה לפני מילוי הסכום." sqref="J64:J110 Q7:Q45 J7:J53 Q64:Q110">
      <formula1>ISTEXT(I7)</formula1>
    </dataValidation>
    <dataValidation type="custom" showInputMessage="1" showErrorMessage="1" errorTitle="שגיאה" error="חובה לתת שם לכל סעיף שנרשם בו תקציב" sqref="C7:C17 C27:C39 C45:C56 Z6:Z16 Z23:Z44 C65:C86">
      <formula1>ISTEXT(B6)</formula1>
    </dataValidation>
    <dataValidation type="custom" showInputMessage="1" showErrorMessage="1" errorTitle="שגיאה" error="חובה לתת שם לכל סעיף שנרשם בו ביצוע" sqref="D65:D86 D7:D17 D27:D39 AA6:AA16 AC17">
      <formula1>ISTEXT(B6)</formula1>
    </dataValidation>
    <dataValidation type="whole" allowBlank="1" showInputMessage="1" showErrorMessage="1" errorTitle="ערך לא חוקי" error="התא יכול לקבל 0 או 1. ערכים אחרים אינם חוקיים." prompt="שים לב!_x000a_שינוי תא זה עלול להשפיע על התקציב המתוכנן לשוטפות בחודש הבא." sqref="AI23:AI44">
      <formula1>0</formula1>
      <formula2>1</formula2>
    </dataValidation>
    <dataValidation type="list" errorStyle="information" allowBlank="1" showInputMessage="1" sqref="K64:K110 U64:U110 U7:U45 E7:E17 E27:E39 E65:E86 K7:K53 AB6:AB16">
      <formula1>$AT$5:$AT$9</formula1>
    </dataValidation>
    <dataValidation type="whole" allowBlank="1" showInputMessage="1" showErrorMessage="1" error="מס' יום לא חוקי" sqref="O7:O45 H7:H53 H64:H110 O64:O110">
      <formula1>1</formula1>
      <formula2>31</formula2>
    </dataValidation>
    <dataValidation type="list" allowBlank="1" showInputMessage="1" showErrorMessage="1" error="חובה לבחור בהתפריט הנפתח" sqref="P7:P45 P64:P110">
      <formula1>$Y$23:$Y$44</formula1>
    </dataValidation>
    <dataValidation type="list" allowBlank="1" showInputMessage="1" showErrorMessage="1" error="חובה לבחור כן/לא." sqref="N55:N56">
      <formula1>$AP$55:$AP$56</formula1>
    </dataValidation>
    <dataValidation type="list" allowBlank="1" showInputMessage="1" showErrorMessage="1" error="חובה לבחור מהתפריט הנפתח" sqref="I7:I53 I64:I110">
      <formula1>$B$45:$B$56</formula1>
    </dataValidation>
    <dataValidation allowBlank="1" showInputMessage="1" showErrorMessage="1" prompt="שים לב! שינוי תא זה יבטל את החישוב האוטומטי לסה&quot;כ ביצוע הוצאות קבועות לחודש הנוכחי. " sqref="D18"/>
    <dataValidation allowBlank="1" showInputMessage="1" showErrorMessage="1" prompt="שים לב! שינוי תא זה יבטל את החישוב האוטומטי לסה&quot;כ ביצוע החזרי החובות לחודש הנוכחי. " sqref="D40"/>
    <dataValidation type="custom" errorStyle="warning" allowBlank="1" showInputMessage="1" showErrorMessage="1" errorTitle="סעיף כבר בשימוש" error="שם סעיף זה כבר בשימוש בקטגוריה זו או בקטגוריה אחרת. יתכן גם שנרשמה עליו שם כבר הוצאה בחודש זה." sqref="Y23:Y44 B45:B56 B27:B39 B65:B86 B7:B17">
      <formula1>(COUNTIF($B$7:$B$17,B7)+COUNTIF($B$27:$B$39,B7)+COUNTIF($B$45:$B$56,B7)+COUNTIF($I$7:$I$53,B7)+COUNTIF($Y$23:$Y$44,B7)+COUNTIF($P$7:$P$45,B7))&lt;=1</formula1>
    </dataValidation>
    <dataValidation type="list" allowBlank="1" showInputMessage="1" showErrorMessage="1" error="חובה לבחור מהתפריט הנפתח" sqref="N58">
      <formula1>$AQ$55:$AQ$56</formula1>
    </dataValidation>
    <dataValidation type="custom" errorStyle="information" allowBlank="1" showInputMessage="1" showErrorMessage="1" error="אתם מזינים עיסקת תשלומים. _x000a_חובה למלא את עמודות &quot;מספר התשלום&quot; ו- &quot;מתוך&quot; כדי שהתשלומים הבאים יוכנסו אוטומטית." prompt="שנה תא זה רק בהזנת עיסקת תשלומים._x000a_בחודש הראשון - הזן את סכום העיסקה הכולל._x000a_בחודשי התשלום הבאים - יוכנס אוטומטית 0 (יוצג כ &quot;-&quot;)." sqref="R7:R45 R64:R110">
      <formula1>R7=Q7</formula1>
    </dataValidation>
  </dataValidations>
  <hyperlinks>
    <hyperlink ref="Q3" location="K!Y21:Z46" tooltip="To Summary Table" display="List Periodic Expenses"/>
    <hyperlink ref="I3" location="K!B44:C58" tooltip="To Summary Table" display="List Everyday Expenses"/>
  </hyperlinks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FFFF00"/>
    <outlinePr summaryBelow="0" summaryRight="0"/>
  </sheetPr>
  <dimension ref="A1:CN152"/>
  <sheetViews>
    <sheetView showZeros="0" zoomScale="75" zoomScaleNormal="75" workbookViewId="0"/>
  </sheetViews>
  <sheetFormatPr defaultColWidth="9.125" defaultRowHeight="14.25" outlineLevelRow="1" outlineLevelCol="1"/>
  <cols>
    <col min="1" max="1" width="0.625" style="2" customWidth="1"/>
    <col min="2" max="2" width="22.125" style="2" customWidth="1"/>
    <col min="3" max="3" width="8.125" style="2" customWidth="1"/>
    <col min="4" max="4" width="9.75" style="2" customWidth="1" collapsed="1"/>
    <col min="5" max="5" width="12.25" style="2" hidden="1" customWidth="1" outlineLevel="1"/>
    <col min="6" max="6" width="20.75" style="2" hidden="1" customWidth="1" outlineLevel="1"/>
    <col min="7" max="7" width="1.125" style="2" customWidth="1"/>
    <col min="8" max="8" width="5.375" style="2" customWidth="1"/>
    <col min="9" max="9" width="22.125" style="2" customWidth="1"/>
    <col min="10" max="10" width="8.125" style="2" customWidth="1" collapsed="1"/>
    <col min="11" max="11" width="12.25" style="2" hidden="1" customWidth="1" outlineLevel="1"/>
    <col min="12" max="12" width="20.75" style="2" hidden="1" customWidth="1" outlineLevel="1"/>
    <col min="13" max="13" width="10.75" style="2" customWidth="1" collapsed="1"/>
    <col min="14" max="14" width="4.875" style="2" customWidth="1"/>
    <col min="15" max="15" width="5" style="3" customWidth="1"/>
    <col min="16" max="16" width="22.125" style="2" customWidth="1"/>
    <col min="17" max="17" width="10.875" style="2" customWidth="1"/>
    <col min="18" max="18" width="9.875" style="2" bestFit="1" customWidth="1"/>
    <col min="19" max="19" width="4.625" style="26" customWidth="1" collapsed="1"/>
    <col min="20" max="20" width="3.75" style="26" customWidth="1" collapsed="1"/>
    <col min="21" max="21" width="12.25" style="26" hidden="1" customWidth="1" outlineLevel="1"/>
    <col min="22" max="22" width="20.75" style="26" hidden="1" customWidth="1" outlineLevel="1"/>
    <col min="23" max="23" width="10.75" style="2" customWidth="1"/>
    <col min="24" max="24" width="1.125" style="2" customWidth="1"/>
    <col min="25" max="25" width="24.125" style="2" customWidth="1"/>
    <col min="26" max="26" width="9.875" style="2" bestFit="1" customWidth="1"/>
    <col min="27" max="27" width="10.875" style="2" bestFit="1" customWidth="1" collapsed="1"/>
    <col min="28" max="28" width="13.375" style="2" hidden="1" customWidth="1" outlineLevel="1"/>
    <col min="29" max="29" width="15" style="2" hidden="1" customWidth="1" outlineLevel="1"/>
    <col min="30" max="30" width="10.875" style="2" hidden="1" customWidth="1"/>
    <col min="31" max="31" width="13.875" style="2" customWidth="1"/>
    <col min="32" max="32" width="3" style="2" customWidth="1"/>
    <col min="33" max="33" width="9.75" style="2" customWidth="1"/>
    <col min="34" max="34" width="5.625" style="2" customWidth="1"/>
    <col min="35" max="35" width="4.25" style="2" customWidth="1"/>
    <col min="36" max="36" width="9.125" style="2"/>
    <col min="37" max="37" width="11.875" style="2" customWidth="1"/>
    <col min="38" max="38" width="13.875" style="2" customWidth="1"/>
    <col min="39" max="40" width="9.125" style="2"/>
    <col min="41" max="41" width="10.75" style="52" customWidth="1"/>
    <col min="42" max="42" width="13.875" style="52" hidden="1" customWidth="1"/>
    <col min="43" max="43" width="16" style="52" hidden="1" customWidth="1"/>
    <col min="44" max="44" width="18.125" style="52" hidden="1" customWidth="1"/>
    <col min="45" max="45" width="16.125" style="52" hidden="1" customWidth="1"/>
    <col min="46" max="46" width="11.75" style="52" hidden="1" customWidth="1"/>
    <col min="47" max="47" width="9.125" style="52" hidden="1" customWidth="1"/>
    <col min="48" max="48" width="14" style="52" hidden="1" customWidth="1"/>
    <col min="49" max="49" width="16.75" style="52" hidden="1" customWidth="1"/>
    <col min="50" max="50" width="17.375" style="52" hidden="1" customWidth="1"/>
    <col min="51" max="51" width="9.125" style="52" hidden="1" customWidth="1"/>
    <col min="52" max="53" width="9.125" style="2" hidden="1" customWidth="1"/>
    <col min="54" max="60" width="9.125" style="2"/>
    <col min="61" max="61" width="2.875" style="2" customWidth="1"/>
    <col min="62" max="90" width="9.125" style="2"/>
    <col min="91" max="92" width="0" style="52" hidden="1" customWidth="1"/>
    <col min="93" max="16384" width="9.125" style="2"/>
  </cols>
  <sheetData>
    <row r="1" spans="1:92" s="367" customFormat="1" ht="15">
      <c r="B1" s="880" t="s">
        <v>381</v>
      </c>
      <c r="O1" s="512"/>
      <c r="S1" s="371"/>
      <c r="T1" s="371"/>
      <c r="U1" s="371"/>
      <c r="V1" s="371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CM1" s="86"/>
      <c r="CN1" s="86"/>
    </row>
    <row r="2" spans="1:92" ht="20.25">
      <c r="A2" s="367"/>
      <c r="B2" s="809" t="s">
        <v>468</v>
      </c>
      <c r="C2" s="890" t="s">
        <v>475</v>
      </c>
      <c r="E2" s="367"/>
      <c r="F2" s="367"/>
      <c r="G2" s="367"/>
      <c r="H2" s="367"/>
      <c r="I2" s="367"/>
      <c r="J2" s="368"/>
      <c r="K2" s="596"/>
      <c r="L2" s="585"/>
      <c r="M2" s="67" t="str">
        <f>IF('Month A'!M2="Month","",VLOOKUP(K!M2,'Month A'!CM3:CN14,2,FALSE))</f>
        <v/>
      </c>
      <c r="N2" s="1232" t="str">
        <f>IF('Month A'!N2:O2="Year","",IF(M2="ינואר",K!N2:O2+1,K!N2:O2))</f>
        <v/>
      </c>
      <c r="O2" s="1232"/>
      <c r="Q2" s="367"/>
      <c r="R2" s="878" t="s">
        <v>491</v>
      </c>
      <c r="S2" s="371"/>
      <c r="U2" s="371"/>
      <c r="V2" s="371"/>
      <c r="W2" s="367"/>
      <c r="X2" s="367"/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86"/>
    </row>
    <row r="3" spans="1:92" ht="19.5" customHeight="1" thickBot="1">
      <c r="A3" s="367"/>
      <c r="B3" s="1162" t="s">
        <v>348</v>
      </c>
      <c r="C3" s="1163"/>
      <c r="D3" s="378"/>
      <c r="E3" s="378"/>
      <c r="F3" s="378"/>
      <c r="G3" s="367"/>
      <c r="I3" s="830" t="s">
        <v>345</v>
      </c>
      <c r="J3" s="380"/>
      <c r="K3" s="367"/>
      <c r="L3" s="581"/>
      <c r="M3" s="367"/>
      <c r="N3" s="367"/>
      <c r="O3" s="377"/>
      <c r="P3" s="381"/>
      <c r="Q3" s="830" t="s">
        <v>346</v>
      </c>
      <c r="R3" s="641"/>
      <c r="S3" s="513"/>
      <c r="T3" s="381"/>
      <c r="U3" s="513"/>
      <c r="V3" s="513"/>
      <c r="W3" s="555"/>
      <c r="X3" s="382"/>
      <c r="Y3" s="1218" t="s">
        <v>296</v>
      </c>
      <c r="Z3" s="1218"/>
      <c r="AA3" s="1218"/>
      <c r="AB3" s="554"/>
      <c r="AC3" s="554"/>
      <c r="AD3" s="383"/>
      <c r="AE3" s="367"/>
      <c r="AF3" s="367"/>
      <c r="AG3" s="367"/>
      <c r="AH3" s="367"/>
      <c r="AI3" s="367"/>
      <c r="AJ3" s="367"/>
      <c r="AK3" s="367"/>
      <c r="AL3" s="367"/>
      <c r="AM3" s="367"/>
      <c r="AN3" s="367"/>
      <c r="AO3" s="86"/>
    </row>
    <row r="4" spans="1:92" s="614" customFormat="1" ht="34.5" customHeight="1" thickBot="1">
      <c r="A4" s="602"/>
      <c r="B4" s="879" t="s">
        <v>352</v>
      </c>
      <c r="C4" s="1230">
        <f>C18</f>
        <v>0</v>
      </c>
      <c r="D4" s="1167"/>
      <c r="E4" s="1158"/>
      <c r="F4" s="1159"/>
      <c r="G4" s="602"/>
      <c r="H4" s="603" t="s">
        <v>356</v>
      </c>
      <c r="I4" s="604" t="s">
        <v>357</v>
      </c>
      <c r="J4" s="605" t="s">
        <v>494</v>
      </c>
      <c r="K4" s="606" t="s">
        <v>380</v>
      </c>
      <c r="L4" s="607" t="s">
        <v>335</v>
      </c>
      <c r="M4" s="608" t="s">
        <v>389</v>
      </c>
      <c r="N4" s="602"/>
      <c r="O4" s="609" t="s">
        <v>356</v>
      </c>
      <c r="P4" s="610" t="s">
        <v>357</v>
      </c>
      <c r="Q4" s="806" t="s">
        <v>494</v>
      </c>
      <c r="R4" s="610" t="s">
        <v>359</v>
      </c>
      <c r="S4" s="1176" t="s">
        <v>360</v>
      </c>
      <c r="T4" s="1155" t="s">
        <v>361</v>
      </c>
      <c r="U4" s="787" t="s">
        <v>380</v>
      </c>
      <c r="V4" s="639" t="s">
        <v>335</v>
      </c>
      <c r="W4" s="640" t="s">
        <v>389</v>
      </c>
      <c r="X4" s="623"/>
      <c r="Y4" s="1208" t="s">
        <v>363</v>
      </c>
      <c r="Z4" s="1231"/>
      <c r="AA4" s="611">
        <f>Z17</f>
        <v>0</v>
      </c>
      <c r="AB4" s="1174"/>
      <c r="AC4" s="1175"/>
      <c r="AD4" s="612"/>
      <c r="AF4" s="602"/>
      <c r="AG4" s="602"/>
      <c r="AH4" s="602"/>
      <c r="AI4" s="602"/>
      <c r="AJ4" s="602"/>
      <c r="AK4" s="602"/>
      <c r="AL4" s="602"/>
      <c r="AM4" s="602"/>
      <c r="AN4" s="602"/>
      <c r="AO4" s="703"/>
      <c r="AP4" s="704"/>
      <c r="AQ4" s="704"/>
      <c r="AR4" s="704"/>
      <c r="AS4" s="704"/>
      <c r="AT4" s="705" t="s">
        <v>30</v>
      </c>
      <c r="AU4" s="704"/>
      <c r="AV4" s="704"/>
      <c r="AW4" s="704"/>
      <c r="AX4" s="704"/>
      <c r="AY4" s="704"/>
      <c r="CM4" s="704"/>
      <c r="CN4" s="704"/>
    </row>
    <row r="5" spans="1:92" ht="15" customHeight="1">
      <c r="A5" s="367"/>
      <c r="B5" s="1219" t="s">
        <v>353</v>
      </c>
      <c r="C5" s="1108" t="s">
        <v>354</v>
      </c>
      <c r="D5" s="1168" t="s">
        <v>494</v>
      </c>
      <c r="E5" s="1109" t="s">
        <v>380</v>
      </c>
      <c r="F5" s="1108" t="s">
        <v>335</v>
      </c>
      <c r="G5" s="367"/>
      <c r="H5" s="1157"/>
      <c r="I5" s="1221" t="s">
        <v>427</v>
      </c>
      <c r="J5" s="1150"/>
      <c r="K5" s="1193"/>
      <c r="L5" s="1160"/>
      <c r="M5" s="1153">
        <f ca="1">C57+IF(K!N58=AQ55,K!M58,0)+K!AP45</f>
        <v>0</v>
      </c>
      <c r="N5" s="14"/>
      <c r="O5" s="1182"/>
      <c r="P5" s="1183" t="s">
        <v>467</v>
      </c>
      <c r="Q5" s="1184"/>
      <c r="R5" s="1191"/>
      <c r="S5" s="1177"/>
      <c r="T5" s="1156"/>
      <c r="U5" s="1192"/>
      <c r="V5" s="1191"/>
      <c r="W5" s="1195">
        <f>K!W46+L!Z45-K!AP45</f>
        <v>0</v>
      </c>
      <c r="X5" s="621"/>
      <c r="Y5" s="5" t="s">
        <v>364</v>
      </c>
      <c r="Z5" s="105" t="s">
        <v>354</v>
      </c>
      <c r="AA5" s="914" t="s">
        <v>494</v>
      </c>
      <c r="AB5" s="803" t="s">
        <v>386</v>
      </c>
      <c r="AC5" s="718" t="s">
        <v>335</v>
      </c>
      <c r="AD5" s="31"/>
      <c r="AE5" s="1223" t="s">
        <v>365</v>
      </c>
      <c r="AF5" s="367"/>
      <c r="AG5" s="367"/>
      <c r="AH5" s="367"/>
      <c r="AI5" s="367"/>
      <c r="AJ5" s="367"/>
      <c r="AK5" s="367"/>
      <c r="AL5" s="367"/>
      <c r="AM5" s="367"/>
      <c r="AN5" s="367"/>
      <c r="AO5" s="86"/>
      <c r="AT5" s="52" t="s">
        <v>476</v>
      </c>
    </row>
    <row r="6" spans="1:92" ht="15" customHeight="1">
      <c r="A6" s="367"/>
      <c r="B6" s="1220"/>
      <c r="C6" s="1234"/>
      <c r="D6" s="1169"/>
      <c r="E6" s="1109"/>
      <c r="F6" s="1108"/>
      <c r="G6" s="367"/>
      <c r="H6" s="1157"/>
      <c r="I6" s="1222"/>
      <c r="J6" s="1152"/>
      <c r="K6" s="1194"/>
      <c r="L6" s="1161"/>
      <c r="M6" s="1154"/>
      <c r="N6" s="367"/>
      <c r="O6" s="1182"/>
      <c r="P6" s="1185"/>
      <c r="Q6" s="1186"/>
      <c r="R6" s="1192"/>
      <c r="S6" s="638"/>
      <c r="T6" s="786"/>
      <c r="U6" s="1197"/>
      <c r="V6" s="1191"/>
      <c r="W6" s="1196"/>
      <c r="X6" s="395"/>
      <c r="Y6" s="144" t="str">
        <f>IF(K!Y6&lt;&gt;"",K!Y6,)</f>
        <v>Husband job 1</v>
      </c>
      <c r="Z6" s="456">
        <f>K!Z6</f>
        <v>0</v>
      </c>
      <c r="AA6" s="69"/>
      <c r="AB6" s="715"/>
      <c r="AC6" s="877"/>
      <c r="AD6" s="32"/>
      <c r="AE6" s="1224"/>
      <c r="AF6" s="367"/>
      <c r="AG6" s="367"/>
      <c r="AH6" s="367"/>
      <c r="AI6" s="367"/>
      <c r="AJ6" s="367"/>
      <c r="AK6" s="367"/>
      <c r="AL6" s="367"/>
      <c r="AM6" s="367"/>
      <c r="AN6" s="367"/>
      <c r="AO6" s="86"/>
      <c r="AT6" s="52" t="s">
        <v>477</v>
      </c>
    </row>
    <row r="7" spans="1:92" ht="15" customHeight="1" thickBot="1">
      <c r="A7" s="367"/>
      <c r="B7" s="901" t="str">
        <f>IF(K!B7&lt;&gt;"",K!B7,)</f>
        <v>Mortgage Payments</v>
      </c>
      <c r="C7" s="451">
        <f>K!C7</f>
        <v>0</v>
      </c>
      <c r="D7" s="78"/>
      <c r="E7" s="521"/>
      <c r="F7" s="858"/>
      <c r="G7" s="367"/>
      <c r="H7" s="542"/>
      <c r="I7" s="853"/>
      <c r="J7" s="6"/>
      <c r="K7" s="541"/>
      <c r="L7" s="860"/>
      <c r="M7" s="20" t="str">
        <f>IF(J7="","",$M$5-SUM($J$7:J7))</f>
        <v/>
      </c>
      <c r="N7" s="367"/>
      <c r="O7" s="106"/>
      <c r="P7" s="871">
        <f>IF(K!Q7&lt;&gt;K!R7,IF(K!Q7&lt;&gt;0,IF(K!S7&lt;&gt;K!T7,K!P7,),),)</f>
        <v>0</v>
      </c>
      <c r="Q7" s="795">
        <f>IF(K!Q7&lt;&gt;K!R7,IF(K!Q7&lt;&gt;0,IF(K!S7&lt;&gt;K!T7,K!Q7,),),)</f>
        <v>0</v>
      </c>
      <c r="R7" s="628">
        <f>IF(K!Q7&lt;&gt;K!R7,IF(K!Q7&lt;&gt;0,IF(K!S7&lt;&gt;K!T7,0,Q7),Q7),Q7)</f>
        <v>0</v>
      </c>
      <c r="S7" s="796">
        <f>IF(K!Q7&lt;&gt;K!R7,IF(K!Q7&lt;&gt;0,IF(K!S7&lt;&gt;K!T7,K!S7+1,),),)</f>
        <v>0</v>
      </c>
      <c r="T7" s="796">
        <f>IF(K!Q7&lt;&gt;K!R7,IF(K!Q7&lt;&gt;0,IF(K!S7&lt;&gt;K!T7,K!T7,),),)</f>
        <v>0</v>
      </c>
      <c r="U7" s="797">
        <f>IF(K!Q7&lt;&gt;K!R7,IF(K!Q7&lt;&gt;0,IF(K!S7&lt;&gt;K!T7,K!U7,),),)</f>
        <v>0</v>
      </c>
      <c r="V7" s="875">
        <f>IF(K!Q7&lt;&gt;K!R7,IF(K!Q7&lt;&gt;0,IF(K!S7&lt;&gt;K!T7,K!V7,),),)</f>
        <v>0</v>
      </c>
      <c r="W7" s="622">
        <f>IF(Q7="","",$W$5-SUM($Q$7:Q7))</f>
        <v>0</v>
      </c>
      <c r="X7" s="395"/>
      <c r="Y7" s="144" t="str">
        <f>IF(K!Y7&lt;&gt;"",K!Y7,)</f>
        <v>Husband job 2</v>
      </c>
      <c r="Z7" s="456">
        <f>K!Z7</f>
        <v>0</v>
      </c>
      <c r="AA7" s="69"/>
      <c r="AB7" s="521"/>
      <c r="AC7" s="858"/>
      <c r="AD7" s="32"/>
      <c r="AE7" s="1225"/>
      <c r="AF7" s="367"/>
      <c r="AG7" s="367"/>
      <c r="AH7" s="367"/>
      <c r="AI7" s="367"/>
      <c r="AJ7" s="367"/>
      <c r="AK7" s="367"/>
      <c r="AL7" s="367"/>
      <c r="AM7" s="367"/>
      <c r="AN7" s="367"/>
      <c r="AO7" s="86"/>
      <c r="AT7" s="52" t="s">
        <v>478</v>
      </c>
    </row>
    <row r="8" spans="1:92" ht="15" customHeight="1" thickBot="1">
      <c r="A8" s="367"/>
      <c r="B8" s="901" t="str">
        <f>IF(K!B8&lt;&gt;"",K!B8,)</f>
        <v>Mortgage Insurance</v>
      </c>
      <c r="C8" s="451">
        <f>K!C8</f>
        <v>0</v>
      </c>
      <c r="D8" s="78"/>
      <c r="E8" s="521"/>
      <c r="F8" s="858"/>
      <c r="G8" s="367"/>
      <c r="H8" s="543"/>
      <c r="I8" s="853"/>
      <c r="J8" s="6"/>
      <c r="K8" s="541"/>
      <c r="L8" s="860"/>
      <c r="M8" s="20" t="str">
        <f>IF(J8="","",$M$5-SUM($J$7:J8))</f>
        <v/>
      </c>
      <c r="N8" s="367"/>
      <c r="O8" s="7"/>
      <c r="P8" s="872">
        <f>IF(K!Q8&lt;&gt;K!R8,IF(K!Q8&lt;&gt;0,IF(K!S8&lt;&gt;K!T8,K!P8,),),)</f>
        <v>0</v>
      </c>
      <c r="Q8" s="795">
        <f>IF(K!Q8&lt;&gt;K!R8,IF(K!Q8&lt;&gt;0,IF(K!S8&lt;&gt;K!T8,K!Q8,),),)</f>
        <v>0</v>
      </c>
      <c r="R8" s="628">
        <f>IF(K!Q8&lt;&gt;K!R8,IF(K!Q8&lt;&gt;0,IF(K!S8&lt;&gt;K!T8,0,Q8),Q8),Q8)</f>
        <v>0</v>
      </c>
      <c r="S8" s="796">
        <f>IF(K!Q8&lt;&gt;K!R8,IF(K!Q8&lt;&gt;0,IF(K!S8&lt;&gt;K!T8,K!S8+1,),),)</f>
        <v>0</v>
      </c>
      <c r="T8" s="796">
        <f>IF(K!Q8&lt;&gt;K!R8,IF(K!Q8&lt;&gt;0,IF(K!S8&lt;&gt;K!T8,K!T8,),),)</f>
        <v>0</v>
      </c>
      <c r="U8" s="797">
        <f>IF(K!Q8&lt;&gt;K!R8,IF(K!Q8&lt;&gt;0,IF(K!S8&lt;&gt;K!T8,K!U8,),),)</f>
        <v>0</v>
      </c>
      <c r="V8" s="875">
        <f>IF(K!Q8&lt;&gt;K!R8,IF(K!Q8&lt;&gt;0,IF(K!S8&lt;&gt;K!T8,K!V8,),),)</f>
        <v>0</v>
      </c>
      <c r="W8" s="622">
        <f>IF(Q8="","",$W$5-SUM($Q$7:Q8))</f>
        <v>0</v>
      </c>
      <c r="X8" s="395"/>
      <c r="Y8" s="144" t="str">
        <f>IF(K!Y8&lt;&gt;"",K!Y8,)</f>
        <v>Wife job 1</v>
      </c>
      <c r="Z8" s="456">
        <f>K!Z8</f>
        <v>0</v>
      </c>
      <c r="AA8" s="69"/>
      <c r="AB8" s="521"/>
      <c r="AC8" s="858"/>
      <c r="AD8" s="32"/>
      <c r="AE8" s="363">
        <f>(AA17+'Month A'!AA17+B!AA17+'C'!AA17+D!AA17+E!AA17+F!AA17+G!AA17+H!AA17+I!AA17+J!AA17+K!AA17)/AR19</f>
        <v>0</v>
      </c>
      <c r="AF8" s="367"/>
      <c r="AG8" s="367"/>
      <c r="AH8" s="367"/>
      <c r="AI8" s="367"/>
      <c r="AJ8" s="367"/>
      <c r="AK8" s="367"/>
      <c r="AL8" s="367"/>
      <c r="AM8" s="367"/>
      <c r="AN8" s="367"/>
      <c r="AO8" s="86"/>
      <c r="AT8" s="52" t="s">
        <v>480</v>
      </c>
    </row>
    <row r="9" spans="1:92" ht="15" customHeight="1" thickBot="1">
      <c r="A9" s="367"/>
      <c r="B9" s="901" t="str">
        <f>IF(K!B9&lt;&gt;"",K!B9,)</f>
        <v>Rent</v>
      </c>
      <c r="C9" s="451">
        <f>K!C9</f>
        <v>0</v>
      </c>
      <c r="D9" s="78"/>
      <c r="E9" s="521"/>
      <c r="F9" s="858"/>
      <c r="G9" s="367"/>
      <c r="H9" s="543"/>
      <c r="I9" s="853"/>
      <c r="J9" s="6"/>
      <c r="K9" s="541"/>
      <c r="L9" s="860"/>
      <c r="M9" s="20" t="str">
        <f>IF(J9="","",$M$5-SUM($J$7:J9))</f>
        <v/>
      </c>
      <c r="N9" s="367"/>
      <c r="O9" s="7"/>
      <c r="P9" s="871">
        <f>IF(K!Q9&lt;&gt;K!R9,IF(K!Q9&lt;&gt;0,IF(K!S9&lt;&gt;K!T9,K!P9,),),)</f>
        <v>0</v>
      </c>
      <c r="Q9" s="795">
        <f>IF(K!Q9&lt;&gt;K!R9,IF(K!Q9&lt;&gt;0,IF(K!S9&lt;&gt;K!T9,K!Q9,),),)</f>
        <v>0</v>
      </c>
      <c r="R9" s="628">
        <f>IF(K!Q9&lt;&gt;K!R9,IF(K!Q9&lt;&gt;0,IF(K!S9&lt;&gt;K!T9,0,Q9),Q9),Q9)</f>
        <v>0</v>
      </c>
      <c r="S9" s="796">
        <f>IF(K!Q9&lt;&gt;K!R9,IF(K!Q9&lt;&gt;0,IF(K!S9&lt;&gt;K!T9,K!S9+1,),),)</f>
        <v>0</v>
      </c>
      <c r="T9" s="796">
        <f>IF(K!Q9&lt;&gt;K!R9,IF(K!Q9&lt;&gt;0,IF(K!S9&lt;&gt;K!T9,K!T9,),),)</f>
        <v>0</v>
      </c>
      <c r="U9" s="797">
        <f>IF(K!Q9&lt;&gt;K!R9,IF(K!Q9&lt;&gt;0,IF(K!S9&lt;&gt;K!T9,K!U9,),),)</f>
        <v>0</v>
      </c>
      <c r="V9" s="875">
        <f>IF(K!Q9&lt;&gt;K!R9,IF(K!Q9&lt;&gt;0,IF(K!S9&lt;&gt;K!T9,K!V9,),),)</f>
        <v>0</v>
      </c>
      <c r="W9" s="622">
        <f>IF(Q9="","",$W$5-SUM($Q$7:Q9))</f>
        <v>0</v>
      </c>
      <c r="X9" s="395"/>
      <c r="Y9" s="144" t="str">
        <f>IF(K!Y9&lt;&gt;"",K!Y9,)</f>
        <v>Wife job 2</v>
      </c>
      <c r="Z9" s="456">
        <f>K!Z9</f>
        <v>0</v>
      </c>
      <c r="AA9" s="69"/>
      <c r="AB9" s="521"/>
      <c r="AC9" s="858"/>
      <c r="AD9" s="32"/>
      <c r="AE9" s="367"/>
      <c r="AF9" s="367"/>
      <c r="AG9" s="367"/>
      <c r="AH9" s="367"/>
      <c r="AI9" s="367"/>
      <c r="AJ9" s="367"/>
      <c r="AK9" s="367"/>
      <c r="AL9" s="367"/>
      <c r="AM9" s="367"/>
      <c r="AN9" s="367"/>
      <c r="AO9" s="86"/>
      <c r="AT9" s="52" t="s">
        <v>479</v>
      </c>
    </row>
    <row r="10" spans="1:92" ht="15" customHeight="1">
      <c r="A10" s="367"/>
      <c r="B10" s="902" t="str">
        <f>IF(K!B10&lt;&gt;"",K!B10,)</f>
        <v>Town Taxes / Maintenance Fees</v>
      </c>
      <c r="C10" s="451">
        <f>K!C10</f>
        <v>0</v>
      </c>
      <c r="D10" s="79"/>
      <c r="E10" s="522"/>
      <c r="F10" s="859"/>
      <c r="G10" s="367"/>
      <c r="H10" s="543"/>
      <c r="I10" s="853"/>
      <c r="J10" s="6"/>
      <c r="K10" s="541"/>
      <c r="L10" s="860"/>
      <c r="M10" s="20" t="str">
        <f>IF(J10="","",$M$5-SUM($J$7:J10))</f>
        <v/>
      </c>
      <c r="N10" s="367"/>
      <c r="O10" s="7"/>
      <c r="P10" s="871">
        <f>IF(K!Q10&lt;&gt;K!R10,IF(K!Q10&lt;&gt;0,IF(K!S10&lt;&gt;K!T10,K!P10,),),)</f>
        <v>0</v>
      </c>
      <c r="Q10" s="798">
        <f>IF(K!Q10&lt;&gt;K!R10,IF(K!Q10&lt;&gt;0,IF(K!S10&lt;&gt;K!T10,K!Q10,),),)</f>
        <v>0</v>
      </c>
      <c r="R10" s="628">
        <f>IF(K!Q10&lt;&gt;K!R10,IF(K!Q10&lt;&gt;0,IF(K!S10&lt;&gt;K!T10,0,Q10),Q10),Q10)</f>
        <v>0</v>
      </c>
      <c r="S10" s="796">
        <f>IF(K!Q10&lt;&gt;K!R10,IF(K!Q10&lt;&gt;0,IF(K!S10&lt;&gt;K!T10,K!S10+1,),),)</f>
        <v>0</v>
      </c>
      <c r="T10" s="796">
        <f>IF(K!Q10&lt;&gt;K!R10,IF(K!Q10&lt;&gt;0,IF(K!S10&lt;&gt;K!T10,K!T10,),),)</f>
        <v>0</v>
      </c>
      <c r="U10" s="797">
        <f>IF(K!Q10&lt;&gt;K!R10,IF(K!Q10&lt;&gt;0,IF(K!S10&lt;&gt;K!T10,K!U10,),),)</f>
        <v>0</v>
      </c>
      <c r="V10" s="875">
        <f>IF(K!Q10&lt;&gt;K!R10,IF(K!Q10&lt;&gt;0,IF(K!S10&lt;&gt;K!T10,K!V10,),),)</f>
        <v>0</v>
      </c>
      <c r="W10" s="624">
        <f>IF(Q10="","",$W$5-SUM($Q$7:Q10))</f>
        <v>0</v>
      </c>
      <c r="X10" s="621"/>
      <c r="Y10" s="144" t="str">
        <f>IF(K!Y10&lt;&gt;"",K!Y10,)</f>
        <v>National Social Security for Children</v>
      </c>
      <c r="Z10" s="456">
        <f>K!Z10</f>
        <v>0</v>
      </c>
      <c r="AA10" s="69"/>
      <c r="AB10" s="522"/>
      <c r="AC10" s="859"/>
      <c r="AD10" s="32"/>
      <c r="AE10" s="1226" t="s">
        <v>366</v>
      </c>
      <c r="AF10" s="367"/>
      <c r="AG10" s="367"/>
      <c r="AH10" s="367"/>
      <c r="AI10" s="367"/>
      <c r="AJ10" s="367"/>
      <c r="AK10" s="367"/>
      <c r="AL10" s="367"/>
      <c r="AM10" s="367"/>
      <c r="AN10" s="367"/>
      <c r="AO10" s="86"/>
    </row>
    <row r="11" spans="1:92" ht="15" customHeight="1" thickBot="1">
      <c r="A11" s="367"/>
      <c r="B11" s="901" t="str">
        <f>IF(K!B11&lt;&gt;"",K!B11,)</f>
        <v xml:space="preserve">Insurance (excl. car) </v>
      </c>
      <c r="C11" s="451">
        <f>K!C11</f>
        <v>0</v>
      </c>
      <c r="D11" s="78"/>
      <c r="E11" s="521"/>
      <c r="F11" s="858"/>
      <c r="G11" s="367"/>
      <c r="H11" s="543"/>
      <c r="I11" s="853"/>
      <c r="J11" s="6"/>
      <c r="K11" s="541"/>
      <c r="L11" s="860"/>
      <c r="M11" s="20" t="str">
        <f>IF(J11="","",$M$5-SUM($J$7:J11))</f>
        <v/>
      </c>
      <c r="N11" s="367"/>
      <c r="O11" s="7"/>
      <c r="P11" s="871">
        <f>IF(K!Q11&lt;&gt;K!R11,IF(K!Q11&lt;&gt;0,IF(K!S11&lt;&gt;K!T11,K!P11,),),)</f>
        <v>0</v>
      </c>
      <c r="Q11" s="795">
        <f>IF(K!Q11&lt;&gt;K!R11,IF(K!Q11&lt;&gt;0,IF(K!S11&lt;&gt;K!T11,K!Q11,),),)</f>
        <v>0</v>
      </c>
      <c r="R11" s="628">
        <f>IF(K!Q11&lt;&gt;K!R11,IF(K!Q11&lt;&gt;0,IF(K!S11&lt;&gt;K!T11,0,Q11),Q11),Q11)</f>
        <v>0</v>
      </c>
      <c r="S11" s="796">
        <f>IF(K!Q11&lt;&gt;K!R11,IF(K!Q11&lt;&gt;0,IF(K!S11&lt;&gt;K!T11,K!S11+1,),),)</f>
        <v>0</v>
      </c>
      <c r="T11" s="796">
        <f>IF(K!Q11&lt;&gt;K!R11,IF(K!Q11&lt;&gt;0,IF(K!S11&lt;&gt;K!T11,K!T11,),),)</f>
        <v>0</v>
      </c>
      <c r="U11" s="797">
        <f>IF(K!Q11&lt;&gt;K!R11,IF(K!Q11&lt;&gt;0,IF(K!S11&lt;&gt;K!T11,K!U11,),),)</f>
        <v>0</v>
      </c>
      <c r="V11" s="875">
        <f>IF(K!Q11&lt;&gt;K!R11,IF(K!Q11&lt;&gt;0,IF(K!S11&lt;&gt;K!T11,K!V11,),),)</f>
        <v>0</v>
      </c>
      <c r="W11" s="622">
        <f>IF(Q11="","",$W$5-SUM($Q$7:Q11))</f>
        <v>0</v>
      </c>
      <c r="X11" s="395"/>
      <c r="Y11" s="144" t="str">
        <f>IF(K!Y11&lt;&gt;"",K!Y11,)</f>
        <v>other Allowances</v>
      </c>
      <c r="Z11" s="456">
        <f>K!Z11</f>
        <v>0</v>
      </c>
      <c r="AA11" s="69"/>
      <c r="AB11" s="521"/>
      <c r="AC11" s="858"/>
      <c r="AD11" s="32"/>
      <c r="AE11" s="1227"/>
      <c r="AF11" s="367"/>
      <c r="AG11" s="367"/>
      <c r="AH11" s="367"/>
      <c r="AI11" s="367"/>
      <c r="AJ11" s="367"/>
      <c r="AK11" s="367"/>
      <c r="AL11" s="367"/>
      <c r="AM11" s="367"/>
      <c r="AN11" s="367"/>
      <c r="AO11" s="86"/>
    </row>
    <row r="12" spans="1:92" ht="15" customHeight="1" thickBot="1">
      <c r="A12" s="367"/>
      <c r="B12" s="901" t="str">
        <f>IF(K!B12&lt;&gt;"",K!B12,)</f>
        <v>Bank Savings Program</v>
      </c>
      <c r="C12" s="451">
        <f>K!C12</f>
        <v>0</v>
      </c>
      <c r="D12" s="78"/>
      <c r="E12" s="521"/>
      <c r="F12" s="858"/>
      <c r="G12" s="367"/>
      <c r="H12" s="543"/>
      <c r="I12" s="853"/>
      <c r="J12" s="6"/>
      <c r="K12" s="541"/>
      <c r="L12" s="860"/>
      <c r="M12" s="20" t="str">
        <f>IF(J12="","",$M$5-SUM($J$7:J12))</f>
        <v/>
      </c>
      <c r="N12" s="367"/>
      <c r="O12" s="7"/>
      <c r="P12" s="871">
        <f>IF(K!Q12&lt;&gt;K!R12,IF(K!Q12&lt;&gt;0,IF(K!S12&lt;&gt;K!T12,K!P12,),),)</f>
        <v>0</v>
      </c>
      <c r="Q12" s="795">
        <f>IF(K!Q12&lt;&gt;K!R12,IF(K!Q12&lt;&gt;0,IF(K!S12&lt;&gt;K!T12,K!Q12,),),)</f>
        <v>0</v>
      </c>
      <c r="R12" s="628">
        <f>IF(K!Q12&lt;&gt;K!R12,IF(K!Q12&lt;&gt;0,IF(K!S12&lt;&gt;K!T12,0,Q12),Q12),Q12)</f>
        <v>0</v>
      </c>
      <c r="S12" s="796">
        <f>IF(K!Q12&lt;&gt;K!R12,IF(K!Q12&lt;&gt;0,IF(K!S12&lt;&gt;K!T12,K!S12+1,),),)</f>
        <v>0</v>
      </c>
      <c r="T12" s="796">
        <f>IF(K!Q12&lt;&gt;K!R12,IF(K!Q12&lt;&gt;0,IF(K!S12&lt;&gt;K!T12,K!T12,),),)</f>
        <v>0</v>
      </c>
      <c r="U12" s="797">
        <f>IF(K!Q12&lt;&gt;K!R12,IF(K!Q12&lt;&gt;0,IF(K!S12&lt;&gt;K!T12,K!U12,),),)</f>
        <v>0</v>
      </c>
      <c r="V12" s="875">
        <f>IF(K!Q12&lt;&gt;K!R12,IF(K!Q12&lt;&gt;0,IF(K!S12&lt;&gt;K!T12,K!V12,),),)</f>
        <v>0</v>
      </c>
      <c r="W12" s="622">
        <f>IF(Q12="","",$W$5-SUM($Q$7:Q12))</f>
        <v>0</v>
      </c>
      <c r="X12" s="395"/>
      <c r="Y12" s="144" t="str">
        <f>IF(K!Y12&lt;&gt;"",K!Y12,)</f>
        <v>Rent Assistance</v>
      </c>
      <c r="Z12" s="456">
        <f>K!Z12</f>
        <v>0</v>
      </c>
      <c r="AA12" s="69"/>
      <c r="AB12" s="521"/>
      <c r="AC12" s="858"/>
      <c r="AD12" s="32"/>
      <c r="AE12" s="1228"/>
      <c r="AF12" s="367"/>
      <c r="AG12" s="367"/>
      <c r="AH12" s="367"/>
      <c r="AI12" s="367"/>
      <c r="AJ12" s="367"/>
      <c r="AK12" s="367"/>
      <c r="AL12" s="367"/>
      <c r="AM12" s="367"/>
      <c r="AN12" s="367"/>
      <c r="AO12" s="86"/>
      <c r="AP12" s="1138" t="s">
        <v>20</v>
      </c>
      <c r="AQ12" s="1139"/>
      <c r="AR12" s="1139"/>
      <c r="AS12" s="1139"/>
      <c r="AT12" s="1139"/>
      <c r="AU12" s="1139"/>
      <c r="AV12" s="1139"/>
      <c r="AW12" s="1139"/>
      <c r="AX12" s="1140"/>
    </row>
    <row r="13" spans="1:92" ht="15" customHeight="1" thickBot="1">
      <c r="A13" s="367"/>
      <c r="B13" s="901" t="str">
        <f>IF(K!B13&lt;&gt;"",K!B13,)</f>
        <v>Subscriptions</v>
      </c>
      <c r="C13" s="451">
        <f>K!C13</f>
        <v>0</v>
      </c>
      <c r="D13" s="78"/>
      <c r="E13" s="521"/>
      <c r="F13" s="858"/>
      <c r="G13" s="367"/>
      <c r="H13" s="543"/>
      <c r="I13" s="853"/>
      <c r="J13" s="6"/>
      <c r="K13" s="541"/>
      <c r="L13" s="860"/>
      <c r="M13" s="20" t="str">
        <f>IF(J13="","",$M$5-SUM($J$7:J13))</f>
        <v/>
      </c>
      <c r="N13" s="367"/>
      <c r="O13" s="7"/>
      <c r="P13" s="871">
        <f>IF(K!Q13&lt;&gt;K!R13,IF(K!Q13&lt;&gt;0,IF(K!S13&lt;&gt;K!T13,K!P13,),),)</f>
        <v>0</v>
      </c>
      <c r="Q13" s="795">
        <f>IF(K!Q13&lt;&gt;K!R13,IF(K!Q13&lt;&gt;0,IF(K!S13&lt;&gt;K!T13,K!Q13,),),)</f>
        <v>0</v>
      </c>
      <c r="R13" s="628">
        <f>IF(K!Q13&lt;&gt;K!R13,IF(K!Q13&lt;&gt;0,IF(K!S13&lt;&gt;K!T13,0,Q13),Q13),Q13)</f>
        <v>0</v>
      </c>
      <c r="S13" s="796">
        <f>IF(K!Q13&lt;&gt;K!R13,IF(K!Q13&lt;&gt;0,IF(K!S13&lt;&gt;K!T13,K!S13+1,),),)</f>
        <v>0</v>
      </c>
      <c r="T13" s="796">
        <f>IF(K!Q13&lt;&gt;K!R13,IF(K!Q13&lt;&gt;0,IF(K!S13&lt;&gt;K!T13,K!T13,),),)</f>
        <v>0</v>
      </c>
      <c r="U13" s="797">
        <f>IF(K!Q13&lt;&gt;K!R13,IF(K!Q13&lt;&gt;0,IF(K!S13&lt;&gt;K!T13,K!U13,),),)</f>
        <v>0</v>
      </c>
      <c r="V13" s="875">
        <f>IF(K!Q13&lt;&gt;K!R13,IF(K!Q13&lt;&gt;0,IF(K!S13&lt;&gt;K!T13,K!V13,),),)</f>
        <v>0</v>
      </c>
      <c r="W13" s="622">
        <f>IF(Q13="","",$W$5-SUM($Q$7:Q13))</f>
        <v>0</v>
      </c>
      <c r="X13" s="395"/>
      <c r="Y13" s="144" t="str">
        <f>IF(K!Y13&lt;&gt;"",K!Y13,)</f>
        <v>Food Packages</v>
      </c>
      <c r="Z13" s="456">
        <f>K!Z13</f>
        <v>0</v>
      </c>
      <c r="AA13" s="69"/>
      <c r="AB13" s="521"/>
      <c r="AC13" s="858"/>
      <c r="AD13" s="32"/>
      <c r="AE13" s="363">
        <f>AA18+'Month A'!AA18+B!AA18+'C'!AA18+D!AA18+E!AA18+F!AA18+G!AA18+H!AA18+I!AA18+J!AA18+K!AA18</f>
        <v>0</v>
      </c>
      <c r="AF13" s="367"/>
      <c r="AG13" s="367"/>
      <c r="AH13" s="367"/>
      <c r="AI13" s="367"/>
      <c r="AJ13" s="367"/>
      <c r="AK13" s="367"/>
      <c r="AL13" s="367"/>
      <c r="AM13" s="367"/>
      <c r="AN13" s="367"/>
      <c r="AO13" s="86"/>
    </row>
    <row r="14" spans="1:92" ht="15" customHeight="1">
      <c r="A14" s="367"/>
      <c r="B14" s="901" t="str">
        <f>IF(K!B14&lt;&gt;"",K!B14,)</f>
        <v>Donations</v>
      </c>
      <c r="C14" s="451">
        <f>K!C14</f>
        <v>0</v>
      </c>
      <c r="D14" s="78"/>
      <c r="E14" s="521"/>
      <c r="F14" s="858"/>
      <c r="G14" s="367"/>
      <c r="H14" s="543"/>
      <c r="I14" s="853"/>
      <c r="J14" s="6"/>
      <c r="K14" s="541"/>
      <c r="L14" s="860"/>
      <c r="M14" s="20" t="str">
        <f>IF(J14="","",$M$5-SUM($J$7:J14))</f>
        <v/>
      </c>
      <c r="N14" s="367"/>
      <c r="O14" s="7"/>
      <c r="P14" s="871">
        <f>IF(K!Q14&lt;&gt;K!R14,IF(K!Q14&lt;&gt;0,IF(K!S14&lt;&gt;K!T14,K!P14,),),)</f>
        <v>0</v>
      </c>
      <c r="Q14" s="795">
        <f>IF(K!Q14&lt;&gt;K!R14,IF(K!Q14&lt;&gt;0,IF(K!S14&lt;&gt;K!T14,K!Q14,),),)</f>
        <v>0</v>
      </c>
      <c r="R14" s="628">
        <f>IF(K!Q14&lt;&gt;K!R14,IF(K!Q14&lt;&gt;0,IF(K!S14&lt;&gt;K!T14,0,Q14),Q14),Q14)</f>
        <v>0</v>
      </c>
      <c r="S14" s="796">
        <f>IF(K!Q14&lt;&gt;K!R14,IF(K!Q14&lt;&gt;0,IF(K!S14&lt;&gt;K!T14,K!S14+1,),),)</f>
        <v>0</v>
      </c>
      <c r="T14" s="796">
        <f>IF(K!Q14&lt;&gt;K!R14,IF(K!Q14&lt;&gt;0,IF(K!S14&lt;&gt;K!T14,K!T14,),),)</f>
        <v>0</v>
      </c>
      <c r="U14" s="797">
        <f>IF(K!Q14&lt;&gt;K!R14,IF(K!Q14&lt;&gt;0,IF(K!S14&lt;&gt;K!T14,K!U14,),),)</f>
        <v>0</v>
      </c>
      <c r="V14" s="875">
        <f>IF(K!Q14&lt;&gt;K!R14,IF(K!Q14&lt;&gt;0,IF(K!S14&lt;&gt;K!T14,K!V14,),),)</f>
        <v>0</v>
      </c>
      <c r="W14" s="622">
        <f>IF(Q14="","",$W$5-SUM($Q$7:Q14))</f>
        <v>0</v>
      </c>
      <c r="X14" s="395"/>
      <c r="Y14" s="144" t="str">
        <f>IF(K!Y14&lt;&gt;"",K!Y14,)</f>
        <v>Income from Property</v>
      </c>
      <c r="Z14" s="456">
        <f>K!Z14</f>
        <v>0</v>
      </c>
      <c r="AA14" s="69"/>
      <c r="AB14" s="521"/>
      <c r="AC14" s="858"/>
      <c r="AD14" s="32"/>
      <c r="AE14" s="403"/>
      <c r="AF14" s="367"/>
      <c r="AG14" s="367"/>
      <c r="AH14" s="367"/>
      <c r="AI14" s="367"/>
      <c r="AJ14" s="367"/>
      <c r="AK14" s="367"/>
      <c r="AL14" s="367"/>
      <c r="AM14" s="367"/>
      <c r="AN14" s="367"/>
      <c r="AO14" s="86"/>
      <c r="AW14" s="52" t="s">
        <v>12</v>
      </c>
    </row>
    <row r="15" spans="1:92" ht="15" customHeight="1">
      <c r="A15" s="367"/>
      <c r="B15" s="901">
        <f>IF(K!B15&lt;&gt;"",K!B15,)</f>
        <v>0</v>
      </c>
      <c r="C15" s="451">
        <f>K!C15</f>
        <v>0</v>
      </c>
      <c r="D15" s="78"/>
      <c r="E15" s="521"/>
      <c r="F15" s="858"/>
      <c r="G15" s="367"/>
      <c r="H15" s="543"/>
      <c r="I15" s="853"/>
      <c r="J15" s="6"/>
      <c r="K15" s="541"/>
      <c r="L15" s="860"/>
      <c r="M15" s="20" t="str">
        <f>IF(J15="","",$M$5-SUM($J$7:J15))</f>
        <v/>
      </c>
      <c r="N15" s="367"/>
      <c r="O15" s="7"/>
      <c r="P15" s="871">
        <f>IF(K!Q15&lt;&gt;K!R15,IF(K!Q15&lt;&gt;0,IF(K!S15&lt;&gt;K!T15,K!P15,),),)</f>
        <v>0</v>
      </c>
      <c r="Q15" s="795">
        <f>IF(K!Q15&lt;&gt;K!R15,IF(K!Q15&lt;&gt;0,IF(K!S15&lt;&gt;K!T15,K!Q15,),),)</f>
        <v>0</v>
      </c>
      <c r="R15" s="628">
        <f>IF(K!Q15&lt;&gt;K!R15,IF(K!Q15&lt;&gt;0,IF(K!S15&lt;&gt;K!T15,0,Q15),Q15),Q15)</f>
        <v>0</v>
      </c>
      <c r="S15" s="796">
        <f>IF(K!Q15&lt;&gt;K!R15,IF(K!Q15&lt;&gt;0,IF(K!S15&lt;&gt;K!T15,K!S15+1,),),)</f>
        <v>0</v>
      </c>
      <c r="T15" s="796">
        <f>IF(K!Q15&lt;&gt;K!R15,IF(K!Q15&lt;&gt;0,IF(K!S15&lt;&gt;K!T15,K!T15,),),)</f>
        <v>0</v>
      </c>
      <c r="U15" s="797">
        <f>IF(K!Q15&lt;&gt;K!R15,IF(K!Q15&lt;&gt;0,IF(K!S15&lt;&gt;K!T15,K!U15,),),)</f>
        <v>0</v>
      </c>
      <c r="V15" s="875">
        <f>IF(K!Q15&lt;&gt;K!R15,IF(K!Q15&lt;&gt;0,IF(K!S15&lt;&gt;K!T15,K!V15,),),)</f>
        <v>0</v>
      </c>
      <c r="W15" s="625">
        <f>IF(Q15="","",$W$5-SUM($Q$7:Q15))</f>
        <v>0</v>
      </c>
      <c r="X15" s="621"/>
      <c r="Y15" s="144" t="str">
        <f>IF(K!Y15&lt;&gt;"",K!Y15,)</f>
        <v>Help from parents</v>
      </c>
      <c r="Z15" s="456">
        <f>K!Z15</f>
        <v>0</v>
      </c>
      <c r="AA15" s="69"/>
      <c r="AB15" s="521"/>
      <c r="AC15" s="858"/>
      <c r="AD15" s="32"/>
      <c r="AE15" s="1137" t="str">
        <f>IF(COUNTIF(AE23:AE44,"&lt;0")&gt;0,"Over yearly budget!
Take an action from the options to your right.","")</f>
        <v/>
      </c>
      <c r="AF15" s="367"/>
      <c r="AG15" s="367"/>
      <c r="AH15" s="367"/>
      <c r="AI15" s="367"/>
      <c r="AJ15" s="367"/>
      <c r="AK15" s="367"/>
      <c r="AL15" s="367"/>
      <c r="AM15" s="367"/>
      <c r="AN15" s="367"/>
      <c r="AO15" s="86"/>
      <c r="AW15" s="52" t="s">
        <v>13</v>
      </c>
    </row>
    <row r="16" spans="1:92" ht="15" customHeight="1">
      <c r="A16" s="367"/>
      <c r="B16" s="849">
        <f>IF(K!B16&lt;&gt;"",K!B16,)</f>
        <v>0</v>
      </c>
      <c r="C16" s="451">
        <f>K!C16</f>
        <v>0</v>
      </c>
      <c r="D16" s="78"/>
      <c r="E16" s="521"/>
      <c r="F16" s="858"/>
      <c r="G16" s="367"/>
      <c r="H16" s="543"/>
      <c r="I16" s="853"/>
      <c r="J16" s="6"/>
      <c r="K16" s="541"/>
      <c r="L16" s="860"/>
      <c r="M16" s="20" t="str">
        <f>IF(J16="","",$M$5-SUM($J$7:J16))</f>
        <v/>
      </c>
      <c r="N16" s="367"/>
      <c r="O16" s="7"/>
      <c r="P16" s="873">
        <f>IF(K!Q16&lt;&gt;K!R16,IF(K!Q16&lt;&gt;0,IF(K!S16&lt;&gt;K!T16,K!P16,),),)</f>
        <v>0</v>
      </c>
      <c r="Q16" s="795">
        <f>IF(K!Q16&lt;&gt;K!R16,IF(K!Q16&lt;&gt;0,IF(K!S16&lt;&gt;K!T16,K!Q16,),),)</f>
        <v>0</v>
      </c>
      <c r="R16" s="628">
        <f>IF(K!Q16&lt;&gt;K!R16,IF(K!Q16&lt;&gt;0,IF(K!S16&lt;&gt;K!T16,0,Q16),Q16),Q16)</f>
        <v>0</v>
      </c>
      <c r="S16" s="796">
        <f>IF(K!Q16&lt;&gt;K!R16,IF(K!Q16&lt;&gt;0,IF(K!S16&lt;&gt;K!T16,K!S16+1,),),)</f>
        <v>0</v>
      </c>
      <c r="T16" s="796">
        <f>IF(K!Q16&lt;&gt;K!R16,IF(K!Q16&lt;&gt;0,IF(K!S16&lt;&gt;K!T16,K!T16,),),)</f>
        <v>0</v>
      </c>
      <c r="U16" s="797">
        <f>IF(K!Q16&lt;&gt;K!R16,IF(K!Q16&lt;&gt;0,IF(K!S16&lt;&gt;K!T16,K!U16,),),)</f>
        <v>0</v>
      </c>
      <c r="V16" s="875">
        <f>IF(K!Q16&lt;&gt;K!R16,IF(K!Q16&lt;&gt;0,IF(K!S16&lt;&gt;K!T16,K!V16,),),)</f>
        <v>0</v>
      </c>
      <c r="W16" s="622">
        <f>IF(Q16="","",$W$5-SUM($Q$7:Q16))</f>
        <v>0</v>
      </c>
      <c r="X16" s="395"/>
      <c r="Y16" s="144" t="str">
        <f>IF(K!Y16&lt;&gt;"",K!Y16,)</f>
        <v>Other Income</v>
      </c>
      <c r="Z16" s="456">
        <f>K!Z16</f>
        <v>0</v>
      </c>
      <c r="AA16" s="69"/>
      <c r="AB16" s="645"/>
      <c r="AC16" s="870"/>
      <c r="AD16" s="32"/>
      <c r="AE16" s="1137"/>
      <c r="AF16" s="367"/>
      <c r="AG16" s="367"/>
      <c r="AH16" s="367"/>
      <c r="AI16" s="367"/>
      <c r="AJ16" s="367"/>
      <c r="AK16" s="367"/>
      <c r="AL16" s="367"/>
      <c r="AM16" s="367"/>
      <c r="AN16" s="367"/>
      <c r="AO16" s="86"/>
      <c r="AW16" s="90">
        <f>13-AR19</f>
        <v>1</v>
      </c>
    </row>
    <row r="17" spans="1:63" ht="15" customHeight="1">
      <c r="A17" s="367"/>
      <c r="B17" s="849">
        <f>IF(K!B17&lt;&gt;"",K!B17,)</f>
        <v>0</v>
      </c>
      <c r="C17" s="451">
        <f>K!C17</f>
        <v>0</v>
      </c>
      <c r="D17" s="78"/>
      <c r="E17" s="521"/>
      <c r="F17" s="858"/>
      <c r="G17" s="367"/>
      <c r="H17" s="543"/>
      <c r="I17" s="853"/>
      <c r="J17" s="6"/>
      <c r="K17" s="541"/>
      <c r="L17" s="860"/>
      <c r="M17" s="20" t="str">
        <f>IF(J17="","",$M$5-SUM($J$7:J17))</f>
        <v/>
      </c>
      <c r="N17" s="367"/>
      <c r="O17" s="7"/>
      <c r="P17" s="871">
        <f>IF(K!Q17&lt;&gt;K!R17,IF(K!Q17&lt;&gt;0,IF(K!S17&lt;&gt;K!T17,K!P17,),),)</f>
        <v>0</v>
      </c>
      <c r="Q17" s="795">
        <f>IF(K!Q17&lt;&gt;K!R17,IF(K!Q17&lt;&gt;0,IF(K!S17&lt;&gt;K!T17,K!Q17,),),)</f>
        <v>0</v>
      </c>
      <c r="R17" s="628">
        <f>IF(K!Q17&lt;&gt;K!R17,IF(K!Q17&lt;&gt;0,IF(K!S17&lt;&gt;K!T17,0,Q17),Q17),Q17)</f>
        <v>0</v>
      </c>
      <c r="S17" s="796">
        <f>IF(K!Q17&lt;&gt;K!R17,IF(K!Q17&lt;&gt;0,IF(K!S17&lt;&gt;K!T17,K!S17+1,),),)</f>
        <v>0</v>
      </c>
      <c r="T17" s="796">
        <f>IF(K!Q17&lt;&gt;K!R17,IF(K!Q17&lt;&gt;0,IF(K!S17&lt;&gt;K!T17,K!T17,),),)</f>
        <v>0</v>
      </c>
      <c r="U17" s="797">
        <f>IF(K!Q17&lt;&gt;K!R17,IF(K!Q17&lt;&gt;0,IF(K!S17&lt;&gt;K!T17,K!U17,),),)</f>
        <v>0</v>
      </c>
      <c r="V17" s="875">
        <f>IF(K!Q17&lt;&gt;K!R17,IF(K!Q17&lt;&gt;0,IF(K!S17&lt;&gt;K!T17,K!V17,),),)</f>
        <v>0</v>
      </c>
      <c r="W17" s="624">
        <f>IF(Q17="","",$W$5-SUM($Q$7:Q17))</f>
        <v>0</v>
      </c>
      <c r="X17" s="621"/>
      <c r="Y17" s="18" t="s">
        <v>179</v>
      </c>
      <c r="Z17" s="17">
        <f>SUM(Z6:Z16)</f>
        <v>0</v>
      </c>
      <c r="AA17" s="19">
        <f>SUM(AA6:AA16)</f>
        <v>0</v>
      </c>
      <c r="AB17" s="642"/>
      <c r="AC17" s="642"/>
      <c r="AD17" s="33"/>
      <c r="AE17" s="1137"/>
      <c r="AF17" s="367"/>
      <c r="AG17" s="367"/>
      <c r="AH17" s="367"/>
      <c r="AI17" s="367"/>
      <c r="AJ17" s="367"/>
      <c r="AK17" s="367"/>
      <c r="AL17" s="367"/>
      <c r="AM17" s="367"/>
      <c r="AN17" s="367"/>
      <c r="AO17" s="86"/>
    </row>
    <row r="18" spans="1:63" ht="15" customHeight="1" thickBot="1">
      <c r="A18" s="367"/>
      <c r="B18" s="16" t="s">
        <v>179</v>
      </c>
      <c r="C18" s="77">
        <f>SUM(C7:C17)</f>
        <v>0</v>
      </c>
      <c r="D18" s="75">
        <f>SUM(D7:D17)</f>
        <v>0</v>
      </c>
      <c r="E18" s="515"/>
      <c r="F18" s="515"/>
      <c r="G18" s="367"/>
      <c r="H18" s="543"/>
      <c r="I18" s="853"/>
      <c r="J18" s="6"/>
      <c r="K18" s="541"/>
      <c r="L18" s="860"/>
      <c r="M18" s="20" t="str">
        <f>IF(J18="","",$M$5-SUM($J$7:J18))</f>
        <v/>
      </c>
      <c r="N18" s="367"/>
      <c r="O18" s="7"/>
      <c r="P18" s="873">
        <f>IF(K!Q18&lt;&gt;K!R18,IF(K!Q18&lt;&gt;0,IF(K!S18&lt;&gt;K!T18,K!P18,),),)</f>
        <v>0</v>
      </c>
      <c r="Q18" s="795">
        <f>IF(K!Q18&lt;&gt;K!R18,IF(K!Q18&lt;&gt;0,IF(K!S18&lt;&gt;K!T18,K!Q18,),),)</f>
        <v>0</v>
      </c>
      <c r="R18" s="628">
        <f>IF(K!Q18&lt;&gt;K!R18,IF(K!Q18&lt;&gt;0,IF(K!S18&lt;&gt;K!T18,0,Q18),Q18),Q18)</f>
        <v>0</v>
      </c>
      <c r="S18" s="796">
        <f>IF(K!Q18&lt;&gt;K!R18,IF(K!Q18&lt;&gt;0,IF(K!S18&lt;&gt;K!T18,K!S18+1,),),)</f>
        <v>0</v>
      </c>
      <c r="T18" s="796">
        <f>IF(K!Q18&lt;&gt;K!R18,IF(K!Q18&lt;&gt;0,IF(K!S18&lt;&gt;K!T18,K!T18,),),)</f>
        <v>0</v>
      </c>
      <c r="U18" s="797">
        <f>IF(K!Q18&lt;&gt;K!R18,IF(K!Q18&lt;&gt;0,IF(K!S18&lt;&gt;K!T18,K!U18,),),)</f>
        <v>0</v>
      </c>
      <c r="V18" s="875">
        <f>IF(K!Q18&lt;&gt;K!R18,IF(K!Q18&lt;&gt;0,IF(K!S18&lt;&gt;K!T18,K!V18,),),)</f>
        <v>0</v>
      </c>
      <c r="W18" s="622">
        <f>IF(Q18="","",$W$5-SUM($Q$7:Q18))</f>
        <v>0</v>
      </c>
      <c r="X18" s="395"/>
      <c r="Y18" s="1204" t="s">
        <v>367</v>
      </c>
      <c r="Z18" s="1205"/>
      <c r="AA18" s="121">
        <f>AA17-AA4</f>
        <v>0</v>
      </c>
      <c r="AB18" s="643"/>
      <c r="AC18" s="643"/>
      <c r="AD18" s="34"/>
      <c r="AE18" s="1137"/>
      <c r="AF18" s="367"/>
      <c r="AG18" s="376"/>
      <c r="AH18" s="885" t="s">
        <v>401</v>
      </c>
      <c r="AI18" s="367"/>
      <c r="AJ18" s="367"/>
      <c r="AK18" s="367"/>
      <c r="AL18" s="367"/>
      <c r="AM18" s="367"/>
      <c r="AN18" s="367"/>
      <c r="AO18" s="86"/>
      <c r="AR18" s="52" t="s">
        <v>5</v>
      </c>
    </row>
    <row r="19" spans="1:63" ht="15" customHeight="1" thickBot="1">
      <c r="A19" s="367"/>
      <c r="B19" s="95" t="s">
        <v>367</v>
      </c>
      <c r="C19" s="98"/>
      <c r="D19" s="97">
        <f>C18-D18</f>
        <v>0</v>
      </c>
      <c r="E19" s="516"/>
      <c r="F19" s="516"/>
      <c r="G19" s="367"/>
      <c r="H19" s="543"/>
      <c r="I19" s="853"/>
      <c r="J19" s="6"/>
      <c r="K19" s="541"/>
      <c r="L19" s="860"/>
      <c r="M19" s="20" t="str">
        <f>IF(J19="","",$M$5-SUM($J$7:J19))</f>
        <v/>
      </c>
      <c r="N19" s="367"/>
      <c r="O19" s="7"/>
      <c r="P19" s="871">
        <f>IF(K!Q19&lt;&gt;K!R19,IF(K!Q19&lt;&gt;0,IF(K!S19&lt;&gt;K!T19,K!P19,),),)</f>
        <v>0</v>
      </c>
      <c r="Q19" s="795">
        <f>IF(K!Q19&lt;&gt;K!R19,IF(K!Q19&lt;&gt;0,IF(K!S19&lt;&gt;K!T19,K!Q19,),),)</f>
        <v>0</v>
      </c>
      <c r="R19" s="628">
        <f>IF(K!Q19&lt;&gt;K!R19,IF(K!Q19&lt;&gt;0,IF(K!S19&lt;&gt;K!T19,0,Q19),Q19),Q19)</f>
        <v>0</v>
      </c>
      <c r="S19" s="796">
        <f>IF(K!Q19&lt;&gt;K!R19,IF(K!Q19&lt;&gt;0,IF(K!S19&lt;&gt;K!T19,K!S19+1,),),)</f>
        <v>0</v>
      </c>
      <c r="T19" s="796">
        <f>IF(K!Q19&lt;&gt;K!R19,IF(K!Q19&lt;&gt;0,IF(K!S19&lt;&gt;K!T19,K!T19,),),)</f>
        <v>0</v>
      </c>
      <c r="U19" s="797">
        <f>IF(K!Q19&lt;&gt;K!R19,IF(K!Q19&lt;&gt;0,IF(K!S19&lt;&gt;K!T19,K!U19,),),)</f>
        <v>0</v>
      </c>
      <c r="V19" s="875">
        <f>IF(K!Q19&lt;&gt;K!R19,IF(K!Q19&lt;&gt;0,IF(K!S19&lt;&gt;K!T19,K!V19,),),)</f>
        <v>0</v>
      </c>
      <c r="W19" s="622">
        <f>IF(Q19="","",$W$5-SUM($Q$7:Q19))</f>
        <v>0</v>
      </c>
      <c r="X19" s="395"/>
      <c r="Y19" s="378"/>
      <c r="Z19" s="378"/>
      <c r="AA19" s="378"/>
      <c r="AB19" s="378"/>
      <c r="AC19" s="378"/>
      <c r="AD19" s="9"/>
      <c r="AE19" s="1137"/>
      <c r="AF19" s="367"/>
      <c r="AG19" s="373"/>
      <c r="AH19" s="886" t="s">
        <v>402</v>
      </c>
      <c r="AI19" s="367"/>
      <c r="AJ19" s="367"/>
      <c r="AK19" s="367"/>
      <c r="AL19" s="367"/>
      <c r="AM19" s="367"/>
      <c r="AN19" s="367"/>
      <c r="AO19" s="86"/>
      <c r="AR19" s="88">
        <v>12</v>
      </c>
      <c r="AV19" s="476" t="s">
        <v>14</v>
      </c>
    </row>
    <row r="20" spans="1:63" ht="15" customHeight="1" thickBot="1">
      <c r="A20" s="367"/>
      <c r="B20" s="1095" t="str">
        <f>IF(D19&gt;0,"Unexpected positive difference - Check why!","")</f>
        <v/>
      </c>
      <c r="C20" s="1095"/>
      <c r="D20" s="1095"/>
      <c r="E20" s="514"/>
      <c r="F20" s="514"/>
      <c r="G20" s="367"/>
      <c r="H20" s="543"/>
      <c r="I20" s="853"/>
      <c r="J20" s="6"/>
      <c r="K20" s="541"/>
      <c r="L20" s="860"/>
      <c r="M20" s="20" t="str">
        <f>IF(J20="","",$M$5-SUM($J$7:J20))</f>
        <v/>
      </c>
      <c r="N20" s="367"/>
      <c r="O20" s="7"/>
      <c r="P20" s="871">
        <f>IF(K!Q20&lt;&gt;K!R20,IF(K!Q20&lt;&gt;0,IF(K!S20&lt;&gt;K!T20,K!P20,),),)</f>
        <v>0</v>
      </c>
      <c r="Q20" s="795">
        <f>IF(K!Q20&lt;&gt;K!R20,IF(K!Q20&lt;&gt;0,IF(K!S20&lt;&gt;K!T20,K!Q20,),),)</f>
        <v>0</v>
      </c>
      <c r="R20" s="628">
        <f>IF(K!Q20&lt;&gt;K!R20,IF(K!Q20&lt;&gt;0,IF(K!S20&lt;&gt;K!T20,0,Q20),Q20),Q20)</f>
        <v>0</v>
      </c>
      <c r="S20" s="796">
        <f>IF(K!Q20&lt;&gt;K!R20,IF(K!Q20&lt;&gt;0,IF(K!S20&lt;&gt;K!T20,K!S20+1,),),)</f>
        <v>0</v>
      </c>
      <c r="T20" s="796">
        <f>IF(K!Q20&lt;&gt;K!R20,IF(K!Q20&lt;&gt;0,IF(K!S20&lt;&gt;K!T20,K!T20,),),)</f>
        <v>0</v>
      </c>
      <c r="U20" s="797">
        <f>IF(K!Q20&lt;&gt;K!R20,IF(K!Q20&lt;&gt;0,IF(K!S20&lt;&gt;K!T20,K!U20,),),)</f>
        <v>0</v>
      </c>
      <c r="V20" s="875">
        <f>IF(K!Q20&lt;&gt;K!R20,IF(K!Q20&lt;&gt;0,IF(K!S20&lt;&gt;K!T20,K!V20,),),)</f>
        <v>0</v>
      </c>
      <c r="W20" s="622">
        <f>IF(Q20="","",$W$5-SUM($Q$7:Q20))</f>
        <v>0</v>
      </c>
      <c r="X20" s="395"/>
      <c r="Y20" s="1206" t="s">
        <v>350</v>
      </c>
      <c r="Z20" s="1207"/>
      <c r="AA20" s="1207"/>
      <c r="AB20" s="552"/>
      <c r="AC20" s="552"/>
      <c r="AD20" s="27"/>
      <c r="AE20" s="1137"/>
      <c r="AF20" s="367"/>
      <c r="AG20" s="374"/>
      <c r="AH20" s="887" t="s">
        <v>466</v>
      </c>
      <c r="AI20" s="367"/>
      <c r="AJ20" s="367"/>
      <c r="AK20" s="367"/>
      <c r="AL20" s="367"/>
      <c r="AM20" s="367"/>
      <c r="AN20" s="367"/>
      <c r="AO20" s="86"/>
      <c r="AQ20" s="1240" t="s">
        <v>29</v>
      </c>
      <c r="AR20" s="1139"/>
      <c r="AS20" s="1139"/>
      <c r="AT20" s="1140"/>
      <c r="AV20" s="476" t="s">
        <v>15</v>
      </c>
    </row>
    <row r="21" spans="1:63" ht="15" customHeight="1">
      <c r="A21" s="367"/>
      <c r="B21" s="399"/>
      <c r="C21" s="400"/>
      <c r="D21" s="400"/>
      <c r="E21" s="400"/>
      <c r="F21" s="400"/>
      <c r="G21" s="367"/>
      <c r="H21" s="543"/>
      <c r="I21" s="853"/>
      <c r="J21" s="6"/>
      <c r="K21" s="541"/>
      <c r="L21" s="860"/>
      <c r="M21" s="20" t="str">
        <f>IF(J21="","",$M$5-SUM($J$7:J21))</f>
        <v/>
      </c>
      <c r="N21" s="367"/>
      <c r="O21" s="7"/>
      <c r="P21" s="873">
        <f>IF(K!Q21&lt;&gt;K!R21,IF(K!Q21&lt;&gt;0,IF(K!S21&lt;&gt;K!T21,K!P21,),),)</f>
        <v>0</v>
      </c>
      <c r="Q21" s="795">
        <f>IF(K!Q21&lt;&gt;K!R21,IF(K!Q21&lt;&gt;0,IF(K!S21&lt;&gt;K!T21,K!Q21,),),)</f>
        <v>0</v>
      </c>
      <c r="R21" s="628">
        <f>IF(K!Q21&lt;&gt;K!R21,IF(K!Q21&lt;&gt;0,IF(K!S21&lt;&gt;K!T21,0,Q21),Q21),Q21)</f>
        <v>0</v>
      </c>
      <c r="S21" s="796">
        <f>IF(K!Q21&lt;&gt;K!R21,IF(K!Q21&lt;&gt;0,IF(K!S21&lt;&gt;K!T21,K!S21+1,),),)</f>
        <v>0</v>
      </c>
      <c r="T21" s="796">
        <f>IF(K!Q21&lt;&gt;K!R21,IF(K!Q21&lt;&gt;0,IF(K!S21&lt;&gt;K!T21,K!T21,),),)</f>
        <v>0</v>
      </c>
      <c r="U21" s="797">
        <f>IF(K!Q21&lt;&gt;K!R21,IF(K!Q21&lt;&gt;0,IF(K!S21&lt;&gt;K!T21,K!U21,),),)</f>
        <v>0</v>
      </c>
      <c r="V21" s="875">
        <f>IF(K!Q21&lt;&gt;K!R21,IF(K!Q21&lt;&gt;0,IF(K!S21&lt;&gt;K!T21,K!V21,),),)</f>
        <v>0</v>
      </c>
      <c r="W21" s="622">
        <f>IF(Q21="","",$W$5-SUM($Q$7:Q21))</f>
        <v>0</v>
      </c>
      <c r="X21" s="395"/>
      <c r="Y21" s="1187" t="s">
        <v>353</v>
      </c>
      <c r="Z21" s="1189" t="s">
        <v>354</v>
      </c>
      <c r="AA21" s="1210" t="s">
        <v>494</v>
      </c>
      <c r="AB21" s="719"/>
      <c r="AC21" s="720"/>
      <c r="AD21" s="1148" t="s">
        <v>2</v>
      </c>
      <c r="AE21" s="1141" t="s">
        <v>406</v>
      </c>
      <c r="AG21" s="1242" t="s">
        <v>405</v>
      </c>
      <c r="AH21" s="887" t="s">
        <v>403</v>
      </c>
      <c r="AI21" s="367"/>
      <c r="AJ21" s="367"/>
      <c r="AK21" s="367"/>
      <c r="AL21" s="367"/>
      <c r="AM21" s="367"/>
      <c r="AN21" s="367"/>
      <c r="AO21" s="86"/>
      <c r="AP21" s="89" t="s">
        <v>3</v>
      </c>
      <c r="AQ21" s="475" t="s">
        <v>7</v>
      </c>
      <c r="AR21" s="1229" t="s">
        <v>11</v>
      </c>
      <c r="AS21" s="476"/>
      <c r="AT21" s="476"/>
      <c r="AU21" s="476"/>
      <c r="AV21" s="476" t="s">
        <v>16</v>
      </c>
      <c r="AW21" s="476"/>
      <c r="AX21" s="90" t="s">
        <v>0</v>
      </c>
    </row>
    <row r="22" spans="1:63" ht="15.75" customHeight="1" thickBot="1">
      <c r="A22" s="367"/>
      <c r="B22" s="401" t="s">
        <v>349</v>
      </c>
      <c r="C22" s="402"/>
      <c r="D22" s="378"/>
      <c r="E22" s="378"/>
      <c r="F22" s="378"/>
      <c r="G22" s="367"/>
      <c r="H22" s="543"/>
      <c r="I22" s="853"/>
      <c r="J22" s="6"/>
      <c r="K22" s="541"/>
      <c r="L22" s="860"/>
      <c r="M22" s="20" t="str">
        <f>IF(J22="","",$M$5-SUM($J$7:J22))</f>
        <v/>
      </c>
      <c r="N22" s="367"/>
      <c r="O22" s="7"/>
      <c r="P22" s="871">
        <f>IF(K!Q22&lt;&gt;K!R22,IF(K!Q22&lt;&gt;0,IF(K!S22&lt;&gt;K!T22,K!P22,),),)</f>
        <v>0</v>
      </c>
      <c r="Q22" s="795">
        <f>IF(K!Q22&lt;&gt;K!R22,IF(K!Q22&lt;&gt;0,IF(K!S22&lt;&gt;K!T22,K!Q22,),),)</f>
        <v>0</v>
      </c>
      <c r="R22" s="628">
        <f>IF(K!Q22&lt;&gt;K!R22,IF(K!Q22&lt;&gt;0,IF(K!S22&lt;&gt;K!T22,0,Q22),Q22),Q22)</f>
        <v>0</v>
      </c>
      <c r="S22" s="796">
        <f>IF(K!Q22&lt;&gt;K!R22,IF(K!Q22&lt;&gt;0,IF(K!S22&lt;&gt;K!T22,K!S22+1,),),)</f>
        <v>0</v>
      </c>
      <c r="T22" s="796">
        <f>IF(K!Q22&lt;&gt;K!R22,IF(K!Q22&lt;&gt;0,IF(K!S22&lt;&gt;K!T22,K!T22,),),)</f>
        <v>0</v>
      </c>
      <c r="U22" s="797">
        <f>IF(K!Q22&lt;&gt;K!R22,IF(K!Q22&lt;&gt;0,IF(K!S22&lt;&gt;K!T22,K!U22,),),)</f>
        <v>0</v>
      </c>
      <c r="V22" s="875">
        <f>IF(K!Q22&lt;&gt;K!R22,IF(K!Q22&lt;&gt;0,IF(K!S22&lt;&gt;K!T22,K!V22,),),)</f>
        <v>0</v>
      </c>
      <c r="W22" s="622">
        <f>IF(Q22="","",$W$5-SUM($Q$7:Q22))</f>
        <v>0</v>
      </c>
      <c r="X22" s="395"/>
      <c r="Y22" s="1188"/>
      <c r="Z22" s="1241"/>
      <c r="AA22" s="1211"/>
      <c r="AB22" s="719"/>
      <c r="AC22" s="721"/>
      <c r="AD22" s="1148"/>
      <c r="AE22" s="1141"/>
      <c r="AF22" s="367"/>
      <c r="AG22" s="1243"/>
      <c r="AH22" s="367"/>
      <c r="AI22" s="367"/>
      <c r="AJ22" s="367"/>
      <c r="AK22" s="367"/>
      <c r="AL22" s="367"/>
      <c r="AM22" s="367"/>
      <c r="AN22" s="367"/>
      <c r="AO22" s="86"/>
      <c r="AP22" s="90" t="s">
        <v>9</v>
      </c>
      <c r="AQ22" s="475" t="s">
        <v>10</v>
      </c>
      <c r="AR22" s="1229"/>
      <c r="AS22" s="475" t="s">
        <v>8</v>
      </c>
      <c r="AT22" s="475" t="s">
        <v>6</v>
      </c>
      <c r="AU22" s="476"/>
      <c r="AV22" s="475" t="s">
        <v>17</v>
      </c>
      <c r="AW22" s="475" t="s">
        <v>18</v>
      </c>
      <c r="AX22" s="706" t="s">
        <v>19</v>
      </c>
      <c r="AZ22" s="725" t="s">
        <v>31</v>
      </c>
      <c r="BA22" s="724"/>
      <c r="BB22" s="724"/>
      <c r="BC22" s="724"/>
      <c r="BD22" s="724"/>
      <c r="BE22" s="724"/>
      <c r="BF22" s="724"/>
      <c r="BG22" s="724"/>
      <c r="BH22" s="724"/>
      <c r="BJ22" s="724"/>
      <c r="BK22" s="724"/>
    </row>
    <row r="23" spans="1:63" ht="15.75">
      <c r="A23" s="367"/>
      <c r="B23" s="1102" t="s">
        <v>428</v>
      </c>
      <c r="C23" s="1104">
        <f ca="1">C40</f>
        <v>0</v>
      </c>
      <c r="D23" s="1105"/>
      <c r="E23" s="1091"/>
      <c r="F23" s="1092"/>
      <c r="G23" s="367"/>
      <c r="H23" s="543"/>
      <c r="I23" s="853"/>
      <c r="J23" s="6"/>
      <c r="K23" s="541"/>
      <c r="L23" s="860"/>
      <c r="M23" s="20" t="str">
        <f>IF(J23="","",$M$5-SUM($J$7:J23))</f>
        <v/>
      </c>
      <c r="N23" s="367"/>
      <c r="O23" s="7"/>
      <c r="P23" s="873">
        <f>IF(K!Q23&lt;&gt;K!R23,IF(K!Q23&lt;&gt;0,IF(K!S23&lt;&gt;K!T23,K!P23,),),)</f>
        <v>0</v>
      </c>
      <c r="Q23" s="795">
        <f>IF(K!Q23&lt;&gt;K!R23,IF(K!Q23&lt;&gt;0,IF(K!S23&lt;&gt;K!T23,K!Q23,),),)</f>
        <v>0</v>
      </c>
      <c r="R23" s="628">
        <f>IF(K!Q23&lt;&gt;K!R23,IF(K!Q23&lt;&gt;0,IF(K!S23&lt;&gt;K!T23,0,Q23),Q23),Q23)</f>
        <v>0</v>
      </c>
      <c r="S23" s="796">
        <f>IF(K!Q23&lt;&gt;K!R23,IF(K!Q23&lt;&gt;0,IF(K!S23&lt;&gt;K!T23,K!S23+1,),),)</f>
        <v>0</v>
      </c>
      <c r="T23" s="796">
        <f>IF(K!Q23&lt;&gt;K!R23,IF(K!Q23&lt;&gt;0,IF(K!S23&lt;&gt;K!T23,K!T23,),),)</f>
        <v>0</v>
      </c>
      <c r="U23" s="797">
        <f>IF(K!Q23&lt;&gt;K!R23,IF(K!Q23&lt;&gt;0,IF(K!S23&lt;&gt;K!T23,K!U23,),),)</f>
        <v>0</v>
      </c>
      <c r="V23" s="875">
        <f>IF(K!Q23&lt;&gt;K!R23,IF(K!Q23&lt;&gt;0,IF(K!S23&lt;&gt;K!T23,K!V23,),),)</f>
        <v>0</v>
      </c>
      <c r="W23" s="622">
        <f>IF(Q23="","",$W$5-SUM($Q$7:Q23))</f>
        <v>0</v>
      </c>
      <c r="X23" s="395"/>
      <c r="Y23" s="905" t="str">
        <f>IF(K!Y23&lt;&gt;"",K!Y23,)</f>
        <v>Municipal Taxes</v>
      </c>
      <c r="Z23" s="457">
        <f>K!Z23</f>
        <v>0</v>
      </c>
      <c r="AA23" s="21">
        <f t="shared" ref="AA23:AA44" si="0">SUMIF($P$7:$P$110,Y23,$Q$7:$Q$110)</f>
        <v>0</v>
      </c>
      <c r="AB23" s="722"/>
      <c r="AC23" s="722"/>
      <c r="AD23" s="35">
        <f t="shared" ref="AD23:AD44" si="1">SUMIF($P$7:$P$110,Y23,$R$7:$R$110)</f>
        <v>0</v>
      </c>
      <c r="AE23" s="23">
        <f>IF(AI23=0,AX23,0)</f>
        <v>0</v>
      </c>
      <c r="AF23" s="367"/>
      <c r="AG23" s="728">
        <f t="shared" ref="AG23:AG44" si="2">IF(AZ23&gt;1,"overrun",IF(AZ23&lt;0,"OK",AZ23))</f>
        <v>0</v>
      </c>
      <c r="AH23" s="367"/>
      <c r="AI23" s="567">
        <v>0</v>
      </c>
      <c r="AJ23" s="367"/>
      <c r="AK23" s="367"/>
      <c r="AL23" s="367"/>
      <c r="AM23" s="367"/>
      <c r="AN23" s="367"/>
      <c r="AO23" s="86"/>
      <c r="AP23" s="51">
        <f t="shared" ref="AP23:AP44" si="3">IF(AI23=1,AX23,0)</f>
        <v>0</v>
      </c>
      <c r="AQ23" s="476">
        <f>K!AQ23+K!AP23</f>
        <v>0</v>
      </c>
      <c r="AR23" s="476">
        <f t="shared" ref="AR23:AR44" si="4">Z23*12-AS23-AQ23</f>
        <v>0</v>
      </c>
      <c r="AS23" s="477">
        <f>AD23+K!AS23</f>
        <v>0</v>
      </c>
      <c r="AT23" s="477">
        <f>AA23+K!AT23</f>
        <v>0</v>
      </c>
      <c r="AU23" s="476"/>
      <c r="AV23" s="477">
        <f>K!AV23-K!AD23+L!Z23-K!AP23</f>
        <v>0</v>
      </c>
      <c r="AW23" s="476">
        <f>IF(AE23&lt;0,AE23,0)</f>
        <v>0</v>
      </c>
      <c r="AX23" s="52">
        <f>IF(Z23=K!Z23,K!AE23-AD23,K!AE23+(Z23-K!Z23)*$AW$16-AD23)</f>
        <v>0</v>
      </c>
      <c r="AZ23" s="726">
        <f>(($Z23*(12-$AR$19))-$AE23)/($Z23*(12-$AR$19)+0.00001)</f>
        <v>0</v>
      </c>
    </row>
    <row r="24" spans="1:63" ht="15.75">
      <c r="A24" s="367"/>
      <c r="B24" s="1103"/>
      <c r="C24" s="1106"/>
      <c r="D24" s="1107"/>
      <c r="E24" s="1091"/>
      <c r="F24" s="1092"/>
      <c r="G24" s="367"/>
      <c r="H24" s="543"/>
      <c r="I24" s="853"/>
      <c r="J24" s="6"/>
      <c r="K24" s="541"/>
      <c r="L24" s="860"/>
      <c r="M24" s="20" t="str">
        <f>IF(J24="","",$M$5-SUM($J$7:J24))</f>
        <v/>
      </c>
      <c r="N24" s="367"/>
      <c r="O24" s="7"/>
      <c r="P24" s="873">
        <f>IF(K!Q24&lt;&gt;K!R24,IF(K!Q24&lt;&gt;0,IF(K!S24&lt;&gt;K!T24,K!P24,),),)</f>
        <v>0</v>
      </c>
      <c r="Q24" s="795">
        <f>IF(K!Q24&lt;&gt;K!R24,IF(K!Q24&lt;&gt;0,IF(K!S24&lt;&gt;K!T24,K!Q24,),),)</f>
        <v>0</v>
      </c>
      <c r="R24" s="628">
        <f>IF(K!Q24&lt;&gt;K!R24,IF(K!Q24&lt;&gt;0,IF(K!S24&lt;&gt;K!T24,0,Q24),Q24),Q24)</f>
        <v>0</v>
      </c>
      <c r="S24" s="796">
        <f>IF(K!Q24&lt;&gt;K!R24,IF(K!Q24&lt;&gt;0,IF(K!S24&lt;&gt;K!T24,K!S24+1,),),)</f>
        <v>0</v>
      </c>
      <c r="T24" s="796">
        <f>IF(K!Q24&lt;&gt;K!R24,IF(K!Q24&lt;&gt;0,IF(K!S24&lt;&gt;K!T24,K!T24,),),)</f>
        <v>0</v>
      </c>
      <c r="U24" s="797">
        <f>IF(K!Q24&lt;&gt;K!R24,IF(K!Q24&lt;&gt;0,IF(K!S24&lt;&gt;K!T24,K!U24,),),)</f>
        <v>0</v>
      </c>
      <c r="V24" s="875">
        <f>IF(K!Q24&lt;&gt;K!R24,IF(K!Q24&lt;&gt;0,IF(K!S24&lt;&gt;K!T24,K!V24,),),)</f>
        <v>0</v>
      </c>
      <c r="W24" s="622">
        <f>IF(Q24="","",$W$5-SUM($Q$7:Q24))</f>
        <v>0</v>
      </c>
      <c r="X24" s="395"/>
      <c r="Y24" s="905" t="str">
        <f>IF(K!Y24&lt;&gt;"",K!Y24,)</f>
        <v>Water and Sewage</v>
      </c>
      <c r="Z24" s="457">
        <f>K!Z24</f>
        <v>0</v>
      </c>
      <c r="AA24" s="20">
        <f t="shared" si="0"/>
        <v>0</v>
      </c>
      <c r="AB24" s="723"/>
      <c r="AC24" s="723"/>
      <c r="AD24" s="36">
        <f t="shared" si="1"/>
        <v>0</v>
      </c>
      <c r="AE24" s="23">
        <f t="shared" ref="AE24:AE44" si="5">IF(AI24=0,AX24,0)</f>
        <v>0</v>
      </c>
      <c r="AF24" s="367"/>
      <c r="AG24" s="728">
        <f t="shared" si="2"/>
        <v>0</v>
      </c>
      <c r="AH24" s="367"/>
      <c r="AI24" s="567">
        <v>0</v>
      </c>
      <c r="AJ24" s="367"/>
      <c r="AK24" s="367"/>
      <c r="AL24" s="367"/>
      <c r="AM24" s="367"/>
      <c r="AN24" s="367"/>
      <c r="AO24" s="86"/>
      <c r="AP24" s="51">
        <f t="shared" si="3"/>
        <v>0</v>
      </c>
      <c r="AQ24" s="476">
        <f>K!AQ24+K!AP24</f>
        <v>0</v>
      </c>
      <c r="AR24" s="476">
        <f t="shared" si="4"/>
        <v>0</v>
      </c>
      <c r="AS24" s="477">
        <f>AD24+K!AS24</f>
        <v>0</v>
      </c>
      <c r="AT24" s="477">
        <f>AA24+K!AT24</f>
        <v>0</v>
      </c>
      <c r="AU24" s="476"/>
      <c r="AV24" s="477">
        <f>K!AV24-K!AD24+L!Z24-K!AP24</f>
        <v>0</v>
      </c>
      <c r="AW24" s="476">
        <f t="shared" ref="AW24:AW44" si="6">IF(AE24&lt;0,AE24,0)</f>
        <v>0</v>
      </c>
      <c r="AX24" s="52">
        <f>IF(Z24=K!Z24,K!AE24-AD24,K!AE24+(Z24-K!Z24)*$AW$16-AD24)</f>
        <v>0</v>
      </c>
      <c r="AZ24" s="726">
        <f t="shared" ref="AZ24:AZ44" si="7">(($Z24*(12-$AR$19))-$AE24)/($Z24*(12-$AR$19)+0.00001)</f>
        <v>0</v>
      </c>
    </row>
    <row r="25" spans="1:63" ht="16.5" thickBot="1">
      <c r="A25" s="367"/>
      <c r="B25" s="1178" t="s">
        <v>388</v>
      </c>
      <c r="C25" s="1118" t="s">
        <v>354</v>
      </c>
      <c r="D25" s="1180" t="s">
        <v>494</v>
      </c>
      <c r="E25" s="1109" t="s">
        <v>380</v>
      </c>
      <c r="F25" s="1108" t="s">
        <v>335</v>
      </c>
      <c r="G25" s="367"/>
      <c r="H25" s="543"/>
      <c r="I25" s="853"/>
      <c r="J25" s="6"/>
      <c r="K25" s="541"/>
      <c r="L25" s="860"/>
      <c r="M25" s="20" t="str">
        <f>IF(J25="","",$M$5-SUM($J$7:J25))</f>
        <v/>
      </c>
      <c r="N25" s="367"/>
      <c r="O25" s="7"/>
      <c r="P25" s="873">
        <f>IF(K!Q25&lt;&gt;K!R25,IF(K!Q25&lt;&gt;0,IF(K!S25&lt;&gt;K!T25,K!P25,),),)</f>
        <v>0</v>
      </c>
      <c r="Q25" s="795">
        <f>IF(K!Q25&lt;&gt;K!R25,IF(K!Q25&lt;&gt;0,IF(K!S25&lt;&gt;K!T25,K!Q25,),),)</f>
        <v>0</v>
      </c>
      <c r="R25" s="628">
        <f>IF(K!Q25&lt;&gt;K!R25,IF(K!Q25&lt;&gt;0,IF(K!S25&lt;&gt;K!T25,0,Q25),Q25),Q25)</f>
        <v>0</v>
      </c>
      <c r="S25" s="796">
        <f>IF(K!Q25&lt;&gt;K!R25,IF(K!Q25&lt;&gt;0,IF(K!S25&lt;&gt;K!T25,K!S25+1,),),)</f>
        <v>0</v>
      </c>
      <c r="T25" s="796">
        <f>IF(K!Q25&lt;&gt;K!R25,IF(K!Q25&lt;&gt;0,IF(K!S25&lt;&gt;K!T25,K!T25,),),)</f>
        <v>0</v>
      </c>
      <c r="U25" s="797">
        <f>IF(K!Q25&lt;&gt;K!R25,IF(K!Q25&lt;&gt;0,IF(K!S25&lt;&gt;K!T25,K!U25,),),)</f>
        <v>0</v>
      </c>
      <c r="V25" s="875">
        <f>IF(K!Q25&lt;&gt;K!R25,IF(K!Q25&lt;&gt;0,IF(K!S25&lt;&gt;K!T25,K!V25,),),)</f>
        <v>0</v>
      </c>
      <c r="W25" s="622">
        <f>IF(Q25="","",$W$5-SUM($Q$7:Q25))</f>
        <v>0</v>
      </c>
      <c r="X25" s="395"/>
      <c r="Y25" s="905" t="str">
        <f>IF(K!Y25&lt;&gt;"",K!Y25,)</f>
        <v>Electricity</v>
      </c>
      <c r="Z25" s="457">
        <f>K!Z25</f>
        <v>0</v>
      </c>
      <c r="AA25" s="20">
        <f t="shared" si="0"/>
        <v>0</v>
      </c>
      <c r="AB25" s="723"/>
      <c r="AC25" s="723"/>
      <c r="AD25" s="36">
        <f t="shared" si="1"/>
        <v>0</v>
      </c>
      <c r="AE25" s="23">
        <f t="shared" si="5"/>
        <v>0</v>
      </c>
      <c r="AF25" s="367"/>
      <c r="AG25" s="728">
        <f t="shared" si="2"/>
        <v>0</v>
      </c>
      <c r="AH25" s="367"/>
      <c r="AI25" s="567">
        <v>0</v>
      </c>
      <c r="AJ25" s="367"/>
      <c r="AK25" s="367"/>
      <c r="AL25" s="367"/>
      <c r="AM25" s="367"/>
      <c r="AN25" s="367"/>
      <c r="AO25" s="86"/>
      <c r="AP25" s="51">
        <f t="shared" si="3"/>
        <v>0</v>
      </c>
      <c r="AQ25" s="476">
        <f>K!AQ25+K!AP25</f>
        <v>0</v>
      </c>
      <c r="AR25" s="476">
        <f t="shared" si="4"/>
        <v>0</v>
      </c>
      <c r="AS25" s="477">
        <f>AD25+K!AS25</f>
        <v>0</v>
      </c>
      <c r="AT25" s="477">
        <f>AA25+K!AT25</f>
        <v>0</v>
      </c>
      <c r="AU25" s="476"/>
      <c r="AV25" s="477">
        <f>K!AV25-K!AD25+L!Z25-K!AP25</f>
        <v>0</v>
      </c>
      <c r="AW25" s="476">
        <f t="shared" si="6"/>
        <v>0</v>
      </c>
      <c r="AX25" s="52">
        <f>IF(Z25=K!Z25,K!AE25-AD25,K!AE25+(Z25-K!Z25)*$AW$16-AD25)</f>
        <v>0</v>
      </c>
      <c r="AZ25" s="726">
        <f t="shared" si="7"/>
        <v>0</v>
      </c>
    </row>
    <row r="26" spans="1:63" ht="15.75">
      <c r="A26" s="367"/>
      <c r="B26" s="1179"/>
      <c r="C26" s="1119"/>
      <c r="D26" s="1181"/>
      <c r="E26" s="1109"/>
      <c r="F26" s="1108"/>
      <c r="G26" s="367"/>
      <c r="H26" s="543"/>
      <c r="I26" s="853"/>
      <c r="J26" s="6"/>
      <c r="K26" s="541"/>
      <c r="L26" s="860"/>
      <c r="M26" s="20" t="str">
        <f>IF(J26="","",$M$5-SUM($J$7:J26))</f>
        <v/>
      </c>
      <c r="N26" s="367"/>
      <c r="O26" s="7"/>
      <c r="P26" s="873">
        <f>IF(K!Q26&lt;&gt;K!R26,IF(K!Q26&lt;&gt;0,IF(K!S26&lt;&gt;K!T26,K!P26,),),)</f>
        <v>0</v>
      </c>
      <c r="Q26" s="795">
        <f>IF(K!Q26&lt;&gt;K!R26,IF(K!Q26&lt;&gt;0,IF(K!S26&lt;&gt;K!T26,K!Q26,),),)</f>
        <v>0</v>
      </c>
      <c r="R26" s="628">
        <f>IF(K!Q26&lt;&gt;K!R26,IF(K!Q26&lt;&gt;0,IF(K!S26&lt;&gt;K!T26,0,Q26),Q26),Q26)</f>
        <v>0</v>
      </c>
      <c r="S26" s="796">
        <f>IF(K!Q26&lt;&gt;K!R26,IF(K!Q26&lt;&gt;0,IF(K!S26&lt;&gt;K!T26,K!S26+1,),),)</f>
        <v>0</v>
      </c>
      <c r="T26" s="796">
        <f>IF(K!Q26&lt;&gt;K!R26,IF(K!Q26&lt;&gt;0,IF(K!S26&lt;&gt;K!T26,K!T26,),),)</f>
        <v>0</v>
      </c>
      <c r="U26" s="797">
        <f>IF(K!Q26&lt;&gt;K!R26,IF(K!Q26&lt;&gt;0,IF(K!S26&lt;&gt;K!T26,K!U26,),),)</f>
        <v>0</v>
      </c>
      <c r="V26" s="875">
        <f>IF(K!Q26&lt;&gt;K!R26,IF(K!Q26&lt;&gt;0,IF(K!S26&lt;&gt;K!T26,K!V26,),),)</f>
        <v>0</v>
      </c>
      <c r="W26" s="622">
        <f>IF(Q26="","",$W$5-SUM($Q$7:Q26))</f>
        <v>0</v>
      </c>
      <c r="X26" s="395"/>
      <c r="Y26" s="905" t="str">
        <f>IF(K!Y26&lt;&gt;"",K!Y26,)</f>
        <v>Gas</v>
      </c>
      <c r="Z26" s="457">
        <f>K!Z26</f>
        <v>0</v>
      </c>
      <c r="AA26" s="20">
        <f t="shared" si="0"/>
        <v>0</v>
      </c>
      <c r="AB26" s="723"/>
      <c r="AC26" s="723"/>
      <c r="AD26" s="36">
        <f t="shared" si="1"/>
        <v>0</v>
      </c>
      <c r="AE26" s="23">
        <f t="shared" si="5"/>
        <v>0</v>
      </c>
      <c r="AF26" s="367"/>
      <c r="AG26" s="728">
        <f t="shared" si="2"/>
        <v>0</v>
      </c>
      <c r="AH26" s="367"/>
      <c r="AI26" s="567">
        <v>0</v>
      </c>
      <c r="AJ26" s="367"/>
      <c r="AK26" s="525" t="s">
        <v>404</v>
      </c>
      <c r="AL26" s="526"/>
      <c r="AM26" s="367"/>
      <c r="AN26" s="367"/>
      <c r="AO26" s="86"/>
      <c r="AP26" s="51">
        <f t="shared" si="3"/>
        <v>0</v>
      </c>
      <c r="AQ26" s="476">
        <f>K!AQ26+K!AP26</f>
        <v>0</v>
      </c>
      <c r="AR26" s="476">
        <f t="shared" si="4"/>
        <v>0</v>
      </c>
      <c r="AS26" s="477">
        <f>AD26+K!AS26</f>
        <v>0</v>
      </c>
      <c r="AT26" s="477">
        <f>AA26+K!AT26</f>
        <v>0</v>
      </c>
      <c r="AU26" s="476"/>
      <c r="AV26" s="477">
        <f>K!AV26-K!AD26+L!Z26-K!AP26</f>
        <v>0</v>
      </c>
      <c r="AW26" s="476">
        <f t="shared" si="6"/>
        <v>0</v>
      </c>
      <c r="AX26" s="52">
        <f>IF(Z26=K!Z26,K!AE26-AD26,K!AE26+(Z26-K!Z26)*$AW$16-AD26)</f>
        <v>0</v>
      </c>
      <c r="AZ26" s="726">
        <f t="shared" si="7"/>
        <v>0</v>
      </c>
    </row>
    <row r="27" spans="1:63" ht="15.75">
      <c r="A27" s="367"/>
      <c r="B27" s="850">
        <f>IF(K!B27&lt;&gt;"",K!B27,)</f>
        <v>0</v>
      </c>
      <c r="C27" s="454">
        <f>K!C27</f>
        <v>0</v>
      </c>
      <c r="D27" s="74"/>
      <c r="E27" s="521"/>
      <c r="F27" s="858"/>
      <c r="G27" s="367"/>
      <c r="H27" s="543"/>
      <c r="I27" s="853"/>
      <c r="J27" s="6"/>
      <c r="K27" s="541"/>
      <c r="L27" s="860"/>
      <c r="M27" s="20" t="str">
        <f>IF(J27="","",$M$5-SUM($J$7:J27))</f>
        <v/>
      </c>
      <c r="N27" s="367"/>
      <c r="O27" s="7"/>
      <c r="P27" s="873">
        <f>IF(K!Q27&lt;&gt;K!R27,IF(K!Q27&lt;&gt;0,IF(K!S27&lt;&gt;K!T27,K!P27,),),)</f>
        <v>0</v>
      </c>
      <c r="Q27" s="795">
        <f>IF(K!Q27&lt;&gt;K!R27,IF(K!Q27&lt;&gt;0,IF(K!S27&lt;&gt;K!T27,K!Q27,),),)</f>
        <v>0</v>
      </c>
      <c r="R27" s="628">
        <f>IF(K!Q27&lt;&gt;K!R27,IF(K!Q27&lt;&gt;0,IF(K!S27&lt;&gt;K!T27,0,Q27),Q27),Q27)</f>
        <v>0</v>
      </c>
      <c r="S27" s="796">
        <f>IF(K!Q27&lt;&gt;K!R27,IF(K!Q27&lt;&gt;0,IF(K!S27&lt;&gt;K!T27,K!S27+1,),),)</f>
        <v>0</v>
      </c>
      <c r="T27" s="796">
        <f>IF(K!Q27&lt;&gt;K!R27,IF(K!Q27&lt;&gt;0,IF(K!S27&lt;&gt;K!T27,K!T27,),),)</f>
        <v>0</v>
      </c>
      <c r="U27" s="797">
        <f>IF(K!Q27&lt;&gt;K!R27,IF(K!Q27&lt;&gt;0,IF(K!S27&lt;&gt;K!T27,K!U27,),),)</f>
        <v>0</v>
      </c>
      <c r="V27" s="875">
        <f>IF(K!Q27&lt;&gt;K!R27,IF(K!Q27&lt;&gt;0,IF(K!S27&lt;&gt;K!T27,K!V27,),),)</f>
        <v>0</v>
      </c>
      <c r="W27" s="622">
        <f>IF(Q27="","",$W$5-SUM($Q$7:Q27))</f>
        <v>0</v>
      </c>
      <c r="X27" s="395"/>
      <c r="Y27" s="905" t="str">
        <f>IF(K!Y27&lt;&gt;"",K!Y27,)</f>
        <v>Heating</v>
      </c>
      <c r="Z27" s="457">
        <f>K!Z27</f>
        <v>0</v>
      </c>
      <c r="AA27" s="20">
        <f t="shared" si="0"/>
        <v>0</v>
      </c>
      <c r="AB27" s="723"/>
      <c r="AC27" s="723"/>
      <c r="AD27" s="36">
        <f t="shared" si="1"/>
        <v>0</v>
      </c>
      <c r="AE27" s="23">
        <f t="shared" si="5"/>
        <v>0</v>
      </c>
      <c r="AF27" s="367"/>
      <c r="AG27" s="728">
        <f t="shared" si="2"/>
        <v>0</v>
      </c>
      <c r="AH27" s="367"/>
      <c r="AI27" s="567">
        <v>0</v>
      </c>
      <c r="AJ27" s="367"/>
      <c r="AK27" s="527"/>
      <c r="AL27" s="394"/>
      <c r="AM27" s="367"/>
      <c r="AN27" s="367"/>
      <c r="AO27" s="86"/>
      <c r="AP27" s="51">
        <f t="shared" si="3"/>
        <v>0</v>
      </c>
      <c r="AQ27" s="476">
        <f>K!AQ27+K!AP27</f>
        <v>0</v>
      </c>
      <c r="AR27" s="476">
        <f t="shared" si="4"/>
        <v>0</v>
      </c>
      <c r="AS27" s="477">
        <f>AD27+K!AS27</f>
        <v>0</v>
      </c>
      <c r="AT27" s="477">
        <f>AA27+K!AT27</f>
        <v>0</v>
      </c>
      <c r="AU27" s="476"/>
      <c r="AV27" s="477">
        <f>K!AV27-K!AD27+L!Z27-K!AP27</f>
        <v>0</v>
      </c>
      <c r="AW27" s="476">
        <f t="shared" si="6"/>
        <v>0</v>
      </c>
      <c r="AX27" s="52">
        <f>IF(Z27=K!Z27,K!AE27-AD27,K!AE27+(Z27-K!Z27)*$AW$16-AD27)</f>
        <v>0</v>
      </c>
      <c r="AZ27" s="726">
        <f t="shared" si="7"/>
        <v>0</v>
      </c>
    </row>
    <row r="28" spans="1:63" ht="15" customHeight="1">
      <c r="A28" s="367"/>
      <c r="B28" s="850">
        <f ca="1">IF(K!B28&lt;&gt;"",K!B28,)</f>
        <v>0</v>
      </c>
      <c r="C28" s="454">
        <f ca="1">K!C28</f>
        <v>0</v>
      </c>
      <c r="D28" s="74"/>
      <c r="E28" s="521"/>
      <c r="F28" s="858"/>
      <c r="G28" s="367"/>
      <c r="H28" s="543"/>
      <c r="I28" s="853"/>
      <c r="J28" s="6"/>
      <c r="K28" s="541"/>
      <c r="L28" s="860"/>
      <c r="M28" s="20" t="str">
        <f>IF(J28="","",$M$5-SUM($J$7:J28))</f>
        <v/>
      </c>
      <c r="N28" s="367"/>
      <c r="O28" s="7"/>
      <c r="P28" s="873">
        <f>IF(K!Q28&lt;&gt;K!R28,IF(K!Q28&lt;&gt;0,IF(K!S28&lt;&gt;K!T28,K!P28,),),)</f>
        <v>0</v>
      </c>
      <c r="Q28" s="795">
        <f>IF(K!Q28&lt;&gt;K!R28,IF(K!Q28&lt;&gt;0,IF(K!S28&lt;&gt;K!T28,K!Q28,),),)</f>
        <v>0</v>
      </c>
      <c r="R28" s="628">
        <f>IF(K!Q28&lt;&gt;K!R28,IF(K!Q28&lt;&gt;0,IF(K!S28&lt;&gt;K!T28,0,Q28),Q28),Q28)</f>
        <v>0</v>
      </c>
      <c r="S28" s="796">
        <f>IF(K!Q28&lt;&gt;K!R28,IF(K!Q28&lt;&gt;0,IF(K!S28&lt;&gt;K!T28,K!S28+1,),),)</f>
        <v>0</v>
      </c>
      <c r="T28" s="796">
        <f>IF(K!Q28&lt;&gt;K!R28,IF(K!Q28&lt;&gt;0,IF(K!S28&lt;&gt;K!T28,K!T28,),),)</f>
        <v>0</v>
      </c>
      <c r="U28" s="797">
        <f>IF(K!Q28&lt;&gt;K!R28,IF(K!Q28&lt;&gt;0,IF(K!S28&lt;&gt;K!T28,K!U28,),),)</f>
        <v>0</v>
      </c>
      <c r="V28" s="875">
        <f>IF(K!Q28&lt;&gt;K!R28,IF(K!Q28&lt;&gt;0,IF(K!S28&lt;&gt;K!T28,K!V28,),),)</f>
        <v>0</v>
      </c>
      <c r="W28" s="622">
        <f>IF(Q28="","",$W$5-SUM($Q$7:Q28))</f>
        <v>0</v>
      </c>
      <c r="X28" s="395"/>
      <c r="Y28" s="906" t="str">
        <f>IF(K!Y28&lt;&gt;"",K!Y28,)</f>
        <v>Education/Schoolbooks</v>
      </c>
      <c r="Z28" s="457">
        <f>K!Z28</f>
        <v>0</v>
      </c>
      <c r="AA28" s="20">
        <f t="shared" si="0"/>
        <v>0</v>
      </c>
      <c r="AB28" s="723"/>
      <c r="AC28" s="723"/>
      <c r="AD28" s="36">
        <f t="shared" si="1"/>
        <v>0</v>
      </c>
      <c r="AE28" s="23">
        <f>IF(AI28=0,AX28,0)</f>
        <v>0</v>
      </c>
      <c r="AF28" s="367"/>
      <c r="AG28" s="728">
        <f t="shared" si="2"/>
        <v>0</v>
      </c>
      <c r="AH28" s="367"/>
      <c r="AI28" s="567">
        <v>0</v>
      </c>
      <c r="AJ28" s="367"/>
      <c r="AK28" s="528" t="s">
        <v>405</v>
      </c>
      <c r="AL28" s="529" t="s">
        <v>407</v>
      </c>
      <c r="AM28" s="367"/>
      <c r="AN28" s="367"/>
      <c r="AO28" s="86"/>
      <c r="AP28" s="51">
        <f t="shared" si="3"/>
        <v>0</v>
      </c>
      <c r="AQ28" s="476">
        <f>K!AQ28+K!AP28</f>
        <v>0</v>
      </c>
      <c r="AR28" s="476">
        <f t="shared" si="4"/>
        <v>0</v>
      </c>
      <c r="AS28" s="477">
        <f>AD28+K!AS28</f>
        <v>0</v>
      </c>
      <c r="AT28" s="477">
        <f>AA28+K!AT28</f>
        <v>0</v>
      </c>
      <c r="AU28" s="476"/>
      <c r="AV28" s="477">
        <f>K!AV28-K!AD28+L!Z28-K!AP28</f>
        <v>0</v>
      </c>
      <c r="AW28" s="476">
        <f t="shared" si="6"/>
        <v>0</v>
      </c>
      <c r="AX28" s="52">
        <f>IF(Z28=K!Z28,K!AE28-AD28,K!AE28+(Z28-K!Z28)*$AW$16-AD28)</f>
        <v>0</v>
      </c>
      <c r="AZ28" s="726">
        <f t="shared" si="7"/>
        <v>0</v>
      </c>
    </row>
    <row r="29" spans="1:63" ht="15" customHeight="1">
      <c r="A29" s="367"/>
      <c r="B29" s="850">
        <f ca="1">IF(K!B29&lt;&gt;"",K!B29,)</f>
        <v>0</v>
      </c>
      <c r="C29" s="454">
        <f ca="1">K!C29</f>
        <v>0</v>
      </c>
      <c r="D29" s="74"/>
      <c r="E29" s="521"/>
      <c r="F29" s="858"/>
      <c r="G29" s="367"/>
      <c r="H29" s="543"/>
      <c r="I29" s="854"/>
      <c r="J29" s="6"/>
      <c r="K29" s="541"/>
      <c r="L29" s="860"/>
      <c r="M29" s="20" t="str">
        <f>IF(J29="","",$M$5-SUM($J$7:J29))</f>
        <v/>
      </c>
      <c r="N29" s="367"/>
      <c r="O29" s="7"/>
      <c r="P29" s="873">
        <f>IF(K!Q29&lt;&gt;K!R29,IF(K!Q29&lt;&gt;0,IF(K!S29&lt;&gt;K!T29,K!P29,),),)</f>
        <v>0</v>
      </c>
      <c r="Q29" s="795">
        <f>IF(K!Q29&lt;&gt;K!R29,IF(K!Q29&lt;&gt;0,IF(K!S29&lt;&gt;K!T29,K!Q29,),),)</f>
        <v>0</v>
      </c>
      <c r="R29" s="628">
        <f>IF(K!Q29&lt;&gt;K!R29,IF(K!Q29&lt;&gt;0,IF(K!S29&lt;&gt;K!T29,0,Q29),Q29),Q29)</f>
        <v>0</v>
      </c>
      <c r="S29" s="796">
        <f>IF(K!Q29&lt;&gt;K!R29,IF(K!Q29&lt;&gt;0,IF(K!S29&lt;&gt;K!T29,K!S29+1,),),)</f>
        <v>0</v>
      </c>
      <c r="T29" s="796">
        <f>IF(K!Q29&lt;&gt;K!R29,IF(K!Q29&lt;&gt;0,IF(K!S29&lt;&gt;K!T29,K!T29,),),)</f>
        <v>0</v>
      </c>
      <c r="U29" s="797">
        <f>IF(K!Q29&lt;&gt;K!R29,IF(K!Q29&lt;&gt;0,IF(K!S29&lt;&gt;K!T29,K!U29,),),)</f>
        <v>0</v>
      </c>
      <c r="V29" s="875">
        <f>IF(K!Q29&lt;&gt;K!R29,IF(K!Q29&lt;&gt;0,IF(K!S29&lt;&gt;K!T29,K!V29,),),)</f>
        <v>0</v>
      </c>
      <c r="W29" s="622">
        <f>IF(Q29="","",$W$5-SUM($Q$7:Q29))</f>
        <v>0</v>
      </c>
      <c r="X29" s="395"/>
      <c r="Y29" s="906" t="str">
        <f>IF(K!Y29&lt;&gt;"",K!Y29,)</f>
        <v>Extracurricular Activities/Camps/Pool</v>
      </c>
      <c r="Z29" s="457">
        <f>K!Z29</f>
        <v>0</v>
      </c>
      <c r="AA29" s="20">
        <f t="shared" si="0"/>
        <v>0</v>
      </c>
      <c r="AB29" s="723"/>
      <c r="AC29" s="723"/>
      <c r="AD29" s="36">
        <f t="shared" si="1"/>
        <v>0</v>
      </c>
      <c r="AE29" s="23">
        <f t="shared" si="5"/>
        <v>0</v>
      </c>
      <c r="AF29" s="367"/>
      <c r="AG29" s="728">
        <f t="shared" si="2"/>
        <v>0</v>
      </c>
      <c r="AH29" s="367"/>
      <c r="AI29" s="567">
        <v>0</v>
      </c>
      <c r="AJ29" s="367"/>
      <c r="AK29" s="530" t="s">
        <v>32</v>
      </c>
      <c r="AL29" s="531" t="s">
        <v>33</v>
      </c>
      <c r="AM29" s="367"/>
      <c r="AN29" s="367"/>
      <c r="AO29" s="86"/>
      <c r="AP29" s="51">
        <f t="shared" si="3"/>
        <v>0</v>
      </c>
      <c r="AQ29" s="476">
        <f>K!AQ29+K!AP29</f>
        <v>0</v>
      </c>
      <c r="AR29" s="476">
        <f t="shared" si="4"/>
        <v>0</v>
      </c>
      <c r="AS29" s="477">
        <f>AD29+K!AS29</f>
        <v>0</v>
      </c>
      <c r="AT29" s="477">
        <f>AA29+K!AT29</f>
        <v>0</v>
      </c>
      <c r="AU29" s="476"/>
      <c r="AV29" s="477">
        <f>K!AV29-K!AD29+L!Z29-K!AP29</f>
        <v>0</v>
      </c>
      <c r="AW29" s="476">
        <f t="shared" si="6"/>
        <v>0</v>
      </c>
      <c r="AX29" s="52">
        <f>IF(Z29=K!Z29,K!AE29-AD29,K!AE29+(Z29-K!Z29)*$AW$16-AD29)</f>
        <v>0</v>
      </c>
      <c r="AZ29" s="726">
        <f t="shared" si="7"/>
        <v>0</v>
      </c>
    </row>
    <row r="30" spans="1:63" ht="15" customHeight="1">
      <c r="A30" s="367"/>
      <c r="B30" s="850">
        <f ca="1">IF(K!B30&lt;&gt;"",K!B30,)</f>
        <v>0</v>
      </c>
      <c r="C30" s="454">
        <f ca="1">K!C30</f>
        <v>0</v>
      </c>
      <c r="D30" s="74"/>
      <c r="E30" s="521"/>
      <c r="F30" s="858"/>
      <c r="G30" s="367"/>
      <c r="H30" s="543"/>
      <c r="I30" s="853"/>
      <c r="J30" s="6"/>
      <c r="K30" s="541"/>
      <c r="L30" s="860"/>
      <c r="M30" s="20" t="str">
        <f>IF(J30="","",$M$5-SUM($J$7:J30))</f>
        <v/>
      </c>
      <c r="N30" s="367"/>
      <c r="O30" s="7"/>
      <c r="P30" s="873">
        <f>IF(K!Q30&lt;&gt;K!R30,IF(K!Q30&lt;&gt;0,IF(K!S30&lt;&gt;K!T30,K!P30,),),)</f>
        <v>0</v>
      </c>
      <c r="Q30" s="795">
        <f>IF(K!Q30&lt;&gt;K!R30,IF(K!Q30&lt;&gt;0,IF(K!S30&lt;&gt;K!T30,K!Q30,),),)</f>
        <v>0</v>
      </c>
      <c r="R30" s="628">
        <f>IF(K!Q30&lt;&gt;K!R30,IF(K!Q30&lt;&gt;0,IF(K!S30&lt;&gt;K!T30,0,Q30),Q30),Q30)</f>
        <v>0</v>
      </c>
      <c r="S30" s="796">
        <f>IF(K!Q30&lt;&gt;K!R30,IF(K!Q30&lt;&gt;0,IF(K!S30&lt;&gt;K!T30,K!S30+1,),),)</f>
        <v>0</v>
      </c>
      <c r="T30" s="796">
        <f>IF(K!Q30&lt;&gt;K!R30,IF(K!Q30&lt;&gt;0,IF(K!S30&lt;&gt;K!T30,K!T30,),),)</f>
        <v>0</v>
      </c>
      <c r="U30" s="797">
        <f>IF(K!Q30&lt;&gt;K!R30,IF(K!Q30&lt;&gt;0,IF(K!S30&lt;&gt;K!T30,K!U30,),),)</f>
        <v>0</v>
      </c>
      <c r="V30" s="875">
        <f>IF(K!Q30&lt;&gt;K!R30,IF(K!Q30&lt;&gt;0,IF(K!S30&lt;&gt;K!T30,K!V30,),),)</f>
        <v>0</v>
      </c>
      <c r="W30" s="622">
        <f>IF(Q30="","",$W$5-SUM($Q$7:Q30))</f>
        <v>0</v>
      </c>
      <c r="X30" s="395"/>
      <c r="Y30" s="906" t="str">
        <f>IF(K!Y30&lt;&gt;"",K!Y30,)</f>
        <v xml:space="preserve">  Car Insurance and Licensing</v>
      </c>
      <c r="Z30" s="457">
        <f>K!Z30</f>
        <v>0</v>
      </c>
      <c r="AA30" s="20">
        <f t="shared" si="0"/>
        <v>0</v>
      </c>
      <c r="AB30" s="723"/>
      <c r="AC30" s="723"/>
      <c r="AD30" s="36">
        <f t="shared" si="1"/>
        <v>0</v>
      </c>
      <c r="AE30" s="23">
        <f t="shared" si="5"/>
        <v>0</v>
      </c>
      <c r="AF30" s="367"/>
      <c r="AG30" s="728">
        <f t="shared" si="2"/>
        <v>0</v>
      </c>
      <c r="AH30" s="367"/>
      <c r="AI30" s="567">
        <v>0</v>
      </c>
      <c r="AJ30" s="367"/>
      <c r="AK30" s="530" t="s">
        <v>34</v>
      </c>
      <c r="AL30" s="532" t="s">
        <v>33</v>
      </c>
      <c r="AM30" s="367"/>
      <c r="AN30" s="367"/>
      <c r="AO30" s="86"/>
      <c r="AP30" s="51">
        <f t="shared" si="3"/>
        <v>0</v>
      </c>
      <c r="AQ30" s="476">
        <f>K!AQ30+K!AP30</f>
        <v>0</v>
      </c>
      <c r="AR30" s="476">
        <f t="shared" si="4"/>
        <v>0</v>
      </c>
      <c r="AS30" s="477">
        <f>AD30+K!AS30</f>
        <v>0</v>
      </c>
      <c r="AT30" s="477">
        <f>AA30+K!AT30</f>
        <v>0</v>
      </c>
      <c r="AU30" s="476"/>
      <c r="AV30" s="477">
        <f>K!AV30-K!AD30+L!Z30-K!AP30</f>
        <v>0</v>
      </c>
      <c r="AW30" s="476">
        <f t="shared" si="6"/>
        <v>0</v>
      </c>
      <c r="AX30" s="52">
        <f>IF(Z30=K!Z30,K!AE30-AD30,K!AE30+(Z30-K!Z30)*$AW$16-AD30)</f>
        <v>0</v>
      </c>
      <c r="AZ30" s="726">
        <f t="shared" si="7"/>
        <v>0</v>
      </c>
    </row>
    <row r="31" spans="1:63" ht="15" customHeight="1">
      <c r="A31" s="367"/>
      <c r="B31" s="850">
        <f ca="1">IF(K!B31&lt;&gt;"",K!B31,)</f>
        <v>0</v>
      </c>
      <c r="C31" s="454">
        <f ca="1">K!C31</f>
        <v>0</v>
      </c>
      <c r="D31" s="74"/>
      <c r="E31" s="521"/>
      <c r="F31" s="858"/>
      <c r="G31" s="367"/>
      <c r="H31" s="543"/>
      <c r="I31" s="853"/>
      <c r="J31" s="6"/>
      <c r="K31" s="541"/>
      <c r="L31" s="860"/>
      <c r="M31" s="20" t="str">
        <f>IF(J31="","",$M$5-SUM($J$7:J31))</f>
        <v/>
      </c>
      <c r="N31" s="367"/>
      <c r="O31" s="7"/>
      <c r="P31" s="871">
        <f>IF(K!Q31&lt;&gt;K!R31,IF(K!Q31&lt;&gt;0,IF(K!S31&lt;&gt;K!T31,K!P31,),),)</f>
        <v>0</v>
      </c>
      <c r="Q31" s="795">
        <f>IF(K!Q31&lt;&gt;K!R31,IF(K!Q31&lt;&gt;0,IF(K!S31&lt;&gt;K!T31,K!Q31,),),)</f>
        <v>0</v>
      </c>
      <c r="R31" s="628">
        <f>IF(K!Q31&lt;&gt;K!R31,IF(K!Q31&lt;&gt;0,IF(K!S31&lt;&gt;K!T31,0,Q31),Q31),Q31)</f>
        <v>0</v>
      </c>
      <c r="S31" s="796">
        <f>IF(K!Q31&lt;&gt;K!R31,IF(K!Q31&lt;&gt;0,IF(K!S31&lt;&gt;K!T31,K!S31+1,),),)</f>
        <v>0</v>
      </c>
      <c r="T31" s="796">
        <f>IF(K!Q31&lt;&gt;K!R31,IF(K!Q31&lt;&gt;0,IF(K!S31&lt;&gt;K!T31,K!T31,),),)</f>
        <v>0</v>
      </c>
      <c r="U31" s="797">
        <f>IF(K!Q31&lt;&gt;K!R31,IF(K!Q31&lt;&gt;0,IF(K!S31&lt;&gt;K!T31,K!U31,),),)</f>
        <v>0</v>
      </c>
      <c r="V31" s="875">
        <f>IF(K!Q31&lt;&gt;K!R31,IF(K!Q31&lt;&gt;0,IF(K!S31&lt;&gt;K!T31,K!V31,),),)</f>
        <v>0</v>
      </c>
      <c r="W31" s="622">
        <f>IF(Q31="","",$W$5-SUM($Q$7:Q31))</f>
        <v>0</v>
      </c>
      <c r="X31" s="395"/>
      <c r="Y31" s="906" t="str">
        <f>IF(K!Y31&lt;&gt;"",K!Y31,)</f>
        <v>Car Maintenance</v>
      </c>
      <c r="Z31" s="457">
        <f>K!Z31</f>
        <v>0</v>
      </c>
      <c r="AA31" s="20">
        <f t="shared" si="0"/>
        <v>0</v>
      </c>
      <c r="AB31" s="723"/>
      <c r="AC31" s="723"/>
      <c r="AD31" s="36">
        <f t="shared" si="1"/>
        <v>0</v>
      </c>
      <c r="AE31" s="23">
        <f t="shared" si="5"/>
        <v>0</v>
      </c>
      <c r="AF31" s="367"/>
      <c r="AG31" s="728">
        <f t="shared" si="2"/>
        <v>0</v>
      </c>
      <c r="AH31" s="367"/>
      <c r="AI31" s="567">
        <v>0</v>
      </c>
      <c r="AJ31" s="367"/>
      <c r="AK31" s="530" t="s">
        <v>35</v>
      </c>
      <c r="AL31" s="533" t="s">
        <v>33</v>
      </c>
      <c r="AM31" s="367"/>
      <c r="AN31" s="367"/>
      <c r="AO31" s="86"/>
      <c r="AP31" s="51">
        <f t="shared" si="3"/>
        <v>0</v>
      </c>
      <c r="AQ31" s="476">
        <f>K!AQ31+K!AP31</f>
        <v>0</v>
      </c>
      <c r="AR31" s="476">
        <f t="shared" si="4"/>
        <v>0</v>
      </c>
      <c r="AS31" s="477">
        <f>AD31+K!AS31</f>
        <v>0</v>
      </c>
      <c r="AT31" s="477">
        <f>AA31+K!AT31</f>
        <v>0</v>
      </c>
      <c r="AU31" s="476"/>
      <c r="AV31" s="477">
        <f>K!AV31-K!AD31+L!Z31-K!AP31</f>
        <v>0</v>
      </c>
      <c r="AW31" s="476">
        <f t="shared" si="6"/>
        <v>0</v>
      </c>
      <c r="AX31" s="52">
        <f>IF(Z31=K!Z31,K!AE31-AD31,K!AE31+(Z31-K!Z31)*$AW$16-AD31)</f>
        <v>0</v>
      </c>
      <c r="AZ31" s="726">
        <f t="shared" si="7"/>
        <v>0</v>
      </c>
    </row>
    <row r="32" spans="1:63" ht="15" customHeight="1">
      <c r="A32" s="367"/>
      <c r="B32" s="850">
        <f ca="1">IF(K!B32&lt;&gt;"",K!B32,)</f>
        <v>0</v>
      </c>
      <c r="C32" s="454">
        <f ca="1">K!C32</f>
        <v>0</v>
      </c>
      <c r="D32" s="74"/>
      <c r="E32" s="521"/>
      <c r="F32" s="858"/>
      <c r="G32" s="367"/>
      <c r="H32" s="543"/>
      <c r="I32" s="853"/>
      <c r="J32" s="6"/>
      <c r="K32" s="541"/>
      <c r="L32" s="860"/>
      <c r="M32" s="20" t="str">
        <f>IF(J32="","",$M$5-SUM($J$7:J32))</f>
        <v/>
      </c>
      <c r="N32" s="367"/>
      <c r="O32" s="7"/>
      <c r="P32" s="873">
        <f>IF(K!Q32&lt;&gt;K!R32,IF(K!Q32&lt;&gt;0,IF(K!S32&lt;&gt;K!T32,K!P32,),),)</f>
        <v>0</v>
      </c>
      <c r="Q32" s="795">
        <f>IF(K!Q32&lt;&gt;K!R32,IF(K!Q32&lt;&gt;0,IF(K!S32&lt;&gt;K!T32,K!Q32,),),)</f>
        <v>0</v>
      </c>
      <c r="R32" s="628">
        <f>IF(K!Q32&lt;&gt;K!R32,IF(K!Q32&lt;&gt;0,IF(K!S32&lt;&gt;K!T32,0,Q32),Q32),Q32)</f>
        <v>0</v>
      </c>
      <c r="S32" s="796">
        <f>IF(K!Q32&lt;&gt;K!R32,IF(K!Q32&lt;&gt;0,IF(K!S32&lt;&gt;K!T32,K!S32+1,),),)</f>
        <v>0</v>
      </c>
      <c r="T32" s="796">
        <f>IF(K!Q32&lt;&gt;K!R32,IF(K!Q32&lt;&gt;0,IF(K!S32&lt;&gt;K!T32,K!T32,),),)</f>
        <v>0</v>
      </c>
      <c r="U32" s="797">
        <f>IF(K!Q32&lt;&gt;K!R32,IF(K!Q32&lt;&gt;0,IF(K!S32&lt;&gt;K!T32,K!U32,),),)</f>
        <v>0</v>
      </c>
      <c r="V32" s="875">
        <f>IF(K!Q32&lt;&gt;K!R32,IF(K!Q32&lt;&gt;0,IF(K!S32&lt;&gt;K!T32,K!V32,),),)</f>
        <v>0</v>
      </c>
      <c r="W32" s="622">
        <f>IF(Q32="","",$W$5-SUM($Q$7:Q32))</f>
        <v>0</v>
      </c>
      <c r="X32" s="389"/>
      <c r="Y32" s="906" t="str">
        <f>IF(K!Y32&lt;&gt;"",K!Y32,)</f>
        <v>Clothing and Shoes</v>
      </c>
      <c r="Z32" s="457">
        <f>K!Z32</f>
        <v>0</v>
      </c>
      <c r="AA32" s="20">
        <f t="shared" si="0"/>
        <v>0</v>
      </c>
      <c r="AB32" s="723"/>
      <c r="AC32" s="723"/>
      <c r="AD32" s="36">
        <f t="shared" si="1"/>
        <v>0</v>
      </c>
      <c r="AE32" s="23">
        <f t="shared" si="5"/>
        <v>0</v>
      </c>
      <c r="AF32" s="367"/>
      <c r="AG32" s="728">
        <f t="shared" si="2"/>
        <v>0</v>
      </c>
      <c r="AH32" s="367"/>
      <c r="AI32" s="567">
        <v>0</v>
      </c>
      <c r="AJ32" s="367"/>
      <c r="AK32" s="530" t="s">
        <v>36</v>
      </c>
      <c r="AL32" s="534" t="s">
        <v>33</v>
      </c>
      <c r="AM32" s="367"/>
      <c r="AN32" s="367"/>
      <c r="AO32" s="86"/>
      <c r="AP32" s="51">
        <f t="shared" si="3"/>
        <v>0</v>
      </c>
      <c r="AQ32" s="476">
        <f>K!AQ32+K!AP32</f>
        <v>0</v>
      </c>
      <c r="AR32" s="476">
        <f t="shared" si="4"/>
        <v>0</v>
      </c>
      <c r="AS32" s="477">
        <f>AD32+K!AS32</f>
        <v>0</v>
      </c>
      <c r="AT32" s="477">
        <f>AA32+K!AT32</f>
        <v>0</v>
      </c>
      <c r="AU32" s="476"/>
      <c r="AV32" s="477">
        <f>K!AV32-K!AD32+L!Z32-K!AP32</f>
        <v>0</v>
      </c>
      <c r="AW32" s="476">
        <f t="shared" si="6"/>
        <v>0</v>
      </c>
      <c r="AX32" s="52">
        <f>IF(Z32=K!Z32,K!AE32-AD32,K!AE32+(Z32-K!Z32)*$AW$16-AD32)</f>
        <v>0</v>
      </c>
      <c r="AZ32" s="726">
        <f t="shared" si="7"/>
        <v>0</v>
      </c>
    </row>
    <row r="33" spans="1:52" ht="15" customHeight="1">
      <c r="A33" s="367"/>
      <c r="B33" s="850">
        <f ca="1">IF(K!B33&lt;&gt;"",K!B33,)</f>
        <v>0</v>
      </c>
      <c r="C33" s="454">
        <f ca="1">K!C33</f>
        <v>0</v>
      </c>
      <c r="D33" s="74"/>
      <c r="E33" s="521"/>
      <c r="F33" s="858"/>
      <c r="G33" s="367"/>
      <c r="H33" s="543"/>
      <c r="I33" s="853"/>
      <c r="J33" s="6"/>
      <c r="K33" s="541"/>
      <c r="L33" s="860"/>
      <c r="M33" s="20" t="str">
        <f>IF(J33="","",$M$5-SUM($J$7:J33))</f>
        <v/>
      </c>
      <c r="N33" s="367"/>
      <c r="O33" s="7"/>
      <c r="P33" s="871">
        <f>IF(K!Q33&lt;&gt;K!R33,IF(K!Q33&lt;&gt;0,IF(K!S33&lt;&gt;K!T33,K!P33,),),)</f>
        <v>0</v>
      </c>
      <c r="Q33" s="795">
        <f>IF(K!Q33&lt;&gt;K!R33,IF(K!Q33&lt;&gt;0,IF(K!S33&lt;&gt;K!T33,K!Q33,),),)</f>
        <v>0</v>
      </c>
      <c r="R33" s="628">
        <f>IF(K!Q33&lt;&gt;K!R33,IF(K!Q33&lt;&gt;0,IF(K!S33&lt;&gt;K!T33,0,Q33),Q33),Q33)</f>
        <v>0</v>
      </c>
      <c r="S33" s="796">
        <f>IF(K!Q33&lt;&gt;K!R33,IF(K!Q33&lt;&gt;0,IF(K!S33&lt;&gt;K!T33,K!S33+1,),),)</f>
        <v>0</v>
      </c>
      <c r="T33" s="796">
        <f>IF(K!Q33&lt;&gt;K!R33,IF(K!Q33&lt;&gt;0,IF(K!S33&lt;&gt;K!T33,K!T33,),),)</f>
        <v>0</v>
      </c>
      <c r="U33" s="797">
        <f>IF(K!Q33&lt;&gt;K!R33,IF(K!Q33&lt;&gt;0,IF(K!S33&lt;&gt;K!T33,K!U33,),),)</f>
        <v>0</v>
      </c>
      <c r="V33" s="875">
        <f>IF(K!Q33&lt;&gt;K!R33,IF(K!Q33&lt;&gt;0,IF(K!S33&lt;&gt;K!T33,K!V33,),),)</f>
        <v>0</v>
      </c>
      <c r="W33" s="622">
        <f>IF(Q33="","",$W$5-SUM($Q$7:Q33))</f>
        <v>0</v>
      </c>
      <c r="X33" s="10"/>
      <c r="Y33" s="906" t="str">
        <f>IF(K!Y33&lt;&gt;"",K!Y33,)</f>
        <v>Medicine/Treatment</v>
      </c>
      <c r="Z33" s="457">
        <f>K!Z33</f>
        <v>0</v>
      </c>
      <c r="AA33" s="20">
        <f t="shared" si="0"/>
        <v>0</v>
      </c>
      <c r="AB33" s="723"/>
      <c r="AC33" s="723"/>
      <c r="AD33" s="36">
        <f t="shared" si="1"/>
        <v>0</v>
      </c>
      <c r="AE33" s="23">
        <f t="shared" si="5"/>
        <v>0</v>
      </c>
      <c r="AF33" s="367"/>
      <c r="AG33" s="728">
        <f t="shared" si="2"/>
        <v>0</v>
      </c>
      <c r="AH33" s="367"/>
      <c r="AI33" s="567">
        <v>0</v>
      </c>
      <c r="AJ33" s="367"/>
      <c r="AK33" s="530" t="s">
        <v>37</v>
      </c>
      <c r="AL33" s="535" t="s">
        <v>33</v>
      </c>
      <c r="AM33" s="367"/>
      <c r="AN33" s="367"/>
      <c r="AO33" s="86"/>
      <c r="AP33" s="51">
        <f t="shared" si="3"/>
        <v>0</v>
      </c>
      <c r="AQ33" s="476">
        <f>K!AQ33+K!AP33</f>
        <v>0</v>
      </c>
      <c r="AR33" s="476">
        <f t="shared" si="4"/>
        <v>0</v>
      </c>
      <c r="AS33" s="477">
        <f>AD33+K!AS33</f>
        <v>0</v>
      </c>
      <c r="AT33" s="477">
        <f>AA33+K!AT33</f>
        <v>0</v>
      </c>
      <c r="AU33" s="476"/>
      <c r="AV33" s="477">
        <f>K!AV33-K!AD33+L!Z33-K!AP33</f>
        <v>0</v>
      </c>
      <c r="AW33" s="476">
        <f t="shared" si="6"/>
        <v>0</v>
      </c>
      <c r="AX33" s="52">
        <f>IF(Z33=K!Z33,K!AE33-AD33,K!AE33+(Z33-K!Z33)*$AW$16-AD33)</f>
        <v>0</v>
      </c>
      <c r="AZ33" s="726">
        <f t="shared" si="7"/>
        <v>0</v>
      </c>
    </row>
    <row r="34" spans="1:52" ht="15" customHeight="1">
      <c r="A34" s="367"/>
      <c r="B34" s="850">
        <f ca="1">IF(K!B34&lt;&gt;"",K!B34,)</f>
        <v>0</v>
      </c>
      <c r="C34" s="454">
        <f ca="1">K!C34</f>
        <v>0</v>
      </c>
      <c r="D34" s="74"/>
      <c r="E34" s="521"/>
      <c r="F34" s="858"/>
      <c r="G34" s="367"/>
      <c r="H34" s="543"/>
      <c r="I34" s="853"/>
      <c r="J34" s="6"/>
      <c r="K34" s="541"/>
      <c r="L34" s="860"/>
      <c r="M34" s="20" t="str">
        <f>IF(J34="","",$M$5-SUM($J$7:J34))</f>
        <v/>
      </c>
      <c r="N34" s="367"/>
      <c r="O34" s="7"/>
      <c r="P34" s="873">
        <f>IF(K!Q34&lt;&gt;K!R34,IF(K!Q34&lt;&gt;0,IF(K!S34&lt;&gt;K!T34,K!P34,),),)</f>
        <v>0</v>
      </c>
      <c r="Q34" s="795">
        <f>IF(K!Q34&lt;&gt;K!R34,IF(K!Q34&lt;&gt;0,IF(K!S34&lt;&gt;K!T34,K!Q34,),),)</f>
        <v>0</v>
      </c>
      <c r="R34" s="628">
        <f>IF(K!Q34&lt;&gt;K!R34,IF(K!Q34&lt;&gt;0,IF(K!S34&lt;&gt;K!T34,0,Q34),Q34),Q34)</f>
        <v>0</v>
      </c>
      <c r="S34" s="796">
        <f>IF(K!Q34&lt;&gt;K!R34,IF(K!Q34&lt;&gt;0,IF(K!S34&lt;&gt;K!T34,K!S34+1,),),)</f>
        <v>0</v>
      </c>
      <c r="T34" s="796">
        <f>IF(K!Q34&lt;&gt;K!R34,IF(K!Q34&lt;&gt;0,IF(K!S34&lt;&gt;K!T34,K!T34,),),)</f>
        <v>0</v>
      </c>
      <c r="U34" s="797">
        <f>IF(K!Q34&lt;&gt;K!R34,IF(K!Q34&lt;&gt;0,IF(K!S34&lt;&gt;K!T34,K!U34,),),)</f>
        <v>0</v>
      </c>
      <c r="V34" s="875">
        <f>IF(K!Q34&lt;&gt;K!R34,IF(K!Q34&lt;&gt;0,IF(K!S34&lt;&gt;K!T34,K!V34,),),)</f>
        <v>0</v>
      </c>
      <c r="W34" s="622">
        <f>IF(Q34="","",$W$5-SUM($Q$7:Q34))</f>
        <v>0</v>
      </c>
      <c r="X34" s="10"/>
      <c r="Y34" s="905" t="str">
        <f>IF(K!Y34&lt;&gt;"",K!Y34,)</f>
        <v>Bank Interest and Fees</v>
      </c>
      <c r="Z34" s="457">
        <f>K!Z34</f>
        <v>0</v>
      </c>
      <c r="AA34" s="20">
        <f t="shared" si="0"/>
        <v>0</v>
      </c>
      <c r="AB34" s="723"/>
      <c r="AC34" s="723"/>
      <c r="AD34" s="36">
        <f t="shared" si="1"/>
        <v>0</v>
      </c>
      <c r="AE34" s="23">
        <f t="shared" si="5"/>
        <v>0</v>
      </c>
      <c r="AF34" s="367"/>
      <c r="AG34" s="728">
        <f t="shared" si="2"/>
        <v>0</v>
      </c>
      <c r="AH34" s="367"/>
      <c r="AI34" s="567">
        <v>0</v>
      </c>
      <c r="AJ34" s="367"/>
      <c r="AK34" s="530" t="s">
        <v>38</v>
      </c>
      <c r="AL34" s="536" t="s">
        <v>33</v>
      </c>
      <c r="AM34" s="367"/>
      <c r="AN34" s="367"/>
      <c r="AO34" s="86"/>
      <c r="AP34" s="51">
        <f t="shared" si="3"/>
        <v>0</v>
      </c>
      <c r="AQ34" s="476">
        <f>K!AQ34+K!AP34</f>
        <v>0</v>
      </c>
      <c r="AR34" s="476">
        <f t="shared" si="4"/>
        <v>0</v>
      </c>
      <c r="AS34" s="477">
        <f>AD34+K!AS34</f>
        <v>0</v>
      </c>
      <c r="AT34" s="477">
        <f>AA34+K!AT34</f>
        <v>0</v>
      </c>
      <c r="AU34" s="476"/>
      <c r="AV34" s="477">
        <f>K!AV34-K!AD34+L!Z34-K!AP34</f>
        <v>0</v>
      </c>
      <c r="AW34" s="476">
        <f t="shared" si="6"/>
        <v>0</v>
      </c>
      <c r="AX34" s="52">
        <f>IF(Z34=K!Z34,K!AE34-AD34,K!AE34+(Z34-K!Z34)*$AW$16-AD34)</f>
        <v>0</v>
      </c>
      <c r="AZ34" s="726">
        <f t="shared" si="7"/>
        <v>0</v>
      </c>
    </row>
    <row r="35" spans="1:52" ht="15" customHeight="1">
      <c r="A35" s="367"/>
      <c r="B35" s="850">
        <f ca="1">IF(K!B35&lt;&gt;"",K!B35,)</f>
        <v>0</v>
      </c>
      <c r="C35" s="454">
        <f ca="1">K!C35</f>
        <v>0</v>
      </c>
      <c r="D35" s="74"/>
      <c r="E35" s="521"/>
      <c r="F35" s="858"/>
      <c r="G35" s="367"/>
      <c r="H35" s="543"/>
      <c r="I35" s="853"/>
      <c r="J35" s="6"/>
      <c r="K35" s="541"/>
      <c r="L35" s="860"/>
      <c r="M35" s="20" t="str">
        <f>IF(J35="","",$M$5-SUM($J$7:J35))</f>
        <v/>
      </c>
      <c r="N35" s="367"/>
      <c r="O35" s="7"/>
      <c r="P35" s="871">
        <f>IF(K!Q35&lt;&gt;K!R35,IF(K!Q35&lt;&gt;0,IF(K!S35&lt;&gt;K!T35,K!P35,),),)</f>
        <v>0</v>
      </c>
      <c r="Q35" s="799">
        <f>IF(K!Q35&lt;&gt;K!R35,IF(K!Q35&lt;&gt;0,IF(K!S35&lt;&gt;K!T35,K!Q35,),),)</f>
        <v>0</v>
      </c>
      <c r="R35" s="628">
        <f>IF(K!Q35&lt;&gt;K!R35,IF(K!Q35&lt;&gt;0,IF(K!S35&lt;&gt;K!T35,0,Q35),Q35),Q35)</f>
        <v>0</v>
      </c>
      <c r="S35" s="796">
        <f>IF(K!Q35&lt;&gt;K!R35,IF(K!Q35&lt;&gt;0,IF(K!S35&lt;&gt;K!T35,K!S35+1,),),)</f>
        <v>0</v>
      </c>
      <c r="T35" s="796">
        <f>IF(K!Q35&lt;&gt;K!R35,IF(K!Q35&lt;&gt;0,IF(K!S35&lt;&gt;K!T35,K!T35,),),)</f>
        <v>0</v>
      </c>
      <c r="U35" s="797">
        <f>IF(K!Q35&lt;&gt;K!R35,IF(K!Q35&lt;&gt;0,IF(K!S35&lt;&gt;K!T35,K!U35,),),)</f>
        <v>0</v>
      </c>
      <c r="V35" s="875">
        <f>IF(K!Q35&lt;&gt;K!R35,IF(K!Q35&lt;&gt;0,IF(K!S35&lt;&gt;K!T35,K!V35,),),)</f>
        <v>0</v>
      </c>
      <c r="W35" s="626">
        <f>IF(Q35="","",$W$5-SUM($Q$7:Q35))</f>
        <v>0</v>
      </c>
      <c r="X35" s="395"/>
      <c r="Y35" s="905" t="str">
        <f>IF(K!Y35&lt;&gt;"",K!Y35,)</f>
        <v>Dental treatments</v>
      </c>
      <c r="Z35" s="457">
        <f>K!Z35</f>
        <v>0</v>
      </c>
      <c r="AA35" s="20">
        <f t="shared" si="0"/>
        <v>0</v>
      </c>
      <c r="AB35" s="723"/>
      <c r="AC35" s="723"/>
      <c r="AD35" s="36">
        <f t="shared" si="1"/>
        <v>0</v>
      </c>
      <c r="AE35" s="23">
        <f t="shared" si="5"/>
        <v>0</v>
      </c>
      <c r="AF35" s="367"/>
      <c r="AG35" s="728">
        <f t="shared" si="2"/>
        <v>0</v>
      </c>
      <c r="AH35" s="367"/>
      <c r="AI35" s="567">
        <v>0</v>
      </c>
      <c r="AJ35" s="367"/>
      <c r="AK35" s="530" t="s">
        <v>39</v>
      </c>
      <c r="AL35" s="537" t="s">
        <v>33</v>
      </c>
      <c r="AM35" s="367"/>
      <c r="AN35" s="367"/>
      <c r="AO35" s="86"/>
      <c r="AP35" s="51">
        <f t="shared" si="3"/>
        <v>0</v>
      </c>
      <c r="AQ35" s="476">
        <f>K!AQ35+K!AP35</f>
        <v>0</v>
      </c>
      <c r="AR35" s="476">
        <f t="shared" si="4"/>
        <v>0</v>
      </c>
      <c r="AS35" s="477">
        <f>AD35+K!AS35</f>
        <v>0</v>
      </c>
      <c r="AT35" s="477">
        <f>AA35+K!AT35</f>
        <v>0</v>
      </c>
      <c r="AU35" s="476"/>
      <c r="AV35" s="477">
        <f>K!AV35-K!AD35+L!Z35-K!AP35</f>
        <v>0</v>
      </c>
      <c r="AW35" s="476">
        <f t="shared" si="6"/>
        <v>0</v>
      </c>
      <c r="AX35" s="52">
        <f>IF(Z35=K!Z35,K!AE35-AD35,K!AE35+(Z35-K!Z35)*$AW$16-AD35)</f>
        <v>0</v>
      </c>
      <c r="AZ35" s="726">
        <f t="shared" si="7"/>
        <v>0</v>
      </c>
    </row>
    <row r="36" spans="1:52" ht="15" customHeight="1">
      <c r="A36" s="367"/>
      <c r="B36" s="850">
        <f ca="1">IF(K!B36&lt;&gt;"",K!B36,)</f>
        <v>0</v>
      </c>
      <c r="C36" s="454">
        <f ca="1">K!C36</f>
        <v>0</v>
      </c>
      <c r="D36" s="74"/>
      <c r="E36" s="521"/>
      <c r="F36" s="858"/>
      <c r="G36" s="367"/>
      <c r="H36" s="543"/>
      <c r="I36" s="853"/>
      <c r="J36" s="6"/>
      <c r="K36" s="541"/>
      <c r="L36" s="860"/>
      <c r="M36" s="20" t="str">
        <f>IF(J36="","",$M$5-SUM($J$7:J36))</f>
        <v/>
      </c>
      <c r="N36" s="367"/>
      <c r="O36" s="7"/>
      <c r="P36" s="873">
        <f>IF(K!Q36&lt;&gt;K!R36,IF(K!Q36&lt;&gt;0,IF(K!S36&lt;&gt;K!T36,K!P36,),),)</f>
        <v>0</v>
      </c>
      <c r="Q36" s="795">
        <f>IF(K!Q36&lt;&gt;K!R36,IF(K!Q36&lt;&gt;0,IF(K!S36&lt;&gt;K!T36,K!Q36,),),)</f>
        <v>0</v>
      </c>
      <c r="R36" s="628">
        <f>IF(K!Q36&lt;&gt;K!R36,IF(K!Q36&lt;&gt;0,IF(K!S36&lt;&gt;K!T36,0,Q36),Q36),Q36)</f>
        <v>0</v>
      </c>
      <c r="S36" s="796">
        <f>IF(K!Q36&lt;&gt;K!R36,IF(K!Q36&lt;&gt;0,IF(K!S36&lt;&gt;K!T36,K!S36+1,),),)</f>
        <v>0</v>
      </c>
      <c r="T36" s="796">
        <f>IF(K!Q36&lt;&gt;K!R36,IF(K!Q36&lt;&gt;0,IF(K!S36&lt;&gt;K!T36,K!T36,),),)</f>
        <v>0</v>
      </c>
      <c r="U36" s="797">
        <f>IF(K!Q36&lt;&gt;K!R36,IF(K!Q36&lt;&gt;0,IF(K!S36&lt;&gt;K!T36,K!U36,),),)</f>
        <v>0</v>
      </c>
      <c r="V36" s="875">
        <f>IF(K!Q36&lt;&gt;K!R36,IF(K!Q36&lt;&gt;0,IF(K!S36&lt;&gt;K!T36,K!V36,),),)</f>
        <v>0</v>
      </c>
      <c r="W36" s="622">
        <f>IF(Q36="","",$W$5-SUM($Q$7:Q36))</f>
        <v>0</v>
      </c>
      <c r="X36" s="395"/>
      <c r="Y36" s="905" t="str">
        <f>IF(K!Y36&lt;&gt;"",K!Y36,)</f>
        <v>Eyeglasses/Contact Lens</v>
      </c>
      <c r="Z36" s="457">
        <f>K!Z36</f>
        <v>0</v>
      </c>
      <c r="AA36" s="20">
        <f t="shared" si="0"/>
        <v>0</v>
      </c>
      <c r="AB36" s="723"/>
      <c r="AC36" s="723"/>
      <c r="AD36" s="36">
        <f t="shared" si="1"/>
        <v>0</v>
      </c>
      <c r="AE36" s="23">
        <f t="shared" si="5"/>
        <v>0</v>
      </c>
      <c r="AF36" s="367"/>
      <c r="AG36" s="728">
        <f t="shared" si="2"/>
        <v>0</v>
      </c>
      <c r="AH36" s="367"/>
      <c r="AI36" s="567">
        <v>0</v>
      </c>
      <c r="AJ36" s="367"/>
      <c r="AK36" s="530" t="s">
        <v>40</v>
      </c>
      <c r="AL36" s="538" t="s">
        <v>33</v>
      </c>
      <c r="AM36" s="367"/>
      <c r="AN36" s="367"/>
      <c r="AO36" s="86"/>
      <c r="AP36" s="51">
        <f t="shared" si="3"/>
        <v>0</v>
      </c>
      <c r="AQ36" s="476">
        <f>K!AQ36+K!AP36</f>
        <v>0</v>
      </c>
      <c r="AR36" s="476">
        <f t="shared" si="4"/>
        <v>0</v>
      </c>
      <c r="AS36" s="477">
        <f>AD36+K!AS36</f>
        <v>0</v>
      </c>
      <c r="AT36" s="477">
        <f>AA36+K!AT36</f>
        <v>0</v>
      </c>
      <c r="AU36" s="476"/>
      <c r="AV36" s="477">
        <f>K!AV36-K!AD36+L!Z36-K!AP36</f>
        <v>0</v>
      </c>
      <c r="AW36" s="476">
        <f t="shared" si="6"/>
        <v>0</v>
      </c>
      <c r="AX36" s="52">
        <f>IF(Z36=K!Z36,K!AE36-AD36,K!AE36+(Z36-K!Z36)*$AW$16-AD36)</f>
        <v>0</v>
      </c>
      <c r="AZ36" s="726">
        <f t="shared" si="7"/>
        <v>0</v>
      </c>
    </row>
    <row r="37" spans="1:52" ht="15" customHeight="1" thickBot="1">
      <c r="A37" s="367"/>
      <c r="B37" s="850">
        <f ca="1">IF(K!B37&lt;&gt;"",K!B37,)</f>
        <v>0</v>
      </c>
      <c r="C37" s="454">
        <f ca="1">K!C37</f>
        <v>0</v>
      </c>
      <c r="D37" s="74"/>
      <c r="E37" s="521"/>
      <c r="F37" s="858"/>
      <c r="G37" s="367"/>
      <c r="H37" s="543"/>
      <c r="I37" s="853"/>
      <c r="J37" s="6"/>
      <c r="K37" s="541"/>
      <c r="L37" s="860"/>
      <c r="M37" s="20" t="str">
        <f>IF(J37="","",$M$5-SUM($J$7:J37))</f>
        <v/>
      </c>
      <c r="N37" s="367"/>
      <c r="O37" s="7"/>
      <c r="P37" s="871">
        <f>IF(K!Q37&lt;&gt;K!R37,IF(K!Q37&lt;&gt;0,IF(K!S37&lt;&gt;K!T37,K!P37,),),)</f>
        <v>0</v>
      </c>
      <c r="Q37" s="795">
        <f>IF(K!Q37&lt;&gt;K!R37,IF(K!Q37&lt;&gt;0,IF(K!S37&lt;&gt;K!T37,K!Q37,),),)</f>
        <v>0</v>
      </c>
      <c r="R37" s="628">
        <f>IF(K!Q37&lt;&gt;K!R37,IF(K!Q37&lt;&gt;0,IF(K!S37&lt;&gt;K!T37,0,Q37),Q37),Q37)</f>
        <v>0</v>
      </c>
      <c r="S37" s="796">
        <f>IF(K!Q37&lt;&gt;K!R37,IF(K!Q37&lt;&gt;0,IF(K!S37&lt;&gt;K!T37,K!S37+1,),),)</f>
        <v>0</v>
      </c>
      <c r="T37" s="796">
        <f>IF(K!Q37&lt;&gt;K!R37,IF(K!Q37&lt;&gt;0,IF(K!S37&lt;&gt;K!T37,K!T37,),),)</f>
        <v>0</v>
      </c>
      <c r="U37" s="797">
        <f>IF(K!Q37&lt;&gt;K!R37,IF(K!Q37&lt;&gt;0,IF(K!S37&lt;&gt;K!T37,K!U37,),),)</f>
        <v>0</v>
      </c>
      <c r="V37" s="875">
        <f>IF(K!Q37&lt;&gt;K!R37,IF(K!Q37&lt;&gt;0,IF(K!S37&lt;&gt;K!T37,K!V37,),),)</f>
        <v>0</v>
      </c>
      <c r="W37" s="622">
        <f>IF(Q37="","",$W$5-SUM($Q$7:Q37))</f>
        <v>0</v>
      </c>
      <c r="X37" s="395"/>
      <c r="Y37" s="905" t="str">
        <f>IF(K!Y37&lt;&gt;"",K!Y37,)</f>
        <v>Vacations</v>
      </c>
      <c r="Z37" s="457">
        <f>K!Z37</f>
        <v>0</v>
      </c>
      <c r="AA37" s="20">
        <f t="shared" si="0"/>
        <v>0</v>
      </c>
      <c r="AB37" s="723"/>
      <c r="AC37" s="723"/>
      <c r="AD37" s="36">
        <f t="shared" si="1"/>
        <v>0</v>
      </c>
      <c r="AE37" s="23">
        <f t="shared" si="5"/>
        <v>0</v>
      </c>
      <c r="AF37" s="367"/>
      <c r="AG37" s="728">
        <f t="shared" si="2"/>
        <v>0</v>
      </c>
      <c r="AH37" s="367"/>
      <c r="AI37" s="567">
        <v>0</v>
      </c>
      <c r="AJ37" s="367"/>
      <c r="AK37" s="539" t="s">
        <v>41</v>
      </c>
      <c r="AL37" s="540" t="s">
        <v>33</v>
      </c>
      <c r="AM37" s="367"/>
      <c r="AN37" s="367"/>
      <c r="AO37" s="86"/>
      <c r="AP37" s="51">
        <f t="shared" si="3"/>
        <v>0</v>
      </c>
      <c r="AQ37" s="476">
        <f>K!AQ37+K!AP37</f>
        <v>0</v>
      </c>
      <c r="AR37" s="476">
        <f t="shared" si="4"/>
        <v>0</v>
      </c>
      <c r="AS37" s="477">
        <f>AD37+K!AS37</f>
        <v>0</v>
      </c>
      <c r="AT37" s="477">
        <f>AA37+K!AT37</f>
        <v>0</v>
      </c>
      <c r="AU37" s="476"/>
      <c r="AV37" s="477">
        <f>K!AV37-K!AD37+L!Z37-K!AP37</f>
        <v>0</v>
      </c>
      <c r="AW37" s="476">
        <f t="shared" si="6"/>
        <v>0</v>
      </c>
      <c r="AX37" s="52">
        <f>IF(Z37=K!Z37,K!AE37-AD37,K!AE37+(Z37-K!Z37)*$AW$16-AD37)</f>
        <v>0</v>
      </c>
      <c r="AZ37" s="726">
        <f t="shared" si="7"/>
        <v>0</v>
      </c>
    </row>
    <row r="38" spans="1:52" ht="15" customHeight="1">
      <c r="A38" s="367"/>
      <c r="B38" s="850">
        <f ca="1">IF(K!B38&lt;&gt;"",K!B38,)</f>
        <v>0</v>
      </c>
      <c r="C38" s="454">
        <f ca="1">K!C38</f>
        <v>0</v>
      </c>
      <c r="D38" s="74"/>
      <c r="E38" s="521"/>
      <c r="F38" s="858"/>
      <c r="G38" s="367"/>
      <c r="H38" s="543"/>
      <c r="I38" s="853"/>
      <c r="J38" s="6"/>
      <c r="K38" s="541"/>
      <c r="L38" s="860"/>
      <c r="M38" s="20" t="str">
        <f>IF(J38="","",$M$5-SUM($J$7:J38))</f>
        <v/>
      </c>
      <c r="N38" s="367"/>
      <c r="O38" s="7"/>
      <c r="P38" s="873">
        <f>IF(K!Q38&lt;&gt;K!R38,IF(K!Q38&lt;&gt;0,IF(K!S38&lt;&gt;K!T38,K!P38,),),)</f>
        <v>0</v>
      </c>
      <c r="Q38" s="795">
        <f>IF(K!Q38&lt;&gt;K!R38,IF(K!Q38&lt;&gt;0,IF(K!S38&lt;&gt;K!T38,K!Q38,),),)</f>
        <v>0</v>
      </c>
      <c r="R38" s="628">
        <f>IF(K!Q38&lt;&gt;K!R38,IF(K!Q38&lt;&gt;0,IF(K!S38&lt;&gt;K!T38,0,Q38),Q38),Q38)</f>
        <v>0</v>
      </c>
      <c r="S38" s="796">
        <f>IF(K!Q38&lt;&gt;K!R38,IF(K!Q38&lt;&gt;0,IF(K!S38&lt;&gt;K!T38,K!S38+1,),),)</f>
        <v>0</v>
      </c>
      <c r="T38" s="796">
        <f>IF(K!Q38&lt;&gt;K!R38,IF(K!Q38&lt;&gt;0,IF(K!S38&lt;&gt;K!T38,K!T38,),),)</f>
        <v>0</v>
      </c>
      <c r="U38" s="797">
        <f>IF(K!Q38&lt;&gt;K!R38,IF(K!Q38&lt;&gt;0,IF(K!S38&lt;&gt;K!T38,K!U38,),),)</f>
        <v>0</v>
      </c>
      <c r="V38" s="875">
        <f>IF(K!Q38&lt;&gt;K!R38,IF(K!Q38&lt;&gt;0,IF(K!S38&lt;&gt;K!T38,K!V38,),),)</f>
        <v>0</v>
      </c>
      <c r="W38" s="625">
        <f>IF(Q38="","",$W$5-SUM($Q$7:Q38))</f>
        <v>0</v>
      </c>
      <c r="X38" s="621"/>
      <c r="Y38" s="906" t="str">
        <f>IF(K!Y38&lt;&gt;"",K!Y38,)</f>
        <v>Religious expenses</v>
      </c>
      <c r="Z38" s="457">
        <f>K!Z38</f>
        <v>0</v>
      </c>
      <c r="AA38" s="20">
        <f t="shared" si="0"/>
        <v>0</v>
      </c>
      <c r="AB38" s="723"/>
      <c r="AC38" s="723"/>
      <c r="AD38" s="36">
        <f t="shared" si="1"/>
        <v>0</v>
      </c>
      <c r="AE38" s="23">
        <f t="shared" si="5"/>
        <v>0</v>
      </c>
      <c r="AF38" s="367"/>
      <c r="AG38" s="728">
        <f t="shared" si="2"/>
        <v>0</v>
      </c>
      <c r="AH38" s="367"/>
      <c r="AI38" s="567">
        <v>0</v>
      </c>
      <c r="AJ38" s="367"/>
      <c r="AK38" s="367"/>
      <c r="AL38" s="367"/>
      <c r="AM38" s="367"/>
      <c r="AN38" s="367"/>
      <c r="AO38" s="86"/>
      <c r="AP38" s="51">
        <f t="shared" si="3"/>
        <v>0</v>
      </c>
      <c r="AQ38" s="476">
        <f>K!AQ38+K!AP38</f>
        <v>0</v>
      </c>
      <c r="AR38" s="476">
        <f t="shared" si="4"/>
        <v>0</v>
      </c>
      <c r="AS38" s="477">
        <f>AD38+K!AS38</f>
        <v>0</v>
      </c>
      <c r="AT38" s="477">
        <f>AA38+K!AT38</f>
        <v>0</v>
      </c>
      <c r="AU38" s="476"/>
      <c r="AV38" s="477">
        <f>K!AV38-K!AD38+L!Z38-K!AP38</f>
        <v>0</v>
      </c>
      <c r="AW38" s="476">
        <f t="shared" si="6"/>
        <v>0</v>
      </c>
      <c r="AX38" s="52">
        <f>IF(Z38=K!Z38,K!AE38-AD38,K!AE38+(Z38-K!Z38)*$AW$16-AD38)</f>
        <v>0</v>
      </c>
      <c r="AZ38" s="726">
        <f t="shared" si="7"/>
        <v>0</v>
      </c>
    </row>
    <row r="39" spans="1:52" ht="15" customHeight="1">
      <c r="A39" s="367"/>
      <c r="B39" s="850">
        <f ca="1">IF(K!B39&lt;&gt;"",K!B39,)</f>
        <v>0</v>
      </c>
      <c r="C39" s="454">
        <f ca="1">K!C39</f>
        <v>0</v>
      </c>
      <c r="D39" s="74"/>
      <c r="E39" s="521"/>
      <c r="F39" s="858"/>
      <c r="G39" s="367"/>
      <c r="H39" s="543"/>
      <c r="I39" s="853"/>
      <c r="J39" s="6"/>
      <c r="K39" s="541"/>
      <c r="L39" s="860"/>
      <c r="M39" s="20" t="str">
        <f>IF(J39="","",$M$5-SUM($J$7:J39))</f>
        <v/>
      </c>
      <c r="N39" s="367"/>
      <c r="O39" s="7"/>
      <c r="P39" s="872">
        <f>IF(K!Q39&lt;&gt;K!R39,IF(K!Q39&lt;&gt;0,IF(K!S39&lt;&gt;K!T39,K!P39,),),)</f>
        <v>0</v>
      </c>
      <c r="Q39" s="795">
        <f>IF(K!Q39&lt;&gt;K!R39,IF(K!Q39&lt;&gt;0,IF(K!S39&lt;&gt;K!T39,K!Q39,),),)</f>
        <v>0</v>
      </c>
      <c r="R39" s="628">
        <f>IF(K!Q39&lt;&gt;K!R39,IF(K!Q39&lt;&gt;0,IF(K!S39&lt;&gt;K!T39,0,Q39),Q39),Q39)</f>
        <v>0</v>
      </c>
      <c r="S39" s="796">
        <f>IF(K!Q39&lt;&gt;K!R39,IF(K!Q39&lt;&gt;0,IF(K!S39&lt;&gt;K!T39,K!S39+1,),),)</f>
        <v>0</v>
      </c>
      <c r="T39" s="796">
        <f>IF(K!Q39&lt;&gt;K!R39,IF(K!Q39&lt;&gt;0,IF(K!S39&lt;&gt;K!T39,K!T39,),),)</f>
        <v>0</v>
      </c>
      <c r="U39" s="797">
        <f>IF(K!Q39&lt;&gt;K!R39,IF(K!Q39&lt;&gt;0,IF(K!S39&lt;&gt;K!T39,K!U39,),),)</f>
        <v>0</v>
      </c>
      <c r="V39" s="875">
        <f>IF(K!Q39&lt;&gt;K!R39,IF(K!Q39&lt;&gt;0,IF(K!S39&lt;&gt;K!T39,K!V39,),),)</f>
        <v>0</v>
      </c>
      <c r="W39" s="622">
        <f>IF(Q39="","",$W$5-SUM($Q$7:Q39))</f>
        <v>0</v>
      </c>
      <c r="X39" s="395"/>
      <c r="Y39" s="906" t="str">
        <f>IF(K!Y39&lt;&gt;"",K!Y39,)</f>
        <v>Gifts</v>
      </c>
      <c r="Z39" s="457">
        <f>K!Z39</f>
        <v>0</v>
      </c>
      <c r="AA39" s="20">
        <f t="shared" si="0"/>
        <v>0</v>
      </c>
      <c r="AB39" s="723"/>
      <c r="AC39" s="723"/>
      <c r="AD39" s="36">
        <f t="shared" si="1"/>
        <v>0</v>
      </c>
      <c r="AE39" s="23">
        <f t="shared" si="5"/>
        <v>0</v>
      </c>
      <c r="AF39" s="367"/>
      <c r="AG39" s="728">
        <f t="shared" si="2"/>
        <v>0</v>
      </c>
      <c r="AH39" s="367"/>
      <c r="AI39" s="567">
        <v>0</v>
      </c>
      <c r="AJ39" s="367"/>
      <c r="AK39" s="367"/>
      <c r="AL39" s="367"/>
      <c r="AM39" s="367"/>
      <c r="AN39" s="367"/>
      <c r="AO39" s="86"/>
      <c r="AP39" s="51">
        <f t="shared" si="3"/>
        <v>0</v>
      </c>
      <c r="AQ39" s="476">
        <f>K!AQ39+K!AP39</f>
        <v>0</v>
      </c>
      <c r="AR39" s="476">
        <f t="shared" si="4"/>
        <v>0</v>
      </c>
      <c r="AS39" s="477">
        <f>AD39+K!AS39</f>
        <v>0</v>
      </c>
      <c r="AT39" s="477">
        <f>AA39+K!AT39</f>
        <v>0</v>
      </c>
      <c r="AU39" s="476"/>
      <c r="AV39" s="477">
        <f>K!AV39-K!AD39+L!Z39-K!AP39</f>
        <v>0</v>
      </c>
      <c r="AW39" s="476">
        <f t="shared" si="6"/>
        <v>0</v>
      </c>
      <c r="AX39" s="52">
        <f>IF(Z39=K!Z39,K!AE39-AD39,K!AE39+(Z39-K!Z39)*$AW$16-AD39)</f>
        <v>0</v>
      </c>
      <c r="AZ39" s="726">
        <f t="shared" si="7"/>
        <v>0</v>
      </c>
    </row>
    <row r="40" spans="1:52" ht="15" customHeight="1">
      <c r="A40" s="367"/>
      <c r="B40" s="16" t="s">
        <v>179</v>
      </c>
      <c r="C40" s="77">
        <f ca="1">SUM(C27:C39)+SUM(C65:C86)</f>
        <v>0</v>
      </c>
      <c r="D40" s="75">
        <f>SUM(D27:D39)+SUM(D65:D86)</f>
        <v>0</v>
      </c>
      <c r="E40" s="515"/>
      <c r="F40" s="515"/>
      <c r="G40" s="367"/>
      <c r="H40" s="543"/>
      <c r="I40" s="853"/>
      <c r="J40" s="6"/>
      <c r="K40" s="541"/>
      <c r="L40" s="860"/>
      <c r="M40" s="20" t="str">
        <f>IF(J40="","",$M$5-SUM($J$7:J40))</f>
        <v/>
      </c>
      <c r="N40" s="367"/>
      <c r="O40" s="7"/>
      <c r="P40" s="871">
        <f>IF(K!Q40&lt;&gt;K!R40,IF(K!Q40&lt;&gt;0,IF(K!S40&lt;&gt;K!T40,K!P40,),),)</f>
        <v>0</v>
      </c>
      <c r="Q40" s="795">
        <f>IF(K!Q40&lt;&gt;K!R40,IF(K!Q40&lt;&gt;0,IF(K!S40&lt;&gt;K!T40,K!Q40,),),)</f>
        <v>0</v>
      </c>
      <c r="R40" s="628">
        <f>IF(K!Q40&lt;&gt;K!R40,IF(K!Q40&lt;&gt;0,IF(K!S40&lt;&gt;K!T40,0,Q40),Q40),Q40)</f>
        <v>0</v>
      </c>
      <c r="S40" s="796">
        <f>IF(K!Q40&lt;&gt;K!R40,IF(K!Q40&lt;&gt;0,IF(K!S40&lt;&gt;K!T40,K!S40+1,),),)</f>
        <v>0</v>
      </c>
      <c r="T40" s="796">
        <f>IF(K!Q40&lt;&gt;K!R40,IF(K!Q40&lt;&gt;0,IF(K!S40&lt;&gt;K!T40,K!T40,),),)</f>
        <v>0</v>
      </c>
      <c r="U40" s="797">
        <f>IF(K!Q40&lt;&gt;K!R40,IF(K!Q40&lt;&gt;0,IF(K!S40&lt;&gt;K!T40,K!U40,),),)</f>
        <v>0</v>
      </c>
      <c r="V40" s="875">
        <f>IF(K!Q40&lt;&gt;K!R40,IF(K!Q40&lt;&gt;0,IF(K!S40&lt;&gt;K!T40,K!V40,),),)</f>
        <v>0</v>
      </c>
      <c r="W40" s="622">
        <f>IF(Q40="","",$W$5-SUM($Q$7:Q40))</f>
        <v>0</v>
      </c>
      <c r="X40" s="395"/>
      <c r="Y40" s="906" t="str">
        <f>IF(K!Y40&lt;&gt;"",K!Y40,)</f>
        <v>Small Purchases</v>
      </c>
      <c r="Z40" s="457">
        <f>K!Z40</f>
        <v>0</v>
      </c>
      <c r="AA40" s="20">
        <f t="shared" si="0"/>
        <v>0</v>
      </c>
      <c r="AB40" s="723"/>
      <c r="AC40" s="723"/>
      <c r="AD40" s="36">
        <f t="shared" si="1"/>
        <v>0</v>
      </c>
      <c r="AE40" s="23">
        <f t="shared" si="5"/>
        <v>0</v>
      </c>
      <c r="AF40" s="367"/>
      <c r="AG40" s="728">
        <f t="shared" si="2"/>
        <v>0</v>
      </c>
      <c r="AH40" s="367"/>
      <c r="AI40" s="567">
        <v>0</v>
      </c>
      <c r="AJ40" s="367"/>
      <c r="AK40" s="367"/>
      <c r="AL40" s="367"/>
      <c r="AM40" s="367"/>
      <c r="AN40" s="367"/>
      <c r="AO40" s="86"/>
      <c r="AP40" s="51">
        <f t="shared" si="3"/>
        <v>0</v>
      </c>
      <c r="AQ40" s="476">
        <f>K!AQ40+K!AP40</f>
        <v>0</v>
      </c>
      <c r="AR40" s="476">
        <f t="shared" si="4"/>
        <v>0</v>
      </c>
      <c r="AS40" s="477">
        <f>AD40+K!AS40</f>
        <v>0</v>
      </c>
      <c r="AT40" s="477">
        <f>AA40+K!AT40</f>
        <v>0</v>
      </c>
      <c r="AU40" s="476"/>
      <c r="AV40" s="477">
        <f>K!AV40-K!AD40+L!Z40-K!AP40</f>
        <v>0</v>
      </c>
      <c r="AW40" s="476">
        <f t="shared" si="6"/>
        <v>0</v>
      </c>
      <c r="AX40" s="52">
        <f>IF(Z40=K!Z40,K!AE40-AD40,K!AE40+(Z40-K!Z40)*$AW$16-AD40)</f>
        <v>0</v>
      </c>
      <c r="AZ40" s="726">
        <f t="shared" si="7"/>
        <v>0</v>
      </c>
    </row>
    <row r="41" spans="1:52" ht="15" customHeight="1" thickBot="1">
      <c r="A41" s="367"/>
      <c r="B41" s="11" t="s">
        <v>367</v>
      </c>
      <c r="C41" s="1093">
        <f ca="1">C40-D40</f>
        <v>0</v>
      </c>
      <c r="D41" s="1094"/>
      <c r="E41" s="517"/>
      <c r="F41" s="517"/>
      <c r="G41" s="367"/>
      <c r="H41" s="543"/>
      <c r="I41" s="853"/>
      <c r="J41" s="6"/>
      <c r="K41" s="541"/>
      <c r="L41" s="860"/>
      <c r="M41" s="20" t="str">
        <f>IF(J41="","",$M$5-SUM($J$7:J41))</f>
        <v/>
      </c>
      <c r="N41" s="367"/>
      <c r="O41" s="7"/>
      <c r="P41" s="871">
        <f>IF(K!Q41&lt;&gt;K!R41,IF(K!Q41&lt;&gt;0,IF(K!S41&lt;&gt;K!T41,K!P41,),),)</f>
        <v>0</v>
      </c>
      <c r="Q41" s="795">
        <f>IF(K!Q41&lt;&gt;K!R41,IF(K!Q41&lt;&gt;0,IF(K!S41&lt;&gt;K!T41,K!Q41,),),)</f>
        <v>0</v>
      </c>
      <c r="R41" s="628">
        <f>IF(K!Q41&lt;&gt;K!R41,IF(K!Q41&lt;&gt;0,IF(K!S41&lt;&gt;K!T41,0,Q41),Q41),Q41)</f>
        <v>0</v>
      </c>
      <c r="S41" s="796">
        <f>IF(K!Q41&lt;&gt;K!R41,IF(K!Q41&lt;&gt;0,IF(K!S41&lt;&gt;K!T41,K!S41+1,),),)</f>
        <v>0</v>
      </c>
      <c r="T41" s="796">
        <f>IF(K!Q41&lt;&gt;K!R41,IF(K!Q41&lt;&gt;0,IF(K!S41&lt;&gt;K!T41,K!T41,),),)</f>
        <v>0</v>
      </c>
      <c r="U41" s="797">
        <f>IF(K!Q41&lt;&gt;K!R41,IF(K!Q41&lt;&gt;0,IF(K!S41&lt;&gt;K!T41,K!U41,),),)</f>
        <v>0</v>
      </c>
      <c r="V41" s="875">
        <f>IF(K!Q41&lt;&gt;K!R41,IF(K!Q41&lt;&gt;0,IF(K!S41&lt;&gt;K!T41,K!V41,),),)</f>
        <v>0</v>
      </c>
      <c r="W41" s="622">
        <f>IF(Q41="","",$W$5-SUM($Q$7:Q41))</f>
        <v>0</v>
      </c>
      <c r="X41" s="395"/>
      <c r="Y41" s="905" t="str">
        <f>IF(K!Y41&lt;&gt;"",K!Y41,)</f>
        <v>Haircuts / Cosmetics Treatments</v>
      </c>
      <c r="Z41" s="457">
        <f>K!Z41</f>
        <v>0</v>
      </c>
      <c r="AA41" s="20">
        <f t="shared" si="0"/>
        <v>0</v>
      </c>
      <c r="AB41" s="723"/>
      <c r="AC41" s="723"/>
      <c r="AD41" s="36">
        <f t="shared" si="1"/>
        <v>0</v>
      </c>
      <c r="AE41" s="23">
        <f t="shared" si="5"/>
        <v>0</v>
      </c>
      <c r="AF41" s="367"/>
      <c r="AG41" s="728">
        <f t="shared" si="2"/>
        <v>0</v>
      </c>
      <c r="AH41" s="367"/>
      <c r="AI41" s="567">
        <v>0</v>
      </c>
      <c r="AJ41" s="367"/>
      <c r="AK41" s="367"/>
      <c r="AL41" s="367"/>
      <c r="AM41" s="367"/>
      <c r="AN41" s="367"/>
      <c r="AO41" s="86"/>
      <c r="AP41" s="51">
        <f t="shared" si="3"/>
        <v>0</v>
      </c>
      <c r="AQ41" s="476">
        <f>K!AQ41+K!AP41</f>
        <v>0</v>
      </c>
      <c r="AR41" s="476">
        <f t="shared" si="4"/>
        <v>0</v>
      </c>
      <c r="AS41" s="477">
        <f>AD41+K!AS41</f>
        <v>0</v>
      </c>
      <c r="AT41" s="477">
        <f>AA41+K!AT41</f>
        <v>0</v>
      </c>
      <c r="AU41" s="476"/>
      <c r="AV41" s="477">
        <f>K!AV41-K!AD41+L!Z41-K!AP41</f>
        <v>0</v>
      </c>
      <c r="AW41" s="476">
        <f t="shared" si="6"/>
        <v>0</v>
      </c>
      <c r="AX41" s="52">
        <f>IF(Z41=K!Z41,K!AE41-AD41,K!AE41+(Z41-K!Z41)*$AW$16-AD41)</f>
        <v>0</v>
      </c>
      <c r="AZ41" s="726">
        <f t="shared" si="7"/>
        <v>0</v>
      </c>
    </row>
    <row r="42" spans="1:52" ht="15" customHeight="1">
      <c r="A42" s="367"/>
      <c r="B42" s="1095" t="str">
        <f ca="1">IF(C41&gt;0,"Unexpected positive difference - Check why!","")</f>
        <v/>
      </c>
      <c r="C42" s="1095"/>
      <c r="D42" s="1095"/>
      <c r="E42" s="514"/>
      <c r="F42" s="514"/>
      <c r="G42" s="367"/>
      <c r="H42" s="543"/>
      <c r="I42" s="853"/>
      <c r="J42" s="6"/>
      <c r="K42" s="541"/>
      <c r="L42" s="860"/>
      <c r="M42" s="20" t="str">
        <f>IF(J42="","",$M$5-SUM($J$7:J42))</f>
        <v/>
      </c>
      <c r="N42" s="367"/>
      <c r="O42" s="7"/>
      <c r="P42" s="873">
        <f>IF(K!Q42&lt;&gt;K!R42,IF(K!Q42&lt;&gt;0,IF(K!S42&lt;&gt;K!T42,K!P42,),),)</f>
        <v>0</v>
      </c>
      <c r="Q42" s="795">
        <f>IF(K!Q42&lt;&gt;K!R42,IF(K!Q42&lt;&gt;0,IF(K!S42&lt;&gt;K!T42,K!Q42,),),)</f>
        <v>0</v>
      </c>
      <c r="R42" s="628">
        <f>IF(K!Q42&lt;&gt;K!R42,IF(K!Q42&lt;&gt;0,IF(K!S42&lt;&gt;K!T42,0,Q42),Q42),Q42)</f>
        <v>0</v>
      </c>
      <c r="S42" s="796">
        <f>IF(K!Q42&lt;&gt;K!R42,IF(K!Q42&lt;&gt;0,IF(K!S42&lt;&gt;K!T42,K!S42+1,),),)</f>
        <v>0</v>
      </c>
      <c r="T42" s="796">
        <f>IF(K!Q42&lt;&gt;K!R42,IF(K!Q42&lt;&gt;0,IF(K!S42&lt;&gt;K!T42,K!T42,),),)</f>
        <v>0</v>
      </c>
      <c r="U42" s="797">
        <f>IF(K!Q42&lt;&gt;K!R42,IF(K!Q42&lt;&gt;0,IF(K!S42&lt;&gt;K!T42,K!U42,),),)</f>
        <v>0</v>
      </c>
      <c r="V42" s="875">
        <f>IF(K!Q42&lt;&gt;K!R42,IF(K!Q42&lt;&gt;0,IF(K!S42&lt;&gt;K!T42,K!V42,),),)</f>
        <v>0</v>
      </c>
      <c r="W42" s="622">
        <f>IF(Q42="","",$W$5-SUM($Q$7:Q42))</f>
        <v>0</v>
      </c>
      <c r="X42" s="395"/>
      <c r="Y42" s="905" t="str">
        <f>IF(K!Y42&lt;&gt;"",K!Y42,)</f>
        <v>National Insurance</v>
      </c>
      <c r="Z42" s="457">
        <f>K!Z42</f>
        <v>0</v>
      </c>
      <c r="AA42" s="20">
        <f t="shared" si="0"/>
        <v>0</v>
      </c>
      <c r="AB42" s="723"/>
      <c r="AC42" s="723"/>
      <c r="AD42" s="36">
        <f t="shared" si="1"/>
        <v>0</v>
      </c>
      <c r="AE42" s="23">
        <f t="shared" si="5"/>
        <v>0</v>
      </c>
      <c r="AF42" s="367"/>
      <c r="AG42" s="728">
        <f t="shared" si="2"/>
        <v>0</v>
      </c>
      <c r="AH42" s="367"/>
      <c r="AI42" s="567">
        <v>0</v>
      </c>
      <c r="AJ42" s="367"/>
      <c r="AK42" s="367"/>
      <c r="AL42" s="367"/>
      <c r="AM42" s="367"/>
      <c r="AN42" s="367"/>
      <c r="AO42" s="86"/>
      <c r="AP42" s="51">
        <f t="shared" si="3"/>
        <v>0</v>
      </c>
      <c r="AQ42" s="476">
        <f>K!AQ42+K!AP42</f>
        <v>0</v>
      </c>
      <c r="AR42" s="476">
        <f t="shared" si="4"/>
        <v>0</v>
      </c>
      <c r="AS42" s="477">
        <f>AD42+K!AS42</f>
        <v>0</v>
      </c>
      <c r="AT42" s="477">
        <f>AA42+K!AT42</f>
        <v>0</v>
      </c>
      <c r="AU42" s="476"/>
      <c r="AV42" s="477">
        <f>K!AV42-K!AD42+L!Z42-K!AP42</f>
        <v>0</v>
      </c>
      <c r="AW42" s="476">
        <f t="shared" si="6"/>
        <v>0</v>
      </c>
      <c r="AX42" s="52">
        <f>IF(Z42=K!Z42,K!AE42-AD42,K!AE42+(Z42-K!Z42)*$AW$16-AD42)</f>
        <v>0</v>
      </c>
      <c r="AZ42" s="726">
        <f t="shared" si="7"/>
        <v>0</v>
      </c>
    </row>
    <row r="43" spans="1:52" ht="15" customHeight="1" thickBot="1">
      <c r="A43" s="367"/>
      <c r="B43" s="1117" t="s">
        <v>351</v>
      </c>
      <c r="C43" s="1117"/>
      <c r="D43" s="367"/>
      <c r="E43" s="367"/>
      <c r="F43" s="367"/>
      <c r="G43" s="367"/>
      <c r="H43" s="543"/>
      <c r="I43" s="854"/>
      <c r="J43" s="6"/>
      <c r="K43" s="541"/>
      <c r="L43" s="860"/>
      <c r="M43" s="20" t="str">
        <f>IF(J43="","",$M$5-SUM($J$7:J43))</f>
        <v/>
      </c>
      <c r="N43" s="367"/>
      <c r="O43" s="7"/>
      <c r="P43" s="871">
        <f>IF(K!Q43&lt;&gt;K!R43,IF(K!Q43&lt;&gt;0,IF(K!S43&lt;&gt;K!T43,K!P43,),),)</f>
        <v>0</v>
      </c>
      <c r="Q43" s="795">
        <f>IF(K!Q43&lt;&gt;K!R43,IF(K!Q43&lt;&gt;0,IF(K!S43&lt;&gt;K!T43,K!Q43,),),)</f>
        <v>0</v>
      </c>
      <c r="R43" s="628">
        <f>IF(K!Q43&lt;&gt;K!R43,IF(K!Q43&lt;&gt;0,IF(K!S43&lt;&gt;K!T43,0,Q43),Q43),Q43)</f>
        <v>0</v>
      </c>
      <c r="S43" s="796">
        <f>IF(K!Q43&lt;&gt;K!R43,IF(K!Q43&lt;&gt;0,IF(K!S43&lt;&gt;K!T43,K!S43+1,),),)</f>
        <v>0</v>
      </c>
      <c r="T43" s="796">
        <f>IF(K!Q43&lt;&gt;K!R43,IF(K!Q43&lt;&gt;0,IF(K!S43&lt;&gt;K!T43,K!T43,),),)</f>
        <v>0</v>
      </c>
      <c r="U43" s="797">
        <f>IF(K!Q43&lt;&gt;K!R43,IF(K!Q43&lt;&gt;0,IF(K!S43&lt;&gt;K!T43,K!U43,),),)</f>
        <v>0</v>
      </c>
      <c r="V43" s="875">
        <f>IF(K!Q43&lt;&gt;K!R43,IF(K!Q43&lt;&gt;0,IF(K!S43&lt;&gt;K!T43,K!V43,),),)</f>
        <v>0</v>
      </c>
      <c r="W43" s="622">
        <f>IF(Q43="","",$W$5-SUM($Q$7:Q43))</f>
        <v>0</v>
      </c>
      <c r="X43" s="395"/>
      <c r="Y43" s="905">
        <f>IF(K!Y43&lt;&gt;"",K!Y43,)</f>
        <v>0</v>
      </c>
      <c r="Z43" s="457">
        <f>K!Z43</f>
        <v>0</v>
      </c>
      <c r="AA43" s="20">
        <f t="shared" si="0"/>
        <v>0</v>
      </c>
      <c r="AB43" s="723"/>
      <c r="AC43" s="723"/>
      <c r="AD43" s="36">
        <f t="shared" si="1"/>
        <v>0</v>
      </c>
      <c r="AE43" s="23">
        <f t="shared" si="5"/>
        <v>0</v>
      </c>
      <c r="AF43" s="367"/>
      <c r="AG43" s="728">
        <f t="shared" si="2"/>
        <v>0</v>
      </c>
      <c r="AH43" s="367"/>
      <c r="AI43" s="567">
        <v>0</v>
      </c>
      <c r="AJ43" s="367"/>
      <c r="AK43" s="367"/>
      <c r="AL43" s="367"/>
      <c r="AM43" s="367"/>
      <c r="AN43" s="367"/>
      <c r="AO43" s="86"/>
      <c r="AP43" s="51">
        <f t="shared" si="3"/>
        <v>0</v>
      </c>
      <c r="AQ43" s="476">
        <f>K!AQ43+K!AP43</f>
        <v>0</v>
      </c>
      <c r="AR43" s="476">
        <f t="shared" si="4"/>
        <v>0</v>
      </c>
      <c r="AS43" s="477">
        <f>AD43+K!AS43</f>
        <v>0</v>
      </c>
      <c r="AT43" s="477">
        <f>AA43+K!AT43</f>
        <v>0</v>
      </c>
      <c r="AU43" s="476"/>
      <c r="AV43" s="477">
        <f>K!AV43-K!AD43+L!Z43-K!AP43</f>
        <v>0</v>
      </c>
      <c r="AW43" s="476">
        <f t="shared" si="6"/>
        <v>0</v>
      </c>
      <c r="AX43" s="52">
        <f>IF(Z43=K!Z43,K!AE43-AD43,K!AE43+(Z43-K!Z43)*$AW$16-AD43)</f>
        <v>0</v>
      </c>
      <c r="AZ43" s="726">
        <f t="shared" si="7"/>
        <v>0</v>
      </c>
    </row>
    <row r="44" spans="1:52" ht="15" customHeight="1">
      <c r="A44" s="367"/>
      <c r="B44" s="811" t="s">
        <v>353</v>
      </c>
      <c r="C44" s="100" t="s">
        <v>354</v>
      </c>
      <c r="D44" s="915" t="s">
        <v>494</v>
      </c>
      <c r="E44" s="518"/>
      <c r="F44" s="518"/>
      <c r="G44" s="367"/>
      <c r="H44" s="543"/>
      <c r="I44" s="853"/>
      <c r="J44" s="6"/>
      <c r="K44" s="541"/>
      <c r="L44" s="860"/>
      <c r="M44" s="20" t="str">
        <f>IF(J44="","",$M$5-SUM($J$7:J44))</f>
        <v/>
      </c>
      <c r="N44" s="367"/>
      <c r="O44" s="7"/>
      <c r="P44" s="871">
        <f>IF(K!Q44&lt;&gt;K!R44,IF(K!Q44&lt;&gt;0,IF(K!S44&lt;&gt;K!T44,K!P44,),),)</f>
        <v>0</v>
      </c>
      <c r="Q44" s="795">
        <f>IF(K!Q44&lt;&gt;K!R44,IF(K!Q44&lt;&gt;0,IF(K!S44&lt;&gt;K!T44,K!Q44,),),)</f>
        <v>0</v>
      </c>
      <c r="R44" s="628">
        <f>IF(K!Q44&lt;&gt;K!R44,IF(K!Q44&lt;&gt;0,IF(K!S44&lt;&gt;K!T44,0,Q44),Q44),Q44)</f>
        <v>0</v>
      </c>
      <c r="S44" s="796">
        <f>IF(K!Q44&lt;&gt;K!R44,IF(K!Q44&lt;&gt;0,IF(K!S44&lt;&gt;K!T44,K!S44+1,),),)</f>
        <v>0</v>
      </c>
      <c r="T44" s="796">
        <f>IF(K!Q44&lt;&gt;K!R44,IF(K!Q44&lt;&gt;0,IF(K!S44&lt;&gt;K!T44,K!T44,),),)</f>
        <v>0</v>
      </c>
      <c r="U44" s="797">
        <f>IF(K!Q44&lt;&gt;K!R44,IF(K!Q44&lt;&gt;0,IF(K!S44&lt;&gt;K!T44,K!U44,),),)</f>
        <v>0</v>
      </c>
      <c r="V44" s="875">
        <f>IF(K!Q44&lt;&gt;K!R44,IF(K!Q44&lt;&gt;0,IF(K!S44&lt;&gt;K!T44,K!V44,),),)</f>
        <v>0</v>
      </c>
      <c r="W44" s="622">
        <f>IF(Q44="","",$W$5-SUM($Q$7:Q44))</f>
        <v>0</v>
      </c>
      <c r="X44" s="396"/>
      <c r="Y44" s="905">
        <f>IF(K!Y44&lt;&gt;"",K!Y44,)</f>
        <v>0</v>
      </c>
      <c r="Z44" s="457">
        <f>K!Z44</f>
        <v>0</v>
      </c>
      <c r="AA44" s="20">
        <f t="shared" si="0"/>
        <v>0</v>
      </c>
      <c r="AB44" s="723"/>
      <c r="AC44" s="723"/>
      <c r="AD44" s="36">
        <f t="shared" si="1"/>
        <v>0</v>
      </c>
      <c r="AE44" s="23">
        <f t="shared" si="5"/>
        <v>0</v>
      </c>
      <c r="AF44" s="367"/>
      <c r="AG44" s="728">
        <f t="shared" si="2"/>
        <v>0</v>
      </c>
      <c r="AH44" s="367"/>
      <c r="AI44" s="567">
        <v>0</v>
      </c>
      <c r="AJ44" s="367"/>
      <c r="AK44" s="367"/>
      <c r="AL44" s="367"/>
      <c r="AM44" s="367"/>
      <c r="AN44" s="367"/>
      <c r="AO44" s="86"/>
      <c r="AP44" s="51">
        <f t="shared" si="3"/>
        <v>0</v>
      </c>
      <c r="AQ44" s="476">
        <f>K!AQ44+K!AP44</f>
        <v>0</v>
      </c>
      <c r="AR44" s="476">
        <f t="shared" si="4"/>
        <v>0</v>
      </c>
      <c r="AS44" s="477">
        <f>AD44+K!AS44</f>
        <v>0</v>
      </c>
      <c r="AT44" s="477">
        <f>AA44+K!AT44</f>
        <v>0</v>
      </c>
      <c r="AU44" s="476"/>
      <c r="AV44" s="477">
        <f>K!AV44-K!AD44+L!Z44-K!AP44</f>
        <v>0</v>
      </c>
      <c r="AW44" s="476">
        <f t="shared" si="6"/>
        <v>0</v>
      </c>
      <c r="AX44" s="52">
        <f>IF(Z44=K!Z44,K!AE44-AD44,K!AE44+(Z44-K!Z44)*$AW$16-AD44)</f>
        <v>0</v>
      </c>
      <c r="AZ44" s="727">
        <f t="shared" si="7"/>
        <v>0</v>
      </c>
    </row>
    <row r="45" spans="1:52" ht="15.75">
      <c r="A45" s="367"/>
      <c r="B45" s="850" t="str">
        <f>IF(K!B45&lt;&gt;"",K!B45,)</f>
        <v>Food</v>
      </c>
      <c r="C45" s="455">
        <f>K!C45</f>
        <v>0</v>
      </c>
      <c r="D45" s="80">
        <f t="shared" ref="D45:D56" si="8">SUMIF($I$7:$I$110,B45,$J$7:$J$110)</f>
        <v>0</v>
      </c>
      <c r="E45" s="519"/>
      <c r="F45" s="519"/>
      <c r="G45" s="367"/>
      <c r="H45" s="543"/>
      <c r="I45" s="853"/>
      <c r="J45" s="6"/>
      <c r="K45" s="541"/>
      <c r="L45" s="860"/>
      <c r="M45" s="20" t="str">
        <f>IF(J45="","",$M$5-SUM($J$7:J45))</f>
        <v/>
      </c>
      <c r="N45" s="367"/>
      <c r="O45" s="107"/>
      <c r="P45" s="873">
        <f>IF(K!Q45&lt;&gt;K!R45,IF(K!Q45&lt;&gt;0,IF(K!S45&lt;&gt;K!T45,K!P45,),),)</f>
        <v>0</v>
      </c>
      <c r="Q45" s="795">
        <f>IF(K!Q45&lt;&gt;K!R45,IF(K!Q45&lt;&gt;0,IF(K!S45&lt;&gt;K!T45,K!Q45,),),)</f>
        <v>0</v>
      </c>
      <c r="R45" s="628">
        <f>IF(K!Q45&lt;&gt;K!R45,IF(K!Q45&lt;&gt;0,IF(K!S45&lt;&gt;K!T45,0,Q45),Q45),Q45)</f>
        <v>0</v>
      </c>
      <c r="S45" s="796">
        <f>IF(K!Q45&lt;&gt;K!R45,IF(K!Q45&lt;&gt;0,IF(K!S45&lt;&gt;K!T45,K!S45+1,),),)</f>
        <v>0</v>
      </c>
      <c r="T45" s="796">
        <f>IF(K!Q45&lt;&gt;K!R45,IF(K!Q45&lt;&gt;0,IF(K!S45&lt;&gt;K!T45,K!T45,),),)</f>
        <v>0</v>
      </c>
      <c r="U45" s="797">
        <f>IF(K!Q45&lt;&gt;K!R45,IF(K!Q45&lt;&gt;0,IF(K!S45&lt;&gt;K!T45,K!U45,),),)</f>
        <v>0</v>
      </c>
      <c r="V45" s="875">
        <f>IF(K!Q45&lt;&gt;K!R45,IF(K!Q45&lt;&gt;0,IF(K!S45&lt;&gt;K!T45,K!V45,),),)</f>
        <v>0</v>
      </c>
      <c r="W45" s="622">
        <f>IF(Q45="","",$W$5-SUM($Q$7:Q45))</f>
        <v>0</v>
      </c>
      <c r="X45" s="397"/>
      <c r="Y45" s="18" t="s">
        <v>179</v>
      </c>
      <c r="Z45" s="17">
        <f>SUM(Z23:Z44)</f>
        <v>0</v>
      </c>
      <c r="AA45" s="20">
        <f>SUM(AA23:AA44)</f>
        <v>0</v>
      </c>
      <c r="AB45" s="723"/>
      <c r="AC45" s="723"/>
      <c r="AD45" s="36"/>
      <c r="AE45" s="24">
        <f>SUM(AE23:AE44)</f>
        <v>0</v>
      </c>
      <c r="AF45" s="367"/>
      <c r="AG45" s="367"/>
      <c r="AH45" s="367"/>
      <c r="AI45" s="367"/>
      <c r="AJ45" s="367"/>
      <c r="AK45" s="367"/>
      <c r="AL45" s="367"/>
      <c r="AM45" s="367"/>
      <c r="AN45" s="367"/>
      <c r="AO45" s="86"/>
      <c r="AP45" s="52">
        <f>SUM(AP23:AP44)</f>
        <v>0</v>
      </c>
      <c r="AQ45" s="476">
        <f>SUM(AQ23:AQ44)</f>
        <v>0</v>
      </c>
      <c r="AR45" s="476">
        <f>SUM(AR23:AR44)</f>
        <v>0</v>
      </c>
      <c r="AS45" s="476">
        <f>SUM(AS23:AS44)</f>
        <v>0</v>
      </c>
      <c r="AT45" s="476">
        <f>SUM(AT23:AT44)</f>
        <v>0</v>
      </c>
      <c r="AU45" s="476"/>
      <c r="AV45" s="476">
        <f>SUM(AV23:AV44)</f>
        <v>0</v>
      </c>
      <c r="AW45" s="476">
        <f>SUM(AW23:AW44)</f>
        <v>0</v>
      </c>
      <c r="AX45" s="52">
        <f>SUM(AX23:AX44)</f>
        <v>0</v>
      </c>
    </row>
    <row r="46" spans="1:52" ht="15.75" customHeight="1" thickBot="1">
      <c r="A46" s="367"/>
      <c r="B46" s="850" t="str">
        <f>IF(K!B46&lt;&gt;"",K!B46,)</f>
        <v>Public Transportation</v>
      </c>
      <c r="C46" s="455">
        <f>K!C46</f>
        <v>0</v>
      </c>
      <c r="D46" s="80">
        <f t="shared" si="8"/>
        <v>0</v>
      </c>
      <c r="E46" s="519"/>
      <c r="F46" s="519"/>
      <c r="G46" s="367"/>
      <c r="H46" s="543"/>
      <c r="I46" s="853"/>
      <c r="J46" s="6"/>
      <c r="K46" s="541"/>
      <c r="L46" s="860"/>
      <c r="M46" s="20" t="str">
        <f>IF(J46="","",$M$5-SUM($J$7:J46))</f>
        <v/>
      </c>
      <c r="N46" s="367"/>
      <c r="O46" s="652"/>
      <c r="P46" s="865" t="s">
        <v>429</v>
      </c>
      <c r="Q46" s="620"/>
      <c r="R46" s="619"/>
      <c r="S46" s="629"/>
      <c r="T46" s="629"/>
      <c r="U46" s="646"/>
      <c r="V46" s="618"/>
      <c r="W46" s="627">
        <f>W5-AA45</f>
        <v>0</v>
      </c>
      <c r="X46" s="386"/>
      <c r="Y46" s="125" t="s">
        <v>367</v>
      </c>
      <c r="Z46" s="1202">
        <f>Z45-AA45</f>
        <v>0</v>
      </c>
      <c r="AA46" s="1203"/>
      <c r="AB46" s="644"/>
      <c r="AC46" s="644"/>
      <c r="AD46" s="37"/>
      <c r="AF46" s="367"/>
      <c r="AG46" s="367"/>
      <c r="AH46" s="367"/>
      <c r="AI46" s="367"/>
      <c r="AJ46" s="367"/>
      <c r="AK46" s="367"/>
      <c r="AL46" s="367"/>
      <c r="AM46" s="367"/>
      <c r="AN46" s="367"/>
      <c r="AO46" s="86"/>
    </row>
    <row r="47" spans="1:52" ht="15.75" customHeight="1">
      <c r="A47" s="367"/>
      <c r="B47" s="850" t="str">
        <f>IF(K!B47&lt;&gt;"",K!B47,)</f>
        <v>Gas and Parking</v>
      </c>
      <c r="C47" s="455">
        <f>K!C47</f>
        <v>0</v>
      </c>
      <c r="D47" s="80">
        <f t="shared" si="8"/>
        <v>0</v>
      </c>
      <c r="E47" s="519"/>
      <c r="F47" s="519"/>
      <c r="G47" s="367"/>
      <c r="H47" s="543"/>
      <c r="I47" s="853"/>
      <c r="J47" s="6"/>
      <c r="K47" s="541"/>
      <c r="L47" s="860"/>
      <c r="M47" s="20" t="str">
        <f>IF(J47="","",$M$5-SUM($J$7:J47))</f>
        <v/>
      </c>
      <c r="N47" s="367"/>
      <c r="O47" s="385"/>
      <c r="P47" s="393"/>
      <c r="Q47" s="378"/>
      <c r="R47" s="392"/>
      <c r="S47" s="387"/>
      <c r="T47" s="387"/>
      <c r="U47" s="387"/>
      <c r="V47" s="617"/>
      <c r="W47" s="392"/>
      <c r="X47" s="386"/>
      <c r="Y47" s="388"/>
      <c r="Z47" s="389"/>
      <c r="AA47" s="389"/>
      <c r="AB47" s="389"/>
      <c r="AC47" s="389"/>
      <c r="AD47" s="389"/>
      <c r="AE47" s="367"/>
      <c r="AF47" s="367"/>
      <c r="AG47" s="367"/>
      <c r="AH47" s="367"/>
      <c r="AI47" s="367"/>
      <c r="AJ47" s="367"/>
      <c r="AK47" s="367"/>
      <c r="AL47" s="367"/>
      <c r="AM47" s="367"/>
      <c r="AN47" s="367"/>
      <c r="AO47" s="86"/>
    </row>
    <row r="48" spans="1:52" ht="19.5" thickBot="1">
      <c r="A48" s="367"/>
      <c r="B48" s="850" t="str">
        <f>IF(K!B48&lt;&gt;"",K!B48,)</f>
        <v>Telephone-Landline/Long Distance</v>
      </c>
      <c r="C48" s="455">
        <f>K!C48</f>
        <v>0</v>
      </c>
      <c r="D48" s="80">
        <f t="shared" si="8"/>
        <v>0</v>
      </c>
      <c r="E48" s="519"/>
      <c r="F48" s="519"/>
      <c r="G48" s="367"/>
      <c r="H48" s="543"/>
      <c r="I48" s="853"/>
      <c r="J48" s="6"/>
      <c r="K48" s="541"/>
      <c r="L48" s="860"/>
      <c r="M48" s="20" t="str">
        <f>IF(J48="","",$M$5-SUM($J$7:J48))</f>
        <v/>
      </c>
      <c r="N48" s="367"/>
      <c r="P48" s="819" t="s">
        <v>395</v>
      </c>
      <c r="Q48" s="93" t="str">
        <f>M2</f>
        <v/>
      </c>
      <c r="R48" s="93" t="str">
        <f>N2</f>
        <v/>
      </c>
      <c r="S48" s="1215"/>
      <c r="T48" s="1215"/>
      <c r="U48" s="390"/>
      <c r="V48" s="390"/>
      <c r="W48" s="390"/>
      <c r="X48" s="386"/>
      <c r="Y48" s="386"/>
      <c r="Z48" s="386"/>
      <c r="AA48" s="386"/>
      <c r="AB48" s="391"/>
      <c r="AC48" s="391"/>
      <c r="AD48" s="391"/>
      <c r="AE48" s="367"/>
      <c r="AF48" s="367"/>
      <c r="AG48" s="367"/>
      <c r="AH48" s="367"/>
      <c r="AI48" s="367"/>
      <c r="AJ48" s="367"/>
      <c r="AK48" s="367"/>
      <c r="AL48" s="367"/>
      <c r="AM48" s="367"/>
      <c r="AN48" s="367"/>
      <c r="AO48" s="86"/>
    </row>
    <row r="49" spans="1:92" ht="16.5" thickBot="1">
      <c r="A49" s="367"/>
      <c r="B49" s="850" t="str">
        <f>IF(K!B49&lt;&gt;"",K!B49,)</f>
        <v>Cell Phones</v>
      </c>
      <c r="C49" s="455">
        <f>K!C49</f>
        <v>0</v>
      </c>
      <c r="D49" s="80">
        <f t="shared" si="8"/>
        <v>0</v>
      </c>
      <c r="E49" s="519"/>
      <c r="F49" s="519"/>
      <c r="G49" s="367"/>
      <c r="H49" s="543"/>
      <c r="I49" s="853"/>
      <c r="J49" s="6"/>
      <c r="K49" s="541"/>
      <c r="L49" s="860"/>
      <c r="M49" s="20" t="str">
        <f>IF(J49="","",$M$5-SUM($J$7:J49))</f>
        <v/>
      </c>
      <c r="N49" s="367"/>
      <c r="O49" s="377"/>
      <c r="P49" s="653" t="s">
        <v>288</v>
      </c>
      <c r="Q49" s="654" t="s">
        <v>354</v>
      </c>
      <c r="R49" s="654" t="s">
        <v>398</v>
      </c>
      <c r="S49" s="1216" t="s">
        <v>298</v>
      </c>
      <c r="T49" s="1217"/>
      <c r="U49" s="648"/>
      <c r="V49" s="371"/>
      <c r="W49" s="371"/>
      <c r="X49" s="367"/>
      <c r="Y49" s="386"/>
      <c r="Z49" s="386"/>
      <c r="AA49" s="386"/>
      <c r="AB49" s="391"/>
      <c r="AC49" s="391"/>
      <c r="AD49" s="391"/>
      <c r="AE49" s="367"/>
      <c r="AF49" s="367"/>
      <c r="AG49" s="367"/>
      <c r="AH49" s="367"/>
      <c r="AI49" s="367"/>
      <c r="AJ49" s="367"/>
      <c r="AK49" s="367"/>
      <c r="AL49" s="367"/>
      <c r="AM49" s="367"/>
      <c r="AN49" s="367"/>
      <c r="AO49" s="86"/>
    </row>
    <row r="50" spans="1:92" ht="15.75">
      <c r="A50" s="367"/>
      <c r="B50" s="850" t="str">
        <f>IF(K!B50&lt;&gt;"",K!B50,)</f>
        <v>Home</v>
      </c>
      <c r="C50" s="455">
        <f>K!C50</f>
        <v>0</v>
      </c>
      <c r="D50" s="80">
        <f t="shared" si="8"/>
        <v>0</v>
      </c>
      <c r="E50" s="519"/>
      <c r="F50" s="519"/>
      <c r="G50" s="367"/>
      <c r="H50" s="543"/>
      <c r="I50" s="853"/>
      <c r="J50" s="6"/>
      <c r="K50" s="541"/>
      <c r="L50" s="860"/>
      <c r="M50" s="20" t="str">
        <f>IF(J50="","",$M$5-SUM($J$7:J50))</f>
        <v/>
      </c>
      <c r="N50" s="367"/>
      <c r="O50" s="377"/>
      <c r="P50" s="655" t="s">
        <v>151</v>
      </c>
      <c r="Q50" s="22">
        <f>C18</f>
        <v>0</v>
      </c>
      <c r="R50" s="22">
        <f>D18</f>
        <v>0</v>
      </c>
      <c r="S50" s="1096">
        <f>Q50-R50</f>
        <v>0</v>
      </c>
      <c r="T50" s="1097"/>
      <c r="U50" s="647"/>
      <c r="V50" s="371"/>
      <c r="W50" s="371"/>
      <c r="X50" s="367"/>
      <c r="Y50" s="386"/>
      <c r="Z50" s="386"/>
      <c r="AA50" s="386"/>
      <c r="AB50" s="386"/>
      <c r="AC50" s="386"/>
      <c r="AD50" s="386"/>
      <c r="AE50" s="367"/>
      <c r="AF50" s="367"/>
      <c r="AG50" s="367"/>
      <c r="AH50" s="367"/>
      <c r="AI50" s="367"/>
      <c r="AJ50" s="367"/>
      <c r="AK50" s="367"/>
      <c r="AL50" s="367"/>
      <c r="AM50" s="367"/>
      <c r="AN50" s="367"/>
      <c r="AO50" s="86"/>
    </row>
    <row r="51" spans="1:92" ht="15.75">
      <c r="A51" s="367"/>
      <c r="B51" s="850" t="str">
        <f>IF(K!B51&lt;&gt;"",K!B51,)</f>
        <v>Cleaning help / Babysitter</v>
      </c>
      <c r="C51" s="455">
        <f>K!C51</f>
        <v>0</v>
      </c>
      <c r="D51" s="80">
        <f t="shared" si="8"/>
        <v>0</v>
      </c>
      <c r="E51" s="519"/>
      <c r="F51" s="519"/>
      <c r="G51" s="367"/>
      <c r="H51" s="543"/>
      <c r="I51" s="853"/>
      <c r="J51" s="6"/>
      <c r="K51" s="541"/>
      <c r="L51" s="860"/>
      <c r="M51" s="20" t="str">
        <f>IF(J51="","",$M$5-SUM($J$7:J51))</f>
        <v/>
      </c>
      <c r="N51" s="367"/>
      <c r="O51" s="377"/>
      <c r="P51" s="656" t="s">
        <v>396</v>
      </c>
      <c r="Q51" s="22">
        <f>Z45</f>
        <v>0</v>
      </c>
      <c r="R51" s="22">
        <f>AA45</f>
        <v>0</v>
      </c>
      <c r="S51" s="1147">
        <f>Q51-R51</f>
        <v>0</v>
      </c>
      <c r="T51" s="1147"/>
      <c r="U51" s="647"/>
      <c r="V51" s="371"/>
      <c r="W51" s="371"/>
      <c r="X51" s="367"/>
      <c r="Y51" s="367"/>
      <c r="Z51" s="367"/>
      <c r="AA51" s="367"/>
      <c r="AB51" s="367"/>
      <c r="AC51" s="367"/>
      <c r="AD51" s="367"/>
      <c r="AE51" s="367"/>
      <c r="AF51" s="367"/>
      <c r="AG51" s="367"/>
      <c r="AH51" s="367"/>
      <c r="AI51" s="367"/>
      <c r="AJ51" s="367"/>
      <c r="AK51" s="367"/>
      <c r="AL51" s="367"/>
      <c r="AM51" s="367"/>
      <c r="AN51" s="367"/>
      <c r="AO51" s="86"/>
    </row>
    <row r="52" spans="1:92" ht="15.75">
      <c r="A52" s="367"/>
      <c r="B52" s="850" t="str">
        <f>IF(K!B52&lt;&gt;"",K!B52,)</f>
        <v>Cigarettes</v>
      </c>
      <c r="C52" s="455">
        <f>K!C52</f>
        <v>0</v>
      </c>
      <c r="D52" s="80">
        <f t="shared" si="8"/>
        <v>0</v>
      </c>
      <c r="E52" s="519"/>
      <c r="F52" s="519"/>
      <c r="G52" s="367"/>
      <c r="H52" s="543"/>
      <c r="I52" s="853"/>
      <c r="J52" s="6"/>
      <c r="K52" s="541"/>
      <c r="L52" s="860"/>
      <c r="M52" s="20" t="str">
        <f>IF(J52="","",$M$5-SUM($J$7:J52))</f>
        <v/>
      </c>
      <c r="N52" s="367"/>
      <c r="O52" s="377"/>
      <c r="P52" s="657" t="s">
        <v>397</v>
      </c>
      <c r="Q52" s="22">
        <f>C57</f>
        <v>0</v>
      </c>
      <c r="R52" s="22">
        <f>D57</f>
        <v>0</v>
      </c>
      <c r="S52" s="1098">
        <f>Q52-R52</f>
        <v>0</v>
      </c>
      <c r="T52" s="1099"/>
      <c r="U52" s="649"/>
      <c r="V52" s="371"/>
      <c r="W52" s="370"/>
      <c r="X52" s="367"/>
      <c r="Y52" s="367"/>
      <c r="Z52" s="367"/>
      <c r="AA52" s="367"/>
      <c r="AB52" s="367"/>
      <c r="AC52" s="367"/>
      <c r="AD52" s="367"/>
      <c r="AE52" s="367"/>
      <c r="AF52" s="367"/>
      <c r="AG52" s="367"/>
      <c r="AH52" s="367"/>
      <c r="AI52" s="367"/>
      <c r="AJ52" s="367"/>
      <c r="AK52" s="367"/>
      <c r="AL52" s="367"/>
      <c r="AM52" s="367"/>
      <c r="AN52" s="367"/>
      <c r="AO52" s="86"/>
    </row>
    <row r="53" spans="1:92" ht="15.75">
      <c r="A53" s="367"/>
      <c r="B53" s="850" t="str">
        <f>IF(K!B53&lt;&gt;"",K!B53,)</f>
        <v>Other</v>
      </c>
      <c r="C53" s="455">
        <f>K!C53</f>
        <v>0</v>
      </c>
      <c r="D53" s="80">
        <f t="shared" si="8"/>
        <v>0</v>
      </c>
      <c r="E53" s="519"/>
      <c r="F53" s="519"/>
      <c r="G53" s="367"/>
      <c r="H53" s="543"/>
      <c r="I53" s="853"/>
      <c r="J53" s="6"/>
      <c r="K53" s="541"/>
      <c r="L53" s="860"/>
      <c r="M53" s="20" t="str">
        <f>IF(J53="","",$M$5-SUM($J$7:J53))</f>
        <v/>
      </c>
      <c r="N53" s="1110" t="str">
        <f ca="1">IF(D19&lt;=0,IF(C41&lt;=0,"","Pass positive diff?"),"Pass positive diff?")</f>
        <v/>
      </c>
      <c r="O53" s="1233"/>
      <c r="P53" s="658" t="s">
        <v>308</v>
      </c>
      <c r="Q53" s="150">
        <f>SUM(Q50:Q52)</f>
        <v>0</v>
      </c>
      <c r="R53" s="150">
        <f>SUM(R50:R52)</f>
        <v>0</v>
      </c>
      <c r="S53" s="1100">
        <f>Q53-R53</f>
        <v>0</v>
      </c>
      <c r="T53" s="1101"/>
      <c r="U53" s="788"/>
      <c r="V53" s="371"/>
      <c r="W53" s="371"/>
      <c r="X53" s="367"/>
      <c r="Y53" s="367"/>
      <c r="Z53" s="367"/>
      <c r="AA53" s="367"/>
      <c r="AB53" s="367"/>
      <c r="AC53" s="367"/>
      <c r="AD53" s="367"/>
      <c r="AE53" s="367"/>
      <c r="AF53" s="367"/>
      <c r="AG53" s="367"/>
      <c r="AH53" s="367"/>
      <c r="AI53" s="367"/>
      <c r="AJ53" s="367"/>
      <c r="AK53" s="367"/>
      <c r="AL53" s="367"/>
      <c r="AM53" s="367"/>
      <c r="AN53" s="367"/>
      <c r="AO53" s="86"/>
    </row>
    <row r="54" spans="1:92" ht="15.75">
      <c r="A54" s="367"/>
      <c r="B54" s="850">
        <f>IF(K!B54&lt;&gt;"",K!B54,)</f>
        <v>0</v>
      </c>
      <c r="C54" s="455">
        <f>K!C54</f>
        <v>0</v>
      </c>
      <c r="D54" s="80">
        <f t="shared" si="8"/>
        <v>0</v>
      </c>
      <c r="E54" s="519"/>
      <c r="F54" s="519"/>
      <c r="G54" s="367"/>
      <c r="H54" s="1199" t="s">
        <v>392</v>
      </c>
      <c r="I54" s="855" t="s">
        <v>430</v>
      </c>
      <c r="J54" s="816"/>
      <c r="K54" s="589"/>
      <c r="L54" s="590"/>
      <c r="M54" s="102">
        <f ca="1">M5-D57</f>
        <v>0</v>
      </c>
      <c r="N54" s="1110"/>
      <c r="O54" s="1233"/>
      <c r="P54" s="659" t="s">
        <v>296</v>
      </c>
      <c r="Q54" s="22">
        <f>AA4</f>
        <v>0</v>
      </c>
      <c r="R54" s="22">
        <f>AA17</f>
        <v>0</v>
      </c>
      <c r="S54" s="1096">
        <f>R54-Q54</f>
        <v>0</v>
      </c>
      <c r="T54" s="1097"/>
      <c r="U54" s="647"/>
      <c r="V54" s="371"/>
      <c r="W54" s="371"/>
      <c r="X54" s="367"/>
      <c r="Y54" s="367"/>
      <c r="Z54" s="367"/>
      <c r="AA54" s="367"/>
      <c r="AB54" s="367"/>
      <c r="AC54" s="367"/>
      <c r="AD54" s="367"/>
      <c r="AE54" s="367"/>
      <c r="AF54" s="367"/>
      <c r="AG54" s="367"/>
      <c r="AH54" s="367"/>
      <c r="AI54" s="367"/>
      <c r="AJ54" s="367"/>
      <c r="AK54" s="367"/>
      <c r="AL54" s="367"/>
      <c r="AM54" s="367"/>
      <c r="AN54" s="367"/>
      <c r="AO54" s="86"/>
    </row>
    <row r="55" spans="1:92" ht="16.5" thickBot="1">
      <c r="A55" s="367"/>
      <c r="B55" s="850">
        <f>IF(K!B55&lt;&gt;"",K!B55,)</f>
        <v>0</v>
      </c>
      <c r="C55" s="455">
        <f>K!C55</f>
        <v>0</v>
      </c>
      <c r="D55" s="80">
        <f t="shared" si="8"/>
        <v>0</v>
      </c>
      <c r="E55" s="519"/>
      <c r="F55" s="519"/>
      <c r="G55" s="367"/>
      <c r="H55" s="1200"/>
      <c r="I55" s="856" t="s">
        <v>393</v>
      </c>
      <c r="J55" s="821"/>
      <c r="K55" s="592"/>
      <c r="L55" s="591"/>
      <c r="M55" s="99">
        <f>IF(D19&lt;=0,D19,IF(N55="Yes",D19,0))</f>
        <v>0</v>
      </c>
      <c r="N55" s="438" t="str">
        <f>IF(D19&gt;0,"No","")</f>
        <v/>
      </c>
      <c r="O55" s="377"/>
      <c r="P55" s="660" t="s">
        <v>349</v>
      </c>
      <c r="Q55" s="22">
        <f ca="1">C40</f>
        <v>0</v>
      </c>
      <c r="R55" s="22">
        <f>D40</f>
        <v>0</v>
      </c>
      <c r="S55" s="1144">
        <f ca="1">Q55-R55</f>
        <v>0</v>
      </c>
      <c r="T55" s="1146"/>
      <c r="U55" s="649"/>
      <c r="V55" s="370"/>
      <c r="W55" s="371"/>
      <c r="X55" s="367"/>
      <c r="Y55" s="367"/>
      <c r="Z55" s="367"/>
      <c r="AA55" s="367"/>
      <c r="AB55" s="367"/>
      <c r="AC55" s="367"/>
      <c r="AD55" s="367"/>
      <c r="AE55" s="367"/>
      <c r="AF55" s="367"/>
      <c r="AG55" s="367"/>
      <c r="AH55" s="367"/>
      <c r="AI55" s="367"/>
      <c r="AJ55" s="367"/>
      <c r="AK55" s="367"/>
      <c r="AL55" s="367"/>
      <c r="AM55" s="367"/>
      <c r="AN55" s="367"/>
      <c r="AO55" s="86"/>
      <c r="AP55" s="52" t="s">
        <v>408</v>
      </c>
      <c r="AQ55" s="52" t="s">
        <v>410</v>
      </c>
    </row>
    <row r="56" spans="1:92" ht="16.5" thickBot="1">
      <c r="A56" s="367"/>
      <c r="B56" s="850">
        <f>IF(K!B56&lt;&gt;"",K!B56,)</f>
        <v>0</v>
      </c>
      <c r="C56" s="455">
        <f>K!C56</f>
        <v>0</v>
      </c>
      <c r="D56" s="80">
        <f t="shared" si="8"/>
        <v>0</v>
      </c>
      <c r="E56" s="519"/>
      <c r="F56" s="519"/>
      <c r="G56" s="367"/>
      <c r="H56" s="1201"/>
      <c r="I56" s="1115" t="s">
        <v>394</v>
      </c>
      <c r="J56" s="1116"/>
      <c r="K56" s="587"/>
      <c r="L56" s="594"/>
      <c r="M56" s="1">
        <f ca="1">IF(C41&lt;=0,C41,IF(N56="Yes",C41,0))</f>
        <v>0</v>
      </c>
      <c r="N56" s="438" t="str">
        <f ca="1">IF(C41&gt;0,"No","")</f>
        <v/>
      </c>
      <c r="O56" s="377"/>
      <c r="P56" s="661" t="s">
        <v>179</v>
      </c>
      <c r="Q56" s="662">
        <f ca="1">Q54-Q53-Q55</f>
        <v>0</v>
      </c>
      <c r="R56" s="662">
        <f>R54-R53-R55</f>
        <v>0</v>
      </c>
      <c r="S56" s="1144">
        <f ca="1">SUM(S53:S55)</f>
        <v>0</v>
      </c>
      <c r="T56" s="1145"/>
      <c r="U56" s="647"/>
      <c r="V56" s="371"/>
      <c r="W56" s="371"/>
      <c r="X56" s="367"/>
      <c r="Y56" s="367"/>
      <c r="Z56" s="367"/>
      <c r="AA56" s="367"/>
      <c r="AB56" s="367"/>
      <c r="AC56" s="367"/>
      <c r="AD56" s="367"/>
      <c r="AE56" s="367"/>
      <c r="AF56" s="367"/>
      <c r="AG56" s="367"/>
      <c r="AH56" s="367"/>
      <c r="AI56" s="367"/>
      <c r="AJ56" s="367"/>
      <c r="AK56" s="367"/>
      <c r="AL56" s="367"/>
      <c r="AM56" s="367"/>
      <c r="AN56" s="367"/>
      <c r="AO56" s="86"/>
      <c r="AP56" s="52" t="s">
        <v>409</v>
      </c>
      <c r="AQ56" s="52" t="s">
        <v>411</v>
      </c>
    </row>
    <row r="57" spans="1:92" ht="16.5" thickBot="1">
      <c r="A57" s="367"/>
      <c r="B57" s="16" t="s">
        <v>179</v>
      </c>
      <c r="C57" s="77">
        <f>SUM(C45:C56)</f>
        <v>0</v>
      </c>
      <c r="D57" s="76">
        <f>SUM(D45:D56)</f>
        <v>0</v>
      </c>
      <c r="E57" s="520"/>
      <c r="F57" s="520"/>
      <c r="G57" s="367"/>
      <c r="H57" s="12"/>
      <c r="I57" s="13"/>
      <c r="J57" s="14"/>
      <c r="K57" s="593"/>
      <c r="L57" s="14"/>
      <c r="M57" s="14"/>
      <c r="N57" s="367"/>
      <c r="O57" s="377"/>
      <c r="P57" s="438"/>
      <c r="Q57" s="790"/>
      <c r="R57" s="790"/>
      <c r="S57" s="789"/>
      <c r="T57" s="370"/>
      <c r="U57" s="370"/>
      <c r="V57" s="371"/>
      <c r="W57" s="371"/>
      <c r="X57" s="367"/>
      <c r="Y57" s="367"/>
      <c r="Z57" s="367"/>
      <c r="AA57" s="367"/>
      <c r="AB57" s="367"/>
      <c r="AC57" s="367"/>
      <c r="AD57" s="367"/>
      <c r="AE57" s="367"/>
      <c r="AF57" s="367"/>
      <c r="AG57" s="367"/>
      <c r="AH57" s="367"/>
      <c r="AI57" s="367"/>
      <c r="AJ57" s="367"/>
      <c r="AK57" s="367"/>
      <c r="AL57" s="367"/>
      <c r="AM57" s="367"/>
      <c r="AN57" s="367"/>
      <c r="AO57" s="86"/>
    </row>
    <row r="58" spans="1:92" ht="16.5" customHeight="1" thickBot="1">
      <c r="A58" s="367"/>
      <c r="B58" s="101" t="s">
        <v>367</v>
      </c>
      <c r="C58" s="1113">
        <f>C57-D57</f>
        <v>0</v>
      </c>
      <c r="D58" s="1114"/>
      <c r="E58" s="517"/>
      <c r="F58" s="517"/>
      <c r="G58" s="367"/>
      <c r="H58" s="818" t="s">
        <v>431</v>
      </c>
      <c r="I58" s="817"/>
      <c r="J58" s="817"/>
      <c r="K58" s="588"/>
      <c r="L58" s="588"/>
      <c r="M58" s="103">
        <f ca="1">SUM(M54:M56)</f>
        <v>0</v>
      </c>
      <c r="N58" s="729" t="str">
        <f>AQ55</f>
        <v>Pass</v>
      </c>
      <c r="O58" s="377"/>
      <c r="P58" s="663" t="s">
        <v>400</v>
      </c>
      <c r="Q58" s="664" t="str">
        <f>IF(Z56="","","Expected")</f>
        <v/>
      </c>
      <c r="R58" s="664" t="s">
        <v>398</v>
      </c>
      <c r="S58" s="1236" t="str">
        <f>IF(Z56="","","Diff")</f>
        <v/>
      </c>
      <c r="T58" s="1237"/>
      <c r="U58" s="651"/>
      <c r="V58" s="370"/>
      <c r="W58" s="371"/>
      <c r="X58" s="367"/>
      <c r="Y58" s="367"/>
      <c r="Z58" s="367"/>
      <c r="AA58" s="367"/>
      <c r="AB58" s="367"/>
      <c r="AC58" s="367"/>
      <c r="AD58" s="367"/>
      <c r="AE58" s="367"/>
      <c r="AF58" s="367"/>
      <c r="AG58" s="367"/>
      <c r="AH58" s="367"/>
      <c r="AI58" s="367"/>
      <c r="AJ58" s="367"/>
      <c r="AK58" s="367"/>
      <c r="AL58" s="367"/>
      <c r="AM58" s="367"/>
      <c r="AN58" s="367"/>
      <c r="AO58" s="86"/>
    </row>
    <row r="59" spans="1:92" ht="16.5" thickTop="1" thickBot="1">
      <c r="A59" s="367"/>
      <c r="B59" s="880" t="s">
        <v>382</v>
      </c>
      <c r="C59" s="367"/>
      <c r="D59" s="367"/>
      <c r="E59" s="367"/>
      <c r="F59" s="367"/>
      <c r="G59" s="367"/>
      <c r="H59" s="367"/>
      <c r="I59" s="367"/>
      <c r="J59" s="367"/>
      <c r="K59" s="367"/>
      <c r="L59" s="367"/>
      <c r="M59" s="367"/>
      <c r="N59" s="367"/>
      <c r="O59" s="377"/>
      <c r="P59" s="665" t="s">
        <v>399</v>
      </c>
      <c r="Q59" s="666">
        <f>K!R59+L!R56</f>
        <v>0</v>
      </c>
      <c r="R59" s="667"/>
      <c r="S59" s="1235">
        <f>Q59-R59</f>
        <v>0</v>
      </c>
      <c r="T59" s="1146"/>
      <c r="U59" s="649"/>
      <c r="V59" s="371"/>
      <c r="W59" s="371"/>
      <c r="X59" s="367"/>
      <c r="Y59" s="367"/>
      <c r="Z59" s="367"/>
      <c r="AA59" s="367"/>
      <c r="AB59" s="367"/>
      <c r="AC59" s="367"/>
      <c r="AD59" s="367"/>
      <c r="AE59" s="367"/>
      <c r="AF59" s="367"/>
      <c r="AG59" s="367"/>
      <c r="AH59" s="367"/>
      <c r="AI59" s="367"/>
      <c r="AJ59" s="367"/>
      <c r="AK59" s="367"/>
      <c r="AL59" s="367"/>
      <c r="AM59" s="367"/>
      <c r="AN59" s="367"/>
      <c r="AO59" s="86"/>
    </row>
    <row r="60" spans="1:92" ht="15">
      <c r="A60" s="367"/>
      <c r="B60" s="807" t="s">
        <v>383</v>
      </c>
      <c r="C60" s="367"/>
      <c r="D60" s="882" t="s">
        <v>384</v>
      </c>
      <c r="E60" s="367"/>
      <c r="F60" s="367"/>
      <c r="G60" s="367"/>
      <c r="I60" s="367"/>
      <c r="J60" s="367"/>
      <c r="K60" s="367"/>
      <c r="L60" s="367"/>
      <c r="M60" s="367"/>
      <c r="N60" s="367"/>
      <c r="O60" s="377"/>
      <c r="P60" s="367"/>
      <c r="Q60" s="367"/>
      <c r="R60" s="367"/>
      <c r="S60" s="371"/>
      <c r="T60" s="371"/>
      <c r="U60" s="371"/>
      <c r="V60" s="371"/>
      <c r="W60" s="367"/>
      <c r="X60" s="367"/>
      <c r="Y60" s="367"/>
      <c r="Z60" s="367"/>
      <c r="AA60" s="367"/>
      <c r="AB60" s="367"/>
      <c r="AC60" s="367"/>
      <c r="AD60" s="367"/>
      <c r="AE60" s="367"/>
      <c r="AF60" s="367"/>
      <c r="AG60" s="367"/>
      <c r="AH60" s="367"/>
      <c r="AI60" s="367"/>
      <c r="AJ60" s="367"/>
      <c r="AK60" s="367"/>
      <c r="AL60" s="367"/>
      <c r="AM60" s="367"/>
      <c r="AN60" s="367"/>
      <c r="AO60" s="86"/>
    </row>
    <row r="61" spans="1:92" ht="15.75" collapsed="1" thickBot="1">
      <c r="A61" s="367"/>
      <c r="B61" s="884" t="s">
        <v>385</v>
      </c>
      <c r="C61" s="367"/>
      <c r="D61" s="367"/>
      <c r="E61" s="367"/>
      <c r="F61" s="367"/>
      <c r="G61" s="367"/>
      <c r="I61" s="367"/>
      <c r="K61" s="510"/>
      <c r="L61" s="510"/>
      <c r="M61" s="510"/>
      <c r="N61" s="367"/>
      <c r="O61" s="511"/>
      <c r="Q61" s="367"/>
      <c r="R61" s="367"/>
      <c r="S61" s="371"/>
      <c r="T61" s="371"/>
      <c r="U61" s="371"/>
      <c r="V61" s="371"/>
      <c r="W61" s="367"/>
      <c r="X61" s="367"/>
      <c r="Y61" s="367"/>
      <c r="Z61" s="367"/>
      <c r="AA61" s="367"/>
      <c r="AB61" s="367"/>
      <c r="AC61" s="367"/>
      <c r="AD61" s="367"/>
      <c r="AE61" s="367"/>
      <c r="AF61" s="367"/>
      <c r="AG61" s="367"/>
      <c r="AH61" s="367"/>
      <c r="AI61" s="367"/>
      <c r="AJ61" s="367"/>
      <c r="AK61" s="367"/>
      <c r="AL61" s="367"/>
      <c r="AM61" s="367"/>
      <c r="AN61" s="367"/>
      <c r="AO61" s="86"/>
    </row>
    <row r="62" spans="1:92" ht="15.75" hidden="1" customHeight="1" outlineLevel="1" thickBot="1">
      <c r="A62" s="367"/>
      <c r="B62" s="367"/>
      <c r="C62" s="367"/>
      <c r="D62" s="367"/>
      <c r="E62" s="367"/>
      <c r="F62" s="367"/>
      <c r="G62" s="367"/>
      <c r="H62" s="505"/>
      <c r="I62" s="367"/>
      <c r="J62" s="367"/>
      <c r="K62" s="581"/>
      <c r="L62" s="367"/>
      <c r="M62" s="367"/>
      <c r="N62" s="367"/>
      <c r="O62" s="511"/>
      <c r="P62" s="505"/>
      <c r="Q62" s="367"/>
      <c r="R62" s="367"/>
      <c r="S62" s="371"/>
      <c r="T62" s="371"/>
      <c r="U62" s="371"/>
      <c r="V62" s="631"/>
      <c r="W62" s="367"/>
      <c r="X62" s="367"/>
      <c r="Y62" s="367"/>
      <c r="Z62" s="367"/>
      <c r="AA62" s="367"/>
      <c r="AB62" s="367"/>
      <c r="AC62" s="367"/>
      <c r="AD62" s="367"/>
      <c r="AE62" s="367"/>
      <c r="AF62" s="367"/>
      <c r="AG62" s="367"/>
      <c r="AH62" s="367"/>
      <c r="AI62" s="367"/>
      <c r="AJ62" s="367"/>
      <c r="AK62" s="367"/>
      <c r="AL62" s="367"/>
      <c r="AM62" s="367"/>
      <c r="AN62" s="367"/>
      <c r="AO62" s="86"/>
    </row>
    <row r="63" spans="1:92" s="367" customFormat="1" ht="33.75" hidden="1" customHeight="1" outlineLevel="1">
      <c r="B63" s="1120" t="s">
        <v>388</v>
      </c>
      <c r="C63" s="1122" t="s">
        <v>354</v>
      </c>
      <c r="D63" s="1124" t="s">
        <v>358</v>
      </c>
      <c r="E63" s="1126" t="s">
        <v>380</v>
      </c>
      <c r="F63" s="1127" t="s">
        <v>335</v>
      </c>
      <c r="H63" s="503" t="s">
        <v>356</v>
      </c>
      <c r="I63" s="682" t="s">
        <v>357</v>
      </c>
      <c r="J63" s="812" t="s">
        <v>358</v>
      </c>
      <c r="K63" s="598" t="s">
        <v>380</v>
      </c>
      <c r="L63" s="600" t="s">
        <v>335</v>
      </c>
      <c r="M63" s="504" t="s">
        <v>389</v>
      </c>
      <c r="O63" s="506" t="s">
        <v>356</v>
      </c>
      <c r="P63" s="507" t="s">
        <v>357</v>
      </c>
      <c r="Q63" s="813" t="s">
        <v>358</v>
      </c>
      <c r="R63" s="507" t="s">
        <v>359</v>
      </c>
      <c r="S63" s="814" t="s">
        <v>390</v>
      </c>
      <c r="T63" s="815" t="s">
        <v>391</v>
      </c>
      <c r="U63" s="637" t="s">
        <v>380</v>
      </c>
      <c r="V63" s="616" t="s">
        <v>335</v>
      </c>
      <c r="W63" s="632" t="s">
        <v>389</v>
      </c>
      <c r="AO63" s="86"/>
      <c r="AP63" s="86"/>
      <c r="AQ63" s="86"/>
      <c r="AR63" s="86"/>
      <c r="AS63" s="86"/>
      <c r="AT63" s="86"/>
      <c r="AU63" s="86"/>
      <c r="AV63" s="86"/>
      <c r="AW63" s="86"/>
      <c r="AX63" s="86"/>
      <c r="AY63" s="86"/>
      <c r="CM63" s="86"/>
      <c r="CN63" s="86"/>
    </row>
    <row r="64" spans="1:92" s="367" customFormat="1" ht="15" hidden="1" customHeight="1" outlineLevel="1">
      <c r="B64" s="1121"/>
      <c r="C64" s="1123"/>
      <c r="D64" s="1125"/>
      <c r="E64" s="1126"/>
      <c r="F64" s="1127"/>
      <c r="H64" s="543"/>
      <c r="I64" s="853"/>
      <c r="J64" s="6"/>
      <c r="K64" s="541"/>
      <c r="L64" s="860"/>
      <c r="M64" s="20" t="str">
        <f>IF(J64="","",$M$5-SUM($J$7:J64))</f>
        <v/>
      </c>
      <c r="O64" s="106"/>
      <c r="P64" s="871">
        <f>IF(K!Q64&lt;&gt;K!R64,IF(K!Q64&lt;&gt;0,IF(K!S64&lt;&gt;K!T64,K!P64,),),)</f>
        <v>0</v>
      </c>
      <c r="Q64" s="795">
        <f>IF(K!Q64&lt;&gt;K!R64,IF(K!Q64&lt;&gt;0,IF(K!S64&lt;&gt;K!T64,K!Q64,),),)</f>
        <v>0</v>
      </c>
      <c r="R64" s="628">
        <f>IF(K!Q64&lt;&gt;K!R64,IF(K!Q64&lt;&gt;0,IF(K!S64&lt;&gt;K!T64,0,Q64),Q64),Q64)</f>
        <v>0</v>
      </c>
      <c r="S64" s="796">
        <f>IF(K!Q64&lt;&gt;K!R64,IF(K!Q64&lt;&gt;0,IF(K!S64&lt;&gt;K!T64,K!S64+1,),),)</f>
        <v>0</v>
      </c>
      <c r="T64" s="796">
        <f>IF(K!Q64&lt;&gt;K!R64,IF(K!Q64&lt;&gt;0,IF(K!S64&lt;&gt;K!T64,K!T64,),),)</f>
        <v>0</v>
      </c>
      <c r="U64" s="797">
        <f>IF(K!Q64&lt;&gt;K!R64,IF(K!Q64&lt;&gt;0,IF(K!S64&lt;&gt;K!T64,K!U64,),),)</f>
        <v>0</v>
      </c>
      <c r="V64" s="875">
        <f>IF(K!Q64&lt;&gt;K!R64,IF(K!Q64&lt;&gt;0,IF(K!S64&lt;&gt;K!T64,K!V64,),),)</f>
        <v>0</v>
      </c>
      <c r="W64" s="633">
        <f>IF(Q64="","",$W$5-SUM($Q$7:$Q$45)-SUM($Q$64:Q64))</f>
        <v>0</v>
      </c>
      <c r="AO64" s="86"/>
      <c r="AP64" s="86"/>
      <c r="AQ64" s="86"/>
      <c r="AR64" s="86"/>
      <c r="AS64" s="86"/>
      <c r="AT64" s="86"/>
      <c r="AU64" s="86"/>
      <c r="AV64" s="86"/>
      <c r="AW64" s="86"/>
      <c r="AX64" s="86"/>
      <c r="AY64" s="86"/>
      <c r="CM64" s="86"/>
      <c r="CN64" s="86"/>
    </row>
    <row r="65" spans="2:92" s="367" customFormat="1" ht="15" hidden="1" customHeight="1" outlineLevel="1">
      <c r="B65" s="852">
        <f ca="1">IF(K!B65&lt;&gt;"",K!B65,)</f>
        <v>0</v>
      </c>
      <c r="C65" s="454">
        <f ca="1">K!C65</f>
        <v>0</v>
      </c>
      <c r="D65" s="74"/>
      <c r="E65" s="521"/>
      <c r="F65" s="858"/>
      <c r="H65" s="543"/>
      <c r="I65" s="853"/>
      <c r="J65" s="6"/>
      <c r="K65" s="541"/>
      <c r="L65" s="860"/>
      <c r="M65" s="20" t="str">
        <f>IF(J65="","",$M$5-SUM($J$7:J65))</f>
        <v/>
      </c>
      <c r="O65" s="7"/>
      <c r="P65" s="872">
        <f>IF(K!Q65&lt;&gt;K!R65,IF(K!Q65&lt;&gt;0,IF(K!S65&lt;&gt;K!T65,K!P65,),),)</f>
        <v>0</v>
      </c>
      <c r="Q65" s="795">
        <f>IF(K!Q65&lt;&gt;K!R65,IF(K!Q65&lt;&gt;0,IF(K!S65&lt;&gt;K!T65,K!Q65,),),)</f>
        <v>0</v>
      </c>
      <c r="R65" s="628">
        <f>IF(K!Q65&lt;&gt;K!R65,IF(K!Q65&lt;&gt;0,IF(K!S65&lt;&gt;K!T65,0,Q65),Q65),Q65)</f>
        <v>0</v>
      </c>
      <c r="S65" s="796">
        <f>IF(K!Q65&lt;&gt;K!R65,IF(K!Q65&lt;&gt;0,IF(K!S65&lt;&gt;K!T65,K!S65+1,),),)</f>
        <v>0</v>
      </c>
      <c r="T65" s="796">
        <f>IF(K!Q65&lt;&gt;K!R65,IF(K!Q65&lt;&gt;0,IF(K!S65&lt;&gt;K!T65,K!T65,),),)</f>
        <v>0</v>
      </c>
      <c r="U65" s="797">
        <f>IF(K!Q65&lt;&gt;K!R65,IF(K!Q65&lt;&gt;0,IF(K!S65&lt;&gt;K!T65,K!U65,),),)</f>
        <v>0</v>
      </c>
      <c r="V65" s="875">
        <f>IF(K!Q65&lt;&gt;K!R65,IF(K!Q65&lt;&gt;0,IF(K!S65&lt;&gt;K!T65,K!V65,),),)</f>
        <v>0</v>
      </c>
      <c r="W65" s="633">
        <f>IF(Q65="","",$W$5-SUM($Q$7:$Q$45)-SUM($Q$64:Q65))</f>
        <v>0</v>
      </c>
      <c r="AO65" s="86"/>
      <c r="AP65" s="86"/>
      <c r="AQ65" s="86"/>
      <c r="AR65" s="86"/>
      <c r="AS65" s="86"/>
      <c r="AT65" s="86"/>
      <c r="AU65" s="86"/>
      <c r="AV65" s="86"/>
      <c r="AW65" s="86"/>
      <c r="AX65" s="86"/>
      <c r="AY65" s="86"/>
      <c r="CM65" s="86"/>
      <c r="CN65" s="86"/>
    </row>
    <row r="66" spans="2:92" s="367" customFormat="1" ht="15.75" hidden="1" customHeight="1" outlineLevel="1">
      <c r="B66" s="852">
        <f ca="1">IF(K!B66&lt;&gt;"",K!B66,)</f>
        <v>0</v>
      </c>
      <c r="C66" s="454">
        <f ca="1">K!C66</f>
        <v>0</v>
      </c>
      <c r="D66" s="74"/>
      <c r="E66" s="521"/>
      <c r="F66" s="858"/>
      <c r="H66" s="543"/>
      <c r="I66" s="853"/>
      <c r="J66" s="6"/>
      <c r="K66" s="541"/>
      <c r="L66" s="860"/>
      <c r="M66" s="20" t="str">
        <f>IF(J66="","",$M$5-SUM($J$7:J66))</f>
        <v/>
      </c>
      <c r="O66" s="7"/>
      <c r="P66" s="871">
        <f>IF(K!Q66&lt;&gt;K!R66,IF(K!Q66&lt;&gt;0,IF(K!S66&lt;&gt;K!T66,K!P66,),),)</f>
        <v>0</v>
      </c>
      <c r="Q66" s="795">
        <f>IF(K!Q66&lt;&gt;K!R66,IF(K!Q66&lt;&gt;0,IF(K!S66&lt;&gt;K!T66,K!Q66,),),)</f>
        <v>0</v>
      </c>
      <c r="R66" s="628">
        <f>IF(K!Q66&lt;&gt;K!R66,IF(K!Q66&lt;&gt;0,IF(K!S66&lt;&gt;K!T66,0,Q66),Q66),Q66)</f>
        <v>0</v>
      </c>
      <c r="S66" s="796">
        <f>IF(K!Q66&lt;&gt;K!R66,IF(K!Q66&lt;&gt;0,IF(K!S66&lt;&gt;K!T66,K!S66+1,),),)</f>
        <v>0</v>
      </c>
      <c r="T66" s="796">
        <f>IF(K!Q66&lt;&gt;K!R66,IF(K!Q66&lt;&gt;0,IF(K!S66&lt;&gt;K!T66,K!T66,),),)</f>
        <v>0</v>
      </c>
      <c r="U66" s="797">
        <f>IF(K!Q66&lt;&gt;K!R66,IF(K!Q66&lt;&gt;0,IF(K!S66&lt;&gt;K!T66,K!U66,),),)</f>
        <v>0</v>
      </c>
      <c r="V66" s="875">
        <f>IF(K!Q66&lt;&gt;K!R66,IF(K!Q66&lt;&gt;0,IF(K!S66&lt;&gt;K!T66,K!V66,),),)</f>
        <v>0</v>
      </c>
      <c r="W66" s="633">
        <f>IF(Q66="","",$W$5-SUM($Q$7:$Q$45)-SUM($Q$64:Q66))</f>
        <v>0</v>
      </c>
      <c r="AO66" s="86"/>
      <c r="AP66" s="86"/>
      <c r="AQ66" s="86"/>
      <c r="AR66" s="86"/>
      <c r="AS66" s="86"/>
      <c r="AT66" s="86"/>
      <c r="AU66" s="86"/>
      <c r="AV66" s="86"/>
      <c r="AW66" s="86"/>
      <c r="AX66" s="86"/>
      <c r="AY66" s="86"/>
      <c r="CM66" s="86"/>
      <c r="CN66" s="86"/>
    </row>
    <row r="67" spans="2:92" s="367" customFormat="1" ht="15.75" hidden="1" customHeight="1" outlineLevel="1">
      <c r="B67" s="852">
        <f ca="1">IF(K!B67&lt;&gt;"",K!B67,)</f>
        <v>0</v>
      </c>
      <c r="C67" s="454">
        <f ca="1">K!C67</f>
        <v>0</v>
      </c>
      <c r="D67" s="74"/>
      <c r="E67" s="521"/>
      <c r="F67" s="858"/>
      <c r="H67" s="543"/>
      <c r="I67" s="853"/>
      <c r="J67" s="6"/>
      <c r="K67" s="541"/>
      <c r="L67" s="860"/>
      <c r="M67" s="20" t="str">
        <f>IF(J67="","",$M$5-SUM($J$7:J67))</f>
        <v/>
      </c>
      <c r="O67" s="7"/>
      <c r="P67" s="871">
        <f>IF(K!Q67&lt;&gt;K!R67,IF(K!Q67&lt;&gt;0,IF(K!S67&lt;&gt;K!T67,K!P67,),),)</f>
        <v>0</v>
      </c>
      <c r="Q67" s="798">
        <f>IF(K!Q67&lt;&gt;K!R67,IF(K!Q67&lt;&gt;0,IF(K!S67&lt;&gt;K!T67,K!Q67,),),)</f>
        <v>0</v>
      </c>
      <c r="R67" s="628">
        <f>IF(K!Q67&lt;&gt;K!R67,IF(K!Q67&lt;&gt;0,IF(K!S67&lt;&gt;K!T67,0,Q67),Q67),Q67)</f>
        <v>0</v>
      </c>
      <c r="S67" s="796">
        <f>IF(K!Q67&lt;&gt;K!R67,IF(K!Q67&lt;&gt;0,IF(K!S67&lt;&gt;K!T67,K!S67+1,),),)</f>
        <v>0</v>
      </c>
      <c r="T67" s="796">
        <f>IF(K!Q67&lt;&gt;K!R67,IF(K!Q67&lt;&gt;0,IF(K!S67&lt;&gt;K!T67,K!T67,),),)</f>
        <v>0</v>
      </c>
      <c r="U67" s="797">
        <f>IF(K!Q67&lt;&gt;K!R67,IF(K!Q67&lt;&gt;0,IF(K!S67&lt;&gt;K!T67,K!U67,),),)</f>
        <v>0</v>
      </c>
      <c r="V67" s="875">
        <f>IF(K!Q67&lt;&gt;K!R67,IF(K!Q67&lt;&gt;0,IF(K!S67&lt;&gt;K!T67,K!V67,),),)</f>
        <v>0</v>
      </c>
      <c r="W67" s="633">
        <f>IF(Q67="","",$W$5-SUM($Q$7:$Q$45)-SUM($Q$64:Q67))</f>
        <v>0</v>
      </c>
      <c r="AO67" s="86"/>
      <c r="AP67" s="86"/>
      <c r="AQ67" s="86"/>
      <c r="AR67" s="86"/>
      <c r="AS67" s="86"/>
      <c r="AT67" s="86"/>
      <c r="AU67" s="86"/>
      <c r="AV67" s="86"/>
      <c r="AW67" s="86"/>
      <c r="AX67" s="86"/>
      <c r="AY67" s="86"/>
      <c r="CM67" s="86"/>
      <c r="CN67" s="86"/>
    </row>
    <row r="68" spans="2:92" s="367" customFormat="1" ht="15.75" hidden="1" customHeight="1" outlineLevel="1">
      <c r="B68" s="852">
        <f ca="1">IF(K!B68&lt;&gt;"",K!B68,)</f>
        <v>0</v>
      </c>
      <c r="C68" s="454">
        <f ca="1">K!C68</f>
        <v>0</v>
      </c>
      <c r="D68" s="74"/>
      <c r="E68" s="521"/>
      <c r="F68" s="858"/>
      <c r="H68" s="543"/>
      <c r="I68" s="853"/>
      <c r="J68" s="6"/>
      <c r="K68" s="541"/>
      <c r="L68" s="860"/>
      <c r="M68" s="20" t="str">
        <f>IF(J68="","",$M$5-SUM($J$7:J68))</f>
        <v/>
      </c>
      <c r="O68" s="7"/>
      <c r="P68" s="871">
        <f>IF(K!Q68&lt;&gt;K!R68,IF(K!Q68&lt;&gt;0,IF(K!S68&lt;&gt;K!T68,K!P68,),),)</f>
        <v>0</v>
      </c>
      <c r="Q68" s="795">
        <f>IF(K!Q68&lt;&gt;K!R68,IF(K!Q68&lt;&gt;0,IF(K!S68&lt;&gt;K!T68,K!Q68,),),)</f>
        <v>0</v>
      </c>
      <c r="R68" s="628">
        <f>IF(K!Q68&lt;&gt;K!R68,IF(K!Q68&lt;&gt;0,IF(K!S68&lt;&gt;K!T68,0,Q68),Q68),Q68)</f>
        <v>0</v>
      </c>
      <c r="S68" s="796">
        <f>IF(K!Q68&lt;&gt;K!R68,IF(K!Q68&lt;&gt;0,IF(K!S68&lt;&gt;K!T68,K!S68+1,),),)</f>
        <v>0</v>
      </c>
      <c r="T68" s="796">
        <f>IF(K!Q68&lt;&gt;K!R68,IF(K!Q68&lt;&gt;0,IF(K!S68&lt;&gt;K!T68,K!T68,),),)</f>
        <v>0</v>
      </c>
      <c r="U68" s="797">
        <f>IF(K!Q68&lt;&gt;K!R68,IF(K!Q68&lt;&gt;0,IF(K!S68&lt;&gt;K!T68,K!U68,),),)</f>
        <v>0</v>
      </c>
      <c r="V68" s="875">
        <f>IF(K!Q68&lt;&gt;K!R68,IF(K!Q68&lt;&gt;0,IF(K!S68&lt;&gt;K!T68,K!V68,),),)</f>
        <v>0</v>
      </c>
      <c r="W68" s="633">
        <f>IF(Q68="","",$W$5-SUM($Q$7:$Q$45)-SUM($Q$64:Q68))</f>
        <v>0</v>
      </c>
      <c r="AO68" s="86"/>
      <c r="AP68" s="86"/>
      <c r="AQ68" s="86"/>
      <c r="AR68" s="86"/>
      <c r="AS68" s="86"/>
      <c r="AT68" s="86"/>
      <c r="AU68" s="86"/>
      <c r="AV68" s="86"/>
      <c r="AW68" s="86"/>
      <c r="AX68" s="86"/>
      <c r="AY68" s="86"/>
      <c r="CM68" s="86"/>
      <c r="CN68" s="86"/>
    </row>
    <row r="69" spans="2:92" s="367" customFormat="1" ht="15.75" hidden="1" customHeight="1" outlineLevel="1">
      <c r="B69" s="852">
        <f ca="1">IF(K!B69&lt;&gt;"",K!B69,)</f>
        <v>0</v>
      </c>
      <c r="C69" s="454">
        <f ca="1">K!C69</f>
        <v>0</v>
      </c>
      <c r="D69" s="74"/>
      <c r="E69" s="521"/>
      <c r="F69" s="858"/>
      <c r="H69" s="543"/>
      <c r="I69" s="853"/>
      <c r="J69" s="6"/>
      <c r="K69" s="541"/>
      <c r="L69" s="860"/>
      <c r="M69" s="20" t="str">
        <f>IF(J69="","",$M$5-SUM($J$7:J69))</f>
        <v/>
      </c>
      <c r="O69" s="7"/>
      <c r="P69" s="871">
        <f>IF(K!Q69&lt;&gt;K!R69,IF(K!Q69&lt;&gt;0,IF(K!S69&lt;&gt;K!T69,K!P69,),),)</f>
        <v>0</v>
      </c>
      <c r="Q69" s="795">
        <f>IF(K!Q69&lt;&gt;K!R69,IF(K!Q69&lt;&gt;0,IF(K!S69&lt;&gt;K!T69,K!Q69,),),)</f>
        <v>0</v>
      </c>
      <c r="R69" s="628">
        <f>IF(K!Q69&lt;&gt;K!R69,IF(K!Q69&lt;&gt;0,IF(K!S69&lt;&gt;K!T69,0,Q69),Q69),Q69)</f>
        <v>0</v>
      </c>
      <c r="S69" s="796">
        <f>IF(K!Q69&lt;&gt;K!R69,IF(K!Q69&lt;&gt;0,IF(K!S69&lt;&gt;K!T69,K!S69+1,),),)</f>
        <v>0</v>
      </c>
      <c r="T69" s="796">
        <f>IF(K!Q69&lt;&gt;K!R69,IF(K!Q69&lt;&gt;0,IF(K!S69&lt;&gt;K!T69,K!T69,),),)</f>
        <v>0</v>
      </c>
      <c r="U69" s="797">
        <f>IF(K!Q69&lt;&gt;K!R69,IF(K!Q69&lt;&gt;0,IF(K!S69&lt;&gt;K!T69,K!U69,),),)</f>
        <v>0</v>
      </c>
      <c r="V69" s="875">
        <f>IF(K!Q69&lt;&gt;K!R69,IF(K!Q69&lt;&gt;0,IF(K!S69&lt;&gt;K!T69,K!V69,),),)</f>
        <v>0</v>
      </c>
      <c r="W69" s="633">
        <f>IF(Q69="","",$W$5-SUM($Q$7:$Q$45)-SUM($Q$64:Q69))</f>
        <v>0</v>
      </c>
      <c r="AO69" s="86"/>
      <c r="AP69" s="86"/>
      <c r="AQ69" s="86"/>
      <c r="AR69" s="86"/>
      <c r="AS69" s="86"/>
      <c r="AT69" s="86"/>
      <c r="AU69" s="86"/>
      <c r="AV69" s="86"/>
      <c r="AW69" s="86"/>
      <c r="AX69" s="86"/>
      <c r="AY69" s="86"/>
      <c r="CM69" s="86"/>
      <c r="CN69" s="86"/>
    </row>
    <row r="70" spans="2:92" s="367" customFormat="1" ht="15.75" hidden="1" customHeight="1" outlineLevel="1">
      <c r="B70" s="852">
        <f ca="1">IF(K!B70&lt;&gt;"",K!B70,)</f>
        <v>0</v>
      </c>
      <c r="C70" s="454">
        <f ca="1">K!C70</f>
        <v>0</v>
      </c>
      <c r="D70" s="74"/>
      <c r="E70" s="521"/>
      <c r="F70" s="858"/>
      <c r="H70" s="543"/>
      <c r="I70" s="853"/>
      <c r="J70" s="6"/>
      <c r="K70" s="541"/>
      <c r="L70" s="860"/>
      <c r="M70" s="20" t="str">
        <f>IF(J70="","",$M$5-SUM($J$7:J70))</f>
        <v/>
      </c>
      <c r="O70" s="7"/>
      <c r="P70" s="871">
        <f>IF(K!Q70&lt;&gt;K!R70,IF(K!Q70&lt;&gt;0,IF(K!S70&lt;&gt;K!T70,K!P70,),),)</f>
        <v>0</v>
      </c>
      <c r="Q70" s="795">
        <f>IF(K!Q70&lt;&gt;K!R70,IF(K!Q70&lt;&gt;0,IF(K!S70&lt;&gt;K!T70,K!Q70,),),)</f>
        <v>0</v>
      </c>
      <c r="R70" s="628">
        <f>IF(K!Q70&lt;&gt;K!R70,IF(K!Q70&lt;&gt;0,IF(K!S70&lt;&gt;K!T70,0,Q70),Q70),Q70)</f>
        <v>0</v>
      </c>
      <c r="S70" s="796">
        <f>IF(K!Q70&lt;&gt;K!R70,IF(K!Q70&lt;&gt;0,IF(K!S70&lt;&gt;K!T70,K!S70+1,),),)</f>
        <v>0</v>
      </c>
      <c r="T70" s="796">
        <f>IF(K!Q70&lt;&gt;K!R70,IF(K!Q70&lt;&gt;0,IF(K!S70&lt;&gt;K!T70,K!T70,),),)</f>
        <v>0</v>
      </c>
      <c r="U70" s="797">
        <f>IF(K!Q70&lt;&gt;K!R70,IF(K!Q70&lt;&gt;0,IF(K!S70&lt;&gt;K!T70,K!U70,),),)</f>
        <v>0</v>
      </c>
      <c r="V70" s="875">
        <f>IF(K!Q70&lt;&gt;K!R70,IF(K!Q70&lt;&gt;0,IF(K!S70&lt;&gt;K!T70,K!V70,),),)</f>
        <v>0</v>
      </c>
      <c r="W70" s="633">
        <f>IF(Q70="","",$W$5-SUM($Q$7:$Q$45)-SUM($Q$64:Q70))</f>
        <v>0</v>
      </c>
      <c r="AO70" s="86"/>
      <c r="AP70" s="86"/>
      <c r="AQ70" s="86"/>
      <c r="AR70" s="86"/>
      <c r="AS70" s="86"/>
      <c r="AT70" s="86"/>
      <c r="AU70" s="86"/>
      <c r="AV70" s="86"/>
      <c r="AW70" s="86"/>
      <c r="AX70" s="86"/>
      <c r="AY70" s="86"/>
      <c r="CM70" s="86"/>
      <c r="CN70" s="86"/>
    </row>
    <row r="71" spans="2:92" s="367" customFormat="1" ht="15.75" hidden="1" customHeight="1" outlineLevel="1">
      <c r="B71" s="852">
        <f ca="1">IF(K!B71&lt;&gt;"",K!B71,)</f>
        <v>0</v>
      </c>
      <c r="C71" s="454">
        <f ca="1">K!C71</f>
        <v>0</v>
      </c>
      <c r="D71" s="74"/>
      <c r="E71" s="521"/>
      <c r="F71" s="858"/>
      <c r="H71" s="543"/>
      <c r="I71" s="853"/>
      <c r="J71" s="6"/>
      <c r="K71" s="541"/>
      <c r="L71" s="860"/>
      <c r="M71" s="20" t="str">
        <f>IF(J71="","",$M$5-SUM($J$7:J71))</f>
        <v/>
      </c>
      <c r="O71" s="7"/>
      <c r="P71" s="871">
        <f>IF(K!Q71&lt;&gt;K!R71,IF(K!Q71&lt;&gt;0,IF(K!S71&lt;&gt;K!T71,K!P71,),),)</f>
        <v>0</v>
      </c>
      <c r="Q71" s="795">
        <f>IF(K!Q71&lt;&gt;K!R71,IF(K!Q71&lt;&gt;0,IF(K!S71&lt;&gt;K!T71,K!Q71,),),)</f>
        <v>0</v>
      </c>
      <c r="R71" s="628">
        <f>IF(K!Q71&lt;&gt;K!R71,IF(K!Q71&lt;&gt;0,IF(K!S71&lt;&gt;K!T71,0,Q71),Q71),Q71)</f>
        <v>0</v>
      </c>
      <c r="S71" s="796">
        <f>IF(K!Q71&lt;&gt;K!R71,IF(K!Q71&lt;&gt;0,IF(K!S71&lt;&gt;K!T71,K!S71+1,),),)</f>
        <v>0</v>
      </c>
      <c r="T71" s="796">
        <f>IF(K!Q71&lt;&gt;K!R71,IF(K!Q71&lt;&gt;0,IF(K!S71&lt;&gt;K!T71,K!T71,),),)</f>
        <v>0</v>
      </c>
      <c r="U71" s="797">
        <f>IF(K!Q71&lt;&gt;K!R71,IF(K!Q71&lt;&gt;0,IF(K!S71&lt;&gt;K!T71,K!U71,),),)</f>
        <v>0</v>
      </c>
      <c r="V71" s="875">
        <f>IF(K!Q71&lt;&gt;K!R71,IF(K!Q71&lt;&gt;0,IF(K!S71&lt;&gt;K!T71,K!V71,),),)</f>
        <v>0</v>
      </c>
      <c r="W71" s="633">
        <f>IF(Q71="","",$W$5-SUM($Q$7:$Q$45)-SUM($Q$64:Q71))</f>
        <v>0</v>
      </c>
      <c r="AO71" s="86"/>
      <c r="AP71" s="86"/>
      <c r="AQ71" s="86"/>
      <c r="AR71" s="86"/>
      <c r="AS71" s="86"/>
      <c r="AT71" s="86"/>
      <c r="AU71" s="86"/>
      <c r="AV71" s="86"/>
      <c r="AW71" s="86"/>
      <c r="AX71" s="86"/>
      <c r="AY71" s="86"/>
      <c r="CM71" s="86"/>
      <c r="CN71" s="86"/>
    </row>
    <row r="72" spans="2:92" s="367" customFormat="1" ht="15.75" hidden="1" customHeight="1" outlineLevel="1">
      <c r="B72" s="852">
        <f ca="1">IF(K!B72&lt;&gt;"",K!B72,)</f>
        <v>0</v>
      </c>
      <c r="C72" s="454">
        <f ca="1">K!C72</f>
        <v>0</v>
      </c>
      <c r="D72" s="74"/>
      <c r="E72" s="521"/>
      <c r="F72" s="858"/>
      <c r="H72" s="543"/>
      <c r="I72" s="853"/>
      <c r="J72" s="6"/>
      <c r="K72" s="541"/>
      <c r="L72" s="860"/>
      <c r="M72" s="20" t="str">
        <f>IF(J72="","",$M$5-SUM($J$7:J72))</f>
        <v/>
      </c>
      <c r="O72" s="7"/>
      <c r="P72" s="871">
        <f>IF(K!Q72&lt;&gt;K!R72,IF(K!Q72&lt;&gt;0,IF(K!S72&lt;&gt;K!T72,K!P72,),),)</f>
        <v>0</v>
      </c>
      <c r="Q72" s="795">
        <f>IF(K!Q72&lt;&gt;K!R72,IF(K!Q72&lt;&gt;0,IF(K!S72&lt;&gt;K!T72,K!Q72,),),)</f>
        <v>0</v>
      </c>
      <c r="R72" s="628">
        <f>IF(K!Q72&lt;&gt;K!R72,IF(K!Q72&lt;&gt;0,IF(K!S72&lt;&gt;K!T72,0,Q72),Q72),Q72)</f>
        <v>0</v>
      </c>
      <c r="S72" s="796">
        <f>IF(K!Q72&lt;&gt;K!R72,IF(K!Q72&lt;&gt;0,IF(K!S72&lt;&gt;K!T72,K!S72+1,),),)</f>
        <v>0</v>
      </c>
      <c r="T72" s="796">
        <f>IF(K!Q72&lt;&gt;K!R72,IF(K!Q72&lt;&gt;0,IF(K!S72&lt;&gt;K!T72,K!T72,),),)</f>
        <v>0</v>
      </c>
      <c r="U72" s="797">
        <f>IF(K!Q72&lt;&gt;K!R72,IF(K!Q72&lt;&gt;0,IF(K!S72&lt;&gt;K!T72,K!U72,),),)</f>
        <v>0</v>
      </c>
      <c r="V72" s="875">
        <f>IF(K!Q72&lt;&gt;K!R72,IF(K!Q72&lt;&gt;0,IF(K!S72&lt;&gt;K!T72,K!V72,),),)</f>
        <v>0</v>
      </c>
      <c r="W72" s="633">
        <f>IF(Q72="","",$W$5-SUM($Q$7:$Q$45)-SUM($Q$64:Q72))</f>
        <v>0</v>
      </c>
      <c r="AO72" s="86"/>
      <c r="AP72" s="86"/>
      <c r="AQ72" s="86"/>
      <c r="AR72" s="86"/>
      <c r="AS72" s="86"/>
      <c r="AT72" s="86"/>
      <c r="AU72" s="86"/>
      <c r="AV72" s="86"/>
      <c r="AW72" s="86"/>
      <c r="AX72" s="86"/>
      <c r="AY72" s="86"/>
      <c r="CM72" s="86"/>
      <c r="CN72" s="86"/>
    </row>
    <row r="73" spans="2:92" s="367" customFormat="1" ht="15.75" hidden="1" customHeight="1" outlineLevel="1">
      <c r="B73" s="852">
        <f ca="1">IF(K!B73&lt;&gt;"",K!B73,)</f>
        <v>0</v>
      </c>
      <c r="C73" s="454">
        <f ca="1">K!C73</f>
        <v>0</v>
      </c>
      <c r="D73" s="74"/>
      <c r="E73" s="521"/>
      <c r="F73" s="858"/>
      <c r="H73" s="543"/>
      <c r="I73" s="853"/>
      <c r="J73" s="6"/>
      <c r="K73" s="541"/>
      <c r="L73" s="860"/>
      <c r="M73" s="20" t="str">
        <f>IF(J73="","",$M$5-SUM($J$7:J73))</f>
        <v/>
      </c>
      <c r="O73" s="7"/>
      <c r="P73" s="873">
        <f>IF(K!Q73&lt;&gt;K!R73,IF(K!Q73&lt;&gt;0,IF(K!S73&lt;&gt;K!T73,K!P73,),),)</f>
        <v>0</v>
      </c>
      <c r="Q73" s="795">
        <f>IF(K!Q73&lt;&gt;K!R73,IF(K!Q73&lt;&gt;0,IF(K!S73&lt;&gt;K!T73,K!Q73,),),)</f>
        <v>0</v>
      </c>
      <c r="R73" s="628">
        <f>IF(K!Q73&lt;&gt;K!R73,IF(K!Q73&lt;&gt;0,IF(K!S73&lt;&gt;K!T73,0,Q73),Q73),Q73)</f>
        <v>0</v>
      </c>
      <c r="S73" s="796">
        <f>IF(K!Q73&lt;&gt;K!R73,IF(K!Q73&lt;&gt;0,IF(K!S73&lt;&gt;K!T73,K!S73+1,),),)</f>
        <v>0</v>
      </c>
      <c r="T73" s="796">
        <f>IF(K!Q73&lt;&gt;K!R73,IF(K!Q73&lt;&gt;0,IF(K!S73&lt;&gt;K!T73,K!T73,),),)</f>
        <v>0</v>
      </c>
      <c r="U73" s="797">
        <f>IF(K!Q73&lt;&gt;K!R73,IF(K!Q73&lt;&gt;0,IF(K!S73&lt;&gt;K!T73,K!U73,),),)</f>
        <v>0</v>
      </c>
      <c r="V73" s="875">
        <f>IF(K!Q73&lt;&gt;K!R73,IF(K!Q73&lt;&gt;0,IF(K!S73&lt;&gt;K!T73,K!V73,),),)</f>
        <v>0</v>
      </c>
      <c r="W73" s="633">
        <f>IF(Q73="","",$W$5-SUM($Q$7:$Q$45)-SUM($Q$64:Q73))</f>
        <v>0</v>
      </c>
      <c r="AO73" s="86"/>
      <c r="AP73" s="86"/>
      <c r="AQ73" s="86"/>
      <c r="AR73" s="86"/>
      <c r="AS73" s="86"/>
      <c r="AT73" s="86"/>
      <c r="AU73" s="86"/>
      <c r="AV73" s="86"/>
      <c r="AW73" s="86"/>
      <c r="AX73" s="86"/>
      <c r="AY73" s="86"/>
      <c r="CM73" s="86"/>
      <c r="CN73" s="86"/>
    </row>
    <row r="74" spans="2:92" s="367" customFormat="1" ht="15.75" hidden="1" customHeight="1" outlineLevel="1">
      <c r="B74" s="852">
        <f ca="1">IF(K!B74&lt;&gt;"",K!B74,)</f>
        <v>0</v>
      </c>
      <c r="C74" s="454">
        <f ca="1">K!C74</f>
        <v>0</v>
      </c>
      <c r="D74" s="74"/>
      <c r="E74" s="521"/>
      <c r="F74" s="858"/>
      <c r="H74" s="543"/>
      <c r="I74" s="853"/>
      <c r="J74" s="6"/>
      <c r="K74" s="541"/>
      <c r="L74" s="860"/>
      <c r="M74" s="20" t="str">
        <f>IF(J74="","",$M$5-SUM($J$7:J74))</f>
        <v/>
      </c>
      <c r="O74" s="7"/>
      <c r="P74" s="871">
        <f>IF(K!Q74&lt;&gt;K!R74,IF(K!Q74&lt;&gt;0,IF(K!S74&lt;&gt;K!T74,K!P74,),),)</f>
        <v>0</v>
      </c>
      <c r="Q74" s="795">
        <f>IF(K!Q74&lt;&gt;K!R74,IF(K!Q74&lt;&gt;0,IF(K!S74&lt;&gt;K!T74,K!Q74,),),)</f>
        <v>0</v>
      </c>
      <c r="R74" s="628">
        <f>IF(K!Q74&lt;&gt;K!R74,IF(K!Q74&lt;&gt;0,IF(K!S74&lt;&gt;K!T74,0,Q74),Q74),Q74)</f>
        <v>0</v>
      </c>
      <c r="S74" s="796">
        <f>IF(K!Q74&lt;&gt;K!R74,IF(K!Q74&lt;&gt;0,IF(K!S74&lt;&gt;K!T74,K!S74+1,),),)</f>
        <v>0</v>
      </c>
      <c r="T74" s="796">
        <f>IF(K!Q74&lt;&gt;K!R74,IF(K!Q74&lt;&gt;0,IF(K!S74&lt;&gt;K!T74,K!T74,),),)</f>
        <v>0</v>
      </c>
      <c r="U74" s="797">
        <f>IF(K!Q74&lt;&gt;K!R74,IF(K!Q74&lt;&gt;0,IF(K!S74&lt;&gt;K!T74,K!U74,),),)</f>
        <v>0</v>
      </c>
      <c r="V74" s="875">
        <f>IF(K!Q74&lt;&gt;K!R74,IF(K!Q74&lt;&gt;0,IF(K!S74&lt;&gt;K!T74,K!V74,),),)</f>
        <v>0</v>
      </c>
      <c r="W74" s="633">
        <f>IF(Q74="","",$W$5-SUM($Q$7:$Q$45)-SUM($Q$64:Q74))</f>
        <v>0</v>
      </c>
      <c r="AO74" s="86"/>
      <c r="AP74" s="86"/>
      <c r="AQ74" s="86"/>
      <c r="AR74" s="86"/>
      <c r="AS74" s="86"/>
      <c r="AT74" s="86"/>
      <c r="AU74" s="86"/>
      <c r="AV74" s="86"/>
      <c r="AW74" s="86"/>
      <c r="AX74" s="86"/>
      <c r="AY74" s="86"/>
      <c r="CM74" s="86"/>
      <c r="CN74" s="86"/>
    </row>
    <row r="75" spans="2:92" s="367" customFormat="1" ht="15.75" hidden="1" customHeight="1" outlineLevel="1">
      <c r="B75" s="852">
        <f ca="1">IF(K!B75&lt;&gt;"",K!B75,)</f>
        <v>0</v>
      </c>
      <c r="C75" s="454">
        <f ca="1">K!C75</f>
        <v>0</v>
      </c>
      <c r="D75" s="74"/>
      <c r="E75" s="521"/>
      <c r="F75" s="858"/>
      <c r="H75" s="543"/>
      <c r="I75" s="853"/>
      <c r="J75" s="6"/>
      <c r="K75" s="541"/>
      <c r="L75" s="860"/>
      <c r="M75" s="20" t="str">
        <f>IF(J75="","",$M$5-SUM($J$7:J75))</f>
        <v/>
      </c>
      <c r="O75" s="7"/>
      <c r="P75" s="873">
        <f>IF(K!Q75&lt;&gt;K!R75,IF(K!Q75&lt;&gt;0,IF(K!S75&lt;&gt;K!T75,K!P75,),),)</f>
        <v>0</v>
      </c>
      <c r="Q75" s="795">
        <f>IF(K!Q75&lt;&gt;K!R75,IF(K!Q75&lt;&gt;0,IF(K!S75&lt;&gt;K!T75,K!Q75,),),)</f>
        <v>0</v>
      </c>
      <c r="R75" s="628">
        <f>IF(K!Q75&lt;&gt;K!R75,IF(K!Q75&lt;&gt;0,IF(K!S75&lt;&gt;K!T75,0,Q75),Q75),Q75)</f>
        <v>0</v>
      </c>
      <c r="S75" s="796">
        <f>IF(K!Q75&lt;&gt;K!R75,IF(K!Q75&lt;&gt;0,IF(K!S75&lt;&gt;K!T75,K!S75+1,),),)</f>
        <v>0</v>
      </c>
      <c r="T75" s="796">
        <f>IF(K!Q75&lt;&gt;K!R75,IF(K!Q75&lt;&gt;0,IF(K!S75&lt;&gt;K!T75,K!T75,),),)</f>
        <v>0</v>
      </c>
      <c r="U75" s="797">
        <f>IF(K!Q75&lt;&gt;K!R75,IF(K!Q75&lt;&gt;0,IF(K!S75&lt;&gt;K!T75,K!U75,),),)</f>
        <v>0</v>
      </c>
      <c r="V75" s="875">
        <f>IF(K!Q75&lt;&gt;K!R75,IF(K!Q75&lt;&gt;0,IF(K!S75&lt;&gt;K!T75,K!V75,),),)</f>
        <v>0</v>
      </c>
      <c r="W75" s="633">
        <f>IF(Q75="","",$W$5-SUM($Q$7:$Q$45)-SUM($Q$64:Q75))</f>
        <v>0</v>
      </c>
      <c r="AO75" s="86"/>
      <c r="AP75" s="86"/>
      <c r="AQ75" s="86"/>
      <c r="AR75" s="86"/>
      <c r="AS75" s="86"/>
      <c r="AT75" s="86"/>
      <c r="AU75" s="86"/>
      <c r="AV75" s="86"/>
      <c r="AW75" s="86"/>
      <c r="AX75" s="86"/>
      <c r="AY75" s="86"/>
      <c r="CM75" s="86"/>
      <c r="CN75" s="86"/>
    </row>
    <row r="76" spans="2:92" s="367" customFormat="1" ht="15.75" hidden="1" customHeight="1" outlineLevel="1">
      <c r="B76" s="852">
        <f ca="1">IF(K!B76&lt;&gt;"",K!B76,)</f>
        <v>0</v>
      </c>
      <c r="C76" s="454">
        <f ca="1">K!C76</f>
        <v>0</v>
      </c>
      <c r="D76" s="74"/>
      <c r="E76" s="521"/>
      <c r="F76" s="858"/>
      <c r="H76" s="543"/>
      <c r="I76" s="853"/>
      <c r="J76" s="6"/>
      <c r="K76" s="541"/>
      <c r="L76" s="860"/>
      <c r="M76" s="20" t="str">
        <f>IF(J76="","",$M$5-SUM($J$7:J76))</f>
        <v/>
      </c>
      <c r="O76" s="7"/>
      <c r="P76" s="871">
        <f>IF(K!Q76&lt;&gt;K!R76,IF(K!Q76&lt;&gt;0,IF(K!S76&lt;&gt;K!T76,K!P76,),),)</f>
        <v>0</v>
      </c>
      <c r="Q76" s="795">
        <f>IF(K!Q76&lt;&gt;K!R76,IF(K!Q76&lt;&gt;0,IF(K!S76&lt;&gt;K!T76,K!Q76,),),)</f>
        <v>0</v>
      </c>
      <c r="R76" s="628">
        <f>IF(K!Q76&lt;&gt;K!R76,IF(K!Q76&lt;&gt;0,IF(K!S76&lt;&gt;K!T76,0,Q76),Q76),Q76)</f>
        <v>0</v>
      </c>
      <c r="S76" s="796">
        <f>IF(K!Q76&lt;&gt;K!R76,IF(K!Q76&lt;&gt;0,IF(K!S76&lt;&gt;K!T76,K!S76+1,),),)</f>
        <v>0</v>
      </c>
      <c r="T76" s="796">
        <f>IF(K!Q76&lt;&gt;K!R76,IF(K!Q76&lt;&gt;0,IF(K!S76&lt;&gt;K!T76,K!T76,),),)</f>
        <v>0</v>
      </c>
      <c r="U76" s="797">
        <f>IF(K!Q76&lt;&gt;K!R76,IF(K!Q76&lt;&gt;0,IF(K!S76&lt;&gt;K!T76,K!U76,),),)</f>
        <v>0</v>
      </c>
      <c r="V76" s="875">
        <f>IF(K!Q76&lt;&gt;K!R76,IF(K!Q76&lt;&gt;0,IF(K!S76&lt;&gt;K!T76,K!V76,),),)</f>
        <v>0</v>
      </c>
      <c r="W76" s="633">
        <f>IF(Q76="","",$W$5-SUM($Q$7:$Q$45)-SUM($Q$64:Q76))</f>
        <v>0</v>
      </c>
      <c r="AO76" s="86"/>
      <c r="AP76" s="86"/>
      <c r="AQ76" s="86"/>
      <c r="AR76" s="86"/>
      <c r="AS76" s="86"/>
      <c r="AT76" s="86"/>
      <c r="AU76" s="86"/>
      <c r="AV76" s="86"/>
      <c r="AW76" s="86"/>
      <c r="AX76" s="86"/>
      <c r="AY76" s="86"/>
      <c r="CM76" s="86"/>
      <c r="CN76" s="86"/>
    </row>
    <row r="77" spans="2:92" s="367" customFormat="1" ht="15.75" hidden="1" customHeight="1" outlineLevel="1">
      <c r="B77" s="852">
        <f ca="1">IF(K!B77&lt;&gt;"",K!B77,)</f>
        <v>0</v>
      </c>
      <c r="C77" s="454">
        <f ca="1">K!C77</f>
        <v>0</v>
      </c>
      <c r="D77" s="74"/>
      <c r="E77" s="521"/>
      <c r="F77" s="858"/>
      <c r="H77" s="543"/>
      <c r="I77" s="853"/>
      <c r="J77" s="6"/>
      <c r="K77" s="541"/>
      <c r="L77" s="860"/>
      <c r="M77" s="20" t="str">
        <f>IF(J77="","",$M$5-SUM($J$7:J77))</f>
        <v/>
      </c>
      <c r="O77" s="7"/>
      <c r="P77" s="871">
        <f>IF(K!Q77&lt;&gt;K!R77,IF(K!Q77&lt;&gt;0,IF(K!S77&lt;&gt;K!T77,K!P77,),),)</f>
        <v>0</v>
      </c>
      <c r="Q77" s="795">
        <f>IF(K!Q77&lt;&gt;K!R77,IF(K!Q77&lt;&gt;0,IF(K!S77&lt;&gt;K!T77,K!Q77,),),)</f>
        <v>0</v>
      </c>
      <c r="R77" s="628">
        <f>IF(K!Q77&lt;&gt;K!R77,IF(K!Q77&lt;&gt;0,IF(K!S77&lt;&gt;K!T77,0,Q77),Q77),Q77)</f>
        <v>0</v>
      </c>
      <c r="S77" s="796">
        <f>IF(K!Q77&lt;&gt;K!R77,IF(K!Q77&lt;&gt;0,IF(K!S77&lt;&gt;K!T77,K!S77+1,),),)</f>
        <v>0</v>
      </c>
      <c r="T77" s="796">
        <f>IF(K!Q77&lt;&gt;K!R77,IF(K!Q77&lt;&gt;0,IF(K!S77&lt;&gt;K!T77,K!T77,),),)</f>
        <v>0</v>
      </c>
      <c r="U77" s="797">
        <f>IF(K!Q77&lt;&gt;K!R77,IF(K!Q77&lt;&gt;0,IF(K!S77&lt;&gt;K!T77,K!U77,),),)</f>
        <v>0</v>
      </c>
      <c r="V77" s="875">
        <f>IF(K!Q77&lt;&gt;K!R77,IF(K!Q77&lt;&gt;0,IF(K!S77&lt;&gt;K!T77,K!V77,),),)</f>
        <v>0</v>
      </c>
      <c r="W77" s="633">
        <f>IF(Q77="","",$W$5-SUM($Q$7:$Q$45)-SUM($Q$64:Q77))</f>
        <v>0</v>
      </c>
      <c r="AO77" s="86"/>
      <c r="AP77" s="86"/>
      <c r="AQ77" s="86"/>
      <c r="AR77" s="86"/>
      <c r="AS77" s="86"/>
      <c r="AT77" s="86"/>
      <c r="AU77" s="86"/>
      <c r="AV77" s="86"/>
      <c r="AW77" s="86"/>
      <c r="AX77" s="86"/>
      <c r="AY77" s="86"/>
      <c r="CM77" s="86"/>
      <c r="CN77" s="86"/>
    </row>
    <row r="78" spans="2:92" s="367" customFormat="1" ht="15.75" hidden="1" customHeight="1" outlineLevel="1">
      <c r="B78" s="852">
        <f ca="1">IF(K!B78&lt;&gt;"",K!B78,)</f>
        <v>0</v>
      </c>
      <c r="C78" s="454">
        <f ca="1">K!C78</f>
        <v>0</v>
      </c>
      <c r="D78" s="74"/>
      <c r="E78" s="521"/>
      <c r="F78" s="858"/>
      <c r="H78" s="543"/>
      <c r="I78" s="853"/>
      <c r="J78" s="6"/>
      <c r="K78" s="541"/>
      <c r="L78" s="860"/>
      <c r="M78" s="20" t="str">
        <f>IF(J78="","",$M$5-SUM($J$7:J78))</f>
        <v/>
      </c>
      <c r="O78" s="7"/>
      <c r="P78" s="873">
        <f>IF(K!Q78&lt;&gt;K!R78,IF(K!Q78&lt;&gt;0,IF(K!S78&lt;&gt;K!T78,K!P78,),),)</f>
        <v>0</v>
      </c>
      <c r="Q78" s="795">
        <f>IF(K!Q78&lt;&gt;K!R78,IF(K!Q78&lt;&gt;0,IF(K!S78&lt;&gt;K!T78,K!Q78,),),)</f>
        <v>0</v>
      </c>
      <c r="R78" s="628">
        <f>IF(K!Q78&lt;&gt;K!R78,IF(K!Q78&lt;&gt;0,IF(K!S78&lt;&gt;K!T78,0,Q78),Q78),Q78)</f>
        <v>0</v>
      </c>
      <c r="S78" s="796">
        <f>IF(K!Q78&lt;&gt;K!R78,IF(K!Q78&lt;&gt;0,IF(K!S78&lt;&gt;K!T78,K!S78+1,),),)</f>
        <v>0</v>
      </c>
      <c r="T78" s="796">
        <f>IF(K!Q78&lt;&gt;K!R78,IF(K!Q78&lt;&gt;0,IF(K!S78&lt;&gt;K!T78,K!T78,),),)</f>
        <v>0</v>
      </c>
      <c r="U78" s="797">
        <f>IF(K!Q78&lt;&gt;K!R78,IF(K!Q78&lt;&gt;0,IF(K!S78&lt;&gt;K!T78,K!U78,),),)</f>
        <v>0</v>
      </c>
      <c r="V78" s="875">
        <f>IF(K!Q78&lt;&gt;K!R78,IF(K!Q78&lt;&gt;0,IF(K!S78&lt;&gt;K!T78,K!V78,),),)</f>
        <v>0</v>
      </c>
      <c r="W78" s="633">
        <f>IF(Q78="","",$W$5-SUM($Q$7:$Q$45)-SUM($Q$64:Q78))</f>
        <v>0</v>
      </c>
      <c r="AO78" s="86"/>
      <c r="AP78" s="86"/>
      <c r="AQ78" s="86"/>
      <c r="AR78" s="86"/>
      <c r="AS78" s="86"/>
      <c r="AT78" s="86"/>
      <c r="AU78" s="86"/>
      <c r="AV78" s="86"/>
      <c r="AW78" s="86"/>
      <c r="AX78" s="86"/>
      <c r="AY78" s="86"/>
      <c r="CM78" s="86"/>
      <c r="CN78" s="86"/>
    </row>
    <row r="79" spans="2:92" s="367" customFormat="1" ht="15.75" hidden="1" customHeight="1" outlineLevel="1">
      <c r="B79" s="852">
        <f ca="1">IF(K!B79&lt;&gt;"",K!B79,)</f>
        <v>0</v>
      </c>
      <c r="C79" s="454">
        <f ca="1">K!C79</f>
        <v>0</v>
      </c>
      <c r="D79" s="74"/>
      <c r="E79" s="521"/>
      <c r="F79" s="858"/>
      <c r="H79" s="543"/>
      <c r="I79" s="853"/>
      <c r="J79" s="6"/>
      <c r="K79" s="541"/>
      <c r="L79" s="860"/>
      <c r="M79" s="20" t="str">
        <f>IF(J79="","",$M$5-SUM($J$7:J79))</f>
        <v/>
      </c>
      <c r="O79" s="7"/>
      <c r="P79" s="871">
        <f>IF(K!Q79&lt;&gt;K!R79,IF(K!Q79&lt;&gt;0,IF(K!S79&lt;&gt;K!T79,K!P79,),),)</f>
        <v>0</v>
      </c>
      <c r="Q79" s="795">
        <f>IF(K!Q79&lt;&gt;K!R79,IF(K!Q79&lt;&gt;0,IF(K!S79&lt;&gt;K!T79,K!Q79,),),)</f>
        <v>0</v>
      </c>
      <c r="R79" s="628">
        <f>IF(K!Q79&lt;&gt;K!R79,IF(K!Q79&lt;&gt;0,IF(K!S79&lt;&gt;K!T79,0,Q79),Q79),Q79)</f>
        <v>0</v>
      </c>
      <c r="S79" s="796">
        <f>IF(K!Q79&lt;&gt;K!R79,IF(K!Q79&lt;&gt;0,IF(K!S79&lt;&gt;K!T79,K!S79+1,),),)</f>
        <v>0</v>
      </c>
      <c r="T79" s="796">
        <f>IF(K!Q79&lt;&gt;K!R79,IF(K!Q79&lt;&gt;0,IF(K!S79&lt;&gt;K!T79,K!T79,),),)</f>
        <v>0</v>
      </c>
      <c r="U79" s="797">
        <f>IF(K!Q79&lt;&gt;K!R79,IF(K!Q79&lt;&gt;0,IF(K!S79&lt;&gt;K!T79,K!U79,),),)</f>
        <v>0</v>
      </c>
      <c r="V79" s="875">
        <f>IF(K!Q79&lt;&gt;K!R79,IF(K!Q79&lt;&gt;0,IF(K!S79&lt;&gt;K!T79,K!V79,),),)</f>
        <v>0</v>
      </c>
      <c r="W79" s="633">
        <f>IF(Q79="","",$W$5-SUM($Q$7:$Q$45)-SUM($Q$64:Q79))</f>
        <v>0</v>
      </c>
      <c r="AO79" s="86"/>
      <c r="AP79" s="86"/>
      <c r="AQ79" s="86"/>
      <c r="AR79" s="86"/>
      <c r="AS79" s="86"/>
      <c r="AT79" s="86"/>
      <c r="AU79" s="86"/>
      <c r="AV79" s="86"/>
      <c r="AW79" s="86"/>
      <c r="AX79" s="86"/>
      <c r="AY79" s="86"/>
      <c r="CM79" s="86"/>
      <c r="CN79" s="86"/>
    </row>
    <row r="80" spans="2:92" s="367" customFormat="1" ht="15.75" hidden="1" customHeight="1" outlineLevel="1">
      <c r="B80" s="852">
        <f ca="1">IF(K!B80&lt;&gt;"",K!B80,)</f>
        <v>0</v>
      </c>
      <c r="C80" s="454">
        <f ca="1">K!C80</f>
        <v>0</v>
      </c>
      <c r="D80" s="74"/>
      <c r="E80" s="521"/>
      <c r="F80" s="858"/>
      <c r="H80" s="543"/>
      <c r="I80" s="853"/>
      <c r="J80" s="6"/>
      <c r="K80" s="541"/>
      <c r="L80" s="860"/>
      <c r="M80" s="20" t="str">
        <f>IF(J80="","",$M$5-SUM($J$7:J80))</f>
        <v/>
      </c>
      <c r="O80" s="7"/>
      <c r="P80" s="873">
        <f>IF(K!Q80&lt;&gt;K!R80,IF(K!Q80&lt;&gt;0,IF(K!S80&lt;&gt;K!T80,K!P80,),),)</f>
        <v>0</v>
      </c>
      <c r="Q80" s="795">
        <f>IF(K!Q80&lt;&gt;K!R80,IF(K!Q80&lt;&gt;0,IF(K!S80&lt;&gt;K!T80,K!Q80,),),)</f>
        <v>0</v>
      </c>
      <c r="R80" s="628">
        <f>IF(K!Q80&lt;&gt;K!R80,IF(K!Q80&lt;&gt;0,IF(K!S80&lt;&gt;K!T80,0,Q80),Q80),Q80)</f>
        <v>0</v>
      </c>
      <c r="S80" s="796">
        <f>IF(K!Q80&lt;&gt;K!R80,IF(K!Q80&lt;&gt;0,IF(K!S80&lt;&gt;K!T80,K!S80+1,),),)</f>
        <v>0</v>
      </c>
      <c r="T80" s="796">
        <f>IF(K!Q80&lt;&gt;K!R80,IF(K!Q80&lt;&gt;0,IF(K!S80&lt;&gt;K!T80,K!T80,),),)</f>
        <v>0</v>
      </c>
      <c r="U80" s="797">
        <f>IF(K!Q80&lt;&gt;K!R80,IF(K!Q80&lt;&gt;0,IF(K!S80&lt;&gt;K!T80,K!U80,),),)</f>
        <v>0</v>
      </c>
      <c r="V80" s="875">
        <f>IF(K!Q80&lt;&gt;K!R80,IF(K!Q80&lt;&gt;0,IF(K!S80&lt;&gt;K!T80,K!V80,),),)</f>
        <v>0</v>
      </c>
      <c r="W80" s="633">
        <f>IF(Q80="","",$W$5-SUM($Q$7:$Q$45)-SUM($Q$64:Q80))</f>
        <v>0</v>
      </c>
      <c r="AO80" s="86"/>
      <c r="AP80" s="86"/>
      <c r="AQ80" s="86"/>
      <c r="AR80" s="86"/>
      <c r="AS80" s="86"/>
      <c r="AT80" s="86"/>
      <c r="AU80" s="86"/>
      <c r="AV80" s="86"/>
      <c r="AW80" s="86"/>
      <c r="AX80" s="86"/>
      <c r="AY80" s="86"/>
      <c r="CM80" s="86"/>
      <c r="CN80" s="86"/>
    </row>
    <row r="81" spans="2:92" s="367" customFormat="1" ht="15.75" hidden="1" customHeight="1" outlineLevel="1">
      <c r="B81" s="852">
        <f ca="1">IF(K!B81&lt;&gt;"",K!B81,)</f>
        <v>0</v>
      </c>
      <c r="C81" s="454">
        <f ca="1">K!C81</f>
        <v>0</v>
      </c>
      <c r="D81" s="74"/>
      <c r="E81" s="521"/>
      <c r="F81" s="858"/>
      <c r="H81" s="543"/>
      <c r="I81" s="853"/>
      <c r="J81" s="6"/>
      <c r="K81" s="541"/>
      <c r="L81" s="860"/>
      <c r="M81" s="20" t="str">
        <f>IF(J81="","",$M$5-SUM($J$7:J81))</f>
        <v/>
      </c>
      <c r="O81" s="7"/>
      <c r="P81" s="873">
        <f>IF(K!Q81&lt;&gt;K!R81,IF(K!Q81&lt;&gt;0,IF(K!S81&lt;&gt;K!T81,K!P81,),),)</f>
        <v>0</v>
      </c>
      <c r="Q81" s="795">
        <f>IF(K!Q81&lt;&gt;K!R81,IF(K!Q81&lt;&gt;0,IF(K!S81&lt;&gt;K!T81,K!Q81,),),)</f>
        <v>0</v>
      </c>
      <c r="R81" s="628">
        <f>IF(K!Q81&lt;&gt;K!R81,IF(K!Q81&lt;&gt;0,IF(K!S81&lt;&gt;K!T81,0,Q81),Q81),Q81)</f>
        <v>0</v>
      </c>
      <c r="S81" s="796">
        <f>IF(K!Q81&lt;&gt;K!R81,IF(K!Q81&lt;&gt;0,IF(K!S81&lt;&gt;K!T81,K!S81+1,),),)</f>
        <v>0</v>
      </c>
      <c r="T81" s="796">
        <f>IF(K!Q81&lt;&gt;K!R81,IF(K!Q81&lt;&gt;0,IF(K!S81&lt;&gt;K!T81,K!T81,),),)</f>
        <v>0</v>
      </c>
      <c r="U81" s="797">
        <f>IF(K!Q81&lt;&gt;K!R81,IF(K!Q81&lt;&gt;0,IF(K!S81&lt;&gt;K!T81,K!U81,),),)</f>
        <v>0</v>
      </c>
      <c r="V81" s="875">
        <f>IF(K!Q81&lt;&gt;K!R81,IF(K!Q81&lt;&gt;0,IF(K!S81&lt;&gt;K!T81,K!V81,),),)</f>
        <v>0</v>
      </c>
      <c r="W81" s="633">
        <f>IF(Q81="","",$W$5-SUM($Q$7:$Q$45)-SUM($Q$64:Q81))</f>
        <v>0</v>
      </c>
      <c r="AO81" s="86"/>
      <c r="AP81" s="86"/>
      <c r="AQ81" s="86"/>
      <c r="AR81" s="86"/>
      <c r="AS81" s="86"/>
      <c r="AT81" s="86"/>
      <c r="AU81" s="86"/>
      <c r="AV81" s="86"/>
      <c r="AW81" s="86"/>
      <c r="AX81" s="86"/>
      <c r="AY81" s="86"/>
      <c r="CM81" s="86"/>
      <c r="CN81" s="86"/>
    </row>
    <row r="82" spans="2:92" s="367" customFormat="1" ht="15.75" hidden="1" customHeight="1" outlineLevel="1">
      <c r="B82" s="852">
        <f ca="1">IF(K!B82&lt;&gt;"",K!B82,)</f>
        <v>0</v>
      </c>
      <c r="C82" s="454">
        <f ca="1">K!C82</f>
        <v>0</v>
      </c>
      <c r="D82" s="74"/>
      <c r="E82" s="521"/>
      <c r="F82" s="858"/>
      <c r="H82" s="543"/>
      <c r="I82" s="853"/>
      <c r="J82" s="6"/>
      <c r="K82" s="541"/>
      <c r="L82" s="860"/>
      <c r="M82" s="20" t="str">
        <f>IF(J82="","",$M$5-SUM($J$7:J82))</f>
        <v/>
      </c>
      <c r="O82" s="7"/>
      <c r="P82" s="873">
        <f>IF(K!Q82&lt;&gt;K!R82,IF(K!Q82&lt;&gt;0,IF(K!S82&lt;&gt;K!T82,K!P82,),),)</f>
        <v>0</v>
      </c>
      <c r="Q82" s="795">
        <f>IF(K!Q82&lt;&gt;K!R82,IF(K!Q82&lt;&gt;0,IF(K!S82&lt;&gt;K!T82,K!Q82,),),)</f>
        <v>0</v>
      </c>
      <c r="R82" s="628">
        <f>IF(K!Q82&lt;&gt;K!R82,IF(K!Q82&lt;&gt;0,IF(K!S82&lt;&gt;K!T82,0,Q82),Q82),Q82)</f>
        <v>0</v>
      </c>
      <c r="S82" s="796">
        <f>IF(K!Q82&lt;&gt;K!R82,IF(K!Q82&lt;&gt;0,IF(K!S82&lt;&gt;K!T82,K!S82+1,),),)</f>
        <v>0</v>
      </c>
      <c r="T82" s="796">
        <f>IF(K!Q82&lt;&gt;K!R82,IF(K!Q82&lt;&gt;0,IF(K!S82&lt;&gt;K!T82,K!T82,),),)</f>
        <v>0</v>
      </c>
      <c r="U82" s="797">
        <f>IF(K!Q82&lt;&gt;K!R82,IF(K!Q82&lt;&gt;0,IF(K!S82&lt;&gt;K!T82,K!U82,),),)</f>
        <v>0</v>
      </c>
      <c r="V82" s="875">
        <f>IF(K!Q82&lt;&gt;K!R82,IF(K!Q82&lt;&gt;0,IF(K!S82&lt;&gt;K!T82,K!V82,),),)</f>
        <v>0</v>
      </c>
      <c r="W82" s="633">
        <f>IF(Q82="","",$W$5-SUM($Q$7:$Q$45)-SUM($Q$64:Q82))</f>
        <v>0</v>
      </c>
      <c r="AO82" s="86"/>
      <c r="AP82" s="86"/>
      <c r="AQ82" s="86"/>
      <c r="AR82" s="86"/>
      <c r="AS82" s="86"/>
      <c r="AT82" s="86"/>
      <c r="AU82" s="86"/>
      <c r="AV82" s="86"/>
      <c r="AW82" s="86"/>
      <c r="AX82" s="86"/>
      <c r="AY82" s="86"/>
      <c r="CM82" s="86"/>
      <c r="CN82" s="86"/>
    </row>
    <row r="83" spans="2:92" s="367" customFormat="1" ht="15.75" hidden="1" customHeight="1" outlineLevel="1">
      <c r="B83" s="852">
        <f ca="1">IF(K!B83&lt;&gt;"",K!B83,)</f>
        <v>0</v>
      </c>
      <c r="C83" s="454">
        <f ca="1">K!C83</f>
        <v>0</v>
      </c>
      <c r="D83" s="74"/>
      <c r="E83" s="521"/>
      <c r="F83" s="858"/>
      <c r="H83" s="543"/>
      <c r="I83" s="853"/>
      <c r="J83" s="6"/>
      <c r="K83" s="541"/>
      <c r="L83" s="860"/>
      <c r="M83" s="20" t="str">
        <f>IF(J83="","",$M$5-SUM($J$7:J83))</f>
        <v/>
      </c>
      <c r="O83" s="7"/>
      <c r="P83" s="873">
        <f>IF(K!Q83&lt;&gt;K!R83,IF(K!Q83&lt;&gt;0,IF(K!S83&lt;&gt;K!T83,K!P83,),),)</f>
        <v>0</v>
      </c>
      <c r="Q83" s="795">
        <f>IF(K!Q83&lt;&gt;K!R83,IF(K!Q83&lt;&gt;0,IF(K!S83&lt;&gt;K!T83,K!Q83,),),)</f>
        <v>0</v>
      </c>
      <c r="R83" s="628">
        <f>IF(K!Q83&lt;&gt;K!R83,IF(K!Q83&lt;&gt;0,IF(K!S83&lt;&gt;K!T83,0,Q83),Q83),Q83)</f>
        <v>0</v>
      </c>
      <c r="S83" s="796">
        <f>IF(K!Q83&lt;&gt;K!R83,IF(K!Q83&lt;&gt;0,IF(K!S83&lt;&gt;K!T83,K!S83+1,),),)</f>
        <v>0</v>
      </c>
      <c r="T83" s="796">
        <f>IF(K!Q83&lt;&gt;K!R83,IF(K!Q83&lt;&gt;0,IF(K!S83&lt;&gt;K!T83,K!T83,),),)</f>
        <v>0</v>
      </c>
      <c r="U83" s="797">
        <f>IF(K!Q83&lt;&gt;K!R83,IF(K!Q83&lt;&gt;0,IF(K!S83&lt;&gt;K!T83,K!U83,),),)</f>
        <v>0</v>
      </c>
      <c r="V83" s="875">
        <f>IF(K!Q83&lt;&gt;K!R83,IF(K!Q83&lt;&gt;0,IF(K!S83&lt;&gt;K!T83,K!V83,),),)</f>
        <v>0</v>
      </c>
      <c r="W83" s="633">
        <f>IF(Q83="","",$W$5-SUM($Q$7:$Q$45)-SUM($Q$64:Q83))</f>
        <v>0</v>
      </c>
      <c r="AO83" s="86"/>
      <c r="AP83" s="86"/>
      <c r="AQ83" s="86"/>
      <c r="AR83" s="86"/>
      <c r="AS83" s="86"/>
      <c r="AT83" s="86"/>
      <c r="AU83" s="86"/>
      <c r="AV83" s="86"/>
      <c r="AW83" s="86"/>
      <c r="AX83" s="86"/>
      <c r="AY83" s="86"/>
      <c r="CM83" s="86"/>
      <c r="CN83" s="86"/>
    </row>
    <row r="84" spans="2:92" s="367" customFormat="1" ht="15.75" hidden="1" customHeight="1" outlineLevel="1">
      <c r="B84" s="852">
        <f ca="1">IF(K!B84&lt;&gt;"",K!B84,)</f>
        <v>0</v>
      </c>
      <c r="C84" s="454">
        <f ca="1">K!C84</f>
        <v>0</v>
      </c>
      <c r="D84" s="74"/>
      <c r="E84" s="521"/>
      <c r="F84" s="858"/>
      <c r="H84" s="543"/>
      <c r="I84" s="853"/>
      <c r="J84" s="6"/>
      <c r="K84" s="541"/>
      <c r="L84" s="860"/>
      <c r="M84" s="20" t="str">
        <f>IF(J84="","",$M$5-SUM($J$7:J84))</f>
        <v/>
      </c>
      <c r="O84" s="7"/>
      <c r="P84" s="873">
        <f>IF(K!Q84&lt;&gt;K!R84,IF(K!Q84&lt;&gt;0,IF(K!S84&lt;&gt;K!T84,K!P84,),),)</f>
        <v>0</v>
      </c>
      <c r="Q84" s="795">
        <f>IF(K!Q84&lt;&gt;K!R84,IF(K!Q84&lt;&gt;0,IF(K!S84&lt;&gt;K!T84,K!Q84,),),)</f>
        <v>0</v>
      </c>
      <c r="R84" s="628">
        <f>IF(K!Q84&lt;&gt;K!R84,IF(K!Q84&lt;&gt;0,IF(K!S84&lt;&gt;K!T84,0,Q84),Q84),Q84)</f>
        <v>0</v>
      </c>
      <c r="S84" s="796">
        <f>IF(K!Q84&lt;&gt;K!R84,IF(K!Q84&lt;&gt;0,IF(K!S84&lt;&gt;K!T84,K!S84+1,),),)</f>
        <v>0</v>
      </c>
      <c r="T84" s="796">
        <f>IF(K!Q84&lt;&gt;K!R84,IF(K!Q84&lt;&gt;0,IF(K!S84&lt;&gt;K!T84,K!T84,),),)</f>
        <v>0</v>
      </c>
      <c r="U84" s="797">
        <f>IF(K!Q84&lt;&gt;K!R84,IF(K!Q84&lt;&gt;0,IF(K!S84&lt;&gt;K!T84,K!U84,),),)</f>
        <v>0</v>
      </c>
      <c r="V84" s="875">
        <f>IF(K!Q84&lt;&gt;K!R84,IF(K!Q84&lt;&gt;0,IF(K!S84&lt;&gt;K!T84,K!V84,),),)</f>
        <v>0</v>
      </c>
      <c r="W84" s="633">
        <f>IF(Q84="","",$W$5-SUM($Q$7:$Q$45)-SUM($Q$64:Q84))</f>
        <v>0</v>
      </c>
      <c r="AO84" s="86"/>
      <c r="AP84" s="86"/>
      <c r="AQ84" s="86"/>
      <c r="AR84" s="86"/>
      <c r="AS84" s="86"/>
      <c r="AT84" s="86"/>
      <c r="AU84" s="86"/>
      <c r="AV84" s="86"/>
      <c r="AW84" s="86"/>
      <c r="AX84" s="86"/>
      <c r="AY84" s="86"/>
      <c r="CM84" s="86"/>
      <c r="CN84" s="86"/>
    </row>
    <row r="85" spans="2:92" s="367" customFormat="1" ht="15.75" hidden="1" customHeight="1" outlineLevel="1">
      <c r="B85" s="852">
        <f ca="1">IF(K!B85&lt;&gt;"",K!B85,)</f>
        <v>0</v>
      </c>
      <c r="C85" s="454">
        <f ca="1">K!C85</f>
        <v>0</v>
      </c>
      <c r="D85" s="74"/>
      <c r="E85" s="521"/>
      <c r="F85" s="858"/>
      <c r="H85" s="543"/>
      <c r="I85" s="853"/>
      <c r="J85" s="6"/>
      <c r="K85" s="541"/>
      <c r="L85" s="860"/>
      <c r="M85" s="20" t="str">
        <f>IF(J85="","",$M$5-SUM($J$7:J85))</f>
        <v/>
      </c>
      <c r="O85" s="7"/>
      <c r="P85" s="873">
        <f>IF(K!Q85&lt;&gt;K!R85,IF(K!Q85&lt;&gt;0,IF(K!S85&lt;&gt;K!T85,K!P85,),),)</f>
        <v>0</v>
      </c>
      <c r="Q85" s="795">
        <f>IF(K!Q85&lt;&gt;K!R85,IF(K!Q85&lt;&gt;0,IF(K!S85&lt;&gt;K!T85,K!Q85,),),)</f>
        <v>0</v>
      </c>
      <c r="R85" s="628">
        <f>IF(K!Q85&lt;&gt;K!R85,IF(K!Q85&lt;&gt;0,IF(K!S85&lt;&gt;K!T85,0,Q85),Q85),Q85)</f>
        <v>0</v>
      </c>
      <c r="S85" s="796">
        <f>IF(K!Q85&lt;&gt;K!R85,IF(K!Q85&lt;&gt;0,IF(K!S85&lt;&gt;K!T85,K!S85+1,),),)</f>
        <v>0</v>
      </c>
      <c r="T85" s="796">
        <f>IF(K!Q85&lt;&gt;K!R85,IF(K!Q85&lt;&gt;0,IF(K!S85&lt;&gt;K!T85,K!T85,),),)</f>
        <v>0</v>
      </c>
      <c r="U85" s="797">
        <f>IF(K!Q85&lt;&gt;K!R85,IF(K!Q85&lt;&gt;0,IF(K!S85&lt;&gt;K!T85,K!U85,),),)</f>
        <v>0</v>
      </c>
      <c r="V85" s="875">
        <f>IF(K!Q85&lt;&gt;K!R85,IF(K!Q85&lt;&gt;0,IF(K!S85&lt;&gt;K!T85,K!V85,),),)</f>
        <v>0</v>
      </c>
      <c r="W85" s="633">
        <f>IF(Q85="","",$W$5-SUM($Q$7:$Q$45)-SUM($Q$64:Q85))</f>
        <v>0</v>
      </c>
      <c r="AO85" s="86"/>
      <c r="AP85" s="86"/>
      <c r="AQ85" s="86"/>
      <c r="AR85" s="86"/>
      <c r="AS85" s="86"/>
      <c r="AT85" s="86"/>
      <c r="AU85" s="86"/>
      <c r="AV85" s="86"/>
      <c r="AW85" s="86"/>
      <c r="AX85" s="86"/>
      <c r="AY85" s="86"/>
      <c r="CM85" s="86"/>
      <c r="CN85" s="86"/>
    </row>
    <row r="86" spans="2:92" s="367" customFormat="1" ht="15.75" hidden="1" customHeight="1" outlineLevel="1">
      <c r="B86" s="852">
        <f ca="1">IF(K!B86&lt;&gt;"",K!B86,)</f>
        <v>0</v>
      </c>
      <c r="C86" s="454">
        <f ca="1">K!C86</f>
        <v>0</v>
      </c>
      <c r="D86" s="74"/>
      <c r="E86" s="521"/>
      <c r="F86" s="858"/>
      <c r="H86" s="543"/>
      <c r="I86" s="854"/>
      <c r="J86" s="6"/>
      <c r="K86" s="541"/>
      <c r="L86" s="860"/>
      <c r="M86" s="20" t="str">
        <f>IF(J86="","",$M$5-SUM($J$7:J86))</f>
        <v/>
      </c>
      <c r="O86" s="7"/>
      <c r="P86" s="873">
        <f>IF(K!Q86&lt;&gt;K!R86,IF(K!Q86&lt;&gt;0,IF(K!S86&lt;&gt;K!T86,K!P86,),),)</f>
        <v>0</v>
      </c>
      <c r="Q86" s="795">
        <f>IF(K!Q86&lt;&gt;K!R86,IF(K!Q86&lt;&gt;0,IF(K!S86&lt;&gt;K!T86,K!Q86,),),)</f>
        <v>0</v>
      </c>
      <c r="R86" s="628">
        <f>IF(K!Q86&lt;&gt;K!R86,IF(K!Q86&lt;&gt;0,IF(K!S86&lt;&gt;K!T86,0,Q86),Q86),Q86)</f>
        <v>0</v>
      </c>
      <c r="S86" s="796">
        <f>IF(K!Q86&lt;&gt;K!R86,IF(K!Q86&lt;&gt;0,IF(K!S86&lt;&gt;K!T86,K!S86+1,),),)</f>
        <v>0</v>
      </c>
      <c r="T86" s="796">
        <f>IF(K!Q86&lt;&gt;K!R86,IF(K!Q86&lt;&gt;0,IF(K!S86&lt;&gt;K!T86,K!T86,),),)</f>
        <v>0</v>
      </c>
      <c r="U86" s="797">
        <f>IF(K!Q86&lt;&gt;K!R86,IF(K!Q86&lt;&gt;0,IF(K!S86&lt;&gt;K!T86,K!U86,),),)</f>
        <v>0</v>
      </c>
      <c r="V86" s="875">
        <f>IF(K!Q86&lt;&gt;K!R86,IF(K!Q86&lt;&gt;0,IF(K!S86&lt;&gt;K!T86,K!V86,),),)</f>
        <v>0</v>
      </c>
      <c r="W86" s="633">
        <f>IF(Q86="","",$W$5-SUM($Q$7:$Q$45)-SUM($Q$64:Q86))</f>
        <v>0</v>
      </c>
      <c r="AO86" s="86"/>
      <c r="AP86" s="86"/>
      <c r="AQ86" s="86"/>
      <c r="AR86" s="86"/>
      <c r="AS86" s="86"/>
      <c r="AT86" s="86"/>
      <c r="AU86" s="86"/>
      <c r="AV86" s="86"/>
      <c r="AW86" s="86"/>
      <c r="AX86" s="86"/>
      <c r="AY86" s="86"/>
      <c r="CM86" s="86"/>
      <c r="CN86" s="86"/>
    </row>
    <row r="87" spans="2:92" s="367" customFormat="1" ht="15.75" hidden="1" customHeight="1" outlineLevel="1">
      <c r="H87" s="543"/>
      <c r="I87" s="853"/>
      <c r="J87" s="6"/>
      <c r="K87" s="541"/>
      <c r="L87" s="860"/>
      <c r="M87" s="20" t="str">
        <f>IF(J87="","",$M$5-SUM($J$7:J87))</f>
        <v/>
      </c>
      <c r="O87" s="7"/>
      <c r="P87" s="873">
        <f>IF(K!Q87&lt;&gt;K!R87,IF(K!Q87&lt;&gt;0,IF(K!S87&lt;&gt;K!T87,K!P87,),),)</f>
        <v>0</v>
      </c>
      <c r="Q87" s="795">
        <f>IF(K!Q87&lt;&gt;K!R87,IF(K!Q87&lt;&gt;0,IF(K!S87&lt;&gt;K!T87,K!Q87,),),)</f>
        <v>0</v>
      </c>
      <c r="R87" s="628">
        <f>IF(K!Q87&lt;&gt;K!R87,IF(K!Q87&lt;&gt;0,IF(K!S87&lt;&gt;K!T87,0,Q87),Q87),Q87)</f>
        <v>0</v>
      </c>
      <c r="S87" s="796">
        <f>IF(K!Q87&lt;&gt;K!R87,IF(K!Q87&lt;&gt;0,IF(K!S87&lt;&gt;K!T87,K!S87+1,),),)</f>
        <v>0</v>
      </c>
      <c r="T87" s="796">
        <f>IF(K!Q87&lt;&gt;K!R87,IF(K!Q87&lt;&gt;0,IF(K!S87&lt;&gt;K!T87,K!T87,),),)</f>
        <v>0</v>
      </c>
      <c r="U87" s="797">
        <f>IF(K!Q87&lt;&gt;K!R87,IF(K!Q87&lt;&gt;0,IF(K!S87&lt;&gt;K!T87,K!U87,),),)</f>
        <v>0</v>
      </c>
      <c r="V87" s="875">
        <f>IF(K!Q87&lt;&gt;K!R87,IF(K!Q87&lt;&gt;0,IF(K!S87&lt;&gt;K!T87,K!V87,),),)</f>
        <v>0</v>
      </c>
      <c r="W87" s="633">
        <f>IF(Q87="","",$W$5-SUM($Q$7:$Q$45)-SUM($Q$64:Q87))</f>
        <v>0</v>
      </c>
      <c r="AO87" s="86"/>
      <c r="AP87" s="86"/>
      <c r="AQ87" s="86"/>
      <c r="AR87" s="86"/>
      <c r="AS87" s="86"/>
      <c r="AT87" s="86"/>
      <c r="AU87" s="86"/>
      <c r="AV87" s="86"/>
      <c r="AW87" s="86"/>
      <c r="AX87" s="86"/>
      <c r="AY87" s="86"/>
      <c r="CM87" s="86"/>
      <c r="CN87" s="86"/>
    </row>
    <row r="88" spans="2:92" s="367" customFormat="1" ht="15.75" hidden="1" customHeight="1" outlineLevel="1">
      <c r="H88" s="543"/>
      <c r="I88" s="853"/>
      <c r="J88" s="6"/>
      <c r="K88" s="541"/>
      <c r="L88" s="860"/>
      <c r="M88" s="20" t="str">
        <f>IF(J88="","",$M$5-SUM($J$7:J88))</f>
        <v/>
      </c>
      <c r="O88" s="7"/>
      <c r="P88" s="871">
        <f>IF(K!Q88&lt;&gt;K!R88,IF(K!Q88&lt;&gt;0,IF(K!S88&lt;&gt;K!T88,K!P88,),),)</f>
        <v>0</v>
      </c>
      <c r="Q88" s="795">
        <f>IF(K!Q88&lt;&gt;K!R88,IF(K!Q88&lt;&gt;0,IF(K!S88&lt;&gt;K!T88,K!Q88,),),)</f>
        <v>0</v>
      </c>
      <c r="R88" s="628">
        <f>IF(K!Q88&lt;&gt;K!R88,IF(K!Q88&lt;&gt;0,IF(K!S88&lt;&gt;K!T88,0,Q88),Q88),Q88)</f>
        <v>0</v>
      </c>
      <c r="S88" s="796">
        <f>IF(K!Q88&lt;&gt;K!R88,IF(K!Q88&lt;&gt;0,IF(K!S88&lt;&gt;K!T88,K!S88+1,),),)</f>
        <v>0</v>
      </c>
      <c r="T88" s="796">
        <f>IF(K!Q88&lt;&gt;K!R88,IF(K!Q88&lt;&gt;0,IF(K!S88&lt;&gt;K!T88,K!T88,),),)</f>
        <v>0</v>
      </c>
      <c r="U88" s="797">
        <f>IF(K!Q88&lt;&gt;K!R88,IF(K!Q88&lt;&gt;0,IF(K!S88&lt;&gt;K!T88,K!U88,),),)</f>
        <v>0</v>
      </c>
      <c r="V88" s="875">
        <f>IF(K!Q88&lt;&gt;K!R88,IF(K!Q88&lt;&gt;0,IF(K!S88&lt;&gt;K!T88,K!V88,),),)</f>
        <v>0</v>
      </c>
      <c r="W88" s="633">
        <f>IF(Q88="","",$W$5-SUM($Q$7:$Q$45)-SUM($Q$64:Q88))</f>
        <v>0</v>
      </c>
      <c r="AO88" s="86"/>
      <c r="AP88" s="86"/>
      <c r="AQ88" s="86"/>
      <c r="AR88" s="86"/>
      <c r="AS88" s="86"/>
      <c r="AT88" s="86"/>
      <c r="AU88" s="86"/>
      <c r="AV88" s="86"/>
      <c r="AW88" s="86"/>
      <c r="AX88" s="86"/>
      <c r="AY88" s="86"/>
      <c r="CM88" s="86"/>
      <c r="CN88" s="86"/>
    </row>
    <row r="89" spans="2:92" s="367" customFormat="1" ht="15.75" hidden="1" customHeight="1" outlineLevel="1">
      <c r="H89" s="543"/>
      <c r="I89" s="853"/>
      <c r="J89" s="6"/>
      <c r="K89" s="541"/>
      <c r="L89" s="860"/>
      <c r="M89" s="20" t="str">
        <f>IF(J89="","",$M$5-SUM($J$7:J89))</f>
        <v/>
      </c>
      <c r="O89" s="7"/>
      <c r="P89" s="873">
        <f>IF(K!Q89&lt;&gt;K!R89,IF(K!Q89&lt;&gt;0,IF(K!S89&lt;&gt;K!T89,K!P89,),),)</f>
        <v>0</v>
      </c>
      <c r="Q89" s="795">
        <f>IF(K!Q89&lt;&gt;K!R89,IF(K!Q89&lt;&gt;0,IF(K!S89&lt;&gt;K!T89,K!Q89,),),)</f>
        <v>0</v>
      </c>
      <c r="R89" s="628">
        <f>IF(K!Q89&lt;&gt;K!R89,IF(K!Q89&lt;&gt;0,IF(K!S89&lt;&gt;K!T89,0,Q89),Q89),Q89)</f>
        <v>0</v>
      </c>
      <c r="S89" s="796">
        <f>IF(K!Q89&lt;&gt;K!R89,IF(K!Q89&lt;&gt;0,IF(K!S89&lt;&gt;K!T89,K!S89+1,),),)</f>
        <v>0</v>
      </c>
      <c r="T89" s="796">
        <f>IF(K!Q89&lt;&gt;K!R89,IF(K!Q89&lt;&gt;0,IF(K!S89&lt;&gt;K!T89,K!T89,),),)</f>
        <v>0</v>
      </c>
      <c r="U89" s="797">
        <f>IF(K!Q89&lt;&gt;K!R89,IF(K!Q89&lt;&gt;0,IF(K!S89&lt;&gt;K!T89,K!U89,),),)</f>
        <v>0</v>
      </c>
      <c r="V89" s="875">
        <f>IF(K!Q89&lt;&gt;K!R89,IF(K!Q89&lt;&gt;0,IF(K!S89&lt;&gt;K!T89,K!V89,),),)</f>
        <v>0</v>
      </c>
      <c r="W89" s="633">
        <f>IF(Q89="","",$W$5-SUM($Q$7:$Q$45)-SUM($Q$64:Q89))</f>
        <v>0</v>
      </c>
      <c r="AO89" s="86"/>
      <c r="AP89" s="86"/>
      <c r="AQ89" s="86"/>
      <c r="AR89" s="86"/>
      <c r="AS89" s="86"/>
      <c r="AT89" s="86"/>
      <c r="AU89" s="86"/>
      <c r="AV89" s="86"/>
      <c r="AW89" s="86"/>
      <c r="AX89" s="86"/>
      <c r="AY89" s="86"/>
      <c r="CM89" s="86"/>
      <c r="CN89" s="86"/>
    </row>
    <row r="90" spans="2:92" s="367" customFormat="1" ht="15.75" hidden="1" customHeight="1" outlineLevel="1">
      <c r="H90" s="543"/>
      <c r="I90" s="853"/>
      <c r="J90" s="6"/>
      <c r="K90" s="541"/>
      <c r="L90" s="860"/>
      <c r="M90" s="20" t="str">
        <f>IF(J90="","",$M$5-SUM($J$7:J90))</f>
        <v/>
      </c>
      <c r="O90" s="7"/>
      <c r="P90" s="871">
        <f>IF(K!Q90&lt;&gt;K!R90,IF(K!Q90&lt;&gt;0,IF(K!S90&lt;&gt;K!T90,K!P90,),),)</f>
        <v>0</v>
      </c>
      <c r="Q90" s="795">
        <f>IF(K!Q90&lt;&gt;K!R90,IF(K!Q90&lt;&gt;0,IF(K!S90&lt;&gt;K!T90,K!Q90,),),)</f>
        <v>0</v>
      </c>
      <c r="R90" s="628">
        <f>IF(K!Q90&lt;&gt;K!R90,IF(K!Q90&lt;&gt;0,IF(K!S90&lt;&gt;K!T90,0,Q90),Q90),Q90)</f>
        <v>0</v>
      </c>
      <c r="S90" s="796">
        <f>IF(K!Q90&lt;&gt;K!R90,IF(K!Q90&lt;&gt;0,IF(K!S90&lt;&gt;K!T90,K!S90+1,),),)</f>
        <v>0</v>
      </c>
      <c r="T90" s="796">
        <f>IF(K!Q90&lt;&gt;K!R90,IF(K!Q90&lt;&gt;0,IF(K!S90&lt;&gt;K!T90,K!T90,),),)</f>
        <v>0</v>
      </c>
      <c r="U90" s="797">
        <f>IF(K!Q90&lt;&gt;K!R90,IF(K!Q90&lt;&gt;0,IF(K!S90&lt;&gt;K!T90,K!U90,),),)</f>
        <v>0</v>
      </c>
      <c r="V90" s="875">
        <f>IF(K!Q90&lt;&gt;K!R90,IF(K!Q90&lt;&gt;0,IF(K!S90&lt;&gt;K!T90,K!V90,),),)</f>
        <v>0</v>
      </c>
      <c r="W90" s="633">
        <f>IF(Q90="","",$W$5-SUM($Q$7:$Q$45)-SUM($Q$64:Q90))</f>
        <v>0</v>
      </c>
      <c r="AO90" s="86"/>
      <c r="AP90" s="86"/>
      <c r="AQ90" s="86"/>
      <c r="AR90" s="86"/>
      <c r="AS90" s="86"/>
      <c r="AT90" s="86"/>
      <c r="AU90" s="86"/>
      <c r="AV90" s="86"/>
      <c r="AW90" s="86"/>
      <c r="AX90" s="86"/>
      <c r="AY90" s="86"/>
      <c r="CM90" s="86"/>
      <c r="CN90" s="86"/>
    </row>
    <row r="91" spans="2:92" s="367" customFormat="1" ht="15.75" hidden="1" customHeight="1" outlineLevel="1">
      <c r="H91" s="543"/>
      <c r="I91" s="853"/>
      <c r="J91" s="6"/>
      <c r="K91" s="541"/>
      <c r="L91" s="860"/>
      <c r="M91" s="20" t="str">
        <f>IF(J91="","",$M$5-SUM($J$7:J91))</f>
        <v/>
      </c>
      <c r="O91" s="7"/>
      <c r="P91" s="873">
        <f>IF(K!Q91&lt;&gt;K!R91,IF(K!Q91&lt;&gt;0,IF(K!S91&lt;&gt;K!T91,K!P91,),),)</f>
        <v>0</v>
      </c>
      <c r="Q91" s="795">
        <f>IF(K!Q91&lt;&gt;K!R91,IF(K!Q91&lt;&gt;0,IF(K!S91&lt;&gt;K!T91,K!Q91,),),)</f>
        <v>0</v>
      </c>
      <c r="R91" s="628">
        <f>IF(K!Q91&lt;&gt;K!R91,IF(K!Q91&lt;&gt;0,IF(K!S91&lt;&gt;K!T91,0,Q91),Q91),Q91)</f>
        <v>0</v>
      </c>
      <c r="S91" s="796">
        <f>IF(K!Q91&lt;&gt;K!R91,IF(K!Q91&lt;&gt;0,IF(K!S91&lt;&gt;K!T91,K!S91+1,),),)</f>
        <v>0</v>
      </c>
      <c r="T91" s="796">
        <f>IF(K!Q91&lt;&gt;K!R91,IF(K!Q91&lt;&gt;0,IF(K!S91&lt;&gt;K!T91,K!T91,),),)</f>
        <v>0</v>
      </c>
      <c r="U91" s="797">
        <f>IF(K!Q91&lt;&gt;K!R91,IF(K!Q91&lt;&gt;0,IF(K!S91&lt;&gt;K!T91,K!U91,),),)</f>
        <v>0</v>
      </c>
      <c r="V91" s="875">
        <f>IF(K!Q91&lt;&gt;K!R91,IF(K!Q91&lt;&gt;0,IF(K!S91&lt;&gt;K!T91,K!V91,),),)</f>
        <v>0</v>
      </c>
      <c r="W91" s="633">
        <f>IF(Q91="","",$W$5-SUM($Q$7:$Q$45)-SUM($Q$64:Q91))</f>
        <v>0</v>
      </c>
      <c r="AO91" s="86"/>
      <c r="AP91" s="86"/>
      <c r="AQ91" s="86"/>
      <c r="AR91" s="86"/>
      <c r="AS91" s="86"/>
      <c r="AT91" s="86"/>
      <c r="AU91" s="86"/>
      <c r="AV91" s="86"/>
      <c r="AW91" s="86"/>
      <c r="AX91" s="86"/>
      <c r="AY91" s="86"/>
      <c r="CM91" s="86"/>
      <c r="CN91" s="86"/>
    </row>
    <row r="92" spans="2:92" s="367" customFormat="1" ht="15.75" hidden="1" customHeight="1" outlineLevel="1">
      <c r="H92" s="543"/>
      <c r="I92" s="853"/>
      <c r="J92" s="6"/>
      <c r="K92" s="541"/>
      <c r="L92" s="860"/>
      <c r="M92" s="20" t="str">
        <f>IF(J92="","",$M$5-SUM($J$7:J92))</f>
        <v/>
      </c>
      <c r="O92" s="7"/>
      <c r="P92" s="871">
        <f>IF(K!Q92&lt;&gt;K!R92,IF(K!Q92&lt;&gt;0,IF(K!S92&lt;&gt;K!T92,K!P92,),),)</f>
        <v>0</v>
      </c>
      <c r="Q92" s="799">
        <f>IF(K!Q92&lt;&gt;K!R92,IF(K!Q92&lt;&gt;0,IF(K!S92&lt;&gt;K!T92,K!Q92,),),)</f>
        <v>0</v>
      </c>
      <c r="R92" s="628">
        <f>IF(K!Q92&lt;&gt;K!R92,IF(K!Q92&lt;&gt;0,IF(K!S92&lt;&gt;K!T92,0,Q92),Q92),Q92)</f>
        <v>0</v>
      </c>
      <c r="S92" s="796">
        <f>IF(K!Q92&lt;&gt;K!R92,IF(K!Q92&lt;&gt;0,IF(K!S92&lt;&gt;K!T92,K!S92+1,),),)</f>
        <v>0</v>
      </c>
      <c r="T92" s="796">
        <f>IF(K!Q92&lt;&gt;K!R92,IF(K!Q92&lt;&gt;0,IF(K!S92&lt;&gt;K!T92,K!T92,),),)</f>
        <v>0</v>
      </c>
      <c r="U92" s="797">
        <f>IF(K!Q92&lt;&gt;K!R92,IF(K!Q92&lt;&gt;0,IF(K!S92&lt;&gt;K!T92,K!U92,),),)</f>
        <v>0</v>
      </c>
      <c r="V92" s="875">
        <f>IF(K!Q92&lt;&gt;K!R92,IF(K!Q92&lt;&gt;0,IF(K!S92&lt;&gt;K!T92,K!V92,),),)</f>
        <v>0</v>
      </c>
      <c r="W92" s="634">
        <f>IF(Q92="","",$W$5-SUM($Q$7:$Q$45)-SUM($Q$64:Q92))</f>
        <v>0</v>
      </c>
      <c r="AO92" s="86"/>
      <c r="AP92" s="86"/>
      <c r="AQ92" s="86"/>
      <c r="AR92" s="86"/>
      <c r="AS92" s="86"/>
      <c r="AT92" s="86"/>
      <c r="AU92" s="86"/>
      <c r="AV92" s="86"/>
      <c r="AW92" s="86"/>
      <c r="AX92" s="86"/>
      <c r="AY92" s="86"/>
      <c r="CM92" s="86"/>
      <c r="CN92" s="86"/>
    </row>
    <row r="93" spans="2:92" s="367" customFormat="1" ht="15.75" hidden="1" customHeight="1" outlineLevel="1">
      <c r="H93" s="543"/>
      <c r="I93" s="853"/>
      <c r="J93" s="6"/>
      <c r="K93" s="541"/>
      <c r="L93" s="860"/>
      <c r="M93" s="20" t="str">
        <f>IF(J93="","",$M$5-SUM($J$7:J93))</f>
        <v/>
      </c>
      <c r="O93" s="7"/>
      <c r="P93" s="873">
        <f>IF(K!Q93&lt;&gt;K!R93,IF(K!Q93&lt;&gt;0,IF(K!S93&lt;&gt;K!T93,K!P93,),),)</f>
        <v>0</v>
      </c>
      <c r="Q93" s="795">
        <f>IF(K!Q93&lt;&gt;K!R93,IF(K!Q93&lt;&gt;0,IF(K!S93&lt;&gt;K!T93,K!Q93,),),)</f>
        <v>0</v>
      </c>
      <c r="R93" s="628">
        <f>IF(K!Q93&lt;&gt;K!R93,IF(K!Q93&lt;&gt;0,IF(K!S93&lt;&gt;K!T93,0,Q93),Q93),Q93)</f>
        <v>0</v>
      </c>
      <c r="S93" s="796">
        <f>IF(K!Q93&lt;&gt;K!R93,IF(K!Q93&lt;&gt;0,IF(K!S93&lt;&gt;K!T93,K!S93+1,),),)</f>
        <v>0</v>
      </c>
      <c r="T93" s="796">
        <f>IF(K!Q93&lt;&gt;K!R93,IF(K!Q93&lt;&gt;0,IF(K!S93&lt;&gt;K!T93,K!T93,),),)</f>
        <v>0</v>
      </c>
      <c r="U93" s="797">
        <f>IF(K!Q93&lt;&gt;K!R93,IF(K!Q93&lt;&gt;0,IF(K!S93&lt;&gt;K!T93,K!U93,),),)</f>
        <v>0</v>
      </c>
      <c r="V93" s="875">
        <f>IF(K!Q93&lt;&gt;K!R93,IF(K!Q93&lt;&gt;0,IF(K!S93&lt;&gt;K!T93,K!V93,),),)</f>
        <v>0</v>
      </c>
      <c r="W93" s="633">
        <f>IF(Q93="","",$W$5-SUM($Q$7:$Q$45)-SUM($Q$64:Q93))</f>
        <v>0</v>
      </c>
      <c r="AO93" s="86"/>
      <c r="AP93" s="86"/>
      <c r="AQ93" s="86"/>
      <c r="AR93" s="86"/>
      <c r="AS93" s="86"/>
      <c r="AT93" s="86"/>
      <c r="AU93" s="86"/>
      <c r="AV93" s="86"/>
      <c r="AW93" s="86"/>
      <c r="AX93" s="86"/>
      <c r="AY93" s="86"/>
      <c r="CM93" s="86"/>
      <c r="CN93" s="86"/>
    </row>
    <row r="94" spans="2:92" s="367" customFormat="1" ht="15.75" hidden="1" customHeight="1" outlineLevel="1">
      <c r="H94" s="543"/>
      <c r="I94" s="853"/>
      <c r="J94" s="6"/>
      <c r="K94" s="541"/>
      <c r="L94" s="860"/>
      <c r="M94" s="20" t="str">
        <f>IF(J94="","",$M$5-SUM($J$7:J94))</f>
        <v/>
      </c>
      <c r="O94" s="7"/>
      <c r="P94" s="871">
        <f>IF(K!Q94&lt;&gt;K!R94,IF(K!Q94&lt;&gt;0,IF(K!S94&lt;&gt;K!T94,K!P94,),),)</f>
        <v>0</v>
      </c>
      <c r="Q94" s="795">
        <f>IF(K!Q94&lt;&gt;K!R94,IF(K!Q94&lt;&gt;0,IF(K!S94&lt;&gt;K!T94,K!Q94,),),)</f>
        <v>0</v>
      </c>
      <c r="R94" s="628">
        <f>IF(K!Q94&lt;&gt;K!R94,IF(K!Q94&lt;&gt;0,IF(K!S94&lt;&gt;K!T94,0,Q94),Q94),Q94)</f>
        <v>0</v>
      </c>
      <c r="S94" s="796">
        <f>IF(K!Q94&lt;&gt;K!R94,IF(K!Q94&lt;&gt;0,IF(K!S94&lt;&gt;K!T94,K!S94+1,),),)</f>
        <v>0</v>
      </c>
      <c r="T94" s="796">
        <f>IF(K!Q94&lt;&gt;K!R94,IF(K!Q94&lt;&gt;0,IF(K!S94&lt;&gt;K!T94,K!T94,),),)</f>
        <v>0</v>
      </c>
      <c r="U94" s="797">
        <f>IF(K!Q94&lt;&gt;K!R94,IF(K!Q94&lt;&gt;0,IF(K!S94&lt;&gt;K!T94,K!U94,),),)</f>
        <v>0</v>
      </c>
      <c r="V94" s="875">
        <f>IF(K!Q94&lt;&gt;K!R94,IF(K!Q94&lt;&gt;0,IF(K!S94&lt;&gt;K!T94,K!V94,),),)</f>
        <v>0</v>
      </c>
      <c r="W94" s="633">
        <f>IF(Q94="","",$W$5-SUM($Q$7:$Q$45)-SUM($Q$64:Q94))</f>
        <v>0</v>
      </c>
      <c r="AO94" s="86"/>
      <c r="AP94" s="86"/>
      <c r="AQ94" s="86"/>
      <c r="AR94" s="86"/>
      <c r="AS94" s="86"/>
      <c r="AT94" s="86"/>
      <c r="AU94" s="86"/>
      <c r="AV94" s="86"/>
      <c r="AW94" s="86"/>
      <c r="AX94" s="86"/>
      <c r="AY94" s="86"/>
      <c r="CM94" s="86"/>
      <c r="CN94" s="86"/>
    </row>
    <row r="95" spans="2:92" s="367" customFormat="1" ht="15.75" hidden="1" customHeight="1" outlineLevel="1">
      <c r="H95" s="543"/>
      <c r="I95" s="853"/>
      <c r="J95" s="6"/>
      <c r="K95" s="541"/>
      <c r="L95" s="860"/>
      <c r="M95" s="20" t="str">
        <f>IF(J95="","",$M$5-SUM($J$7:J95))</f>
        <v/>
      </c>
      <c r="O95" s="7"/>
      <c r="P95" s="873">
        <f>IF(K!Q95&lt;&gt;K!R95,IF(K!Q95&lt;&gt;0,IF(K!S95&lt;&gt;K!T95,K!P95,),),)</f>
        <v>0</v>
      </c>
      <c r="Q95" s="795">
        <f>IF(K!Q95&lt;&gt;K!R95,IF(K!Q95&lt;&gt;0,IF(K!S95&lt;&gt;K!T95,K!Q95,),),)</f>
        <v>0</v>
      </c>
      <c r="R95" s="628">
        <f>IF(K!Q95&lt;&gt;K!R95,IF(K!Q95&lt;&gt;0,IF(K!S95&lt;&gt;K!T95,0,Q95),Q95),Q95)</f>
        <v>0</v>
      </c>
      <c r="S95" s="796">
        <f>IF(K!Q95&lt;&gt;K!R95,IF(K!Q95&lt;&gt;0,IF(K!S95&lt;&gt;K!T95,K!S95+1,),),)</f>
        <v>0</v>
      </c>
      <c r="T95" s="796">
        <f>IF(K!Q95&lt;&gt;K!R95,IF(K!Q95&lt;&gt;0,IF(K!S95&lt;&gt;K!T95,K!T95,),),)</f>
        <v>0</v>
      </c>
      <c r="U95" s="797">
        <f>IF(K!Q95&lt;&gt;K!R95,IF(K!Q95&lt;&gt;0,IF(K!S95&lt;&gt;K!T95,K!U95,),),)</f>
        <v>0</v>
      </c>
      <c r="V95" s="875">
        <f>IF(K!Q95&lt;&gt;K!R95,IF(K!Q95&lt;&gt;0,IF(K!S95&lt;&gt;K!T95,K!V95,),),)</f>
        <v>0</v>
      </c>
      <c r="W95" s="633">
        <f>IF(Q95="","",$W$5-SUM($Q$7:$Q$45)-SUM($Q$64:Q95))</f>
        <v>0</v>
      </c>
      <c r="AO95" s="86"/>
      <c r="AP95" s="86"/>
      <c r="AQ95" s="86"/>
      <c r="AR95" s="86"/>
      <c r="AS95" s="86"/>
      <c r="AT95" s="86"/>
      <c r="AU95" s="86"/>
      <c r="AV95" s="86"/>
      <c r="AW95" s="86"/>
      <c r="AX95" s="86"/>
      <c r="AY95" s="86"/>
      <c r="CM95" s="86"/>
      <c r="CN95" s="86"/>
    </row>
    <row r="96" spans="2:92" s="367" customFormat="1" ht="15.75" hidden="1" customHeight="1" outlineLevel="1">
      <c r="H96" s="543"/>
      <c r="I96" s="853"/>
      <c r="J96" s="6"/>
      <c r="K96" s="541"/>
      <c r="L96" s="860"/>
      <c r="M96" s="20" t="str">
        <f>IF(J96="","",$M$5-SUM($J$7:J96))</f>
        <v/>
      </c>
      <c r="O96" s="7"/>
      <c r="P96" s="872">
        <f>IF(K!Q96&lt;&gt;K!R96,IF(K!Q96&lt;&gt;0,IF(K!S96&lt;&gt;K!T96,K!P96,),),)</f>
        <v>0</v>
      </c>
      <c r="Q96" s="795">
        <f>IF(K!Q96&lt;&gt;K!R96,IF(K!Q96&lt;&gt;0,IF(K!S96&lt;&gt;K!T96,K!Q96,),),)</f>
        <v>0</v>
      </c>
      <c r="R96" s="628">
        <f>IF(K!Q96&lt;&gt;K!R96,IF(K!Q96&lt;&gt;0,IF(K!S96&lt;&gt;K!T96,0,Q96),Q96),Q96)</f>
        <v>0</v>
      </c>
      <c r="S96" s="796">
        <f>IF(K!Q96&lt;&gt;K!R96,IF(K!Q96&lt;&gt;0,IF(K!S96&lt;&gt;K!T96,K!S96+1,),),)</f>
        <v>0</v>
      </c>
      <c r="T96" s="796">
        <f>IF(K!Q96&lt;&gt;K!R96,IF(K!Q96&lt;&gt;0,IF(K!S96&lt;&gt;K!T96,K!T96,),),)</f>
        <v>0</v>
      </c>
      <c r="U96" s="797">
        <f>IF(K!Q96&lt;&gt;K!R96,IF(K!Q96&lt;&gt;0,IF(K!S96&lt;&gt;K!T96,K!U96,),),)</f>
        <v>0</v>
      </c>
      <c r="V96" s="875">
        <f>IF(K!Q96&lt;&gt;K!R96,IF(K!Q96&lt;&gt;0,IF(K!S96&lt;&gt;K!T96,K!V96,),),)</f>
        <v>0</v>
      </c>
      <c r="W96" s="633">
        <f>IF(Q96="","",$W$5-SUM($Q$7:$Q$45)-SUM($Q$64:Q96))</f>
        <v>0</v>
      </c>
      <c r="AO96" s="86"/>
      <c r="AP96" s="86"/>
      <c r="AQ96" s="86"/>
      <c r="AR96" s="86"/>
      <c r="AS96" s="86"/>
      <c r="AT96" s="86"/>
      <c r="AU96" s="86"/>
      <c r="AV96" s="86"/>
      <c r="AW96" s="86"/>
      <c r="AX96" s="86"/>
      <c r="AY96" s="86"/>
      <c r="CM96" s="86"/>
      <c r="CN96" s="86"/>
    </row>
    <row r="97" spans="8:92" s="367" customFormat="1" ht="15.75" hidden="1" customHeight="1" outlineLevel="1">
      <c r="H97" s="543"/>
      <c r="I97" s="853"/>
      <c r="J97" s="6"/>
      <c r="K97" s="541"/>
      <c r="L97" s="860"/>
      <c r="M97" s="20" t="str">
        <f>IF(J97="","",$M$5-SUM($J$7:J97))</f>
        <v/>
      </c>
      <c r="O97" s="7"/>
      <c r="P97" s="871">
        <f>IF(K!Q97&lt;&gt;K!R97,IF(K!Q97&lt;&gt;0,IF(K!S97&lt;&gt;K!T97,K!P97,),),)</f>
        <v>0</v>
      </c>
      <c r="Q97" s="795">
        <f>IF(K!Q97&lt;&gt;K!R97,IF(K!Q97&lt;&gt;0,IF(K!S97&lt;&gt;K!T97,K!Q97,),),)</f>
        <v>0</v>
      </c>
      <c r="R97" s="628">
        <f>IF(K!Q97&lt;&gt;K!R97,IF(K!Q97&lt;&gt;0,IF(K!S97&lt;&gt;K!T97,0,Q97),Q97),Q97)</f>
        <v>0</v>
      </c>
      <c r="S97" s="796">
        <f>IF(K!Q97&lt;&gt;K!R97,IF(K!Q97&lt;&gt;0,IF(K!S97&lt;&gt;K!T97,K!S97+1,),),)</f>
        <v>0</v>
      </c>
      <c r="T97" s="796">
        <f>IF(K!Q97&lt;&gt;K!R97,IF(K!Q97&lt;&gt;0,IF(K!S97&lt;&gt;K!T97,K!T97,),),)</f>
        <v>0</v>
      </c>
      <c r="U97" s="797">
        <f>IF(K!Q97&lt;&gt;K!R97,IF(K!Q97&lt;&gt;0,IF(K!S97&lt;&gt;K!T97,K!U97,),),)</f>
        <v>0</v>
      </c>
      <c r="V97" s="875">
        <f>IF(K!Q97&lt;&gt;K!R97,IF(K!Q97&lt;&gt;0,IF(K!S97&lt;&gt;K!T97,K!V97,),),)</f>
        <v>0</v>
      </c>
      <c r="W97" s="633">
        <f>IF(Q97="","",$W$5-SUM($Q$7:$Q$45)-SUM($Q$64:Q97))</f>
        <v>0</v>
      </c>
      <c r="AO97" s="86"/>
      <c r="AP97" s="86"/>
      <c r="AQ97" s="86"/>
      <c r="AR97" s="86"/>
      <c r="AS97" s="86"/>
      <c r="AT97" s="86"/>
      <c r="AU97" s="86"/>
      <c r="AV97" s="86"/>
      <c r="AW97" s="86"/>
      <c r="AX97" s="86"/>
      <c r="AY97" s="86"/>
      <c r="CM97" s="86"/>
      <c r="CN97" s="86"/>
    </row>
    <row r="98" spans="8:92" s="367" customFormat="1" ht="15.75" hidden="1" customHeight="1" outlineLevel="1">
      <c r="H98" s="543"/>
      <c r="I98" s="853"/>
      <c r="J98" s="6"/>
      <c r="K98" s="541"/>
      <c r="L98" s="860"/>
      <c r="M98" s="20" t="str">
        <f>IF(J98="","",$M$5-SUM($J$7:J98))</f>
        <v/>
      </c>
      <c r="O98" s="7"/>
      <c r="P98" s="871">
        <f>IF(K!Q98&lt;&gt;K!R98,IF(K!Q98&lt;&gt;0,IF(K!S98&lt;&gt;K!T98,K!P98,),),)</f>
        <v>0</v>
      </c>
      <c r="Q98" s="795">
        <f>IF(K!Q98&lt;&gt;K!R98,IF(K!Q98&lt;&gt;0,IF(K!S98&lt;&gt;K!T98,K!Q98,),),)</f>
        <v>0</v>
      </c>
      <c r="R98" s="628">
        <f>IF(K!Q98&lt;&gt;K!R98,IF(K!Q98&lt;&gt;0,IF(K!S98&lt;&gt;K!T98,0,Q98),Q98),Q98)</f>
        <v>0</v>
      </c>
      <c r="S98" s="796">
        <f>IF(K!Q98&lt;&gt;K!R98,IF(K!Q98&lt;&gt;0,IF(K!S98&lt;&gt;K!T98,K!S98+1,),),)</f>
        <v>0</v>
      </c>
      <c r="T98" s="796">
        <f>IF(K!Q98&lt;&gt;K!R98,IF(K!Q98&lt;&gt;0,IF(K!S98&lt;&gt;K!T98,K!T98,),),)</f>
        <v>0</v>
      </c>
      <c r="U98" s="797">
        <f>IF(K!Q98&lt;&gt;K!R98,IF(K!Q98&lt;&gt;0,IF(K!S98&lt;&gt;K!T98,K!U98,),),)</f>
        <v>0</v>
      </c>
      <c r="V98" s="875">
        <f>IF(K!Q98&lt;&gt;K!R98,IF(K!Q98&lt;&gt;0,IF(K!S98&lt;&gt;K!T98,K!V98,),),)</f>
        <v>0</v>
      </c>
      <c r="W98" s="633">
        <f>IF(Q98="","",$W$5-SUM($Q$7:$Q$45)-SUM($Q$64:Q98))</f>
        <v>0</v>
      </c>
      <c r="AO98" s="86"/>
      <c r="AP98" s="86"/>
      <c r="AQ98" s="86"/>
      <c r="AR98" s="86"/>
      <c r="AS98" s="86"/>
      <c r="AT98" s="86"/>
      <c r="AU98" s="86"/>
      <c r="AV98" s="86"/>
      <c r="AW98" s="86"/>
      <c r="AX98" s="86"/>
      <c r="AY98" s="86"/>
      <c r="CM98" s="86"/>
      <c r="CN98" s="86"/>
    </row>
    <row r="99" spans="8:92" s="367" customFormat="1" ht="15.75" hidden="1" customHeight="1" outlineLevel="1">
      <c r="H99" s="543"/>
      <c r="I99" s="853"/>
      <c r="J99" s="6"/>
      <c r="K99" s="541"/>
      <c r="L99" s="860"/>
      <c r="M99" s="20" t="str">
        <f>IF(J99="","",$M$5-SUM($J$7:J99))</f>
        <v/>
      </c>
      <c r="O99" s="7"/>
      <c r="P99" s="873">
        <f>IF(K!Q99&lt;&gt;K!R99,IF(K!Q99&lt;&gt;0,IF(K!S99&lt;&gt;K!T99,K!P99,),),)</f>
        <v>0</v>
      </c>
      <c r="Q99" s="795">
        <f>IF(K!Q99&lt;&gt;K!R99,IF(K!Q99&lt;&gt;0,IF(K!S99&lt;&gt;K!T99,K!Q99,),),)</f>
        <v>0</v>
      </c>
      <c r="R99" s="628">
        <f>IF(K!Q99&lt;&gt;K!R99,IF(K!Q99&lt;&gt;0,IF(K!S99&lt;&gt;K!T99,0,Q99),Q99),Q99)</f>
        <v>0</v>
      </c>
      <c r="S99" s="796">
        <f>IF(K!Q99&lt;&gt;K!R99,IF(K!Q99&lt;&gt;0,IF(K!S99&lt;&gt;K!T99,K!S99+1,),),)</f>
        <v>0</v>
      </c>
      <c r="T99" s="796">
        <f>IF(K!Q99&lt;&gt;K!R99,IF(K!Q99&lt;&gt;0,IF(K!S99&lt;&gt;K!T99,K!T99,),),)</f>
        <v>0</v>
      </c>
      <c r="U99" s="797">
        <f>IF(K!Q99&lt;&gt;K!R99,IF(K!Q99&lt;&gt;0,IF(K!S99&lt;&gt;K!T99,K!U99,),),)</f>
        <v>0</v>
      </c>
      <c r="V99" s="875">
        <f>IF(K!Q99&lt;&gt;K!R99,IF(K!Q99&lt;&gt;0,IF(K!S99&lt;&gt;K!T99,K!V99,),),)</f>
        <v>0</v>
      </c>
      <c r="W99" s="633">
        <f>IF(Q99="","",$W$5-SUM($Q$7:$Q$45)-SUM($Q$64:Q99))</f>
        <v>0</v>
      </c>
      <c r="AO99" s="86"/>
      <c r="AP99" s="86"/>
      <c r="AQ99" s="86"/>
      <c r="AR99" s="86"/>
      <c r="AS99" s="86"/>
      <c r="AT99" s="86"/>
      <c r="AU99" s="86"/>
      <c r="AV99" s="86"/>
      <c r="AW99" s="86"/>
      <c r="AX99" s="86"/>
      <c r="AY99" s="86"/>
      <c r="CM99" s="86"/>
      <c r="CN99" s="86"/>
    </row>
    <row r="100" spans="8:92" s="367" customFormat="1" ht="15.75" hidden="1" customHeight="1" outlineLevel="1">
      <c r="H100" s="543"/>
      <c r="I100" s="854"/>
      <c r="J100" s="6"/>
      <c r="K100" s="541"/>
      <c r="L100" s="860"/>
      <c r="M100" s="20" t="str">
        <f>IF(J100="","",$M$5-SUM($J$7:J100))</f>
        <v/>
      </c>
      <c r="O100" s="7"/>
      <c r="P100" s="871">
        <f>IF(K!Q100&lt;&gt;K!R100,IF(K!Q100&lt;&gt;0,IF(K!S100&lt;&gt;K!T100,K!P100,),),)</f>
        <v>0</v>
      </c>
      <c r="Q100" s="795">
        <f>IF(K!Q100&lt;&gt;K!R100,IF(K!Q100&lt;&gt;0,IF(K!S100&lt;&gt;K!T100,K!Q100,),),)</f>
        <v>0</v>
      </c>
      <c r="R100" s="628">
        <f>IF(K!Q100&lt;&gt;K!R100,IF(K!Q100&lt;&gt;0,IF(K!S100&lt;&gt;K!T100,0,Q100),Q100),Q100)</f>
        <v>0</v>
      </c>
      <c r="S100" s="796">
        <f>IF(K!Q100&lt;&gt;K!R100,IF(K!Q100&lt;&gt;0,IF(K!S100&lt;&gt;K!T100,K!S100+1,),),)</f>
        <v>0</v>
      </c>
      <c r="T100" s="796">
        <f>IF(K!Q100&lt;&gt;K!R100,IF(K!Q100&lt;&gt;0,IF(K!S100&lt;&gt;K!T100,K!T100,),),)</f>
        <v>0</v>
      </c>
      <c r="U100" s="797">
        <f>IF(K!Q100&lt;&gt;K!R100,IF(K!Q100&lt;&gt;0,IF(K!S100&lt;&gt;K!T100,K!U100,),),)</f>
        <v>0</v>
      </c>
      <c r="V100" s="875">
        <f>IF(K!Q100&lt;&gt;K!R100,IF(K!Q100&lt;&gt;0,IF(K!S100&lt;&gt;K!T100,K!V100,),),)</f>
        <v>0</v>
      </c>
      <c r="W100" s="633">
        <f>IF(Q100="","",$W$5-SUM($Q$7:$Q$45)-SUM($Q$64:Q100))</f>
        <v>0</v>
      </c>
      <c r="AO100" s="86"/>
      <c r="AP100" s="86"/>
      <c r="AQ100" s="86"/>
      <c r="AR100" s="86"/>
      <c r="AS100" s="86"/>
      <c r="AT100" s="86"/>
      <c r="AU100" s="86"/>
      <c r="AV100" s="86"/>
      <c r="AW100" s="86"/>
      <c r="AX100" s="86"/>
      <c r="AY100" s="86"/>
      <c r="CM100" s="86"/>
      <c r="CN100" s="86"/>
    </row>
    <row r="101" spans="8:92" s="367" customFormat="1" ht="15.75" hidden="1" customHeight="1" outlineLevel="1">
      <c r="H101" s="543"/>
      <c r="I101" s="853"/>
      <c r="J101" s="6"/>
      <c r="K101" s="541"/>
      <c r="L101" s="860"/>
      <c r="M101" s="20" t="str">
        <f>IF(J101="","",$M$5-SUM($J$7:J101))</f>
        <v/>
      </c>
      <c r="O101" s="7"/>
      <c r="P101" s="871">
        <f>IF(K!Q101&lt;&gt;K!R101,IF(K!Q101&lt;&gt;0,IF(K!S101&lt;&gt;K!T101,K!P101,),),)</f>
        <v>0</v>
      </c>
      <c r="Q101" s="795">
        <f>IF(K!Q101&lt;&gt;K!R101,IF(K!Q101&lt;&gt;0,IF(K!S101&lt;&gt;K!T101,K!Q101,),),)</f>
        <v>0</v>
      </c>
      <c r="R101" s="628">
        <f>IF(K!Q101&lt;&gt;K!R101,IF(K!Q101&lt;&gt;0,IF(K!S101&lt;&gt;K!T101,0,Q101),Q101),Q101)</f>
        <v>0</v>
      </c>
      <c r="S101" s="796">
        <f>IF(K!Q101&lt;&gt;K!R101,IF(K!Q101&lt;&gt;0,IF(K!S101&lt;&gt;K!T101,K!S101+1,),),)</f>
        <v>0</v>
      </c>
      <c r="T101" s="796">
        <f>IF(K!Q101&lt;&gt;K!R101,IF(K!Q101&lt;&gt;0,IF(K!S101&lt;&gt;K!T101,K!T101,),),)</f>
        <v>0</v>
      </c>
      <c r="U101" s="797">
        <f>IF(K!Q101&lt;&gt;K!R101,IF(K!Q101&lt;&gt;0,IF(K!S101&lt;&gt;K!T101,K!U101,),),)</f>
        <v>0</v>
      </c>
      <c r="V101" s="875">
        <f>IF(K!Q101&lt;&gt;K!R101,IF(K!Q101&lt;&gt;0,IF(K!S101&lt;&gt;K!T101,K!V101,),),)</f>
        <v>0</v>
      </c>
      <c r="W101" s="633">
        <f>IF(Q101="","",$W$5-SUM($Q$7:$Q$45)-SUM($Q$64:Q101))</f>
        <v>0</v>
      </c>
      <c r="AO101" s="86"/>
      <c r="AP101" s="86"/>
      <c r="AQ101" s="86"/>
      <c r="AR101" s="86"/>
      <c r="AS101" s="86"/>
      <c r="AT101" s="86"/>
      <c r="AU101" s="86"/>
      <c r="AV101" s="86"/>
      <c r="AW101" s="86"/>
      <c r="AX101" s="86"/>
      <c r="AY101" s="86"/>
      <c r="CM101" s="86"/>
      <c r="CN101" s="86"/>
    </row>
    <row r="102" spans="8:92" s="367" customFormat="1" ht="15.75" hidden="1" customHeight="1" outlineLevel="1">
      <c r="H102" s="543"/>
      <c r="I102" s="853"/>
      <c r="J102" s="6"/>
      <c r="K102" s="541"/>
      <c r="L102" s="860"/>
      <c r="M102" s="20" t="str">
        <f>IF(J102="","",$M$5-SUM($J$7:J102))</f>
        <v/>
      </c>
      <c r="O102" s="7"/>
      <c r="P102" s="873">
        <f>IF(K!Q102&lt;&gt;K!R102,IF(K!Q102&lt;&gt;0,IF(K!S102&lt;&gt;K!T102,K!P102,),),)</f>
        <v>0</v>
      </c>
      <c r="Q102" s="795">
        <f>IF(K!Q102&lt;&gt;K!R102,IF(K!Q102&lt;&gt;0,IF(K!S102&lt;&gt;K!T102,K!Q102,),),)</f>
        <v>0</v>
      </c>
      <c r="R102" s="628">
        <f>IF(K!Q102&lt;&gt;K!R102,IF(K!Q102&lt;&gt;0,IF(K!S102&lt;&gt;K!T102,0,Q102),Q102),Q102)</f>
        <v>0</v>
      </c>
      <c r="S102" s="796">
        <f>IF(K!Q102&lt;&gt;K!R102,IF(K!Q102&lt;&gt;0,IF(K!S102&lt;&gt;K!T102,K!S102+1,),),)</f>
        <v>0</v>
      </c>
      <c r="T102" s="796">
        <f>IF(K!Q102&lt;&gt;K!R102,IF(K!Q102&lt;&gt;0,IF(K!S102&lt;&gt;K!T102,K!T102,),),)</f>
        <v>0</v>
      </c>
      <c r="U102" s="797">
        <f>IF(K!Q102&lt;&gt;K!R102,IF(K!Q102&lt;&gt;0,IF(K!S102&lt;&gt;K!T102,K!U102,),),)</f>
        <v>0</v>
      </c>
      <c r="V102" s="875">
        <f>IF(K!Q102&lt;&gt;K!R102,IF(K!Q102&lt;&gt;0,IF(K!S102&lt;&gt;K!T102,K!V102,),),)</f>
        <v>0</v>
      </c>
      <c r="W102" s="633">
        <f>IF(Q102="","",$W$5-SUM($Q$7:$Q$45)-SUM($Q$64:Q102))</f>
        <v>0</v>
      </c>
      <c r="AO102" s="86"/>
      <c r="AP102" s="86"/>
      <c r="AQ102" s="86"/>
      <c r="AR102" s="86"/>
      <c r="AS102" s="86"/>
      <c r="AT102" s="86"/>
      <c r="AU102" s="86"/>
      <c r="AV102" s="86"/>
      <c r="AW102" s="86"/>
      <c r="AX102" s="86"/>
      <c r="AY102" s="86"/>
      <c r="CM102" s="86"/>
      <c r="CN102" s="86"/>
    </row>
    <row r="103" spans="8:92" s="367" customFormat="1" ht="15.75" hidden="1" customHeight="1" outlineLevel="1">
      <c r="H103" s="543"/>
      <c r="I103" s="853"/>
      <c r="J103" s="6"/>
      <c r="K103" s="541"/>
      <c r="L103" s="860"/>
      <c r="M103" s="20" t="str">
        <f>IF(J103="","",$M$5-SUM($J$7:J103))</f>
        <v/>
      </c>
      <c r="O103" s="7"/>
      <c r="P103" s="871">
        <f>IF(K!Q103&lt;&gt;K!R103,IF(K!Q103&lt;&gt;0,IF(K!S103&lt;&gt;K!T103,K!P103,),),)</f>
        <v>0</v>
      </c>
      <c r="Q103" s="795">
        <f>IF(K!Q103&lt;&gt;K!R103,IF(K!Q103&lt;&gt;0,IF(K!S103&lt;&gt;K!T103,K!Q103,),),)</f>
        <v>0</v>
      </c>
      <c r="R103" s="628">
        <f>IF(K!Q103&lt;&gt;K!R103,IF(K!Q103&lt;&gt;0,IF(K!S103&lt;&gt;K!T103,0,Q103),Q103),Q103)</f>
        <v>0</v>
      </c>
      <c r="S103" s="796">
        <f>IF(K!Q103&lt;&gt;K!R103,IF(K!Q103&lt;&gt;0,IF(K!S103&lt;&gt;K!T103,K!S103+1,),),)</f>
        <v>0</v>
      </c>
      <c r="T103" s="796">
        <f>IF(K!Q103&lt;&gt;K!R103,IF(K!Q103&lt;&gt;0,IF(K!S103&lt;&gt;K!T103,K!T103,),),)</f>
        <v>0</v>
      </c>
      <c r="U103" s="797">
        <f>IF(K!Q103&lt;&gt;K!R103,IF(K!Q103&lt;&gt;0,IF(K!S103&lt;&gt;K!T103,K!U103,),),)</f>
        <v>0</v>
      </c>
      <c r="V103" s="875">
        <f>IF(K!Q103&lt;&gt;K!R103,IF(K!Q103&lt;&gt;0,IF(K!S103&lt;&gt;K!T103,K!V103,),),)</f>
        <v>0</v>
      </c>
      <c r="W103" s="633">
        <f>IF(Q103="","",$W$5-SUM($Q$7:$Q$45)-SUM($Q$64:Q103))</f>
        <v>0</v>
      </c>
      <c r="AO103" s="86"/>
      <c r="AP103" s="86"/>
      <c r="AQ103" s="86"/>
      <c r="AR103" s="86"/>
      <c r="AS103" s="86"/>
      <c r="AT103" s="86"/>
      <c r="AU103" s="86"/>
      <c r="AV103" s="86"/>
      <c r="AW103" s="86"/>
      <c r="AX103" s="86"/>
      <c r="AY103" s="86"/>
      <c r="CM103" s="86"/>
      <c r="CN103" s="86"/>
    </row>
    <row r="104" spans="8:92" s="367" customFormat="1" ht="15.75" hidden="1" customHeight="1" outlineLevel="1">
      <c r="H104" s="543"/>
      <c r="I104" s="853"/>
      <c r="J104" s="6"/>
      <c r="K104" s="541"/>
      <c r="L104" s="860"/>
      <c r="M104" s="20" t="str">
        <f>IF(J104="","",$M$5-SUM($J$7:J104))</f>
        <v/>
      </c>
      <c r="O104" s="7"/>
      <c r="P104" s="873">
        <f>IF(K!Q104&lt;&gt;K!R104,IF(K!Q104&lt;&gt;0,IF(K!S104&lt;&gt;K!T104,K!P104,),),)</f>
        <v>0</v>
      </c>
      <c r="Q104" s="795">
        <f>IF(K!Q104&lt;&gt;K!R104,IF(K!Q104&lt;&gt;0,IF(K!S104&lt;&gt;K!T104,K!Q104,),),)</f>
        <v>0</v>
      </c>
      <c r="R104" s="628">
        <f>IF(K!Q104&lt;&gt;K!R104,IF(K!Q104&lt;&gt;0,IF(K!S104&lt;&gt;K!T104,0,Q104),Q104),Q104)</f>
        <v>0</v>
      </c>
      <c r="S104" s="796">
        <f>IF(K!Q104&lt;&gt;K!R104,IF(K!Q104&lt;&gt;0,IF(K!S104&lt;&gt;K!T104,K!S104+1,),),)</f>
        <v>0</v>
      </c>
      <c r="T104" s="796">
        <f>IF(K!Q104&lt;&gt;K!R104,IF(K!Q104&lt;&gt;0,IF(K!S104&lt;&gt;K!T104,K!T104,),),)</f>
        <v>0</v>
      </c>
      <c r="U104" s="797">
        <f>IF(K!Q104&lt;&gt;K!R104,IF(K!Q104&lt;&gt;0,IF(K!S104&lt;&gt;K!T104,K!U104,),),)</f>
        <v>0</v>
      </c>
      <c r="V104" s="875">
        <f>IF(K!Q104&lt;&gt;K!R104,IF(K!Q104&lt;&gt;0,IF(K!S104&lt;&gt;K!T104,K!V104,),),)</f>
        <v>0</v>
      </c>
      <c r="W104" s="633">
        <f>IF(Q104="","",$W$5-SUM($Q$7:$Q$45)-SUM($Q$64:Q104))</f>
        <v>0</v>
      </c>
      <c r="AO104" s="86"/>
      <c r="AP104" s="86"/>
      <c r="AQ104" s="86"/>
      <c r="AR104" s="86"/>
      <c r="AS104" s="86"/>
      <c r="AT104" s="86"/>
      <c r="AU104" s="86"/>
      <c r="AV104" s="86"/>
      <c r="AW104" s="86"/>
      <c r="AX104" s="86"/>
      <c r="AY104" s="86"/>
      <c r="CM104" s="86"/>
      <c r="CN104" s="86"/>
    </row>
    <row r="105" spans="8:92" s="367" customFormat="1" ht="15.75" hidden="1" customHeight="1" outlineLevel="1">
      <c r="H105" s="543"/>
      <c r="I105" s="853"/>
      <c r="J105" s="6"/>
      <c r="K105" s="541"/>
      <c r="L105" s="860"/>
      <c r="M105" s="20" t="str">
        <f>IF(J105="","",$M$5-SUM($J$7:J105))</f>
        <v/>
      </c>
      <c r="O105" s="7"/>
      <c r="P105" s="872">
        <f>IF(K!Q105&lt;&gt;K!R105,IF(K!Q105&lt;&gt;0,IF(K!S105&lt;&gt;K!T105,K!P105,),),)</f>
        <v>0</v>
      </c>
      <c r="Q105" s="795">
        <f>IF(K!Q105&lt;&gt;K!R105,IF(K!Q105&lt;&gt;0,IF(K!S105&lt;&gt;K!T105,K!Q105,),),)</f>
        <v>0</v>
      </c>
      <c r="R105" s="628">
        <f>IF(K!Q105&lt;&gt;K!R105,IF(K!Q105&lt;&gt;0,IF(K!S105&lt;&gt;K!T105,0,Q105),Q105),Q105)</f>
        <v>0</v>
      </c>
      <c r="S105" s="796">
        <f>IF(K!Q105&lt;&gt;K!R105,IF(K!Q105&lt;&gt;0,IF(K!S105&lt;&gt;K!T105,K!S105+1,),),)</f>
        <v>0</v>
      </c>
      <c r="T105" s="796">
        <f>IF(K!Q105&lt;&gt;K!R105,IF(K!Q105&lt;&gt;0,IF(K!S105&lt;&gt;K!T105,K!T105,),),)</f>
        <v>0</v>
      </c>
      <c r="U105" s="797">
        <f>IF(K!Q105&lt;&gt;K!R105,IF(K!Q105&lt;&gt;0,IF(K!S105&lt;&gt;K!T105,K!U105,),),)</f>
        <v>0</v>
      </c>
      <c r="V105" s="875">
        <f>IF(K!Q105&lt;&gt;K!R105,IF(K!Q105&lt;&gt;0,IF(K!S105&lt;&gt;K!T105,K!V105,),),)</f>
        <v>0</v>
      </c>
      <c r="W105" s="633">
        <f>IF(Q105="","",$W$5-SUM($Q$7:$Q$45)-SUM($Q$64:Q105))</f>
        <v>0</v>
      </c>
      <c r="AO105" s="86"/>
      <c r="AP105" s="86"/>
      <c r="AQ105" s="86"/>
      <c r="AR105" s="86"/>
      <c r="AS105" s="86"/>
      <c r="AT105" s="86"/>
      <c r="AU105" s="86"/>
      <c r="AV105" s="86"/>
      <c r="AW105" s="86"/>
      <c r="AX105" s="86"/>
      <c r="AY105" s="86"/>
      <c r="CM105" s="86"/>
      <c r="CN105" s="86"/>
    </row>
    <row r="106" spans="8:92" s="367" customFormat="1" ht="15.75" hidden="1" customHeight="1" outlineLevel="1">
      <c r="H106" s="543"/>
      <c r="I106" s="853"/>
      <c r="J106" s="6"/>
      <c r="K106" s="541"/>
      <c r="L106" s="860"/>
      <c r="M106" s="20" t="str">
        <f>IF(J106="","",$M$5-SUM($J$7:J106))</f>
        <v/>
      </c>
      <c r="O106" s="7"/>
      <c r="P106" s="871">
        <f>IF(K!Q106&lt;&gt;K!R106,IF(K!Q106&lt;&gt;0,IF(K!S106&lt;&gt;K!T106,K!P106,),),)</f>
        <v>0</v>
      </c>
      <c r="Q106" s="795">
        <f>IF(K!Q106&lt;&gt;K!R106,IF(K!Q106&lt;&gt;0,IF(K!S106&lt;&gt;K!T106,K!Q106,),),)</f>
        <v>0</v>
      </c>
      <c r="R106" s="628">
        <f>IF(K!Q106&lt;&gt;K!R106,IF(K!Q106&lt;&gt;0,IF(K!S106&lt;&gt;K!T106,0,Q106),Q106),Q106)</f>
        <v>0</v>
      </c>
      <c r="S106" s="796">
        <f>IF(K!Q106&lt;&gt;K!R106,IF(K!Q106&lt;&gt;0,IF(K!S106&lt;&gt;K!T106,K!S106+1,),),)</f>
        <v>0</v>
      </c>
      <c r="T106" s="796">
        <f>IF(K!Q106&lt;&gt;K!R106,IF(K!Q106&lt;&gt;0,IF(K!S106&lt;&gt;K!T106,K!T106,),),)</f>
        <v>0</v>
      </c>
      <c r="U106" s="797">
        <f>IF(K!Q106&lt;&gt;K!R106,IF(K!Q106&lt;&gt;0,IF(K!S106&lt;&gt;K!T106,K!U106,),),)</f>
        <v>0</v>
      </c>
      <c r="V106" s="875">
        <f>IF(K!Q106&lt;&gt;K!R106,IF(K!Q106&lt;&gt;0,IF(K!S106&lt;&gt;K!T106,K!V106,),),)</f>
        <v>0</v>
      </c>
      <c r="W106" s="633">
        <f>IF(Q106="","",$W$5-SUM($Q$7:$Q$45)-SUM($Q$64:Q106))</f>
        <v>0</v>
      </c>
      <c r="AO106" s="86"/>
      <c r="AP106" s="86"/>
      <c r="AQ106" s="86"/>
      <c r="AR106" s="86"/>
      <c r="AS106" s="86"/>
      <c r="AT106" s="86"/>
      <c r="AU106" s="86"/>
      <c r="AV106" s="86"/>
      <c r="AW106" s="86"/>
      <c r="AX106" s="86"/>
      <c r="AY106" s="86"/>
      <c r="CM106" s="86"/>
      <c r="CN106" s="86"/>
    </row>
    <row r="107" spans="8:92" s="367" customFormat="1" ht="15.75" hidden="1" customHeight="1" outlineLevel="1">
      <c r="H107" s="543"/>
      <c r="I107" s="853"/>
      <c r="J107" s="6"/>
      <c r="K107" s="541"/>
      <c r="L107" s="860"/>
      <c r="M107" s="20" t="str">
        <f>IF(J107="","",$M$5-SUM($J$7:J107))</f>
        <v/>
      </c>
      <c r="O107" s="7"/>
      <c r="P107" s="871">
        <f>IF(K!Q107&lt;&gt;K!R107,IF(K!Q107&lt;&gt;0,IF(K!S107&lt;&gt;K!T107,K!P107,),),)</f>
        <v>0</v>
      </c>
      <c r="Q107" s="795">
        <f>IF(K!Q107&lt;&gt;K!R107,IF(K!Q107&lt;&gt;0,IF(K!S107&lt;&gt;K!T107,K!Q107,),),)</f>
        <v>0</v>
      </c>
      <c r="R107" s="628">
        <f>IF(K!Q107&lt;&gt;K!R107,IF(K!Q107&lt;&gt;0,IF(K!S107&lt;&gt;K!T107,0,Q107),Q107),Q107)</f>
        <v>0</v>
      </c>
      <c r="S107" s="796">
        <f>IF(K!Q107&lt;&gt;K!R107,IF(K!Q107&lt;&gt;0,IF(K!S107&lt;&gt;K!T107,K!S107+1,),),)</f>
        <v>0</v>
      </c>
      <c r="T107" s="796">
        <f>IF(K!Q107&lt;&gt;K!R107,IF(K!Q107&lt;&gt;0,IF(K!S107&lt;&gt;K!T107,K!T107,),),)</f>
        <v>0</v>
      </c>
      <c r="U107" s="797">
        <f>IF(K!Q107&lt;&gt;K!R107,IF(K!Q107&lt;&gt;0,IF(K!S107&lt;&gt;K!T107,K!U107,),),)</f>
        <v>0</v>
      </c>
      <c r="V107" s="875">
        <f>IF(K!Q107&lt;&gt;K!R107,IF(K!Q107&lt;&gt;0,IF(K!S107&lt;&gt;K!T107,K!V107,),),)</f>
        <v>0</v>
      </c>
      <c r="W107" s="633">
        <f>IF(Q107="","",$W$5-SUM($Q$7:$Q$45)-SUM($Q$64:Q107))</f>
        <v>0</v>
      </c>
      <c r="AO107" s="86"/>
      <c r="AP107" s="86"/>
      <c r="AQ107" s="86"/>
      <c r="AR107" s="86"/>
      <c r="AS107" s="86"/>
      <c r="AT107" s="86"/>
      <c r="AU107" s="86"/>
      <c r="AV107" s="86"/>
      <c r="AW107" s="86"/>
      <c r="AX107" s="86"/>
      <c r="AY107" s="86"/>
      <c r="CM107" s="86"/>
      <c r="CN107" s="86"/>
    </row>
    <row r="108" spans="8:92" s="367" customFormat="1" ht="15.75" hidden="1" customHeight="1" outlineLevel="1">
      <c r="H108" s="543"/>
      <c r="I108" s="853"/>
      <c r="J108" s="6"/>
      <c r="K108" s="541"/>
      <c r="L108" s="860"/>
      <c r="M108" s="20" t="str">
        <f>IF(J108="","",$M$5-SUM($J$7:J108))</f>
        <v/>
      </c>
      <c r="O108" s="7"/>
      <c r="P108" s="873">
        <f>IF(K!Q108&lt;&gt;K!R108,IF(K!Q108&lt;&gt;0,IF(K!S108&lt;&gt;K!T108,K!P108,),),)</f>
        <v>0</v>
      </c>
      <c r="Q108" s="795">
        <f>IF(K!Q108&lt;&gt;K!R108,IF(K!Q108&lt;&gt;0,IF(K!S108&lt;&gt;K!T108,K!Q108,),),)</f>
        <v>0</v>
      </c>
      <c r="R108" s="628">
        <f>IF(K!Q108&lt;&gt;K!R108,IF(K!Q108&lt;&gt;0,IF(K!S108&lt;&gt;K!T108,0,Q108),Q108),Q108)</f>
        <v>0</v>
      </c>
      <c r="S108" s="796">
        <f>IF(K!Q108&lt;&gt;K!R108,IF(K!Q108&lt;&gt;0,IF(K!S108&lt;&gt;K!T108,K!S108+1,),),)</f>
        <v>0</v>
      </c>
      <c r="T108" s="796">
        <f>IF(K!Q108&lt;&gt;K!R108,IF(K!Q108&lt;&gt;0,IF(K!S108&lt;&gt;K!T108,K!T108,),),)</f>
        <v>0</v>
      </c>
      <c r="U108" s="797">
        <f>IF(K!Q108&lt;&gt;K!R108,IF(K!Q108&lt;&gt;0,IF(K!S108&lt;&gt;K!T108,K!U108,),),)</f>
        <v>0</v>
      </c>
      <c r="V108" s="875">
        <f>IF(K!Q108&lt;&gt;K!R108,IF(K!Q108&lt;&gt;0,IF(K!S108&lt;&gt;K!T108,K!V108,),),)</f>
        <v>0</v>
      </c>
      <c r="W108" s="633">
        <f>IF(Q108="","",$W$5-SUM($Q$7:$Q$45)-SUM($Q$64:Q108))</f>
        <v>0</v>
      </c>
      <c r="AO108" s="86"/>
      <c r="AP108" s="86"/>
      <c r="AQ108" s="86"/>
      <c r="AR108" s="86"/>
      <c r="AS108" s="86"/>
      <c r="AT108" s="86"/>
      <c r="AU108" s="86"/>
      <c r="AV108" s="86"/>
      <c r="AW108" s="86"/>
      <c r="AX108" s="86"/>
      <c r="AY108" s="86"/>
      <c r="CM108" s="86"/>
      <c r="CN108" s="86"/>
    </row>
    <row r="109" spans="8:92" s="367" customFormat="1" ht="15.75" hidden="1" customHeight="1" outlineLevel="1">
      <c r="H109" s="543"/>
      <c r="I109" s="853"/>
      <c r="J109" s="6"/>
      <c r="K109" s="541"/>
      <c r="L109" s="860"/>
      <c r="M109" s="20" t="str">
        <f>IF(J109="","",$M$5-SUM($J$7:J109))</f>
        <v/>
      </c>
      <c r="O109" s="7"/>
      <c r="P109" s="871">
        <f>IF(K!Q109&lt;&gt;K!R109,IF(K!Q109&lt;&gt;0,IF(K!S109&lt;&gt;K!T109,K!P109,),),)</f>
        <v>0</v>
      </c>
      <c r="Q109" s="795">
        <f>IF(K!Q109&lt;&gt;K!R109,IF(K!Q109&lt;&gt;0,IF(K!S109&lt;&gt;K!T109,K!Q109,),),)</f>
        <v>0</v>
      </c>
      <c r="R109" s="628">
        <f>IF(K!Q109&lt;&gt;K!R109,IF(K!Q109&lt;&gt;0,IF(K!S109&lt;&gt;K!T109,0,Q109),Q109),Q109)</f>
        <v>0</v>
      </c>
      <c r="S109" s="796">
        <f>IF(K!Q109&lt;&gt;K!R109,IF(K!Q109&lt;&gt;0,IF(K!S109&lt;&gt;K!T109,K!S109+1,),),)</f>
        <v>0</v>
      </c>
      <c r="T109" s="796">
        <f>IF(K!Q109&lt;&gt;K!R109,IF(K!Q109&lt;&gt;0,IF(K!S109&lt;&gt;K!T109,K!T109,),),)</f>
        <v>0</v>
      </c>
      <c r="U109" s="797">
        <f>IF(K!Q109&lt;&gt;K!R109,IF(K!Q109&lt;&gt;0,IF(K!S109&lt;&gt;K!T109,K!U109,),),)</f>
        <v>0</v>
      </c>
      <c r="V109" s="875">
        <f>IF(K!Q109&lt;&gt;K!R109,IF(K!Q109&lt;&gt;0,IF(K!S109&lt;&gt;K!T109,K!V109,),),)</f>
        <v>0</v>
      </c>
      <c r="W109" s="633">
        <f>IF(Q109="","",$W$5-SUM($Q$7:$Q$45)-SUM($Q$64:Q109))</f>
        <v>0</v>
      </c>
      <c r="AO109" s="86"/>
      <c r="AP109" s="86"/>
      <c r="AQ109" s="86"/>
      <c r="AR109" s="86"/>
      <c r="AS109" s="86"/>
      <c r="AT109" s="86"/>
      <c r="AU109" s="86"/>
      <c r="AV109" s="86"/>
      <c r="AW109" s="86"/>
      <c r="AX109" s="86"/>
      <c r="AY109" s="86"/>
      <c r="CM109" s="86"/>
      <c r="CN109" s="86"/>
    </row>
    <row r="110" spans="8:92" s="367" customFormat="1" ht="16.5" hidden="1" customHeight="1" outlineLevel="1" thickBot="1">
      <c r="H110" s="544"/>
      <c r="I110" s="857"/>
      <c r="J110" s="545"/>
      <c r="K110" s="601"/>
      <c r="L110" s="861"/>
      <c r="M110" s="546" t="str">
        <f>IF(J110="","",$M$5-SUM($J$7:J110))</f>
        <v/>
      </c>
      <c r="O110" s="523"/>
      <c r="P110" s="874">
        <f>IF(K!Q110&lt;&gt;K!R110,IF(K!Q110&lt;&gt;0,IF(K!S110&lt;&gt;K!T110,K!P110,),),)</f>
        <v>0</v>
      </c>
      <c r="Q110" s="800">
        <f>IF(K!Q110&lt;&gt;K!R110,IF(K!Q110&lt;&gt;0,IF(K!S110&lt;&gt;K!T110,K!Q110,),),)</f>
        <v>0</v>
      </c>
      <c r="R110" s="630">
        <f>IF(K!Q110&lt;&gt;K!R110,IF(K!Q110&lt;&gt;0,IF(K!S110&lt;&gt;K!T110,0,Q110),Q110),Q110)</f>
        <v>0</v>
      </c>
      <c r="S110" s="801">
        <f>IF(K!Q110&lt;&gt;K!R110,IF(K!Q110&lt;&gt;0,IF(K!S110&lt;&gt;K!T110,K!S110+1,),),)</f>
        <v>0</v>
      </c>
      <c r="T110" s="801">
        <f>IF(K!Q110&lt;&gt;K!R110,IF(K!Q110&lt;&gt;0,IF(K!S110&lt;&gt;K!T110,K!T110,),),)</f>
        <v>0</v>
      </c>
      <c r="U110" s="802">
        <f>IF(K!Q110&lt;&gt;K!R110,IF(K!Q110&lt;&gt;0,IF(K!S110&lt;&gt;K!T110,K!U110,),),)</f>
        <v>0</v>
      </c>
      <c r="V110" s="876">
        <f>IF(K!Q110&lt;&gt;K!R110,IF(K!Q110&lt;&gt;0,IF(K!S110&lt;&gt;K!T110,K!V110,),),)</f>
        <v>0</v>
      </c>
      <c r="W110" s="635">
        <f>IF(Q110="","",$W$5-SUM($Q$7:$Q$45)-SUM($Q$64:Q110))</f>
        <v>0</v>
      </c>
      <c r="AO110" s="86"/>
      <c r="AP110" s="86"/>
      <c r="AQ110" s="86"/>
      <c r="AR110" s="86"/>
      <c r="AS110" s="86"/>
      <c r="AT110" s="86"/>
      <c r="AU110" s="86"/>
      <c r="AV110" s="86"/>
      <c r="AW110" s="86"/>
      <c r="AX110" s="86"/>
      <c r="AY110" s="86"/>
      <c r="CM110" s="86"/>
      <c r="CN110" s="86"/>
    </row>
    <row r="111" spans="8:92" s="367" customFormat="1">
      <c r="K111" s="593"/>
      <c r="L111" s="593"/>
      <c r="O111" s="511"/>
      <c r="S111" s="371"/>
      <c r="T111" s="371"/>
      <c r="U111" s="371"/>
      <c r="V111" s="371"/>
      <c r="AO111" s="86"/>
      <c r="AP111" s="86"/>
      <c r="AQ111" s="86"/>
      <c r="AR111" s="86"/>
      <c r="AS111" s="86"/>
      <c r="AT111" s="86"/>
      <c r="AU111" s="86"/>
      <c r="AV111" s="86"/>
      <c r="AW111" s="86"/>
      <c r="AX111" s="86"/>
      <c r="AY111" s="86"/>
      <c r="CM111" s="86"/>
      <c r="CN111" s="86"/>
    </row>
    <row r="112" spans="8:92" s="367" customFormat="1">
      <c r="O112" s="511"/>
      <c r="S112" s="371"/>
      <c r="T112" s="371"/>
      <c r="U112" s="371"/>
      <c r="V112" s="371"/>
      <c r="AO112" s="86"/>
      <c r="AP112" s="86"/>
      <c r="AQ112" s="86"/>
      <c r="AR112" s="86"/>
      <c r="AS112" s="86"/>
      <c r="AT112" s="86"/>
      <c r="AU112" s="86"/>
      <c r="AV112" s="86"/>
      <c r="AW112" s="86"/>
      <c r="AX112" s="86"/>
      <c r="AY112" s="86"/>
      <c r="CM112" s="86"/>
      <c r="CN112" s="86"/>
    </row>
    <row r="113" spans="15:92" s="367" customFormat="1">
      <c r="O113" s="511"/>
      <c r="S113" s="371"/>
      <c r="T113" s="371"/>
      <c r="U113" s="371"/>
      <c r="V113" s="371"/>
      <c r="AO113" s="86"/>
      <c r="AP113" s="86"/>
      <c r="AQ113" s="86"/>
      <c r="AR113" s="86"/>
      <c r="AS113" s="86"/>
      <c r="AT113" s="86"/>
      <c r="AU113" s="86"/>
      <c r="AV113" s="86"/>
      <c r="AW113" s="86"/>
      <c r="AX113" s="86"/>
      <c r="AY113" s="86"/>
      <c r="CM113" s="86"/>
      <c r="CN113" s="86"/>
    </row>
    <row r="114" spans="15:92" s="367" customFormat="1">
      <c r="O114" s="511"/>
      <c r="S114" s="371"/>
      <c r="T114" s="371"/>
      <c r="U114" s="371"/>
      <c r="V114" s="371"/>
      <c r="AO114" s="86"/>
      <c r="AP114" s="86"/>
      <c r="AQ114" s="86"/>
      <c r="AR114" s="86"/>
      <c r="AS114" s="86"/>
      <c r="AT114" s="86"/>
      <c r="AU114" s="86"/>
      <c r="AV114" s="86"/>
      <c r="AW114" s="86"/>
      <c r="AX114" s="86"/>
      <c r="AY114" s="86"/>
      <c r="CM114" s="86"/>
      <c r="CN114" s="86"/>
    </row>
    <row r="115" spans="15:92" s="367" customFormat="1">
      <c r="O115" s="511"/>
      <c r="S115" s="371"/>
      <c r="T115" s="371"/>
      <c r="U115" s="371"/>
      <c r="V115" s="371"/>
      <c r="AO115" s="86"/>
      <c r="AP115" s="86"/>
      <c r="AQ115" s="86"/>
      <c r="AR115" s="86"/>
      <c r="AS115" s="86"/>
      <c r="AT115" s="86"/>
      <c r="AU115" s="86"/>
      <c r="AV115" s="86"/>
      <c r="AW115" s="86"/>
      <c r="AX115" s="86"/>
      <c r="AY115" s="86"/>
      <c r="CM115" s="86"/>
      <c r="CN115" s="86"/>
    </row>
    <row r="116" spans="15:92" s="367" customFormat="1">
      <c r="O116" s="511"/>
      <c r="S116" s="371"/>
      <c r="T116" s="371"/>
      <c r="U116" s="371"/>
      <c r="V116" s="371"/>
      <c r="AO116" s="86"/>
      <c r="AP116" s="86"/>
      <c r="AQ116" s="86"/>
      <c r="AR116" s="86"/>
      <c r="AS116" s="86"/>
      <c r="AT116" s="86"/>
      <c r="AU116" s="86"/>
      <c r="AV116" s="86"/>
      <c r="AW116" s="86"/>
      <c r="AX116" s="86"/>
      <c r="AY116" s="86"/>
      <c r="CM116" s="86"/>
      <c r="CN116" s="86"/>
    </row>
    <row r="117" spans="15:92" s="367" customFormat="1">
      <c r="O117" s="511"/>
      <c r="S117" s="371"/>
      <c r="T117" s="371"/>
      <c r="U117" s="371"/>
      <c r="V117" s="371"/>
      <c r="AO117" s="86"/>
      <c r="AP117" s="86"/>
      <c r="AQ117" s="86"/>
      <c r="AR117" s="86"/>
      <c r="AS117" s="86"/>
      <c r="AT117" s="86"/>
      <c r="AU117" s="86"/>
      <c r="AV117" s="86"/>
      <c r="AW117" s="86"/>
      <c r="AX117" s="86"/>
      <c r="AY117" s="86"/>
      <c r="CM117" s="86"/>
      <c r="CN117" s="86"/>
    </row>
    <row r="118" spans="15:92" s="367" customFormat="1">
      <c r="O118" s="511"/>
      <c r="S118" s="371"/>
      <c r="T118" s="371"/>
      <c r="U118" s="371"/>
      <c r="V118" s="371"/>
      <c r="AO118" s="86"/>
      <c r="AP118" s="86"/>
      <c r="AQ118" s="86"/>
      <c r="AR118" s="86"/>
      <c r="AS118" s="86"/>
      <c r="AT118" s="86"/>
      <c r="AU118" s="86"/>
      <c r="AV118" s="86"/>
      <c r="AW118" s="86"/>
      <c r="AX118" s="86"/>
      <c r="AY118" s="86"/>
      <c r="CM118" s="86"/>
      <c r="CN118" s="86"/>
    </row>
    <row r="119" spans="15:92" s="367" customFormat="1">
      <c r="O119" s="511"/>
      <c r="S119" s="371"/>
      <c r="T119" s="371"/>
      <c r="U119" s="371"/>
      <c r="V119" s="371"/>
      <c r="AO119" s="86"/>
      <c r="AP119" s="86"/>
      <c r="AQ119" s="86"/>
      <c r="AR119" s="86"/>
      <c r="AS119" s="86"/>
      <c r="AT119" s="86"/>
      <c r="AU119" s="86"/>
      <c r="AV119" s="86"/>
      <c r="AW119" s="86"/>
      <c r="AX119" s="86"/>
      <c r="AY119" s="86"/>
      <c r="CM119" s="86"/>
      <c r="CN119" s="86"/>
    </row>
    <row r="120" spans="15:92" s="367" customFormat="1">
      <c r="O120" s="511"/>
      <c r="S120" s="371"/>
      <c r="T120" s="371"/>
      <c r="U120" s="371"/>
      <c r="V120" s="371"/>
      <c r="AO120" s="86"/>
      <c r="AP120" s="86"/>
      <c r="AQ120" s="86"/>
      <c r="AR120" s="86"/>
      <c r="AS120" s="86"/>
      <c r="AT120" s="86"/>
      <c r="AU120" s="86"/>
      <c r="AV120" s="86"/>
      <c r="AW120" s="86"/>
      <c r="AX120" s="86"/>
      <c r="AY120" s="86"/>
      <c r="CM120" s="86"/>
      <c r="CN120" s="86"/>
    </row>
    <row r="121" spans="15:92" s="367" customFormat="1">
      <c r="O121" s="511"/>
      <c r="S121" s="371"/>
      <c r="T121" s="371"/>
      <c r="U121" s="371"/>
      <c r="V121" s="371"/>
      <c r="AO121" s="86"/>
      <c r="AP121" s="86"/>
      <c r="AQ121" s="86"/>
      <c r="AR121" s="86"/>
      <c r="AS121" s="86"/>
      <c r="AT121" s="86"/>
      <c r="AU121" s="86"/>
      <c r="AV121" s="86"/>
      <c r="AW121" s="86"/>
      <c r="AX121" s="86"/>
      <c r="AY121" s="86"/>
      <c r="CM121" s="86"/>
      <c r="CN121" s="86"/>
    </row>
    <row r="122" spans="15:92" s="367" customFormat="1">
      <c r="O122" s="511"/>
      <c r="S122" s="371"/>
      <c r="T122" s="371"/>
      <c r="U122" s="371"/>
      <c r="V122" s="371"/>
      <c r="AO122" s="86"/>
      <c r="AP122" s="86"/>
      <c r="AQ122" s="86"/>
      <c r="AR122" s="86"/>
      <c r="AS122" s="86"/>
      <c r="AT122" s="86"/>
      <c r="AU122" s="86"/>
      <c r="AV122" s="86"/>
      <c r="AW122" s="86"/>
      <c r="AX122" s="86"/>
      <c r="AY122" s="86"/>
      <c r="CM122" s="86"/>
      <c r="CN122" s="86"/>
    </row>
    <row r="123" spans="15:92" s="367" customFormat="1">
      <c r="O123" s="511"/>
      <c r="S123" s="371"/>
      <c r="T123" s="371"/>
      <c r="U123" s="371"/>
      <c r="V123" s="371"/>
      <c r="AO123" s="86"/>
      <c r="AP123" s="86"/>
      <c r="AQ123" s="86"/>
      <c r="AR123" s="86"/>
      <c r="AS123" s="86"/>
      <c r="AT123" s="86"/>
      <c r="AU123" s="86"/>
      <c r="AV123" s="86"/>
      <c r="AW123" s="86"/>
      <c r="AX123" s="86"/>
      <c r="AY123" s="86"/>
      <c r="CM123" s="86"/>
      <c r="CN123" s="86"/>
    </row>
    <row r="124" spans="15:92" s="367" customFormat="1">
      <c r="O124" s="511"/>
      <c r="S124" s="371"/>
      <c r="T124" s="371"/>
      <c r="U124" s="371"/>
      <c r="V124" s="371"/>
      <c r="AO124" s="86"/>
      <c r="AP124" s="86"/>
      <c r="AQ124" s="86"/>
      <c r="AR124" s="86"/>
      <c r="AS124" s="86"/>
      <c r="AT124" s="86"/>
      <c r="AU124" s="86"/>
      <c r="AV124" s="86"/>
      <c r="AW124" s="86"/>
      <c r="AX124" s="86"/>
      <c r="AY124" s="86"/>
      <c r="CM124" s="86"/>
      <c r="CN124" s="86"/>
    </row>
    <row r="125" spans="15:92" s="367" customFormat="1">
      <c r="O125" s="511"/>
      <c r="S125" s="371"/>
      <c r="T125" s="371"/>
      <c r="U125" s="371"/>
      <c r="V125" s="371"/>
      <c r="AO125" s="86"/>
      <c r="AP125" s="86"/>
      <c r="AQ125" s="86"/>
      <c r="AR125" s="86"/>
      <c r="AS125" s="86"/>
      <c r="AT125" s="86"/>
      <c r="AU125" s="86"/>
      <c r="AV125" s="86"/>
      <c r="AW125" s="86"/>
      <c r="AX125" s="86"/>
      <c r="AY125" s="86"/>
      <c r="CM125" s="86"/>
      <c r="CN125" s="86"/>
    </row>
    <row r="126" spans="15:92" s="367" customFormat="1">
      <c r="O126" s="511"/>
      <c r="S126" s="371"/>
      <c r="T126" s="371"/>
      <c r="U126" s="371"/>
      <c r="V126" s="371"/>
      <c r="AO126" s="86"/>
      <c r="AP126" s="86"/>
      <c r="AQ126" s="86"/>
      <c r="AR126" s="86"/>
      <c r="AS126" s="86"/>
      <c r="AT126" s="86"/>
      <c r="AU126" s="86"/>
      <c r="AV126" s="86"/>
      <c r="AW126" s="86"/>
      <c r="AX126" s="86"/>
      <c r="AY126" s="86"/>
      <c r="CM126" s="86"/>
      <c r="CN126" s="86"/>
    </row>
    <row r="127" spans="15:92" s="367" customFormat="1">
      <c r="O127" s="511"/>
      <c r="S127" s="371"/>
      <c r="T127" s="371"/>
      <c r="U127" s="371"/>
      <c r="V127" s="371"/>
      <c r="AO127" s="86"/>
      <c r="AP127" s="86"/>
      <c r="AQ127" s="86"/>
      <c r="AR127" s="86"/>
      <c r="AS127" s="86"/>
      <c r="AT127" s="86"/>
      <c r="AU127" s="86"/>
      <c r="AV127" s="86"/>
      <c r="AW127" s="86"/>
      <c r="AX127" s="86"/>
      <c r="AY127" s="86"/>
      <c r="CM127" s="86"/>
      <c r="CN127" s="86"/>
    </row>
    <row r="128" spans="15:92" s="367" customFormat="1">
      <c r="O128" s="511"/>
      <c r="S128" s="371"/>
      <c r="T128" s="371"/>
      <c r="U128" s="371"/>
      <c r="V128" s="371"/>
      <c r="AO128" s="86"/>
      <c r="AP128" s="86"/>
      <c r="AQ128" s="86"/>
      <c r="AR128" s="86"/>
      <c r="AS128" s="86"/>
      <c r="AT128" s="86"/>
      <c r="AU128" s="86"/>
      <c r="AV128" s="86"/>
      <c r="AW128" s="86"/>
      <c r="AX128" s="86"/>
      <c r="AY128" s="86"/>
      <c r="CM128" s="86"/>
      <c r="CN128" s="86"/>
    </row>
    <row r="129" spans="15:92" s="367" customFormat="1">
      <c r="O129" s="511"/>
      <c r="S129" s="371"/>
      <c r="T129" s="371"/>
      <c r="U129" s="371"/>
      <c r="V129" s="371"/>
      <c r="AO129" s="86"/>
      <c r="AP129" s="86"/>
      <c r="AQ129" s="86"/>
      <c r="AR129" s="86"/>
      <c r="AS129" s="86"/>
      <c r="AT129" s="86"/>
      <c r="AU129" s="86"/>
      <c r="AV129" s="86"/>
      <c r="AW129" s="86"/>
      <c r="AX129" s="86"/>
      <c r="AY129" s="86"/>
      <c r="CM129" s="86"/>
      <c r="CN129" s="86"/>
    </row>
    <row r="130" spans="15:92" s="367" customFormat="1">
      <c r="O130" s="511"/>
      <c r="S130" s="371"/>
      <c r="T130" s="371"/>
      <c r="U130" s="371"/>
      <c r="V130" s="371"/>
      <c r="AO130" s="86"/>
      <c r="AP130" s="86"/>
      <c r="AQ130" s="86"/>
      <c r="AR130" s="86"/>
      <c r="AS130" s="86"/>
      <c r="AT130" s="86"/>
      <c r="AU130" s="86"/>
      <c r="AV130" s="86"/>
      <c r="AW130" s="86"/>
      <c r="AX130" s="86"/>
      <c r="AY130" s="86"/>
      <c r="CM130" s="86"/>
      <c r="CN130" s="86"/>
    </row>
    <row r="131" spans="15:92" s="367" customFormat="1">
      <c r="O131" s="511"/>
      <c r="S131" s="371"/>
      <c r="T131" s="371"/>
      <c r="U131" s="371"/>
      <c r="V131" s="371"/>
      <c r="AO131" s="86"/>
      <c r="AP131" s="86"/>
      <c r="AQ131" s="86"/>
      <c r="AR131" s="86"/>
      <c r="AS131" s="86"/>
      <c r="AT131" s="86"/>
      <c r="AU131" s="86"/>
      <c r="AV131" s="86"/>
      <c r="AW131" s="86"/>
      <c r="AX131" s="86"/>
      <c r="AY131" s="86"/>
      <c r="CM131" s="86"/>
      <c r="CN131" s="86"/>
    </row>
    <row r="132" spans="15:92" s="367" customFormat="1">
      <c r="O132" s="511"/>
      <c r="S132" s="371"/>
      <c r="T132" s="371"/>
      <c r="U132" s="371"/>
      <c r="V132" s="371"/>
      <c r="AO132" s="86"/>
      <c r="AP132" s="86"/>
      <c r="AQ132" s="86"/>
      <c r="AR132" s="86"/>
      <c r="AS132" s="86"/>
      <c r="AT132" s="86"/>
      <c r="AU132" s="86"/>
      <c r="AV132" s="86"/>
      <c r="AW132" s="86"/>
      <c r="AX132" s="86"/>
      <c r="AY132" s="86"/>
      <c r="CM132" s="86"/>
      <c r="CN132" s="86"/>
    </row>
    <row r="133" spans="15:92" s="367" customFormat="1">
      <c r="O133" s="511"/>
      <c r="S133" s="371"/>
      <c r="T133" s="371"/>
      <c r="U133" s="371"/>
      <c r="V133" s="371"/>
      <c r="AO133" s="86"/>
      <c r="AP133" s="86"/>
      <c r="AQ133" s="86"/>
      <c r="AR133" s="86"/>
      <c r="AS133" s="86"/>
      <c r="AT133" s="86"/>
      <c r="AU133" s="86"/>
      <c r="AV133" s="86"/>
      <c r="AW133" s="86"/>
      <c r="AX133" s="86"/>
      <c r="AY133" s="86"/>
      <c r="CM133" s="86"/>
      <c r="CN133" s="86"/>
    </row>
    <row r="134" spans="15:92" s="367" customFormat="1">
      <c r="O134" s="511"/>
      <c r="S134" s="371"/>
      <c r="T134" s="371"/>
      <c r="U134" s="371"/>
      <c r="V134" s="371"/>
      <c r="AO134" s="86"/>
      <c r="AP134" s="86"/>
      <c r="AQ134" s="86"/>
      <c r="AR134" s="86"/>
      <c r="AS134" s="86"/>
      <c r="AT134" s="86"/>
      <c r="AU134" s="86"/>
      <c r="AV134" s="86"/>
      <c r="AW134" s="86"/>
      <c r="AX134" s="86"/>
      <c r="AY134" s="86"/>
      <c r="CM134" s="86"/>
      <c r="CN134" s="86"/>
    </row>
    <row r="135" spans="15:92" s="367" customFormat="1">
      <c r="O135" s="511"/>
      <c r="S135" s="371"/>
      <c r="T135" s="371"/>
      <c r="U135" s="371"/>
      <c r="V135" s="371"/>
      <c r="AO135" s="86"/>
      <c r="AP135" s="86"/>
      <c r="AQ135" s="86"/>
      <c r="AR135" s="86"/>
      <c r="AS135" s="86"/>
      <c r="AT135" s="86"/>
      <c r="AU135" s="86"/>
      <c r="AV135" s="86"/>
      <c r="AW135" s="86"/>
      <c r="AX135" s="86"/>
      <c r="AY135" s="86"/>
      <c r="CM135" s="86"/>
      <c r="CN135" s="86"/>
    </row>
    <row r="136" spans="15:92" s="367" customFormat="1">
      <c r="O136" s="511"/>
      <c r="S136" s="371"/>
      <c r="T136" s="371"/>
      <c r="U136" s="371"/>
      <c r="V136" s="371"/>
      <c r="AO136" s="86"/>
      <c r="AP136" s="86"/>
      <c r="AQ136" s="86"/>
      <c r="AR136" s="86"/>
      <c r="AS136" s="86"/>
      <c r="AT136" s="86"/>
      <c r="AU136" s="86"/>
      <c r="AV136" s="86"/>
      <c r="AW136" s="86"/>
      <c r="AX136" s="86"/>
      <c r="AY136" s="86"/>
      <c r="CM136" s="86"/>
      <c r="CN136" s="86"/>
    </row>
    <row r="137" spans="15:92" s="367" customFormat="1">
      <c r="O137" s="511"/>
      <c r="S137" s="371"/>
      <c r="T137" s="371"/>
      <c r="U137" s="371"/>
      <c r="V137" s="371"/>
      <c r="AO137" s="86"/>
      <c r="AP137" s="86"/>
      <c r="AQ137" s="86"/>
      <c r="AR137" s="86"/>
      <c r="AS137" s="86"/>
      <c r="AT137" s="86"/>
      <c r="AU137" s="86"/>
      <c r="AV137" s="86"/>
      <c r="AW137" s="86"/>
      <c r="AX137" s="86"/>
      <c r="AY137" s="86"/>
      <c r="CM137" s="86"/>
      <c r="CN137" s="86"/>
    </row>
    <row r="138" spans="15:92" s="367" customFormat="1">
      <c r="O138" s="511"/>
      <c r="S138" s="371"/>
      <c r="T138" s="371"/>
      <c r="U138" s="371"/>
      <c r="V138" s="371"/>
      <c r="AO138" s="86"/>
      <c r="AP138" s="86"/>
      <c r="AQ138" s="86"/>
      <c r="AR138" s="86"/>
      <c r="AS138" s="86"/>
      <c r="AT138" s="86"/>
      <c r="AU138" s="86"/>
      <c r="AV138" s="86"/>
      <c r="AW138" s="86"/>
      <c r="AX138" s="86"/>
      <c r="AY138" s="86"/>
      <c r="CM138" s="86"/>
      <c r="CN138" s="86"/>
    </row>
    <row r="139" spans="15:92" s="367" customFormat="1">
      <c r="O139" s="511"/>
      <c r="S139" s="371"/>
      <c r="T139" s="371"/>
      <c r="U139" s="371"/>
      <c r="V139" s="371"/>
      <c r="AO139" s="86"/>
      <c r="AP139" s="86"/>
      <c r="AQ139" s="86"/>
      <c r="AR139" s="86"/>
      <c r="AS139" s="86"/>
      <c r="AT139" s="86"/>
      <c r="AU139" s="86"/>
      <c r="AV139" s="86"/>
      <c r="AW139" s="86"/>
      <c r="AX139" s="86"/>
      <c r="AY139" s="86"/>
      <c r="CM139" s="86"/>
      <c r="CN139" s="86"/>
    </row>
    <row r="140" spans="15:92" s="367" customFormat="1">
      <c r="O140" s="511"/>
      <c r="S140" s="371"/>
      <c r="T140" s="371"/>
      <c r="U140" s="371"/>
      <c r="V140" s="371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CM140" s="86"/>
      <c r="CN140" s="86"/>
    </row>
    <row r="141" spans="15:92" s="367" customFormat="1">
      <c r="O141" s="511"/>
      <c r="S141" s="371"/>
      <c r="T141" s="371"/>
      <c r="U141" s="371"/>
      <c r="V141" s="371"/>
      <c r="AO141" s="86"/>
      <c r="AP141" s="86"/>
      <c r="AQ141" s="86"/>
      <c r="AR141" s="86"/>
      <c r="AS141" s="86"/>
      <c r="AT141" s="86"/>
      <c r="AU141" s="86"/>
      <c r="AV141" s="86"/>
      <c r="AW141" s="86"/>
      <c r="AX141" s="86"/>
      <c r="AY141" s="86"/>
      <c r="CM141" s="86"/>
      <c r="CN141" s="86"/>
    </row>
    <row r="142" spans="15:92" s="367" customFormat="1">
      <c r="O142" s="511"/>
      <c r="S142" s="371"/>
      <c r="T142" s="371"/>
      <c r="U142" s="371"/>
      <c r="V142" s="371"/>
      <c r="AO142" s="86"/>
      <c r="AP142" s="86"/>
      <c r="AQ142" s="86"/>
      <c r="AR142" s="86"/>
      <c r="AS142" s="86"/>
      <c r="AT142" s="86"/>
      <c r="AU142" s="86"/>
      <c r="AV142" s="86"/>
      <c r="AW142" s="86"/>
      <c r="AX142" s="86"/>
      <c r="AY142" s="86"/>
      <c r="CM142" s="86"/>
      <c r="CN142" s="86"/>
    </row>
    <row r="143" spans="15:92" s="367" customFormat="1">
      <c r="O143" s="511"/>
      <c r="S143" s="371"/>
      <c r="T143" s="371"/>
      <c r="U143" s="371"/>
      <c r="V143" s="371"/>
      <c r="AO143" s="86"/>
      <c r="AP143" s="86"/>
      <c r="AQ143" s="86"/>
      <c r="AR143" s="86"/>
      <c r="AS143" s="86"/>
      <c r="AT143" s="86"/>
      <c r="AU143" s="86"/>
      <c r="AV143" s="86"/>
      <c r="AW143" s="86"/>
      <c r="AX143" s="86"/>
      <c r="AY143" s="86"/>
      <c r="CM143" s="86"/>
      <c r="CN143" s="86"/>
    </row>
    <row r="144" spans="15:92" s="367" customFormat="1">
      <c r="O144" s="511"/>
      <c r="S144" s="371"/>
      <c r="T144" s="371"/>
      <c r="U144" s="371"/>
      <c r="V144" s="371"/>
      <c r="AO144" s="86"/>
      <c r="AP144" s="86"/>
      <c r="AQ144" s="86"/>
      <c r="AR144" s="86"/>
      <c r="AS144" s="86"/>
      <c r="AT144" s="86"/>
      <c r="AU144" s="86"/>
      <c r="AV144" s="86"/>
      <c r="AW144" s="86"/>
      <c r="AX144" s="86"/>
      <c r="AY144" s="86"/>
      <c r="CM144" s="86"/>
      <c r="CN144" s="86"/>
    </row>
    <row r="145" spans="1:92" s="367" customFormat="1">
      <c r="O145" s="511"/>
      <c r="S145" s="371"/>
      <c r="T145" s="371"/>
      <c r="U145" s="371"/>
      <c r="V145" s="371"/>
      <c r="AO145" s="86"/>
      <c r="AP145" s="86"/>
      <c r="AQ145" s="86"/>
      <c r="AR145" s="86"/>
      <c r="AS145" s="86"/>
      <c r="AT145" s="86"/>
      <c r="AU145" s="86"/>
      <c r="AV145" s="86"/>
      <c r="AW145" s="86"/>
      <c r="AX145" s="86"/>
      <c r="AY145" s="86"/>
      <c r="CM145" s="86"/>
      <c r="CN145" s="86"/>
    </row>
    <row r="146" spans="1:92" s="367" customFormat="1">
      <c r="O146" s="511"/>
      <c r="S146" s="371"/>
      <c r="T146" s="371"/>
      <c r="U146" s="371"/>
      <c r="V146" s="371"/>
      <c r="AO146" s="86"/>
      <c r="AP146" s="86"/>
      <c r="AQ146" s="86"/>
      <c r="AR146" s="86"/>
      <c r="AS146" s="86"/>
      <c r="AT146" s="86"/>
      <c r="AU146" s="86"/>
      <c r="AV146" s="86"/>
      <c r="AW146" s="86"/>
      <c r="AX146" s="86"/>
      <c r="AY146" s="86"/>
      <c r="CM146" s="86"/>
      <c r="CN146" s="86"/>
    </row>
    <row r="147" spans="1:92" s="367" customFormat="1">
      <c r="O147" s="511"/>
      <c r="S147" s="371"/>
      <c r="T147" s="371"/>
      <c r="U147" s="371"/>
      <c r="V147" s="371"/>
      <c r="AO147" s="86"/>
      <c r="AP147" s="86"/>
      <c r="AQ147" s="86"/>
      <c r="AR147" s="86"/>
      <c r="AS147" s="86"/>
      <c r="AT147" s="86"/>
      <c r="AU147" s="86"/>
      <c r="AV147" s="86"/>
      <c r="AW147" s="86"/>
      <c r="AX147" s="86"/>
      <c r="AY147" s="86"/>
      <c r="CM147" s="86"/>
      <c r="CN147" s="86"/>
    </row>
    <row r="148" spans="1:92" s="367" customFormat="1">
      <c r="O148" s="511"/>
      <c r="S148" s="371"/>
      <c r="T148" s="371"/>
      <c r="U148" s="371"/>
      <c r="V148" s="371"/>
      <c r="AO148" s="86"/>
      <c r="AP148" s="86"/>
      <c r="AQ148" s="86"/>
      <c r="AR148" s="86"/>
      <c r="AS148" s="86"/>
      <c r="AT148" s="86"/>
      <c r="AU148" s="86"/>
      <c r="AV148" s="86"/>
      <c r="AW148" s="86"/>
      <c r="AX148" s="86"/>
      <c r="AY148" s="86"/>
      <c r="CM148" s="86"/>
      <c r="CN148" s="86"/>
    </row>
    <row r="149" spans="1:92" s="367" customFormat="1">
      <c r="O149" s="511"/>
      <c r="S149" s="371"/>
      <c r="T149" s="371"/>
      <c r="U149" s="371"/>
      <c r="V149" s="371"/>
      <c r="AO149" s="86"/>
      <c r="AP149" s="86"/>
      <c r="AQ149" s="86"/>
      <c r="AR149" s="86"/>
      <c r="AS149" s="86"/>
      <c r="AT149" s="86"/>
      <c r="AU149" s="86"/>
      <c r="AV149" s="86"/>
      <c r="AW149" s="86"/>
      <c r="AX149" s="86"/>
      <c r="AY149" s="86"/>
      <c r="CM149" s="86"/>
      <c r="CN149" s="86"/>
    </row>
    <row r="150" spans="1:92" s="367" customFormat="1">
      <c r="O150" s="511"/>
      <c r="S150" s="371"/>
      <c r="T150" s="371"/>
      <c r="U150" s="371"/>
      <c r="V150" s="371"/>
      <c r="AO150" s="86"/>
      <c r="AP150" s="86"/>
      <c r="AQ150" s="86"/>
      <c r="AR150" s="86"/>
      <c r="AS150" s="86"/>
      <c r="AT150" s="86"/>
      <c r="AU150" s="86"/>
      <c r="AV150" s="86"/>
      <c r="AW150" s="86"/>
      <c r="AX150" s="86"/>
      <c r="AY150" s="86"/>
      <c r="CM150" s="86"/>
      <c r="CN150" s="86"/>
    </row>
    <row r="151" spans="1:92" s="367" customFormat="1">
      <c r="O151" s="511"/>
      <c r="S151" s="371"/>
      <c r="T151" s="371"/>
      <c r="U151" s="371"/>
      <c r="V151" s="371"/>
      <c r="AO151" s="86"/>
      <c r="AP151" s="86"/>
      <c r="AQ151" s="86"/>
      <c r="AR151" s="86"/>
      <c r="AS151" s="86"/>
      <c r="AT151" s="86"/>
      <c r="AU151" s="86"/>
      <c r="AV151" s="86"/>
      <c r="AW151" s="86"/>
      <c r="AX151" s="86"/>
      <c r="AY151" s="86"/>
      <c r="CM151" s="86"/>
      <c r="CN151" s="86"/>
    </row>
    <row r="152" spans="1:92">
      <c r="A152" s="367"/>
      <c r="B152" s="367"/>
      <c r="C152" s="367"/>
      <c r="D152" s="367"/>
      <c r="E152" s="367"/>
      <c r="F152" s="367"/>
      <c r="G152" s="367"/>
      <c r="H152" s="367"/>
      <c r="I152" s="367"/>
      <c r="J152" s="367"/>
      <c r="K152" s="367"/>
      <c r="L152" s="367"/>
      <c r="M152" s="367"/>
      <c r="N152" s="367"/>
      <c r="O152" s="377"/>
      <c r="P152" s="367"/>
      <c r="Q152" s="367"/>
      <c r="R152" s="367"/>
      <c r="S152" s="371"/>
      <c r="T152" s="371"/>
      <c r="U152" s="371"/>
      <c r="V152" s="371"/>
      <c r="W152" s="367"/>
      <c r="X152" s="367"/>
      <c r="Y152" s="367"/>
      <c r="Z152" s="367"/>
      <c r="AA152" s="367"/>
      <c r="AB152" s="367"/>
      <c r="AC152" s="367"/>
      <c r="AD152" s="367"/>
      <c r="AE152" s="367"/>
      <c r="AF152" s="367"/>
      <c r="AG152" s="367"/>
      <c r="AH152" s="367"/>
      <c r="AI152" s="367"/>
      <c r="AJ152" s="367"/>
      <c r="AK152" s="367"/>
      <c r="AL152" s="367"/>
      <c r="AM152" s="367"/>
      <c r="AN152" s="367"/>
      <c r="AO152" s="86"/>
    </row>
  </sheetData>
  <sheetProtection password="D37A" sheet="1" scenarios="1" formatCells="0" formatColumns="0" formatRows="0" insertColumns="0" insertRows="0" sort="0" autoFilter="0"/>
  <mergeCells count="72">
    <mergeCell ref="S51:T51"/>
    <mergeCell ref="S52:T52"/>
    <mergeCell ref="S59:T59"/>
    <mergeCell ref="S53:T53"/>
    <mergeCell ref="S54:T54"/>
    <mergeCell ref="S55:T55"/>
    <mergeCell ref="S56:T56"/>
    <mergeCell ref="S58:T58"/>
    <mergeCell ref="N2:O2"/>
    <mergeCell ref="H54:H56"/>
    <mergeCell ref="C41:D41"/>
    <mergeCell ref="I56:J56"/>
    <mergeCell ref="B42:D42"/>
    <mergeCell ref="B3:C3"/>
    <mergeCell ref="B23:B24"/>
    <mergeCell ref="B25:B26"/>
    <mergeCell ref="N53:O54"/>
    <mergeCell ref="E5:E6"/>
    <mergeCell ref="C5:C6"/>
    <mergeCell ref="F5:F6"/>
    <mergeCell ref="K5:K6"/>
    <mergeCell ref="Y3:AA3"/>
    <mergeCell ref="C58:D58"/>
    <mergeCell ref="C23:D24"/>
    <mergeCell ref="D25:D26"/>
    <mergeCell ref="C25:C26"/>
    <mergeCell ref="F25:F26"/>
    <mergeCell ref="E25:E26"/>
    <mergeCell ref="E23:F24"/>
    <mergeCell ref="C4:D4"/>
    <mergeCell ref="Y4:Z4"/>
    <mergeCell ref="E4:F4"/>
    <mergeCell ref="D5:D6"/>
    <mergeCell ref="H5:H6"/>
    <mergeCell ref="O5:O6"/>
    <mergeCell ref="B43:C43"/>
    <mergeCell ref="L5:L6"/>
    <mergeCell ref="AR21:AR22"/>
    <mergeCell ref="AE15:AE20"/>
    <mergeCell ref="AE21:AE22"/>
    <mergeCell ref="Y21:Y22"/>
    <mergeCell ref="Z21:Z22"/>
    <mergeCell ref="AG21:AG22"/>
    <mergeCell ref="AD21:AD22"/>
    <mergeCell ref="AA21:AA22"/>
    <mergeCell ref="AP12:AX12"/>
    <mergeCell ref="Y18:Z18"/>
    <mergeCell ref="Y20:AA20"/>
    <mergeCell ref="AQ20:AT20"/>
    <mergeCell ref="P5:Q6"/>
    <mergeCell ref="AE5:AE7"/>
    <mergeCell ref="AE10:AE12"/>
    <mergeCell ref="U5:U6"/>
    <mergeCell ref="S4:S5"/>
    <mergeCell ref="R5:R6"/>
    <mergeCell ref="T4:T5"/>
    <mergeCell ref="AB4:AC4"/>
    <mergeCell ref="V5:V6"/>
    <mergeCell ref="W5:W6"/>
    <mergeCell ref="B63:B64"/>
    <mergeCell ref="C63:C64"/>
    <mergeCell ref="D63:D64"/>
    <mergeCell ref="E63:E64"/>
    <mergeCell ref="F63:F64"/>
    <mergeCell ref="S49:T49"/>
    <mergeCell ref="S50:T50"/>
    <mergeCell ref="S48:T48"/>
    <mergeCell ref="Z46:AA46"/>
    <mergeCell ref="B5:B6"/>
    <mergeCell ref="B20:D20"/>
    <mergeCell ref="I5:J6"/>
    <mergeCell ref="M5:M6"/>
  </mergeCells>
  <conditionalFormatting sqref="AE23:AE44 Q56:S56 S50:S55">
    <cfRule type="cellIs" dxfId="1245" priority="7" stopIfTrue="1" operator="lessThan">
      <formula>0</formula>
    </cfRule>
  </conditionalFormatting>
  <conditionalFormatting sqref="AE13:AE14">
    <cfRule type="containsText" dxfId="1244" priority="364" stopIfTrue="1" operator="containsText" text="חריגה">
      <formula>NOT(ISERROR(SEARCH("חריגה",AE13)))</formula>
    </cfRule>
  </conditionalFormatting>
  <conditionalFormatting sqref="AI23:AI44">
    <cfRule type="cellIs" dxfId="1243" priority="363" stopIfTrue="1" operator="equal">
      <formula>1</formula>
    </cfRule>
  </conditionalFormatting>
  <conditionalFormatting sqref="E20:F20 E42:F42">
    <cfRule type="containsText" dxfId="1242" priority="362" stopIfTrue="1" operator="containsText" text="חיובי">
      <formula>NOT(ISERROR(SEARCH("חיובי",E20)))</formula>
    </cfRule>
  </conditionalFormatting>
  <conditionalFormatting sqref="W46 K54:M54 K58:M58 D19 C41">
    <cfRule type="cellIs" dxfId="1241" priority="361" stopIfTrue="1" operator="lessThan">
      <formula>0</formula>
    </cfRule>
  </conditionalFormatting>
  <conditionalFormatting sqref="D45">
    <cfRule type="cellIs" dxfId="1240" priority="382" stopIfTrue="1" operator="greaterThan">
      <formula>$C$45</formula>
    </cfRule>
  </conditionalFormatting>
  <conditionalFormatting sqref="D46">
    <cfRule type="cellIs" dxfId="1239" priority="383" stopIfTrue="1" operator="greaterThan">
      <formula>$C$46</formula>
    </cfRule>
  </conditionalFormatting>
  <conditionalFormatting sqref="D47">
    <cfRule type="cellIs" dxfId="1238" priority="384" stopIfTrue="1" operator="greaterThan">
      <formula>$C$47</formula>
    </cfRule>
  </conditionalFormatting>
  <conditionalFormatting sqref="D48">
    <cfRule type="cellIs" dxfId="1237" priority="385" stopIfTrue="1" operator="greaterThan">
      <formula>$C$48</formula>
    </cfRule>
  </conditionalFormatting>
  <conditionalFormatting sqref="D49">
    <cfRule type="cellIs" dxfId="1236" priority="386" stopIfTrue="1" operator="greaterThan">
      <formula>$C$49</formula>
    </cfRule>
  </conditionalFormatting>
  <conditionalFormatting sqref="D50">
    <cfRule type="cellIs" dxfId="1235" priority="387" stopIfTrue="1" operator="greaterThan">
      <formula>$C$50</formula>
    </cfRule>
  </conditionalFormatting>
  <conditionalFormatting sqref="D51">
    <cfRule type="cellIs" dxfId="1234" priority="388" stopIfTrue="1" operator="greaterThan">
      <formula>$C$51</formula>
    </cfRule>
  </conditionalFormatting>
  <conditionalFormatting sqref="D52">
    <cfRule type="cellIs" dxfId="1233" priority="389" stopIfTrue="1" operator="greaterThan">
      <formula>$C$52</formula>
    </cfRule>
  </conditionalFormatting>
  <conditionalFormatting sqref="D53">
    <cfRule type="cellIs" dxfId="1232" priority="390" stopIfTrue="1" operator="greaterThan">
      <formula>$C$53</formula>
    </cfRule>
  </conditionalFormatting>
  <conditionalFormatting sqref="D54">
    <cfRule type="cellIs" dxfId="1231" priority="391" stopIfTrue="1" operator="greaterThan">
      <formula>$C$54</formula>
    </cfRule>
  </conditionalFormatting>
  <conditionalFormatting sqref="D55">
    <cfRule type="cellIs" dxfId="1230" priority="392" stopIfTrue="1" operator="greaterThan">
      <formula>$C$55</formula>
    </cfRule>
  </conditionalFormatting>
  <conditionalFormatting sqref="D56">
    <cfRule type="cellIs" dxfId="1229" priority="393" stopIfTrue="1" operator="greaterThan">
      <formula>$C$56</formula>
    </cfRule>
  </conditionalFormatting>
  <conditionalFormatting sqref="C7">
    <cfRule type="expression" dxfId="1228" priority="357" stopIfTrue="1">
      <formula>AND(C7&lt;&gt;0, NOT(ISTEXT(B7)))</formula>
    </cfRule>
    <cfRule type="cellIs" dxfId="1227" priority="358" stopIfTrue="1" operator="lessThan">
      <formula>0</formula>
    </cfRule>
  </conditionalFormatting>
  <conditionalFormatting sqref="C8">
    <cfRule type="expression" dxfId="1226" priority="355" stopIfTrue="1">
      <formula>AND(C8&lt;&gt;0, NOT(ISTEXT(B8)))</formula>
    </cfRule>
    <cfRule type="cellIs" dxfId="1225" priority="356" stopIfTrue="1" operator="lessThan">
      <formula>0</formula>
    </cfRule>
  </conditionalFormatting>
  <conditionalFormatting sqref="C9">
    <cfRule type="expression" dxfId="1224" priority="353" stopIfTrue="1">
      <formula>AND(C9&lt;&gt;0, NOT(ISTEXT(B9)))</formula>
    </cfRule>
    <cfRule type="cellIs" dxfId="1223" priority="354" stopIfTrue="1" operator="lessThan">
      <formula>0</formula>
    </cfRule>
  </conditionalFormatting>
  <conditionalFormatting sqref="C10">
    <cfRule type="expression" dxfId="1222" priority="351" stopIfTrue="1">
      <formula>AND(C10&lt;&gt;0, NOT(ISTEXT(B10)))</formula>
    </cfRule>
    <cfRule type="cellIs" dxfId="1221" priority="352" stopIfTrue="1" operator="lessThan">
      <formula>0</formula>
    </cfRule>
  </conditionalFormatting>
  <conditionalFormatting sqref="C11">
    <cfRule type="expression" dxfId="1220" priority="349" stopIfTrue="1">
      <formula>AND(C11&lt;&gt;0, NOT(ISTEXT(B11)))</formula>
    </cfRule>
    <cfRule type="cellIs" dxfId="1219" priority="350" stopIfTrue="1" operator="lessThan">
      <formula>0</formula>
    </cfRule>
  </conditionalFormatting>
  <conditionalFormatting sqref="C12">
    <cfRule type="expression" dxfId="1218" priority="347" stopIfTrue="1">
      <formula>AND(C12&lt;&gt;0, NOT(ISTEXT(B12)))</formula>
    </cfRule>
    <cfRule type="cellIs" dxfId="1217" priority="348" stopIfTrue="1" operator="lessThan">
      <formula>0</formula>
    </cfRule>
  </conditionalFormatting>
  <conditionalFormatting sqref="C13">
    <cfRule type="expression" dxfId="1216" priority="345" stopIfTrue="1">
      <formula>AND(C13&lt;&gt;0, NOT(ISTEXT(B13)))</formula>
    </cfRule>
    <cfRule type="cellIs" dxfId="1215" priority="346" stopIfTrue="1" operator="lessThan">
      <formula>0</formula>
    </cfRule>
  </conditionalFormatting>
  <conditionalFormatting sqref="C14">
    <cfRule type="expression" dxfId="1214" priority="343" stopIfTrue="1">
      <formula>AND(C14&lt;&gt;0, NOT(ISTEXT(B14)))</formula>
    </cfRule>
    <cfRule type="cellIs" dxfId="1213" priority="344" stopIfTrue="1" operator="lessThan">
      <formula>0</formula>
    </cfRule>
  </conditionalFormatting>
  <conditionalFormatting sqref="C15">
    <cfRule type="expression" dxfId="1212" priority="341" stopIfTrue="1">
      <formula>AND(C15&lt;&gt;0, NOT(ISTEXT(B15)))</formula>
    </cfRule>
    <cfRule type="cellIs" dxfId="1211" priority="342" stopIfTrue="1" operator="lessThan">
      <formula>0</formula>
    </cfRule>
  </conditionalFormatting>
  <conditionalFormatting sqref="C16">
    <cfRule type="expression" dxfId="1210" priority="339" stopIfTrue="1">
      <formula>AND(C16&lt;&gt;0, NOT(ISTEXT(B16)))</formula>
    </cfRule>
    <cfRule type="cellIs" dxfId="1209" priority="340" stopIfTrue="1" operator="lessThan">
      <formula>0</formula>
    </cfRule>
  </conditionalFormatting>
  <conditionalFormatting sqref="C17">
    <cfRule type="expression" dxfId="1208" priority="337" stopIfTrue="1">
      <formula>AND(C17&lt;&gt;0, NOT(ISTEXT(B17)))</formula>
    </cfRule>
    <cfRule type="cellIs" dxfId="1207" priority="338" stopIfTrue="1" operator="lessThan">
      <formula>0</formula>
    </cfRule>
  </conditionalFormatting>
  <conditionalFormatting sqref="C27">
    <cfRule type="expression" dxfId="1206" priority="335" stopIfTrue="1">
      <formula>AND(C27&lt;&gt;0, NOT(ISTEXT(B27)))</formula>
    </cfRule>
    <cfRule type="cellIs" dxfId="1205" priority="336" stopIfTrue="1" operator="lessThan">
      <formula>0</formula>
    </cfRule>
  </conditionalFormatting>
  <conditionalFormatting sqref="C39">
    <cfRule type="expression" dxfId="1204" priority="333" stopIfTrue="1">
      <formula>AND(C39&lt;&gt;0, NOT(ISTEXT(B39)))</formula>
    </cfRule>
    <cfRule type="cellIs" dxfId="1203" priority="334" stopIfTrue="1" operator="lessThan">
      <formula>0</formula>
    </cfRule>
  </conditionalFormatting>
  <conditionalFormatting sqref="C28">
    <cfRule type="expression" dxfId="1202" priority="331" stopIfTrue="1">
      <formula>AND(C28&lt;&gt;0, NOT(ISTEXT(B28)))</formula>
    </cfRule>
    <cfRule type="cellIs" dxfId="1201" priority="332" stopIfTrue="1" operator="lessThan">
      <formula>0</formula>
    </cfRule>
  </conditionalFormatting>
  <conditionalFormatting sqref="C29">
    <cfRule type="expression" dxfId="1200" priority="329" stopIfTrue="1">
      <formula>AND(C29&lt;&gt;0, NOT(ISTEXT(B29)))</formula>
    </cfRule>
    <cfRule type="cellIs" dxfId="1199" priority="330" stopIfTrue="1" operator="lessThan">
      <formula>0</formula>
    </cfRule>
  </conditionalFormatting>
  <conditionalFormatting sqref="C30">
    <cfRule type="expression" dxfId="1198" priority="327" stopIfTrue="1">
      <formula>AND(C30&lt;&gt;0, NOT(ISTEXT(B30)))</formula>
    </cfRule>
    <cfRule type="cellIs" dxfId="1197" priority="328" stopIfTrue="1" operator="lessThan">
      <formula>0</formula>
    </cfRule>
  </conditionalFormatting>
  <conditionalFormatting sqref="C31">
    <cfRule type="expression" dxfId="1196" priority="325" stopIfTrue="1">
      <formula>AND(C31&lt;&gt;0, NOT(ISTEXT(B31)))</formula>
    </cfRule>
    <cfRule type="cellIs" dxfId="1195" priority="326" stopIfTrue="1" operator="lessThan">
      <formula>0</formula>
    </cfRule>
  </conditionalFormatting>
  <conditionalFormatting sqref="C32">
    <cfRule type="expression" dxfId="1194" priority="323" stopIfTrue="1">
      <formula>AND(C32&lt;&gt;0, NOT(ISTEXT(B32)))</formula>
    </cfRule>
    <cfRule type="cellIs" dxfId="1193" priority="324" stopIfTrue="1" operator="lessThan">
      <formula>0</formula>
    </cfRule>
  </conditionalFormatting>
  <conditionalFormatting sqref="C33">
    <cfRule type="expression" dxfId="1192" priority="321" stopIfTrue="1">
      <formula>AND(C33&lt;&gt;0, NOT(ISTEXT(B33)))</formula>
    </cfRule>
    <cfRule type="cellIs" dxfId="1191" priority="322" stopIfTrue="1" operator="lessThan">
      <formula>0</formula>
    </cfRule>
  </conditionalFormatting>
  <conditionalFormatting sqref="C34">
    <cfRule type="expression" dxfId="1190" priority="319" stopIfTrue="1">
      <formula>AND(C34&lt;&gt;0, NOT(ISTEXT(B34)))</formula>
    </cfRule>
    <cfRule type="cellIs" dxfId="1189" priority="320" stopIfTrue="1" operator="lessThan">
      <formula>0</formula>
    </cfRule>
  </conditionalFormatting>
  <conditionalFormatting sqref="C35">
    <cfRule type="expression" dxfId="1188" priority="317" stopIfTrue="1">
      <formula>AND(C35&lt;&gt;0, NOT(ISTEXT(B35)))</formula>
    </cfRule>
    <cfRule type="cellIs" dxfId="1187" priority="318" stopIfTrue="1" operator="lessThan">
      <formula>0</formula>
    </cfRule>
  </conditionalFormatting>
  <conditionalFormatting sqref="C36">
    <cfRule type="expression" dxfId="1186" priority="315" stopIfTrue="1">
      <formula>AND(C36&lt;&gt;0, NOT(ISTEXT(B36)))</formula>
    </cfRule>
    <cfRule type="cellIs" dxfId="1185" priority="316" stopIfTrue="1" operator="lessThan">
      <formula>0</formula>
    </cfRule>
  </conditionalFormatting>
  <conditionalFormatting sqref="C37">
    <cfRule type="expression" dxfId="1184" priority="313" stopIfTrue="1">
      <formula>AND(C37&lt;&gt;0, NOT(ISTEXT(B37)))</formula>
    </cfRule>
    <cfRule type="cellIs" dxfId="1183" priority="314" stopIfTrue="1" operator="lessThan">
      <formula>0</formula>
    </cfRule>
  </conditionalFormatting>
  <conditionalFormatting sqref="C38">
    <cfRule type="expression" dxfId="1182" priority="311" stopIfTrue="1">
      <formula>AND(C38&lt;&gt;0, NOT(ISTEXT(B38)))</formula>
    </cfRule>
    <cfRule type="cellIs" dxfId="1181" priority="312" stopIfTrue="1" operator="lessThan">
      <formula>0</formula>
    </cfRule>
  </conditionalFormatting>
  <conditionalFormatting sqref="C45">
    <cfRule type="expression" dxfId="1180" priority="309" stopIfTrue="1">
      <formula>AND(C45&lt;&gt;0, NOT(ISTEXT(B45)))</formula>
    </cfRule>
    <cfRule type="cellIs" dxfId="1179" priority="310" stopIfTrue="1" operator="lessThan">
      <formula>0</formula>
    </cfRule>
  </conditionalFormatting>
  <conditionalFormatting sqref="C56">
    <cfRule type="expression" dxfId="1178" priority="307" stopIfTrue="1">
      <formula>AND(C56&lt;&gt;0, NOT(ISTEXT(B56)))</formula>
    </cfRule>
    <cfRule type="cellIs" dxfId="1177" priority="308" stopIfTrue="1" operator="lessThan">
      <formula>0</formula>
    </cfRule>
  </conditionalFormatting>
  <conditionalFormatting sqref="C46">
    <cfRule type="expression" dxfId="1176" priority="305" stopIfTrue="1">
      <formula>AND(C46&lt;&gt;0, NOT(ISTEXT(B46)))</formula>
    </cfRule>
    <cfRule type="cellIs" dxfId="1175" priority="306" stopIfTrue="1" operator="lessThan">
      <formula>0</formula>
    </cfRule>
  </conditionalFormatting>
  <conditionalFormatting sqref="C47">
    <cfRule type="expression" dxfId="1174" priority="303" stopIfTrue="1">
      <formula>AND(C47&lt;&gt;0, NOT(ISTEXT(B47)))</formula>
    </cfRule>
    <cfRule type="cellIs" dxfId="1173" priority="304" stopIfTrue="1" operator="lessThan">
      <formula>0</formula>
    </cfRule>
  </conditionalFormatting>
  <conditionalFormatting sqref="C48">
    <cfRule type="expression" dxfId="1172" priority="301" stopIfTrue="1">
      <formula>AND(C48&lt;&gt;0, NOT(ISTEXT(B48)))</formula>
    </cfRule>
    <cfRule type="cellIs" dxfId="1171" priority="302" stopIfTrue="1" operator="lessThan">
      <formula>0</formula>
    </cfRule>
  </conditionalFormatting>
  <conditionalFormatting sqref="C49">
    <cfRule type="expression" dxfId="1170" priority="299" stopIfTrue="1">
      <formula>AND(C49&lt;&gt;0, NOT(ISTEXT(B49)))</formula>
    </cfRule>
    <cfRule type="cellIs" dxfId="1169" priority="300" stopIfTrue="1" operator="lessThan">
      <formula>0</formula>
    </cfRule>
  </conditionalFormatting>
  <conditionalFormatting sqref="C50">
    <cfRule type="expression" dxfId="1168" priority="297" stopIfTrue="1">
      <formula>AND(C50&lt;&gt;0, NOT(ISTEXT(B50)))</formula>
    </cfRule>
    <cfRule type="cellIs" dxfId="1167" priority="298" stopIfTrue="1" operator="lessThan">
      <formula>0</formula>
    </cfRule>
  </conditionalFormatting>
  <conditionalFormatting sqref="C51">
    <cfRule type="expression" dxfId="1166" priority="295" stopIfTrue="1">
      <formula>AND(C51&lt;&gt;0, NOT(ISTEXT(B51)))</formula>
    </cfRule>
    <cfRule type="cellIs" dxfId="1165" priority="296" stopIfTrue="1" operator="lessThan">
      <formula>0</formula>
    </cfRule>
  </conditionalFormatting>
  <conditionalFormatting sqref="C52">
    <cfRule type="expression" dxfId="1164" priority="293" stopIfTrue="1">
      <formula>AND(C52&lt;&gt;0, NOT(ISTEXT(B52)))</formula>
    </cfRule>
    <cfRule type="cellIs" dxfId="1163" priority="294" stopIfTrue="1" operator="lessThan">
      <formula>0</formula>
    </cfRule>
  </conditionalFormatting>
  <conditionalFormatting sqref="C53">
    <cfRule type="expression" dxfId="1162" priority="291" stopIfTrue="1">
      <formula>AND(C53&lt;&gt;0, NOT(ISTEXT(B53)))</formula>
    </cfRule>
    <cfRule type="cellIs" dxfId="1161" priority="292" stopIfTrue="1" operator="lessThan">
      <formula>0</formula>
    </cfRule>
  </conditionalFormatting>
  <conditionalFormatting sqref="C54">
    <cfRule type="expression" dxfId="1160" priority="289" stopIfTrue="1">
      <formula>AND(C54&lt;&gt;0, NOT(ISTEXT(B54)))</formula>
    </cfRule>
    <cfRule type="cellIs" dxfId="1159" priority="290" stopIfTrue="1" operator="lessThan">
      <formula>0</formula>
    </cfRule>
  </conditionalFormatting>
  <conditionalFormatting sqref="C55">
    <cfRule type="expression" dxfId="1158" priority="287" stopIfTrue="1">
      <formula>AND(C55&lt;&gt;0, NOT(ISTEXT(B55)))</formula>
    </cfRule>
    <cfRule type="cellIs" dxfId="1157" priority="288" stopIfTrue="1" operator="lessThan">
      <formula>0</formula>
    </cfRule>
  </conditionalFormatting>
  <conditionalFormatting sqref="Z6">
    <cfRule type="expression" dxfId="1156" priority="285" stopIfTrue="1">
      <formula>AND(Z6&lt;&gt;0, NOT(ISTEXT(Y6)))</formula>
    </cfRule>
    <cfRule type="cellIs" dxfId="1155" priority="286" stopIfTrue="1" operator="lessThan">
      <formula>0</formula>
    </cfRule>
  </conditionalFormatting>
  <conditionalFormatting sqref="Z16">
    <cfRule type="expression" dxfId="1154" priority="283" stopIfTrue="1">
      <formula>AND(Z16&lt;&gt;0, NOT(ISTEXT(Y16)))</formula>
    </cfRule>
    <cfRule type="cellIs" dxfId="1153" priority="284" stopIfTrue="1" operator="lessThan">
      <formula>0</formula>
    </cfRule>
  </conditionalFormatting>
  <conditionalFormatting sqref="Z7">
    <cfRule type="expression" dxfId="1152" priority="281" stopIfTrue="1">
      <formula>AND(Z7&lt;&gt;0, NOT(ISTEXT(Y7)))</formula>
    </cfRule>
    <cfRule type="cellIs" dxfId="1151" priority="282" stopIfTrue="1" operator="lessThan">
      <formula>0</formula>
    </cfRule>
  </conditionalFormatting>
  <conditionalFormatting sqref="Z8">
    <cfRule type="expression" dxfId="1150" priority="279" stopIfTrue="1">
      <formula>AND(Z8&lt;&gt;0, NOT(ISTEXT(Y8)))</formula>
    </cfRule>
    <cfRule type="cellIs" dxfId="1149" priority="280" stopIfTrue="1" operator="lessThan">
      <formula>0</formula>
    </cfRule>
  </conditionalFormatting>
  <conditionalFormatting sqref="Z9">
    <cfRule type="expression" dxfId="1148" priority="277" stopIfTrue="1">
      <formula>AND(Z9&lt;&gt;0, NOT(ISTEXT(Y9)))</formula>
    </cfRule>
    <cfRule type="cellIs" dxfId="1147" priority="278" stopIfTrue="1" operator="lessThan">
      <formula>0</formula>
    </cfRule>
  </conditionalFormatting>
  <conditionalFormatting sqref="Z10">
    <cfRule type="expression" dxfId="1146" priority="275" stopIfTrue="1">
      <formula>AND(Z10&lt;&gt;0, NOT(ISTEXT(Y10)))</formula>
    </cfRule>
    <cfRule type="cellIs" dxfId="1145" priority="276" stopIfTrue="1" operator="lessThan">
      <formula>0</formula>
    </cfRule>
  </conditionalFormatting>
  <conditionalFormatting sqref="Z11">
    <cfRule type="expression" dxfId="1144" priority="273" stopIfTrue="1">
      <formula>AND(Z11&lt;&gt;0, NOT(ISTEXT(Y11)))</formula>
    </cfRule>
    <cfRule type="cellIs" dxfId="1143" priority="274" stopIfTrue="1" operator="lessThan">
      <formula>0</formula>
    </cfRule>
  </conditionalFormatting>
  <conditionalFormatting sqref="Z12">
    <cfRule type="expression" dxfId="1142" priority="271" stopIfTrue="1">
      <formula>AND(Z12&lt;&gt;0, NOT(ISTEXT(Y12)))</formula>
    </cfRule>
    <cfRule type="cellIs" dxfId="1141" priority="272" stopIfTrue="1" operator="lessThan">
      <formula>0</formula>
    </cfRule>
  </conditionalFormatting>
  <conditionalFormatting sqref="Z13">
    <cfRule type="expression" dxfId="1140" priority="269" stopIfTrue="1">
      <formula>AND(Z13&lt;&gt;0, NOT(ISTEXT(Y13)))</formula>
    </cfRule>
    <cfRule type="cellIs" dxfId="1139" priority="270" stopIfTrue="1" operator="lessThan">
      <formula>0</formula>
    </cfRule>
  </conditionalFormatting>
  <conditionalFormatting sqref="Z14">
    <cfRule type="expression" dxfId="1138" priority="267" stopIfTrue="1">
      <formula>AND(Z14&lt;&gt;0, NOT(ISTEXT(Y14)))</formula>
    </cfRule>
    <cfRule type="cellIs" dxfId="1137" priority="268" stopIfTrue="1" operator="lessThan">
      <formula>0</formula>
    </cfRule>
  </conditionalFormatting>
  <conditionalFormatting sqref="Z15">
    <cfRule type="expression" dxfId="1136" priority="265" stopIfTrue="1">
      <formula>AND(Z15&lt;&gt;0, NOT(ISTEXT(Y15)))</formula>
    </cfRule>
    <cfRule type="cellIs" dxfId="1135" priority="266" stopIfTrue="1" operator="lessThan">
      <formula>0</formula>
    </cfRule>
  </conditionalFormatting>
  <conditionalFormatting sqref="Z23">
    <cfRule type="expression" dxfId="1134" priority="263" stopIfTrue="1">
      <formula>AND(Z23&lt;&gt;0, NOT(ISTEXT(Y23)))</formula>
    </cfRule>
    <cfRule type="cellIs" dxfId="1133" priority="264" stopIfTrue="1" operator="lessThan">
      <formula>0</formula>
    </cfRule>
  </conditionalFormatting>
  <conditionalFormatting sqref="Z44">
    <cfRule type="expression" dxfId="1132" priority="261" stopIfTrue="1">
      <formula>AND(Z44&lt;&gt;0, NOT(ISTEXT(Y44)))</formula>
    </cfRule>
    <cfRule type="cellIs" dxfId="1131" priority="262" stopIfTrue="1" operator="lessThan">
      <formula>0</formula>
    </cfRule>
  </conditionalFormatting>
  <conditionalFormatting sqref="Z24">
    <cfRule type="expression" dxfId="1130" priority="259" stopIfTrue="1">
      <formula>AND(Z24&lt;&gt;0, NOT(ISTEXT(Y24)))</formula>
    </cfRule>
    <cfRule type="cellIs" dxfId="1129" priority="260" stopIfTrue="1" operator="lessThan">
      <formula>0</formula>
    </cfRule>
  </conditionalFormatting>
  <conditionalFormatting sqref="Z25">
    <cfRule type="expression" dxfId="1128" priority="257" stopIfTrue="1">
      <formula>AND(Z25&lt;&gt;0, NOT(ISTEXT(Y25)))</formula>
    </cfRule>
    <cfRule type="cellIs" dxfId="1127" priority="258" stopIfTrue="1" operator="lessThan">
      <formula>0</formula>
    </cfRule>
  </conditionalFormatting>
  <conditionalFormatting sqref="Z26">
    <cfRule type="expression" dxfId="1126" priority="255" stopIfTrue="1">
      <formula>AND(Z26&lt;&gt;0, NOT(ISTEXT(Y26)))</formula>
    </cfRule>
    <cfRule type="cellIs" dxfId="1125" priority="256" stopIfTrue="1" operator="lessThan">
      <formula>0</formula>
    </cfRule>
  </conditionalFormatting>
  <conditionalFormatting sqref="Z27">
    <cfRule type="expression" dxfId="1124" priority="253" stopIfTrue="1">
      <formula>AND(Z27&lt;&gt;0, NOT(ISTEXT(Y27)))</formula>
    </cfRule>
    <cfRule type="cellIs" dxfId="1123" priority="254" stopIfTrue="1" operator="lessThan">
      <formula>0</formula>
    </cfRule>
  </conditionalFormatting>
  <conditionalFormatting sqref="Z28">
    <cfRule type="expression" dxfId="1122" priority="251" stopIfTrue="1">
      <formula>AND(Z28&lt;&gt;0, NOT(ISTEXT(Y28)))</formula>
    </cfRule>
    <cfRule type="cellIs" dxfId="1121" priority="252" stopIfTrue="1" operator="lessThan">
      <formula>0</formula>
    </cfRule>
  </conditionalFormatting>
  <conditionalFormatting sqref="Z29">
    <cfRule type="expression" dxfId="1120" priority="249" stopIfTrue="1">
      <formula>AND(Z29&lt;&gt;0, NOT(ISTEXT(Y29)))</formula>
    </cfRule>
    <cfRule type="cellIs" dxfId="1119" priority="250" stopIfTrue="1" operator="lessThan">
      <formula>0</formula>
    </cfRule>
  </conditionalFormatting>
  <conditionalFormatting sqref="Z30">
    <cfRule type="expression" dxfId="1118" priority="247" stopIfTrue="1">
      <formula>AND(Z30&lt;&gt;0, NOT(ISTEXT(Y30)))</formula>
    </cfRule>
    <cfRule type="cellIs" dxfId="1117" priority="248" stopIfTrue="1" operator="lessThan">
      <formula>0</formula>
    </cfRule>
  </conditionalFormatting>
  <conditionalFormatting sqref="Z31">
    <cfRule type="expression" dxfId="1116" priority="245" stopIfTrue="1">
      <formula>AND(Z31&lt;&gt;0, NOT(ISTEXT(Y31)))</formula>
    </cfRule>
    <cfRule type="cellIs" dxfId="1115" priority="246" stopIfTrue="1" operator="lessThan">
      <formula>0</formula>
    </cfRule>
  </conditionalFormatting>
  <conditionalFormatting sqref="Z32">
    <cfRule type="expression" dxfId="1114" priority="243" stopIfTrue="1">
      <formula>AND(Z32&lt;&gt;0, NOT(ISTEXT(Y32)))</formula>
    </cfRule>
    <cfRule type="cellIs" dxfId="1113" priority="244" stopIfTrue="1" operator="lessThan">
      <formula>0</formula>
    </cfRule>
  </conditionalFormatting>
  <conditionalFormatting sqref="Z33">
    <cfRule type="expression" dxfId="1112" priority="241" stopIfTrue="1">
      <formula>AND(Z33&lt;&gt;0, NOT(ISTEXT(Y33)))</formula>
    </cfRule>
    <cfRule type="cellIs" dxfId="1111" priority="242" stopIfTrue="1" operator="lessThan">
      <formula>0</formula>
    </cfRule>
  </conditionalFormatting>
  <conditionalFormatting sqref="Z34">
    <cfRule type="expression" dxfId="1110" priority="239" stopIfTrue="1">
      <formula>AND(Z34&lt;&gt;0, NOT(ISTEXT(Y34)))</formula>
    </cfRule>
    <cfRule type="cellIs" dxfId="1109" priority="240" stopIfTrue="1" operator="lessThan">
      <formula>0</formula>
    </cfRule>
  </conditionalFormatting>
  <conditionalFormatting sqref="Z35">
    <cfRule type="expression" dxfId="1108" priority="237" stopIfTrue="1">
      <formula>AND(Z35&lt;&gt;0, NOT(ISTEXT(Y35)))</formula>
    </cfRule>
    <cfRule type="cellIs" dxfId="1107" priority="238" stopIfTrue="1" operator="lessThan">
      <formula>0</formula>
    </cfRule>
  </conditionalFormatting>
  <conditionalFormatting sqref="Z36">
    <cfRule type="expression" dxfId="1106" priority="235" stopIfTrue="1">
      <formula>AND(Z36&lt;&gt;0, NOT(ISTEXT(Y36)))</formula>
    </cfRule>
    <cfRule type="cellIs" dxfId="1105" priority="236" stopIfTrue="1" operator="lessThan">
      <formula>0</formula>
    </cfRule>
  </conditionalFormatting>
  <conditionalFormatting sqref="Z37">
    <cfRule type="expression" dxfId="1104" priority="233" stopIfTrue="1">
      <formula>AND(Z37&lt;&gt;0, NOT(ISTEXT(Y37)))</formula>
    </cfRule>
    <cfRule type="cellIs" dxfId="1103" priority="234" stopIfTrue="1" operator="lessThan">
      <formula>0</formula>
    </cfRule>
  </conditionalFormatting>
  <conditionalFormatting sqref="Z38">
    <cfRule type="expression" dxfId="1102" priority="231" stopIfTrue="1">
      <formula>AND(Z38&lt;&gt;0, NOT(ISTEXT(Y38)))</formula>
    </cfRule>
    <cfRule type="cellIs" dxfId="1101" priority="232" stopIfTrue="1" operator="lessThan">
      <formula>0</formula>
    </cfRule>
  </conditionalFormatting>
  <conditionalFormatting sqref="Z39">
    <cfRule type="expression" dxfId="1100" priority="229" stopIfTrue="1">
      <formula>AND(Z39&lt;&gt;0, NOT(ISTEXT(Y39)))</formula>
    </cfRule>
    <cfRule type="cellIs" dxfId="1099" priority="230" stopIfTrue="1" operator="lessThan">
      <formula>0</formula>
    </cfRule>
  </conditionalFormatting>
  <conditionalFormatting sqref="Z40">
    <cfRule type="expression" dxfId="1098" priority="227" stopIfTrue="1">
      <formula>AND(Z40&lt;&gt;0, NOT(ISTEXT(Y40)))</formula>
    </cfRule>
    <cfRule type="cellIs" dxfId="1097" priority="228" stopIfTrue="1" operator="lessThan">
      <formula>0</formula>
    </cfRule>
  </conditionalFormatting>
  <conditionalFormatting sqref="Z41">
    <cfRule type="expression" dxfId="1096" priority="225" stopIfTrue="1">
      <formula>AND(Z41&lt;&gt;0, NOT(ISTEXT(Y41)))</formula>
    </cfRule>
    <cfRule type="cellIs" dxfId="1095" priority="226" stopIfTrue="1" operator="lessThan">
      <formula>0</formula>
    </cfRule>
  </conditionalFormatting>
  <conditionalFormatting sqref="Z42">
    <cfRule type="expression" dxfId="1094" priority="223" stopIfTrue="1">
      <formula>AND(Z42&lt;&gt;0, NOT(ISTEXT(Y42)))</formula>
    </cfRule>
    <cfRule type="cellIs" dxfId="1093" priority="224" stopIfTrue="1" operator="lessThan">
      <formula>0</formula>
    </cfRule>
  </conditionalFormatting>
  <conditionalFormatting sqref="Z43">
    <cfRule type="expression" dxfId="1092" priority="221" stopIfTrue="1">
      <formula>AND(Z43&lt;&gt;0, NOT(ISTEXT(Y43)))</formula>
    </cfRule>
    <cfRule type="cellIs" dxfId="1091" priority="222" stopIfTrue="1" operator="lessThan">
      <formula>0</formula>
    </cfRule>
  </conditionalFormatting>
  <conditionalFormatting sqref="N53:O54">
    <cfRule type="containsText" dxfId="1090" priority="219" stopIfTrue="1" operator="containsText" text="הפרש">
      <formula>NOT(ISERROR(SEARCH("הפרש",N53)))</formula>
    </cfRule>
  </conditionalFormatting>
  <conditionalFormatting sqref="Z23:Z44 Q7:Q45 Q64:Q110 J7:J53 D27:D39 C45:C56 J64:J110 D65:D86 C7:D17 Z6:AA16">
    <cfRule type="expression" dxfId="1089" priority="217" stopIfTrue="1">
      <formula>ISTEXT(C6)</formula>
    </cfRule>
  </conditionalFormatting>
  <conditionalFormatting sqref="C7">
    <cfRule type="expression" dxfId="1088" priority="215" stopIfTrue="1">
      <formula>AND(C7&lt;&gt;0, NOT(ISTEXT(B7)))</formula>
    </cfRule>
    <cfRule type="cellIs" dxfId="1087" priority="216" stopIfTrue="1" operator="lessThan">
      <formula>0</formula>
    </cfRule>
  </conditionalFormatting>
  <conditionalFormatting sqref="C8">
    <cfRule type="expression" dxfId="1086" priority="213" stopIfTrue="1">
      <formula>AND(C8&lt;&gt;0, NOT(ISTEXT(B8)))</formula>
    </cfRule>
    <cfRule type="cellIs" dxfId="1085" priority="214" stopIfTrue="1" operator="lessThan">
      <formula>0</formula>
    </cfRule>
  </conditionalFormatting>
  <conditionalFormatting sqref="C9">
    <cfRule type="expression" dxfId="1084" priority="211" stopIfTrue="1">
      <formula>AND(C9&lt;&gt;0, NOT(ISTEXT(B9)))</formula>
    </cfRule>
    <cfRule type="cellIs" dxfId="1083" priority="212" stopIfTrue="1" operator="lessThan">
      <formula>0</formula>
    </cfRule>
  </conditionalFormatting>
  <conditionalFormatting sqref="C10">
    <cfRule type="expression" dxfId="1082" priority="209" stopIfTrue="1">
      <formula>AND(C10&lt;&gt;0, NOT(ISTEXT(B10)))</formula>
    </cfRule>
    <cfRule type="cellIs" dxfId="1081" priority="210" stopIfTrue="1" operator="lessThan">
      <formula>0</formula>
    </cfRule>
  </conditionalFormatting>
  <conditionalFormatting sqref="C11">
    <cfRule type="expression" dxfId="1080" priority="207" stopIfTrue="1">
      <formula>AND(C11&lt;&gt;0, NOT(ISTEXT(B11)))</formula>
    </cfRule>
    <cfRule type="cellIs" dxfId="1079" priority="208" stopIfTrue="1" operator="lessThan">
      <formula>0</formula>
    </cfRule>
  </conditionalFormatting>
  <conditionalFormatting sqref="C12">
    <cfRule type="expression" dxfId="1078" priority="205" stopIfTrue="1">
      <formula>AND(C12&lt;&gt;0, NOT(ISTEXT(B12)))</formula>
    </cfRule>
    <cfRule type="cellIs" dxfId="1077" priority="206" stopIfTrue="1" operator="lessThan">
      <formula>0</formula>
    </cfRule>
  </conditionalFormatting>
  <conditionalFormatting sqref="C13">
    <cfRule type="expression" dxfId="1076" priority="203" stopIfTrue="1">
      <formula>AND(C13&lt;&gt;0, NOT(ISTEXT(B13)))</formula>
    </cfRule>
    <cfRule type="cellIs" dxfId="1075" priority="204" stopIfTrue="1" operator="lessThan">
      <formula>0</formula>
    </cfRule>
  </conditionalFormatting>
  <conditionalFormatting sqref="C14">
    <cfRule type="expression" dxfId="1074" priority="201" stopIfTrue="1">
      <formula>AND(C14&lt;&gt;0, NOT(ISTEXT(B14)))</formula>
    </cfRule>
    <cfRule type="cellIs" dxfId="1073" priority="202" stopIfTrue="1" operator="lessThan">
      <formula>0</formula>
    </cfRule>
  </conditionalFormatting>
  <conditionalFormatting sqref="C15">
    <cfRule type="expression" dxfId="1072" priority="199" stopIfTrue="1">
      <formula>AND(C15&lt;&gt;0, NOT(ISTEXT(B15)))</formula>
    </cfRule>
    <cfRule type="cellIs" dxfId="1071" priority="200" stopIfTrue="1" operator="lessThan">
      <formula>0</formula>
    </cfRule>
  </conditionalFormatting>
  <conditionalFormatting sqref="C16">
    <cfRule type="expression" dxfId="1070" priority="197" stopIfTrue="1">
      <formula>AND(C16&lt;&gt;0, NOT(ISTEXT(B16)))</formula>
    </cfRule>
    <cfRule type="cellIs" dxfId="1069" priority="198" stopIfTrue="1" operator="lessThan">
      <formula>0</formula>
    </cfRule>
  </conditionalFormatting>
  <conditionalFormatting sqref="C17">
    <cfRule type="expression" dxfId="1068" priority="195" stopIfTrue="1">
      <formula>AND(C17&lt;&gt;0, NOT(ISTEXT(B17)))</formula>
    </cfRule>
    <cfRule type="cellIs" dxfId="1067" priority="196" stopIfTrue="1" operator="lessThan">
      <formula>0</formula>
    </cfRule>
  </conditionalFormatting>
  <conditionalFormatting sqref="C7">
    <cfRule type="expression" dxfId="1066" priority="192" stopIfTrue="1">
      <formula>AND(C7&lt;&gt;0, NOT(ISTEXT(B7)))</formula>
    </cfRule>
    <cfRule type="cellIs" dxfId="1065" priority="193" stopIfTrue="1" operator="lessThan">
      <formula>0</formula>
    </cfRule>
  </conditionalFormatting>
  <conditionalFormatting sqref="C8">
    <cfRule type="expression" dxfId="1064" priority="190" stopIfTrue="1">
      <formula>AND(C8&lt;&gt;0, NOT(ISTEXT(B8)))</formula>
    </cfRule>
    <cfRule type="cellIs" dxfId="1063" priority="191" stopIfTrue="1" operator="lessThan">
      <formula>0</formula>
    </cfRule>
  </conditionalFormatting>
  <conditionalFormatting sqref="C9">
    <cfRule type="expression" dxfId="1062" priority="188" stopIfTrue="1">
      <formula>AND(C9&lt;&gt;0, NOT(ISTEXT(B9)))</formula>
    </cfRule>
    <cfRule type="cellIs" dxfId="1061" priority="189" stopIfTrue="1" operator="lessThan">
      <formula>0</formula>
    </cfRule>
  </conditionalFormatting>
  <conditionalFormatting sqref="C10">
    <cfRule type="expression" dxfId="1060" priority="186" stopIfTrue="1">
      <formula>AND(C10&lt;&gt;0, NOT(ISTEXT(B10)))</formula>
    </cfRule>
    <cfRule type="cellIs" dxfId="1059" priority="187" stopIfTrue="1" operator="lessThan">
      <formula>0</formula>
    </cfRule>
  </conditionalFormatting>
  <conditionalFormatting sqref="C11">
    <cfRule type="expression" dxfId="1058" priority="184" stopIfTrue="1">
      <formula>AND(C11&lt;&gt;0, NOT(ISTEXT(B11)))</formula>
    </cfRule>
    <cfRule type="cellIs" dxfId="1057" priority="185" stopIfTrue="1" operator="lessThan">
      <formula>0</formula>
    </cfRule>
  </conditionalFormatting>
  <conditionalFormatting sqref="C12">
    <cfRule type="expression" dxfId="1056" priority="182" stopIfTrue="1">
      <formula>AND(C12&lt;&gt;0, NOT(ISTEXT(B12)))</formula>
    </cfRule>
    <cfRule type="cellIs" dxfId="1055" priority="183" stopIfTrue="1" operator="lessThan">
      <formula>0</formula>
    </cfRule>
  </conditionalFormatting>
  <conditionalFormatting sqref="C13">
    <cfRule type="expression" dxfId="1054" priority="180" stopIfTrue="1">
      <formula>AND(C13&lt;&gt;0, NOT(ISTEXT(B13)))</formula>
    </cfRule>
    <cfRule type="cellIs" dxfId="1053" priority="181" stopIfTrue="1" operator="lessThan">
      <formula>0</formula>
    </cfRule>
  </conditionalFormatting>
  <conditionalFormatting sqref="C14">
    <cfRule type="expression" dxfId="1052" priority="178" stopIfTrue="1">
      <formula>AND(C14&lt;&gt;0, NOT(ISTEXT(B14)))</formula>
    </cfRule>
    <cfRule type="cellIs" dxfId="1051" priority="179" stopIfTrue="1" operator="lessThan">
      <formula>0</formula>
    </cfRule>
  </conditionalFormatting>
  <conditionalFormatting sqref="C15">
    <cfRule type="expression" dxfId="1050" priority="176" stopIfTrue="1">
      <formula>AND(C15&lt;&gt;0, NOT(ISTEXT(B15)))</formula>
    </cfRule>
    <cfRule type="cellIs" dxfId="1049" priority="177" stopIfTrue="1" operator="lessThan">
      <formula>0</formula>
    </cfRule>
  </conditionalFormatting>
  <conditionalFormatting sqref="C16">
    <cfRule type="expression" dxfId="1048" priority="174" stopIfTrue="1">
      <formula>AND(C16&lt;&gt;0, NOT(ISTEXT(B16)))</formula>
    </cfRule>
    <cfRule type="cellIs" dxfId="1047" priority="175" stopIfTrue="1" operator="lessThan">
      <formula>0</formula>
    </cfRule>
  </conditionalFormatting>
  <conditionalFormatting sqref="C17">
    <cfRule type="expression" dxfId="1046" priority="172" stopIfTrue="1">
      <formula>AND(C17&lt;&gt;0, NOT(ISTEXT(B17)))</formula>
    </cfRule>
    <cfRule type="cellIs" dxfId="1045" priority="173" stopIfTrue="1" operator="lessThan">
      <formula>0</formula>
    </cfRule>
  </conditionalFormatting>
  <conditionalFormatting sqref="C45">
    <cfRule type="expression" dxfId="1044" priority="169" stopIfTrue="1">
      <formula>AND(C45&lt;&gt;0, NOT(ISTEXT(B45)))</formula>
    </cfRule>
    <cfRule type="cellIs" dxfId="1043" priority="170" stopIfTrue="1" operator="lessThan">
      <formula>0</formula>
    </cfRule>
  </conditionalFormatting>
  <conditionalFormatting sqref="C56">
    <cfRule type="expression" dxfId="1042" priority="167" stopIfTrue="1">
      <formula>AND(C56&lt;&gt;0, NOT(ISTEXT(B56)))</formula>
    </cfRule>
    <cfRule type="cellIs" dxfId="1041" priority="168" stopIfTrue="1" operator="lessThan">
      <formula>0</formula>
    </cfRule>
  </conditionalFormatting>
  <conditionalFormatting sqref="C46">
    <cfRule type="expression" dxfId="1040" priority="165" stopIfTrue="1">
      <formula>AND(C46&lt;&gt;0, NOT(ISTEXT(B46)))</formula>
    </cfRule>
    <cfRule type="cellIs" dxfId="1039" priority="166" stopIfTrue="1" operator="lessThan">
      <formula>0</formula>
    </cfRule>
  </conditionalFormatting>
  <conditionalFormatting sqref="C47">
    <cfRule type="expression" dxfId="1038" priority="163" stopIfTrue="1">
      <formula>AND(C47&lt;&gt;0, NOT(ISTEXT(B47)))</formula>
    </cfRule>
    <cfRule type="cellIs" dxfId="1037" priority="164" stopIfTrue="1" operator="lessThan">
      <formula>0</formula>
    </cfRule>
  </conditionalFormatting>
  <conditionalFormatting sqref="C48">
    <cfRule type="expression" dxfId="1036" priority="161" stopIfTrue="1">
      <formula>AND(C48&lt;&gt;0, NOT(ISTEXT(B48)))</formula>
    </cfRule>
    <cfRule type="cellIs" dxfId="1035" priority="162" stopIfTrue="1" operator="lessThan">
      <formula>0</formula>
    </cfRule>
  </conditionalFormatting>
  <conditionalFormatting sqref="C49">
    <cfRule type="expression" dxfId="1034" priority="159" stopIfTrue="1">
      <formula>AND(C49&lt;&gt;0, NOT(ISTEXT(B49)))</formula>
    </cfRule>
    <cfRule type="cellIs" dxfId="1033" priority="160" stopIfTrue="1" operator="lessThan">
      <formula>0</formula>
    </cfRule>
  </conditionalFormatting>
  <conditionalFormatting sqref="C50">
    <cfRule type="expression" dxfId="1032" priority="157" stopIfTrue="1">
      <formula>AND(C50&lt;&gt;0, NOT(ISTEXT(B50)))</formula>
    </cfRule>
    <cfRule type="cellIs" dxfId="1031" priority="158" stopIfTrue="1" operator="lessThan">
      <formula>0</formula>
    </cfRule>
  </conditionalFormatting>
  <conditionalFormatting sqref="C51">
    <cfRule type="expression" dxfId="1030" priority="155" stopIfTrue="1">
      <formula>AND(C51&lt;&gt;0, NOT(ISTEXT(B51)))</formula>
    </cfRule>
    <cfRule type="cellIs" dxfId="1029" priority="156" stopIfTrue="1" operator="lessThan">
      <formula>0</formula>
    </cfRule>
  </conditionalFormatting>
  <conditionalFormatting sqref="C52">
    <cfRule type="expression" dxfId="1028" priority="153" stopIfTrue="1">
      <formula>AND(C52&lt;&gt;0, NOT(ISTEXT(B52)))</formula>
    </cfRule>
    <cfRule type="cellIs" dxfId="1027" priority="154" stopIfTrue="1" operator="lessThan">
      <formula>0</formula>
    </cfRule>
  </conditionalFormatting>
  <conditionalFormatting sqref="C53">
    <cfRule type="expression" dxfId="1026" priority="151" stopIfTrue="1">
      <formula>AND(C53&lt;&gt;0, NOT(ISTEXT(B53)))</formula>
    </cfRule>
    <cfRule type="cellIs" dxfId="1025" priority="152" stopIfTrue="1" operator="lessThan">
      <formula>0</formula>
    </cfRule>
  </conditionalFormatting>
  <conditionalFormatting sqref="C54">
    <cfRule type="expression" dxfId="1024" priority="149" stopIfTrue="1">
      <formula>AND(C54&lt;&gt;0, NOT(ISTEXT(B54)))</formula>
    </cfRule>
    <cfRule type="cellIs" dxfId="1023" priority="150" stopIfTrue="1" operator="lessThan">
      <formula>0</formula>
    </cfRule>
  </conditionalFormatting>
  <conditionalFormatting sqref="C55">
    <cfRule type="expression" dxfId="1022" priority="147" stopIfTrue="1">
      <formula>AND(C55&lt;&gt;0, NOT(ISTEXT(B55)))</formula>
    </cfRule>
    <cfRule type="cellIs" dxfId="1021" priority="148" stopIfTrue="1" operator="lessThan">
      <formula>0</formula>
    </cfRule>
  </conditionalFormatting>
  <conditionalFormatting sqref="Z6">
    <cfRule type="expression" dxfId="1020" priority="144" stopIfTrue="1">
      <formula>AND(Z6&lt;&gt;0, NOT(ISTEXT(Y6)))</formula>
    </cfRule>
    <cfRule type="cellIs" dxfId="1019" priority="145" stopIfTrue="1" operator="lessThan">
      <formula>0</formula>
    </cfRule>
  </conditionalFormatting>
  <conditionalFormatting sqref="Z16">
    <cfRule type="expression" dxfId="1018" priority="142" stopIfTrue="1">
      <formula>AND(Z16&lt;&gt;0, NOT(ISTEXT(Y16)))</formula>
    </cfRule>
    <cfRule type="cellIs" dxfId="1017" priority="143" stopIfTrue="1" operator="lessThan">
      <formula>0</formula>
    </cfRule>
  </conditionalFormatting>
  <conditionalFormatting sqref="Z7">
    <cfRule type="expression" dxfId="1016" priority="140" stopIfTrue="1">
      <formula>AND(Z7&lt;&gt;0, NOT(ISTEXT(Y7)))</formula>
    </cfRule>
    <cfRule type="cellIs" dxfId="1015" priority="141" stopIfTrue="1" operator="lessThan">
      <formula>0</formula>
    </cfRule>
  </conditionalFormatting>
  <conditionalFormatting sqref="Z8">
    <cfRule type="expression" dxfId="1014" priority="138" stopIfTrue="1">
      <formula>AND(Z8&lt;&gt;0, NOT(ISTEXT(Y8)))</formula>
    </cfRule>
    <cfRule type="cellIs" dxfId="1013" priority="139" stopIfTrue="1" operator="lessThan">
      <formula>0</formula>
    </cfRule>
  </conditionalFormatting>
  <conditionalFormatting sqref="Z9">
    <cfRule type="expression" dxfId="1012" priority="136" stopIfTrue="1">
      <formula>AND(Z9&lt;&gt;0, NOT(ISTEXT(Y9)))</formula>
    </cfRule>
    <cfRule type="cellIs" dxfId="1011" priority="137" stopIfTrue="1" operator="lessThan">
      <formula>0</formula>
    </cfRule>
  </conditionalFormatting>
  <conditionalFormatting sqref="Z10">
    <cfRule type="expression" dxfId="1010" priority="134" stopIfTrue="1">
      <formula>AND(Z10&lt;&gt;0, NOT(ISTEXT(Y10)))</formula>
    </cfRule>
    <cfRule type="cellIs" dxfId="1009" priority="135" stopIfTrue="1" operator="lessThan">
      <formula>0</formula>
    </cfRule>
  </conditionalFormatting>
  <conditionalFormatting sqref="Z11">
    <cfRule type="expression" dxfId="1008" priority="132" stopIfTrue="1">
      <formula>AND(Z11&lt;&gt;0, NOT(ISTEXT(Y11)))</formula>
    </cfRule>
    <cfRule type="cellIs" dxfId="1007" priority="133" stopIfTrue="1" operator="lessThan">
      <formula>0</formula>
    </cfRule>
  </conditionalFormatting>
  <conditionalFormatting sqref="Z12">
    <cfRule type="expression" dxfId="1006" priority="130" stopIfTrue="1">
      <formula>AND(Z12&lt;&gt;0, NOT(ISTEXT(Y12)))</formula>
    </cfRule>
    <cfRule type="cellIs" dxfId="1005" priority="131" stopIfTrue="1" operator="lessThan">
      <formula>0</formula>
    </cfRule>
  </conditionalFormatting>
  <conditionalFormatting sqref="Z13">
    <cfRule type="expression" dxfId="1004" priority="128" stopIfTrue="1">
      <formula>AND(Z13&lt;&gt;0, NOT(ISTEXT(Y13)))</formula>
    </cfRule>
    <cfRule type="cellIs" dxfId="1003" priority="129" stopIfTrue="1" operator="lessThan">
      <formula>0</formula>
    </cfRule>
  </conditionalFormatting>
  <conditionalFormatting sqref="Z14">
    <cfRule type="expression" dxfId="1002" priority="126" stopIfTrue="1">
      <formula>AND(Z14&lt;&gt;0, NOT(ISTEXT(Y14)))</formula>
    </cfRule>
    <cfRule type="cellIs" dxfId="1001" priority="127" stopIfTrue="1" operator="lessThan">
      <formula>0</formula>
    </cfRule>
  </conditionalFormatting>
  <conditionalFormatting sqref="Z15">
    <cfRule type="expression" dxfId="1000" priority="124" stopIfTrue="1">
      <formula>AND(Z15&lt;&gt;0, NOT(ISTEXT(Y15)))</formula>
    </cfRule>
    <cfRule type="cellIs" dxfId="999" priority="125" stopIfTrue="1" operator="lessThan">
      <formula>0</formula>
    </cfRule>
  </conditionalFormatting>
  <conditionalFormatting sqref="Z23">
    <cfRule type="expression" dxfId="998" priority="121" stopIfTrue="1">
      <formula>AND(Z23&lt;&gt;0, NOT(ISTEXT(Y23)))</formula>
    </cfRule>
    <cfRule type="cellIs" dxfId="997" priority="122" stopIfTrue="1" operator="lessThan">
      <formula>0</formula>
    </cfRule>
  </conditionalFormatting>
  <conditionalFormatting sqref="Z44">
    <cfRule type="expression" dxfId="996" priority="119" stopIfTrue="1">
      <formula>AND(Z44&lt;&gt;0, NOT(ISTEXT(Y44)))</formula>
    </cfRule>
    <cfRule type="cellIs" dxfId="995" priority="120" stopIfTrue="1" operator="lessThan">
      <formula>0</formula>
    </cfRule>
  </conditionalFormatting>
  <conditionalFormatting sqref="Z24">
    <cfRule type="expression" dxfId="994" priority="117" stopIfTrue="1">
      <formula>AND(Z24&lt;&gt;0, NOT(ISTEXT(Y24)))</formula>
    </cfRule>
    <cfRule type="cellIs" dxfId="993" priority="118" stopIfTrue="1" operator="lessThan">
      <formula>0</formula>
    </cfRule>
  </conditionalFormatting>
  <conditionalFormatting sqref="Z25">
    <cfRule type="expression" dxfId="992" priority="115" stopIfTrue="1">
      <formula>AND(Z25&lt;&gt;0, NOT(ISTEXT(Y25)))</formula>
    </cfRule>
    <cfRule type="cellIs" dxfId="991" priority="116" stopIfTrue="1" operator="lessThan">
      <formula>0</formula>
    </cfRule>
  </conditionalFormatting>
  <conditionalFormatting sqref="Z26">
    <cfRule type="expression" dxfId="990" priority="113" stopIfTrue="1">
      <formula>AND(Z26&lt;&gt;0, NOT(ISTEXT(Y26)))</formula>
    </cfRule>
    <cfRule type="cellIs" dxfId="989" priority="114" stopIfTrue="1" operator="lessThan">
      <formula>0</formula>
    </cfRule>
  </conditionalFormatting>
  <conditionalFormatting sqref="Z27">
    <cfRule type="expression" dxfId="988" priority="111" stopIfTrue="1">
      <formula>AND(Z27&lt;&gt;0, NOT(ISTEXT(Y27)))</formula>
    </cfRule>
    <cfRule type="cellIs" dxfId="987" priority="112" stopIfTrue="1" operator="lessThan">
      <formula>0</formula>
    </cfRule>
  </conditionalFormatting>
  <conditionalFormatting sqref="Z28">
    <cfRule type="expression" dxfId="986" priority="109" stopIfTrue="1">
      <formula>AND(Z28&lt;&gt;0, NOT(ISTEXT(Y28)))</formula>
    </cfRule>
    <cfRule type="cellIs" dxfId="985" priority="110" stopIfTrue="1" operator="lessThan">
      <formula>0</formula>
    </cfRule>
  </conditionalFormatting>
  <conditionalFormatting sqref="Z29">
    <cfRule type="expression" dxfId="984" priority="107" stopIfTrue="1">
      <formula>AND(Z29&lt;&gt;0, NOT(ISTEXT(Y29)))</formula>
    </cfRule>
    <cfRule type="cellIs" dxfId="983" priority="108" stopIfTrue="1" operator="lessThan">
      <formula>0</formula>
    </cfRule>
  </conditionalFormatting>
  <conditionalFormatting sqref="Z30">
    <cfRule type="expression" dxfId="982" priority="105" stopIfTrue="1">
      <formula>AND(Z30&lt;&gt;0, NOT(ISTEXT(Y30)))</formula>
    </cfRule>
    <cfRule type="cellIs" dxfId="981" priority="106" stopIfTrue="1" operator="lessThan">
      <formula>0</formula>
    </cfRule>
  </conditionalFormatting>
  <conditionalFormatting sqref="Z31">
    <cfRule type="expression" dxfId="980" priority="103" stopIfTrue="1">
      <formula>AND(Z31&lt;&gt;0, NOT(ISTEXT(Y31)))</formula>
    </cfRule>
    <cfRule type="cellIs" dxfId="979" priority="104" stopIfTrue="1" operator="lessThan">
      <formula>0</formula>
    </cfRule>
  </conditionalFormatting>
  <conditionalFormatting sqref="Z32">
    <cfRule type="expression" dxfId="978" priority="101" stopIfTrue="1">
      <formula>AND(Z32&lt;&gt;0, NOT(ISTEXT(Y32)))</formula>
    </cfRule>
    <cfRule type="cellIs" dxfId="977" priority="102" stopIfTrue="1" operator="lessThan">
      <formula>0</formula>
    </cfRule>
  </conditionalFormatting>
  <conditionalFormatting sqref="Z33">
    <cfRule type="expression" dxfId="976" priority="99" stopIfTrue="1">
      <formula>AND(Z33&lt;&gt;0, NOT(ISTEXT(Y33)))</formula>
    </cfRule>
    <cfRule type="cellIs" dxfId="975" priority="100" stopIfTrue="1" operator="lessThan">
      <formula>0</formula>
    </cfRule>
  </conditionalFormatting>
  <conditionalFormatting sqref="Z34">
    <cfRule type="expression" dxfId="974" priority="97" stopIfTrue="1">
      <formula>AND(Z34&lt;&gt;0, NOT(ISTEXT(Y34)))</formula>
    </cfRule>
    <cfRule type="cellIs" dxfId="973" priority="98" stopIfTrue="1" operator="lessThan">
      <formula>0</formula>
    </cfRule>
  </conditionalFormatting>
  <conditionalFormatting sqref="Z35">
    <cfRule type="expression" dxfId="972" priority="95" stopIfTrue="1">
      <formula>AND(Z35&lt;&gt;0, NOT(ISTEXT(Y35)))</formula>
    </cfRule>
    <cfRule type="cellIs" dxfId="971" priority="96" stopIfTrue="1" operator="lessThan">
      <formula>0</formula>
    </cfRule>
  </conditionalFormatting>
  <conditionalFormatting sqref="Z36">
    <cfRule type="expression" dxfId="970" priority="93" stopIfTrue="1">
      <formula>AND(Z36&lt;&gt;0, NOT(ISTEXT(Y36)))</formula>
    </cfRule>
    <cfRule type="cellIs" dxfId="969" priority="94" stopIfTrue="1" operator="lessThan">
      <formula>0</formula>
    </cfRule>
  </conditionalFormatting>
  <conditionalFormatting sqref="Z37">
    <cfRule type="expression" dxfId="968" priority="91" stopIfTrue="1">
      <formula>AND(Z37&lt;&gt;0, NOT(ISTEXT(Y37)))</formula>
    </cfRule>
    <cfRule type="cellIs" dxfId="967" priority="92" stopIfTrue="1" operator="lessThan">
      <formula>0</formula>
    </cfRule>
  </conditionalFormatting>
  <conditionalFormatting sqref="Z38">
    <cfRule type="expression" dxfId="966" priority="89" stopIfTrue="1">
      <formula>AND(Z38&lt;&gt;0, NOT(ISTEXT(Y38)))</formula>
    </cfRule>
    <cfRule type="cellIs" dxfId="965" priority="90" stopIfTrue="1" operator="lessThan">
      <formula>0</formula>
    </cfRule>
  </conditionalFormatting>
  <conditionalFormatting sqref="Z39">
    <cfRule type="expression" dxfId="964" priority="87" stopIfTrue="1">
      <formula>AND(Z39&lt;&gt;0, NOT(ISTEXT(Y39)))</formula>
    </cfRule>
    <cfRule type="cellIs" dxfId="963" priority="88" stopIfTrue="1" operator="lessThan">
      <formula>0</formula>
    </cfRule>
  </conditionalFormatting>
  <conditionalFormatting sqref="Z40">
    <cfRule type="expression" dxfId="962" priority="85" stopIfTrue="1">
      <formula>AND(Z40&lt;&gt;0, NOT(ISTEXT(Y40)))</formula>
    </cfRule>
    <cfRule type="cellIs" dxfId="961" priority="86" stopIfTrue="1" operator="lessThan">
      <formula>0</formula>
    </cfRule>
  </conditionalFormatting>
  <conditionalFormatting sqref="Z41">
    <cfRule type="expression" dxfId="960" priority="83" stopIfTrue="1">
      <formula>AND(Z41&lt;&gt;0, NOT(ISTEXT(Y41)))</formula>
    </cfRule>
    <cfRule type="cellIs" dxfId="959" priority="84" stopIfTrue="1" operator="lessThan">
      <formula>0</formula>
    </cfRule>
  </conditionalFormatting>
  <conditionalFormatting sqref="Z42">
    <cfRule type="expression" dxfId="958" priority="81" stopIfTrue="1">
      <formula>AND(Z42&lt;&gt;0, NOT(ISTEXT(Y42)))</formula>
    </cfRule>
    <cfRule type="cellIs" dxfId="957" priority="82" stopIfTrue="1" operator="lessThan">
      <formula>0</formula>
    </cfRule>
  </conditionalFormatting>
  <conditionalFormatting sqref="Z43">
    <cfRule type="expression" dxfId="956" priority="79" stopIfTrue="1">
      <formula>AND(Z43&lt;&gt;0, NOT(ISTEXT(Y43)))</formula>
    </cfRule>
    <cfRule type="cellIs" dxfId="955" priority="80" stopIfTrue="1" operator="lessThan">
      <formula>0</formula>
    </cfRule>
  </conditionalFormatting>
  <conditionalFormatting sqref="D7:D17 D27:D39 AA6:AA16">
    <cfRule type="expression" dxfId="954" priority="72" stopIfTrue="1">
      <formula>AND(D6&lt;&gt;0,NOT(ISTEXT(B6)))</formula>
    </cfRule>
  </conditionalFormatting>
  <conditionalFormatting sqref="C65">
    <cfRule type="expression" dxfId="953" priority="68" stopIfTrue="1">
      <formula>AND(C65&lt;&gt;0, NOT(ISTEXT(B65)))</formula>
    </cfRule>
    <cfRule type="cellIs" dxfId="952" priority="69" stopIfTrue="1" operator="lessThan">
      <formula>0</formula>
    </cfRule>
  </conditionalFormatting>
  <conditionalFormatting sqref="C77">
    <cfRule type="expression" dxfId="951" priority="66" stopIfTrue="1">
      <formula>AND(C77&lt;&gt;0, NOT(ISTEXT(B77)))</formula>
    </cfRule>
    <cfRule type="cellIs" dxfId="950" priority="67" stopIfTrue="1" operator="lessThan">
      <formula>0</formula>
    </cfRule>
  </conditionalFormatting>
  <conditionalFormatting sqref="C66">
    <cfRule type="expression" dxfId="949" priority="64" stopIfTrue="1">
      <formula>AND(C66&lt;&gt;0, NOT(ISTEXT(B66)))</formula>
    </cfRule>
    <cfRule type="cellIs" dxfId="948" priority="65" stopIfTrue="1" operator="lessThan">
      <formula>0</formula>
    </cfRule>
  </conditionalFormatting>
  <conditionalFormatting sqref="C67">
    <cfRule type="expression" dxfId="947" priority="62" stopIfTrue="1">
      <formula>AND(C67&lt;&gt;0, NOT(ISTEXT(B67)))</formula>
    </cfRule>
    <cfRule type="cellIs" dxfId="946" priority="63" stopIfTrue="1" operator="lessThan">
      <formula>0</formula>
    </cfRule>
  </conditionalFormatting>
  <conditionalFormatting sqref="C68">
    <cfRule type="expression" dxfId="945" priority="60" stopIfTrue="1">
      <formula>AND(C68&lt;&gt;0, NOT(ISTEXT(B68)))</formula>
    </cfRule>
    <cfRule type="cellIs" dxfId="944" priority="61" stopIfTrue="1" operator="lessThan">
      <formula>0</formula>
    </cfRule>
  </conditionalFormatting>
  <conditionalFormatting sqref="C69">
    <cfRule type="expression" dxfId="943" priority="58" stopIfTrue="1">
      <formula>AND(C69&lt;&gt;0, NOT(ISTEXT(B69)))</formula>
    </cfRule>
    <cfRule type="cellIs" dxfId="942" priority="59" stopIfTrue="1" operator="lessThan">
      <formula>0</formula>
    </cfRule>
  </conditionalFormatting>
  <conditionalFormatting sqref="C70">
    <cfRule type="expression" dxfId="941" priority="56" stopIfTrue="1">
      <formula>AND(C70&lt;&gt;0, NOT(ISTEXT(B70)))</formula>
    </cfRule>
    <cfRule type="cellIs" dxfId="940" priority="57" stopIfTrue="1" operator="lessThan">
      <formula>0</formula>
    </cfRule>
  </conditionalFormatting>
  <conditionalFormatting sqref="C71">
    <cfRule type="expression" dxfId="939" priority="54" stopIfTrue="1">
      <formula>AND(C71&lt;&gt;0, NOT(ISTEXT(B71)))</formula>
    </cfRule>
    <cfRule type="cellIs" dxfId="938" priority="55" stopIfTrue="1" operator="lessThan">
      <formula>0</formula>
    </cfRule>
  </conditionalFormatting>
  <conditionalFormatting sqref="C72">
    <cfRule type="expression" dxfId="937" priority="52" stopIfTrue="1">
      <formula>AND(C72&lt;&gt;0, NOT(ISTEXT(B72)))</formula>
    </cfRule>
    <cfRule type="cellIs" dxfId="936" priority="53" stopIfTrue="1" operator="lessThan">
      <formula>0</formula>
    </cfRule>
  </conditionalFormatting>
  <conditionalFormatting sqref="C73">
    <cfRule type="expression" dxfId="935" priority="50" stopIfTrue="1">
      <formula>AND(C73&lt;&gt;0, NOT(ISTEXT(B73)))</formula>
    </cfRule>
    <cfRule type="cellIs" dxfId="934" priority="51" stopIfTrue="1" operator="lessThan">
      <formula>0</formula>
    </cfRule>
  </conditionalFormatting>
  <conditionalFormatting sqref="C74">
    <cfRule type="expression" dxfId="933" priority="48" stopIfTrue="1">
      <formula>AND(C74&lt;&gt;0, NOT(ISTEXT(B74)))</formula>
    </cfRule>
    <cfRule type="cellIs" dxfId="932" priority="49" stopIfTrue="1" operator="lessThan">
      <formula>0</formula>
    </cfRule>
  </conditionalFormatting>
  <conditionalFormatting sqref="C75">
    <cfRule type="expression" dxfId="931" priority="46" stopIfTrue="1">
      <formula>AND(C75&lt;&gt;0, NOT(ISTEXT(B75)))</formula>
    </cfRule>
    <cfRule type="cellIs" dxfId="930" priority="47" stopIfTrue="1" operator="lessThan">
      <formula>0</formula>
    </cfRule>
  </conditionalFormatting>
  <conditionalFormatting sqref="C76">
    <cfRule type="expression" dxfId="929" priority="44" stopIfTrue="1">
      <formula>AND(C76&lt;&gt;0, NOT(ISTEXT(B76)))</formula>
    </cfRule>
    <cfRule type="cellIs" dxfId="928" priority="45" stopIfTrue="1" operator="lessThan">
      <formula>0</formula>
    </cfRule>
  </conditionalFormatting>
  <conditionalFormatting sqref="D65:D77">
    <cfRule type="expression" dxfId="927" priority="42" stopIfTrue="1">
      <formula>AND(D65&lt;&gt;0,NOT(ISTEXT(B65)))</formula>
    </cfRule>
  </conditionalFormatting>
  <conditionalFormatting sqref="C86">
    <cfRule type="expression" dxfId="926" priority="38" stopIfTrue="1">
      <formula>AND(C86&lt;&gt;0, NOT(ISTEXT(B86)))</formula>
    </cfRule>
    <cfRule type="cellIs" dxfId="925" priority="39" stopIfTrue="1" operator="lessThan">
      <formula>0</formula>
    </cfRule>
  </conditionalFormatting>
  <conditionalFormatting sqref="C78">
    <cfRule type="expression" dxfId="924" priority="36" stopIfTrue="1">
      <formula>AND(C78&lt;&gt;0, NOT(ISTEXT(B78)))</formula>
    </cfRule>
    <cfRule type="cellIs" dxfId="923" priority="37" stopIfTrue="1" operator="lessThan">
      <formula>0</formula>
    </cfRule>
  </conditionalFormatting>
  <conditionalFormatting sqref="C79">
    <cfRule type="expression" dxfId="922" priority="34" stopIfTrue="1">
      <formula>AND(C79&lt;&gt;0, NOT(ISTEXT(B79)))</formula>
    </cfRule>
    <cfRule type="cellIs" dxfId="921" priority="35" stopIfTrue="1" operator="lessThan">
      <formula>0</formula>
    </cfRule>
  </conditionalFormatting>
  <conditionalFormatting sqref="C80">
    <cfRule type="expression" dxfId="920" priority="32" stopIfTrue="1">
      <formula>AND(C80&lt;&gt;0, NOT(ISTEXT(B80)))</formula>
    </cfRule>
    <cfRule type="cellIs" dxfId="919" priority="33" stopIfTrue="1" operator="lessThan">
      <formula>0</formula>
    </cfRule>
  </conditionalFormatting>
  <conditionalFormatting sqref="C81">
    <cfRule type="expression" dxfId="918" priority="30" stopIfTrue="1">
      <formula>AND(C81&lt;&gt;0, NOT(ISTEXT(B81)))</formula>
    </cfRule>
    <cfRule type="cellIs" dxfId="917" priority="31" stopIfTrue="1" operator="lessThan">
      <formula>0</formula>
    </cfRule>
  </conditionalFormatting>
  <conditionalFormatting sqref="C82">
    <cfRule type="expression" dxfId="916" priority="28" stopIfTrue="1">
      <formula>AND(C82&lt;&gt;0, NOT(ISTEXT(B82)))</formula>
    </cfRule>
    <cfRule type="cellIs" dxfId="915" priority="29" stopIfTrue="1" operator="lessThan">
      <formula>0</formula>
    </cfRule>
  </conditionalFormatting>
  <conditionalFormatting sqref="C83">
    <cfRule type="expression" dxfId="914" priority="26" stopIfTrue="1">
      <formula>AND(C83&lt;&gt;0, NOT(ISTEXT(B83)))</formula>
    </cfRule>
    <cfRule type="cellIs" dxfId="913" priority="27" stopIfTrue="1" operator="lessThan">
      <formula>0</formula>
    </cfRule>
  </conditionalFormatting>
  <conditionalFormatting sqref="C84">
    <cfRule type="expression" dxfId="912" priority="24" stopIfTrue="1">
      <formula>AND(C84&lt;&gt;0, NOT(ISTEXT(B84)))</formula>
    </cfRule>
    <cfRule type="cellIs" dxfId="911" priority="25" stopIfTrue="1" operator="lessThan">
      <formula>0</formula>
    </cfRule>
  </conditionalFormatting>
  <conditionalFormatting sqref="C85">
    <cfRule type="expression" dxfId="910" priority="22" stopIfTrue="1">
      <formula>AND(C85&lt;&gt;0, NOT(ISTEXT(B85)))</formula>
    </cfRule>
    <cfRule type="cellIs" dxfId="909" priority="23" stopIfTrue="1" operator="lessThan">
      <formula>0</formula>
    </cfRule>
  </conditionalFormatting>
  <conditionalFormatting sqref="D78:D86">
    <cfRule type="expression" dxfId="908" priority="20" stopIfTrue="1">
      <formula>AND(D78&lt;&gt;0,NOT(ISTEXT(B78)))</formula>
    </cfRule>
  </conditionalFormatting>
  <conditionalFormatting sqref="D7:D17 D27:D39 D65:D86">
    <cfRule type="cellIs" dxfId="907" priority="17" stopIfTrue="1" operator="greaterThan">
      <formula>"C7"</formula>
    </cfRule>
  </conditionalFormatting>
  <conditionalFormatting sqref="AE23:AE44">
    <cfRule type="expression" dxfId="906" priority="8" stopIfTrue="1">
      <formula>((Z23*(12-$AR$19))-AE23)/(Z23*(12-$AR$19)+0.00001)&gt;0.9</formula>
    </cfRule>
    <cfRule type="expression" dxfId="905" priority="9" stopIfTrue="1">
      <formula>((Z23*(12-$AR$19))-AE23)/(Z23*(12-$AR$19)+0.00001)&gt;0.8</formula>
    </cfRule>
    <cfRule type="expression" dxfId="904" priority="10" stopIfTrue="1">
      <formula>((Z23*(12-$AR$19))-AE23)/(Z23*(12-$AR$19)+0.00001)&gt;0.7</formula>
    </cfRule>
    <cfRule type="expression" dxfId="903" priority="11" stopIfTrue="1">
      <formula>((Z23*(12-$AR$19))-AE23)/(Z23*(12-$AR$19)+0.00001)&gt;0.6</formula>
    </cfRule>
    <cfRule type="expression" dxfId="902" priority="12" stopIfTrue="1">
      <formula>((Z23*(12-$AR$19))-AE23)/(Z23*(12-$AR$19)+0.00001)&gt;0.5</formula>
    </cfRule>
    <cfRule type="expression" dxfId="901" priority="13" stopIfTrue="1">
      <formula>((Z23*(12-$AR$19))-AE23)/(Z23*(12-$AR$19)+0.00001)&gt;0.4</formula>
    </cfRule>
    <cfRule type="expression" dxfId="900" priority="14" stopIfTrue="1">
      <formula>((Z23*(12-$AR$19))-AE23)/(Z23*(12-$AR$19)+0.00001)&gt;0.3</formula>
    </cfRule>
    <cfRule type="expression" dxfId="899" priority="377" stopIfTrue="1">
      <formula>((Z23*(12-$AR$19))-AE23)/(Z23*(12-$AR$19)+0.00001)&gt;0.2</formula>
    </cfRule>
  </conditionalFormatting>
  <conditionalFormatting sqref="T7:T45 T64:T110">
    <cfRule type="cellIs" dxfId="898" priority="5" stopIfTrue="1" operator="greaterThan">
      <formula>S7</formula>
    </cfRule>
  </conditionalFormatting>
  <conditionalFormatting sqref="N55:N56">
    <cfRule type="containsText" dxfId="897" priority="4" stopIfTrue="1" operator="containsText" text="No">
      <formula>NOT(ISERROR(SEARCH("No",N55)))</formula>
    </cfRule>
  </conditionalFormatting>
  <conditionalFormatting sqref="AE15:AE20">
    <cfRule type="containsText" dxfId="896" priority="3" stopIfTrue="1" operator="containsText" text="Over">
      <formula>NOT(ISERROR(SEARCH("Over",AE15)))</formula>
    </cfRule>
  </conditionalFormatting>
  <conditionalFormatting sqref="B20:D20">
    <cfRule type="containsText" dxfId="895" priority="2" stopIfTrue="1" operator="containsText" text="Check">
      <formula>NOT(ISERROR(SEARCH("Check",B20)))</formula>
    </cfRule>
  </conditionalFormatting>
  <conditionalFormatting sqref="B42:D42">
    <cfRule type="containsText" dxfId="894" priority="1" stopIfTrue="1" operator="containsText" text="Check">
      <formula>NOT(ISERROR(SEARCH("Check",B42)))</formula>
    </cfRule>
  </conditionalFormatting>
  <dataValidations count="13">
    <dataValidation type="custom" showInputMessage="1" showErrorMessage="1" errorTitle="שגיאה" error="חובה למלא את שם ההוצאה לפני מילוי הסכום." sqref="J64:J110 Q7:Q45 J7:J53 Q64:Q110">
      <formula1>ISTEXT(I7)</formula1>
    </dataValidation>
    <dataValidation type="custom" showInputMessage="1" showErrorMessage="1" errorTitle="שגיאה" error="חובה לתת שם לכל סעיף שנרשם בו תקציב" sqref="C7:C17 C27:C39 C45:C56 Z6:Z16 Z23:Z44 C65:C86">
      <formula1>ISTEXT(B6)</formula1>
    </dataValidation>
    <dataValidation type="custom" showInputMessage="1" showErrorMessage="1" errorTitle="שגיאה" error="חובה לתת שם לכל סעיף שנרשם בו ביצוע" sqref="D65:D86 D7:D17 D27:D39 AA6:AA16 AC17">
      <formula1>ISTEXT(B6)</formula1>
    </dataValidation>
    <dataValidation type="list" errorStyle="information" allowBlank="1" showInputMessage="1" sqref="K64:K110 U64:U110 U7:U45 E7:E17 E27:E39 E65:E86 K7:K53 AB6:AB16">
      <formula1>$AT$5:$AT$9</formula1>
    </dataValidation>
    <dataValidation type="whole" allowBlank="1" showInputMessage="1" showErrorMessage="1" error="מס' יום לא חוקי" sqref="O7:O45 H7:H53 H64:H110 O64:O110">
      <formula1>1</formula1>
      <formula2>31</formula2>
    </dataValidation>
    <dataValidation type="list" allowBlank="1" showInputMessage="1" showErrorMessage="1" error="חובה לבחור בהתפריט הנפתח" sqref="P7:P45 P64:P110">
      <formula1>$Y$23:$Y$44</formula1>
    </dataValidation>
    <dataValidation type="list" allowBlank="1" showInputMessage="1" showErrorMessage="1" error="חובה לבחור כן/לא." sqref="N55:N56">
      <formula1>$AP$55:$AP$56</formula1>
    </dataValidation>
    <dataValidation type="list" allowBlank="1" showInputMessage="1" showErrorMessage="1" error="חובה לבחור מהתפריט הנפתח" sqref="I7:I53 I64:I110">
      <formula1>$B$45:$B$56</formula1>
    </dataValidation>
    <dataValidation allowBlank="1" showInputMessage="1" showErrorMessage="1" prompt="שים לב! שינוי תא זה יבטל את החישוב האוטומטי לסה&quot;כ ביצוע הוצאות קבועות לחודש הנוכחי. " sqref="D18"/>
    <dataValidation allowBlank="1" showInputMessage="1" showErrorMessage="1" prompt="שים לב! שינוי תא זה יבטל את החישוב האוטומטי לסה&quot;כ ביצוע החזרי החובות לחודש הנוכחי. " sqref="D40"/>
    <dataValidation type="custom" errorStyle="warning" allowBlank="1" showInputMessage="1" showErrorMessage="1" errorTitle="סעיף כבר בשימוש" error="שם סעיף זה כבר בשימוש בקטגוריה זו או בקטגוריה אחרת. יתכן גם שנרשמה עליו שם כבר הוצאה בחודש זה." sqref="Y23:Y44 B45:B56 B27:B39 B65:B86 B7:B17">
      <formula1>(COUNTIF($B$7:$B$17,B7)+COUNTIF($B$27:$B$39,B7)+COUNTIF($B$45:$B$56,B7)+COUNTIF($I$7:$I$53,B7)+COUNTIF($Y$23:$Y$44,B7)+COUNTIF($P$7:$P$45,B7))&lt;=1</formula1>
    </dataValidation>
    <dataValidation type="list" allowBlank="1" showInputMessage="1" showErrorMessage="1" error="חובה לבחור מהתפריט הנפתח" sqref="N58">
      <formula1>$AQ$55:$AQ$56</formula1>
    </dataValidation>
    <dataValidation type="custom" errorStyle="information" allowBlank="1" showInputMessage="1" showErrorMessage="1" error="אתם מזינים עיסקת תשלומים. _x000a_חובה למלא את עמודות &quot;מספר התשלום&quot; ו- &quot;מתוך&quot; כדי שהתשלומים הבאים יוכנסו אוטומטית." prompt="שנה תא זה רק בהזנת עיסקת תשלומים._x000a_בחודש הראשון - הזן את סכום העיסקה הכולל._x000a_בחודשי התשלום הבאים - יוכנס אוטומטית 0 (יוצג כ &quot;-&quot;)." sqref="R7:R45 R64:R110">
      <formula1>R7=Q7</formula1>
    </dataValidation>
  </dataValidations>
  <hyperlinks>
    <hyperlink ref="Q3" location="L!Y21:Z46" tooltip="To Summary Table" display="List Periodic Expenses"/>
    <hyperlink ref="I3" location="L!B44:C58" tooltip="To Summary Table" display="List Everyday Expenses"/>
  </hyperlinks>
  <pageMargins left="0.7" right="0.7" top="0.75" bottom="0.75" header="0.3" footer="0.3"/>
  <drawing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8" tint="0.79998168889431442"/>
  </sheetPr>
  <dimension ref="A1:BK40"/>
  <sheetViews>
    <sheetView showZeros="0" zoomScale="75" zoomScaleNormal="75" workbookViewId="0">
      <pane xSplit="4" ySplit="3" topLeftCell="E7" activePane="bottomRight" state="frozen"/>
      <selection pane="topRight"/>
      <selection pane="bottomLeft"/>
      <selection pane="bottomRight"/>
    </sheetView>
  </sheetViews>
  <sheetFormatPr defaultColWidth="9.125" defaultRowHeight="14.25"/>
  <cols>
    <col min="1" max="1" width="0.75" style="39" customWidth="1"/>
    <col min="2" max="2" width="23.125" style="39" customWidth="1"/>
    <col min="3" max="3" width="8" style="38" customWidth="1"/>
    <col min="4" max="16" width="7.375" style="38" customWidth="1"/>
    <col min="17" max="28" width="7.375" style="39" customWidth="1"/>
    <col min="29" max="29" width="62" style="39" customWidth="1"/>
    <col min="30" max="30" width="9.125" style="39"/>
    <col min="31" max="31" width="9.125" style="39" hidden="1" customWidth="1"/>
    <col min="32" max="51" width="9.125" style="39"/>
    <col min="52" max="52" width="9.125" style="39" customWidth="1"/>
    <col min="53" max="63" width="3.625" style="39" hidden="1" customWidth="1"/>
    <col min="64" max="64" width="9.125" style="39" customWidth="1"/>
    <col min="65" max="16384" width="9.125" style="39"/>
  </cols>
  <sheetData>
    <row r="1" spans="1:63" ht="16.5" customHeight="1" thickBot="1">
      <c r="A1" s="405"/>
      <c r="B1" s="891" t="s">
        <v>412</v>
      </c>
      <c r="C1" s="406"/>
      <c r="D1" s="406"/>
      <c r="E1" s="878"/>
      <c r="F1" s="406"/>
      <c r="G1" s="406"/>
      <c r="H1" s="406"/>
      <c r="I1" s="406"/>
      <c r="J1" s="406"/>
      <c r="K1" s="406"/>
      <c r="L1" s="406"/>
      <c r="M1" s="406"/>
      <c r="N1" s="406"/>
      <c r="O1" s="406"/>
      <c r="P1" s="406"/>
      <c r="Q1" s="405"/>
      <c r="R1" s="407"/>
      <c r="S1" s="407"/>
      <c r="T1" s="407"/>
      <c r="U1" s="1250" t="str">
        <f>IF(AE3&gt;0," &lt;--- קיימות התראות!      יש לגלול שמאלה כדי לראות אותן במלואן","")</f>
        <v/>
      </c>
      <c r="V1" s="1250"/>
      <c r="W1" s="1250"/>
      <c r="X1" s="1250"/>
      <c r="Y1" s="1250"/>
      <c r="Z1" s="1250"/>
      <c r="AA1" s="1250"/>
      <c r="AB1" s="1250"/>
      <c r="AC1" s="405"/>
      <c r="AD1" s="405"/>
      <c r="AE1" s="52" t="s">
        <v>42</v>
      </c>
    </row>
    <row r="2" spans="1:63" s="40" customFormat="1" ht="15" customHeight="1" thickBot="1">
      <c r="A2" s="408"/>
      <c r="B2" s="1270" t="s">
        <v>413</v>
      </c>
      <c r="C2" s="1268" t="s">
        <v>414</v>
      </c>
      <c r="D2" s="1273" t="s">
        <v>415</v>
      </c>
      <c r="E2" s="1275" t="str">
        <f>'Month A'!M2</f>
        <v>Month</v>
      </c>
      <c r="F2" s="1267"/>
      <c r="G2" s="1266" t="str">
        <f>B!M2</f>
        <v/>
      </c>
      <c r="H2" s="1267"/>
      <c r="I2" s="1266" t="str">
        <f>'C'!M2</f>
        <v/>
      </c>
      <c r="J2" s="1267"/>
      <c r="K2" s="1266" t="str">
        <f>D!M2</f>
        <v/>
      </c>
      <c r="L2" s="1267"/>
      <c r="M2" s="1266" t="str">
        <f>E!M2</f>
        <v/>
      </c>
      <c r="N2" s="1267"/>
      <c r="O2" s="1266" t="str">
        <f>F!M2</f>
        <v/>
      </c>
      <c r="P2" s="1267"/>
      <c r="Q2" s="1266" t="str">
        <f>G!M2</f>
        <v/>
      </c>
      <c r="R2" s="1267"/>
      <c r="S2" s="1266" t="str">
        <f>H!M2</f>
        <v/>
      </c>
      <c r="T2" s="1267"/>
      <c r="U2" s="1266" t="str">
        <f>I!M2</f>
        <v/>
      </c>
      <c r="V2" s="1267"/>
      <c r="W2" s="1266" t="str">
        <f>J!M2</f>
        <v/>
      </c>
      <c r="X2" s="1267"/>
      <c r="Y2" s="1266" t="str">
        <f>K!M2</f>
        <v/>
      </c>
      <c r="Z2" s="1267"/>
      <c r="AA2" s="1266" t="str">
        <f>L!M2</f>
        <v/>
      </c>
      <c r="AB2" s="1267"/>
      <c r="AC2" s="408"/>
      <c r="AD2" s="408"/>
      <c r="AE2" s="40" t="s">
        <v>4</v>
      </c>
    </row>
    <row r="3" spans="1:63" ht="35.1" customHeight="1">
      <c r="A3" s="405"/>
      <c r="B3" s="1271"/>
      <c r="C3" s="1272"/>
      <c r="D3" s="1274"/>
      <c r="E3" s="139" t="s">
        <v>416</v>
      </c>
      <c r="F3" s="140" t="s">
        <v>417</v>
      </c>
      <c r="G3" s="139" t="s">
        <v>416</v>
      </c>
      <c r="H3" s="140" t="s">
        <v>417</v>
      </c>
      <c r="I3" s="139" t="s">
        <v>416</v>
      </c>
      <c r="J3" s="140" t="s">
        <v>417</v>
      </c>
      <c r="K3" s="139" t="s">
        <v>416</v>
      </c>
      <c r="L3" s="140" t="s">
        <v>417</v>
      </c>
      <c r="M3" s="139" t="s">
        <v>416</v>
      </c>
      <c r="N3" s="140" t="s">
        <v>417</v>
      </c>
      <c r="O3" s="139" t="s">
        <v>416</v>
      </c>
      <c r="P3" s="140" t="s">
        <v>417</v>
      </c>
      <c r="Q3" s="139" t="s">
        <v>416</v>
      </c>
      <c r="R3" s="140" t="s">
        <v>417</v>
      </c>
      <c r="S3" s="139" t="s">
        <v>416</v>
      </c>
      <c r="T3" s="140" t="s">
        <v>417</v>
      </c>
      <c r="U3" s="139" t="s">
        <v>416</v>
      </c>
      <c r="V3" s="140" t="s">
        <v>417</v>
      </c>
      <c r="W3" s="139" t="s">
        <v>416</v>
      </c>
      <c r="X3" s="140" t="s">
        <v>417</v>
      </c>
      <c r="Y3" s="139" t="s">
        <v>416</v>
      </c>
      <c r="Z3" s="140" t="s">
        <v>417</v>
      </c>
      <c r="AA3" s="139" t="s">
        <v>416</v>
      </c>
      <c r="AB3" s="140" t="s">
        <v>417</v>
      </c>
      <c r="AC3" s="409" t="s">
        <v>492</v>
      </c>
      <c r="AD3" s="405"/>
      <c r="AE3" s="39">
        <f>SUM(AE4:AE25)</f>
        <v>0</v>
      </c>
      <c r="BA3" s="440">
        <v>2</v>
      </c>
      <c r="BB3" s="441">
        <v>3</v>
      </c>
      <c r="BC3" s="441">
        <v>4</v>
      </c>
      <c r="BD3" s="441">
        <v>5</v>
      </c>
      <c r="BE3" s="441">
        <v>6</v>
      </c>
      <c r="BF3" s="441">
        <v>7</v>
      </c>
      <c r="BG3" s="441">
        <v>8</v>
      </c>
      <c r="BH3" s="441">
        <v>9</v>
      </c>
      <c r="BI3" s="441">
        <v>10</v>
      </c>
      <c r="BJ3" s="441">
        <v>11</v>
      </c>
      <c r="BK3" s="442">
        <v>12</v>
      </c>
    </row>
    <row r="4" spans="1:63" ht="14.85" customHeight="1">
      <c r="A4" s="405"/>
      <c r="B4" s="892" t="str">
        <f>'All Months Actuals'!B14</f>
        <v>Municipal Taxes</v>
      </c>
      <c r="C4" s="126">
        <f>L!Z23</f>
        <v>0</v>
      </c>
      <c r="D4" s="127">
        <f t="shared" ref="D4:D25" si="0">C4*12</f>
        <v>0</v>
      </c>
      <c r="E4" s="41">
        <f>'Month A'!AD23</f>
        <v>0</v>
      </c>
      <c r="F4" s="42">
        <f>'Month A'!AE23</f>
        <v>0</v>
      </c>
      <c r="G4" s="41">
        <f>B!AD23</f>
        <v>0</v>
      </c>
      <c r="H4" s="43">
        <f>B!AE23</f>
        <v>0</v>
      </c>
      <c r="I4" s="41">
        <f>'C'!AD23</f>
        <v>0</v>
      </c>
      <c r="J4" s="43">
        <f>'C'!AE23</f>
        <v>0</v>
      </c>
      <c r="K4" s="41">
        <f>D!AD23</f>
        <v>0</v>
      </c>
      <c r="L4" s="43">
        <f>D!AE23</f>
        <v>0</v>
      </c>
      <c r="M4" s="41">
        <f>E!AD23</f>
        <v>0</v>
      </c>
      <c r="N4" s="43">
        <f>E!AE23</f>
        <v>0</v>
      </c>
      <c r="O4" s="41">
        <f>F!AD23</f>
        <v>0</v>
      </c>
      <c r="P4" s="44">
        <f>F!AE23</f>
        <v>0</v>
      </c>
      <c r="Q4" s="45">
        <f>G!AD23</f>
        <v>0</v>
      </c>
      <c r="R4" s="44">
        <f>G!AE23</f>
        <v>0</v>
      </c>
      <c r="S4" s="45">
        <f>H!AD23</f>
        <v>0</v>
      </c>
      <c r="T4" s="44">
        <f>H!AE23</f>
        <v>0</v>
      </c>
      <c r="U4" s="45">
        <f>I!AD23</f>
        <v>0</v>
      </c>
      <c r="V4" s="44">
        <f>I!AE23</f>
        <v>0</v>
      </c>
      <c r="W4" s="45">
        <f>J!AD23</f>
        <v>0</v>
      </c>
      <c r="X4" s="44">
        <f>J!AE23</f>
        <v>0</v>
      </c>
      <c r="Y4" s="45">
        <f>K!AD23</f>
        <v>0</v>
      </c>
      <c r="Z4" s="44">
        <f>K!AE23</f>
        <v>0</v>
      </c>
      <c r="AA4" s="45">
        <f>L!AD23</f>
        <v>0</v>
      </c>
      <c r="AB4" s="44">
        <f>L!AE23</f>
        <v>0</v>
      </c>
      <c r="AC4" s="405" t="str">
        <f>IF((E4+G4+I4+K4+M4+O4+Q4+S4+U4+W4+Y4+AA4)=('Month A'!AA23+B!AA23+'C'!AA23+D!AA23+E!AA23+F!AA23+G!AA23+H!AA23+I!AA23+J!AA23+K!AA23+L!AA23),"","Payments Mismatch. Check and correct ! ")</f>
        <v/>
      </c>
      <c r="AD4" s="405"/>
      <c r="AE4" s="39">
        <f>IF(AC4="",0,1)</f>
        <v>0</v>
      </c>
      <c r="BA4" s="443">
        <f>'Budgets List'!P14</f>
        <v>0</v>
      </c>
      <c r="BB4" s="444">
        <f>'Budgets List'!Q14</f>
        <v>0</v>
      </c>
      <c r="BC4" s="444">
        <f>'Budgets List'!R14</f>
        <v>0</v>
      </c>
      <c r="BD4" s="444">
        <f>'Budgets List'!S14</f>
        <v>0</v>
      </c>
      <c r="BE4" s="444">
        <f>'Budgets List'!T14</f>
        <v>0</v>
      </c>
      <c r="BF4" s="444">
        <f>'Budgets List'!U14</f>
        <v>0</v>
      </c>
      <c r="BG4" s="444">
        <f>'Budgets List'!V14</f>
        <v>0</v>
      </c>
      <c r="BH4" s="444">
        <f>'Budgets List'!W14</f>
        <v>0</v>
      </c>
      <c r="BI4" s="444">
        <f>'Budgets List'!X14</f>
        <v>0</v>
      </c>
      <c r="BJ4" s="444">
        <f>'Budgets List'!Y14</f>
        <v>0</v>
      </c>
      <c r="BK4" s="445">
        <f>'Budgets List'!Z14</f>
        <v>0</v>
      </c>
    </row>
    <row r="5" spans="1:63" ht="14.85" customHeight="1">
      <c r="A5" s="405"/>
      <c r="B5" s="892" t="str">
        <f>'All Months Actuals'!B15</f>
        <v>Water and Sewage</v>
      </c>
      <c r="C5" s="126">
        <f>L!Z24</f>
        <v>0</v>
      </c>
      <c r="D5" s="127">
        <f t="shared" si="0"/>
        <v>0</v>
      </c>
      <c r="E5" s="41">
        <f>'Month A'!AD24</f>
        <v>0</v>
      </c>
      <c r="F5" s="42">
        <f>'Month A'!AE24</f>
        <v>0</v>
      </c>
      <c r="G5" s="41">
        <f>B!AD24</f>
        <v>0</v>
      </c>
      <c r="H5" s="43">
        <f>B!AE24</f>
        <v>0</v>
      </c>
      <c r="I5" s="41">
        <f>'C'!AD24</f>
        <v>0</v>
      </c>
      <c r="J5" s="43">
        <f>'C'!AE24</f>
        <v>0</v>
      </c>
      <c r="K5" s="41">
        <f>D!AD24</f>
        <v>0</v>
      </c>
      <c r="L5" s="43">
        <f>D!AE24</f>
        <v>0</v>
      </c>
      <c r="M5" s="41">
        <f>E!AD24</f>
        <v>0</v>
      </c>
      <c r="N5" s="43">
        <f>E!AE24</f>
        <v>0</v>
      </c>
      <c r="O5" s="41">
        <f>F!AD24</f>
        <v>0</v>
      </c>
      <c r="P5" s="44">
        <f>F!AE24</f>
        <v>0</v>
      </c>
      <c r="Q5" s="45">
        <f>G!AD24</f>
        <v>0</v>
      </c>
      <c r="R5" s="44">
        <f>G!AE24</f>
        <v>0</v>
      </c>
      <c r="S5" s="45">
        <f>H!AD24</f>
        <v>0</v>
      </c>
      <c r="T5" s="44">
        <f>H!AE24</f>
        <v>0</v>
      </c>
      <c r="U5" s="45">
        <f>I!AD24</f>
        <v>0</v>
      </c>
      <c r="V5" s="44">
        <f>I!AE24</f>
        <v>0</v>
      </c>
      <c r="W5" s="45">
        <f>J!AD24</f>
        <v>0</v>
      </c>
      <c r="X5" s="44">
        <f>J!AE24</f>
        <v>0</v>
      </c>
      <c r="Y5" s="45">
        <f>K!AD24</f>
        <v>0</v>
      </c>
      <c r="Z5" s="44">
        <f>K!AE24</f>
        <v>0</v>
      </c>
      <c r="AA5" s="45">
        <f>L!AD24</f>
        <v>0</v>
      </c>
      <c r="AB5" s="44">
        <f>L!AE24</f>
        <v>0</v>
      </c>
      <c r="AC5" s="405" t="str">
        <f>IF((E5+G5+I5+K5+M5+O5+Q5+S5+U5+W5+Y5+AA5)=('Month A'!AA24+B!AA24+'C'!AA24+D!AA24+E!AA24+F!AA24+G!AA24+H!AA24+I!AA24+J!AA24+K!AA24+L!AA24),"","Payments Mismatch. Check and correct ! ")</f>
        <v/>
      </c>
      <c r="AD5" s="405"/>
      <c r="AE5" s="39">
        <f t="shared" ref="AE5:AE25" si="1">IF(AC5="",0,1)</f>
        <v>0</v>
      </c>
      <c r="BA5" s="443">
        <f>'Budgets List'!P15</f>
        <v>0</v>
      </c>
      <c r="BB5" s="444">
        <f>'Budgets List'!Q15</f>
        <v>0</v>
      </c>
      <c r="BC5" s="444">
        <f>'Budgets List'!R15</f>
        <v>0</v>
      </c>
      <c r="BD5" s="444">
        <f>'Budgets List'!S15</f>
        <v>0</v>
      </c>
      <c r="BE5" s="444">
        <f>'Budgets List'!T15</f>
        <v>0</v>
      </c>
      <c r="BF5" s="444">
        <f>'Budgets List'!U15</f>
        <v>0</v>
      </c>
      <c r="BG5" s="444">
        <f>'Budgets List'!V15</f>
        <v>0</v>
      </c>
      <c r="BH5" s="444">
        <f>'Budgets List'!W15</f>
        <v>0</v>
      </c>
      <c r="BI5" s="444">
        <f>'Budgets List'!X15</f>
        <v>0</v>
      </c>
      <c r="BJ5" s="444">
        <f>'Budgets List'!Y15</f>
        <v>0</v>
      </c>
      <c r="BK5" s="445">
        <f>'Budgets List'!Z15</f>
        <v>0</v>
      </c>
    </row>
    <row r="6" spans="1:63" ht="14.85" customHeight="1">
      <c r="A6" s="405"/>
      <c r="B6" s="892" t="str">
        <f>'All Months Actuals'!B16</f>
        <v>Electricity</v>
      </c>
      <c r="C6" s="126">
        <f>L!Z25</f>
        <v>0</v>
      </c>
      <c r="D6" s="127">
        <f t="shared" si="0"/>
        <v>0</v>
      </c>
      <c r="E6" s="41">
        <f>'Month A'!AD25</f>
        <v>0</v>
      </c>
      <c r="F6" s="42">
        <f>'Month A'!AE25</f>
        <v>0</v>
      </c>
      <c r="G6" s="41">
        <f>B!AD25</f>
        <v>0</v>
      </c>
      <c r="H6" s="43">
        <f>B!AE25</f>
        <v>0</v>
      </c>
      <c r="I6" s="41">
        <f>'C'!AD25</f>
        <v>0</v>
      </c>
      <c r="J6" s="43">
        <f>'C'!AE25</f>
        <v>0</v>
      </c>
      <c r="K6" s="41">
        <f>D!AD25</f>
        <v>0</v>
      </c>
      <c r="L6" s="43">
        <f>D!AE25</f>
        <v>0</v>
      </c>
      <c r="M6" s="41">
        <f>E!AD25</f>
        <v>0</v>
      </c>
      <c r="N6" s="43">
        <f>E!AE25</f>
        <v>0</v>
      </c>
      <c r="O6" s="41">
        <f>F!AD25</f>
        <v>0</v>
      </c>
      <c r="P6" s="44">
        <f>F!AE25</f>
        <v>0</v>
      </c>
      <c r="Q6" s="45">
        <f>G!AD25</f>
        <v>0</v>
      </c>
      <c r="R6" s="44">
        <f>G!AE25</f>
        <v>0</v>
      </c>
      <c r="S6" s="45">
        <f>H!AD25</f>
        <v>0</v>
      </c>
      <c r="T6" s="44">
        <f>H!AE25</f>
        <v>0</v>
      </c>
      <c r="U6" s="45">
        <f>I!AD25</f>
        <v>0</v>
      </c>
      <c r="V6" s="44">
        <f>I!AE25</f>
        <v>0</v>
      </c>
      <c r="W6" s="45">
        <f>J!AD25</f>
        <v>0</v>
      </c>
      <c r="X6" s="44">
        <f>J!AE25</f>
        <v>0</v>
      </c>
      <c r="Y6" s="45">
        <f>K!AD25</f>
        <v>0</v>
      </c>
      <c r="Z6" s="44">
        <f>K!AE25</f>
        <v>0</v>
      </c>
      <c r="AA6" s="45">
        <f>L!AD25</f>
        <v>0</v>
      </c>
      <c r="AB6" s="44">
        <f>L!AE25</f>
        <v>0</v>
      </c>
      <c r="AC6" s="405" t="str">
        <f>IF((E6+G6+I6+K6+M6+O6+Q6+S6+U6+W6+Y6+AA6)=('Month A'!AA25+B!AA25+'C'!AA25+D!AA25+E!AA25+F!AA25+G!AA25+H!AA25+I!AA25+J!AA25+K!AA25+L!AA25),"","Payments Mismatch. Check and correct ! ")</f>
        <v/>
      </c>
      <c r="AD6" s="405"/>
      <c r="AE6" s="39">
        <f t="shared" si="1"/>
        <v>0</v>
      </c>
      <c r="BA6" s="443">
        <f>'Budgets List'!P16</f>
        <v>0</v>
      </c>
      <c r="BB6" s="444">
        <f>'Budgets List'!Q16</f>
        <v>0</v>
      </c>
      <c r="BC6" s="444">
        <f>'Budgets List'!R16</f>
        <v>0</v>
      </c>
      <c r="BD6" s="444">
        <f>'Budgets List'!S16</f>
        <v>0</v>
      </c>
      <c r="BE6" s="444">
        <f>'Budgets List'!T16</f>
        <v>0</v>
      </c>
      <c r="BF6" s="444">
        <f>'Budgets List'!U16</f>
        <v>0</v>
      </c>
      <c r="BG6" s="444">
        <f>'Budgets List'!V16</f>
        <v>0</v>
      </c>
      <c r="BH6" s="444">
        <f>'Budgets List'!W16</f>
        <v>0</v>
      </c>
      <c r="BI6" s="444">
        <f>'Budgets List'!X16</f>
        <v>0</v>
      </c>
      <c r="BJ6" s="444">
        <f>'Budgets List'!Y16</f>
        <v>0</v>
      </c>
      <c r="BK6" s="445">
        <f>'Budgets List'!Z16</f>
        <v>0</v>
      </c>
    </row>
    <row r="7" spans="1:63" ht="14.85" customHeight="1">
      <c r="A7" s="405"/>
      <c r="B7" s="892" t="str">
        <f>'All Months Actuals'!B17</f>
        <v>Gas</v>
      </c>
      <c r="C7" s="126">
        <f>L!Z26</f>
        <v>0</v>
      </c>
      <c r="D7" s="127">
        <f t="shared" si="0"/>
        <v>0</v>
      </c>
      <c r="E7" s="41">
        <f>'Month A'!AD26</f>
        <v>0</v>
      </c>
      <c r="F7" s="42">
        <f>'Month A'!AE26</f>
        <v>0</v>
      </c>
      <c r="G7" s="41">
        <f>B!AD26</f>
        <v>0</v>
      </c>
      <c r="H7" s="43">
        <f>B!AE26</f>
        <v>0</v>
      </c>
      <c r="I7" s="41">
        <f>'C'!AD26</f>
        <v>0</v>
      </c>
      <c r="J7" s="43">
        <f>'C'!AE26</f>
        <v>0</v>
      </c>
      <c r="K7" s="41">
        <f>D!AD26</f>
        <v>0</v>
      </c>
      <c r="L7" s="43">
        <f>D!AE26</f>
        <v>0</v>
      </c>
      <c r="M7" s="41">
        <f>E!AD26</f>
        <v>0</v>
      </c>
      <c r="N7" s="43">
        <f>E!AE26</f>
        <v>0</v>
      </c>
      <c r="O7" s="41">
        <f>F!AD26</f>
        <v>0</v>
      </c>
      <c r="P7" s="44">
        <f>F!AE26</f>
        <v>0</v>
      </c>
      <c r="Q7" s="45">
        <f>G!AD26</f>
        <v>0</v>
      </c>
      <c r="R7" s="44">
        <f>G!AE26</f>
        <v>0</v>
      </c>
      <c r="S7" s="45">
        <f>H!AD26</f>
        <v>0</v>
      </c>
      <c r="T7" s="44">
        <f>H!AE26</f>
        <v>0</v>
      </c>
      <c r="U7" s="45">
        <f>I!AD26</f>
        <v>0</v>
      </c>
      <c r="V7" s="44">
        <f>I!AE26</f>
        <v>0</v>
      </c>
      <c r="W7" s="45">
        <f>J!AD26</f>
        <v>0</v>
      </c>
      <c r="X7" s="44">
        <f>J!AE26</f>
        <v>0</v>
      </c>
      <c r="Y7" s="45">
        <f>K!AD26</f>
        <v>0</v>
      </c>
      <c r="Z7" s="44">
        <f>K!AE26</f>
        <v>0</v>
      </c>
      <c r="AA7" s="45">
        <f>L!AD26</f>
        <v>0</v>
      </c>
      <c r="AB7" s="44">
        <f>L!AE26</f>
        <v>0</v>
      </c>
      <c r="AC7" s="405" t="str">
        <f>IF((E7+G7+I7+K7+M7+O7+Q7+S7+U7+W7+Y7+AA7)=('Month A'!AA26+B!AA26+'C'!AA26+D!AA26+E!AA26+F!AA26+G!AA26+H!AA26+I!AA26+J!AA26+K!AA26+L!AA26),"","Payments Mismatch. Check and correct ! ")</f>
        <v/>
      </c>
      <c r="AD7" s="405"/>
      <c r="AE7" s="39">
        <f t="shared" si="1"/>
        <v>0</v>
      </c>
      <c r="BA7" s="443">
        <f>'Budgets List'!P17</f>
        <v>0</v>
      </c>
      <c r="BB7" s="444">
        <f>'Budgets List'!Q17</f>
        <v>0</v>
      </c>
      <c r="BC7" s="444">
        <f>'Budgets List'!R17</f>
        <v>0</v>
      </c>
      <c r="BD7" s="444">
        <f>'Budgets List'!S17</f>
        <v>0</v>
      </c>
      <c r="BE7" s="444">
        <f>'Budgets List'!T17</f>
        <v>0</v>
      </c>
      <c r="BF7" s="444">
        <f>'Budgets List'!U17</f>
        <v>0</v>
      </c>
      <c r="BG7" s="444">
        <f>'Budgets List'!V17</f>
        <v>0</v>
      </c>
      <c r="BH7" s="444">
        <f>'Budgets List'!W17</f>
        <v>0</v>
      </c>
      <c r="BI7" s="444">
        <f>'Budgets List'!X17</f>
        <v>0</v>
      </c>
      <c r="BJ7" s="444">
        <f>'Budgets List'!Y17</f>
        <v>0</v>
      </c>
      <c r="BK7" s="445">
        <f>'Budgets List'!Z17</f>
        <v>0</v>
      </c>
    </row>
    <row r="8" spans="1:63" ht="14.85" customHeight="1">
      <c r="A8" s="405"/>
      <c r="B8" s="892" t="str">
        <f>'All Months Actuals'!B18</f>
        <v>Heating</v>
      </c>
      <c r="C8" s="126">
        <f>L!Z27</f>
        <v>0</v>
      </c>
      <c r="D8" s="127">
        <f t="shared" si="0"/>
        <v>0</v>
      </c>
      <c r="E8" s="41">
        <f>'Month A'!AD27</f>
        <v>0</v>
      </c>
      <c r="F8" s="42">
        <f>'Month A'!AE27</f>
        <v>0</v>
      </c>
      <c r="G8" s="41">
        <f>B!AD27</f>
        <v>0</v>
      </c>
      <c r="H8" s="43">
        <f>B!AE27</f>
        <v>0</v>
      </c>
      <c r="I8" s="41">
        <f>'C'!AD27</f>
        <v>0</v>
      </c>
      <c r="J8" s="43">
        <f>'C'!AE27</f>
        <v>0</v>
      </c>
      <c r="K8" s="41">
        <f>D!AD27</f>
        <v>0</v>
      </c>
      <c r="L8" s="43">
        <f>D!AE27</f>
        <v>0</v>
      </c>
      <c r="M8" s="41">
        <f>E!AD27</f>
        <v>0</v>
      </c>
      <c r="N8" s="43">
        <f>E!AE27</f>
        <v>0</v>
      </c>
      <c r="O8" s="41">
        <f>F!AD27</f>
        <v>0</v>
      </c>
      <c r="P8" s="44">
        <f>F!AE27</f>
        <v>0</v>
      </c>
      <c r="Q8" s="45">
        <f>G!AD27</f>
        <v>0</v>
      </c>
      <c r="R8" s="44">
        <f>G!AE27</f>
        <v>0</v>
      </c>
      <c r="S8" s="45">
        <f>H!AD27</f>
        <v>0</v>
      </c>
      <c r="T8" s="44">
        <f>H!AE27</f>
        <v>0</v>
      </c>
      <c r="U8" s="45">
        <f>I!AD27</f>
        <v>0</v>
      </c>
      <c r="V8" s="44">
        <f>I!AE27</f>
        <v>0</v>
      </c>
      <c r="W8" s="45">
        <f>J!AD27</f>
        <v>0</v>
      </c>
      <c r="X8" s="44">
        <f>J!AE27</f>
        <v>0</v>
      </c>
      <c r="Y8" s="45">
        <f>K!AD27</f>
        <v>0</v>
      </c>
      <c r="Z8" s="44">
        <f>K!AE27</f>
        <v>0</v>
      </c>
      <c r="AA8" s="45">
        <f>L!AD27</f>
        <v>0</v>
      </c>
      <c r="AB8" s="44">
        <f>L!AE27</f>
        <v>0</v>
      </c>
      <c r="AC8" s="405" t="str">
        <f>IF((E8+G8+I8+K8+M8+O8+Q8+S8+U8+W8+Y8+AA8)=('Month A'!AA27+B!AA27+'C'!AA27+D!AA27+E!AA27+F!AA27+G!AA27+H!AA27+I!AA27+J!AA27+K!AA27+L!AA27),"","Payments Mismatch. Check and correct ! ")</f>
        <v/>
      </c>
      <c r="AD8" s="405"/>
      <c r="AE8" s="39">
        <f t="shared" si="1"/>
        <v>0</v>
      </c>
      <c r="BA8" s="443">
        <f>'Budgets List'!P18</f>
        <v>0</v>
      </c>
      <c r="BB8" s="444">
        <f>'Budgets List'!Q18</f>
        <v>0</v>
      </c>
      <c r="BC8" s="444">
        <f>'Budgets List'!R18</f>
        <v>0</v>
      </c>
      <c r="BD8" s="444">
        <f>'Budgets List'!S18</f>
        <v>0</v>
      </c>
      <c r="BE8" s="444">
        <f>'Budgets List'!T18</f>
        <v>0</v>
      </c>
      <c r="BF8" s="444">
        <f>'Budgets List'!U18</f>
        <v>0</v>
      </c>
      <c r="BG8" s="444">
        <f>'Budgets List'!V18</f>
        <v>0</v>
      </c>
      <c r="BH8" s="444">
        <f>'Budgets List'!W18</f>
        <v>0</v>
      </c>
      <c r="BI8" s="444">
        <f>'Budgets List'!X18</f>
        <v>0</v>
      </c>
      <c r="BJ8" s="444">
        <f>'Budgets List'!Y18</f>
        <v>0</v>
      </c>
      <c r="BK8" s="445">
        <f>'Budgets List'!Z18</f>
        <v>0</v>
      </c>
    </row>
    <row r="9" spans="1:63" ht="14.85" customHeight="1">
      <c r="A9" s="405"/>
      <c r="B9" s="893" t="str">
        <f>'All Months Actuals'!B19</f>
        <v>Education/Schoolbooks</v>
      </c>
      <c r="C9" s="126">
        <f>L!Z28</f>
        <v>0</v>
      </c>
      <c r="D9" s="127">
        <f t="shared" si="0"/>
        <v>0</v>
      </c>
      <c r="E9" s="41">
        <f>'Month A'!AD28</f>
        <v>0</v>
      </c>
      <c r="F9" s="42">
        <f>'Month A'!AE28</f>
        <v>0</v>
      </c>
      <c r="G9" s="41">
        <f>B!AD28</f>
        <v>0</v>
      </c>
      <c r="H9" s="43">
        <f>B!AE28</f>
        <v>0</v>
      </c>
      <c r="I9" s="41">
        <f>'C'!AD28</f>
        <v>0</v>
      </c>
      <c r="J9" s="43">
        <f>'C'!AE28</f>
        <v>0</v>
      </c>
      <c r="K9" s="41">
        <f>D!AD28</f>
        <v>0</v>
      </c>
      <c r="L9" s="43">
        <f>D!AE28</f>
        <v>0</v>
      </c>
      <c r="M9" s="41">
        <f>E!AD28</f>
        <v>0</v>
      </c>
      <c r="N9" s="43">
        <f>E!AE28</f>
        <v>0</v>
      </c>
      <c r="O9" s="41">
        <f>F!AD28</f>
        <v>0</v>
      </c>
      <c r="P9" s="44">
        <f>F!AE28</f>
        <v>0</v>
      </c>
      <c r="Q9" s="45">
        <f>G!AD28</f>
        <v>0</v>
      </c>
      <c r="R9" s="44">
        <f>G!AE28</f>
        <v>0</v>
      </c>
      <c r="S9" s="45">
        <f>H!AD28</f>
        <v>0</v>
      </c>
      <c r="T9" s="44">
        <f>H!AE28</f>
        <v>0</v>
      </c>
      <c r="U9" s="45">
        <f>I!AD28</f>
        <v>0</v>
      </c>
      <c r="V9" s="44">
        <f>I!AE28</f>
        <v>0</v>
      </c>
      <c r="W9" s="45">
        <f>J!AD28</f>
        <v>0</v>
      </c>
      <c r="X9" s="44">
        <f>J!AE28</f>
        <v>0</v>
      </c>
      <c r="Y9" s="45">
        <f>K!AD28</f>
        <v>0</v>
      </c>
      <c r="Z9" s="44">
        <f>K!AE28</f>
        <v>0</v>
      </c>
      <c r="AA9" s="45">
        <f>L!AD28</f>
        <v>0</v>
      </c>
      <c r="AB9" s="44">
        <f>L!AE28</f>
        <v>0</v>
      </c>
      <c r="AC9" s="405" t="str">
        <f>IF((E9+G9+I9+K9+M9+O9+Q9+S9+U9+W9+Y9+AA9)=('Month A'!AA28+B!AA28+'C'!AA28+D!AA28+E!AA28+F!AA28+G!AA28+H!AA28+I!AA28+J!AA28+K!AA28+L!AA28),"","Payments Mismatch. Check and correct ! ")</f>
        <v/>
      </c>
      <c r="AD9" s="405"/>
      <c r="AE9" s="39">
        <f t="shared" si="1"/>
        <v>0</v>
      </c>
      <c r="BA9" s="443">
        <f>'Budgets List'!P19</f>
        <v>0</v>
      </c>
      <c r="BB9" s="444">
        <f>'Budgets List'!Q19</f>
        <v>0</v>
      </c>
      <c r="BC9" s="444">
        <f>'Budgets List'!R19</f>
        <v>0</v>
      </c>
      <c r="BD9" s="444">
        <f>'Budgets List'!S19</f>
        <v>0</v>
      </c>
      <c r="BE9" s="444">
        <f>'Budgets List'!T19</f>
        <v>0</v>
      </c>
      <c r="BF9" s="444">
        <f>'Budgets List'!U19</f>
        <v>0</v>
      </c>
      <c r="BG9" s="444">
        <f>'Budgets List'!V19</f>
        <v>0</v>
      </c>
      <c r="BH9" s="444">
        <f>'Budgets List'!W19</f>
        <v>0</v>
      </c>
      <c r="BI9" s="444">
        <f>'Budgets List'!X19</f>
        <v>0</v>
      </c>
      <c r="BJ9" s="444">
        <f>'Budgets List'!Y19</f>
        <v>0</v>
      </c>
      <c r="BK9" s="445">
        <f>'Budgets List'!Z19</f>
        <v>0</v>
      </c>
    </row>
    <row r="10" spans="1:63" ht="14.85" customHeight="1">
      <c r="A10" s="405"/>
      <c r="B10" s="893" t="str">
        <f>'All Months Actuals'!B20</f>
        <v>Extracurricular Activities/Camps/Pool</v>
      </c>
      <c r="C10" s="126">
        <f>L!Z29</f>
        <v>0</v>
      </c>
      <c r="D10" s="127">
        <f t="shared" si="0"/>
        <v>0</v>
      </c>
      <c r="E10" s="41">
        <f>'Month A'!AD29</f>
        <v>0</v>
      </c>
      <c r="F10" s="42">
        <f>'Month A'!AE29</f>
        <v>0</v>
      </c>
      <c r="G10" s="41">
        <f>B!AD29</f>
        <v>0</v>
      </c>
      <c r="H10" s="43">
        <f>B!AE29</f>
        <v>0</v>
      </c>
      <c r="I10" s="41">
        <f>'C'!AD29</f>
        <v>0</v>
      </c>
      <c r="J10" s="43">
        <f>'C'!AE29</f>
        <v>0</v>
      </c>
      <c r="K10" s="41">
        <f>D!AD29</f>
        <v>0</v>
      </c>
      <c r="L10" s="43">
        <f>D!AE29</f>
        <v>0</v>
      </c>
      <c r="M10" s="41">
        <f>E!AD29</f>
        <v>0</v>
      </c>
      <c r="N10" s="43">
        <f>E!AE29</f>
        <v>0</v>
      </c>
      <c r="O10" s="41">
        <f>F!AD29</f>
        <v>0</v>
      </c>
      <c r="P10" s="44">
        <f>F!AE29</f>
        <v>0</v>
      </c>
      <c r="Q10" s="45">
        <f>G!AD29</f>
        <v>0</v>
      </c>
      <c r="R10" s="44">
        <f>G!AE29</f>
        <v>0</v>
      </c>
      <c r="S10" s="45">
        <f>H!AD29</f>
        <v>0</v>
      </c>
      <c r="T10" s="44">
        <f>H!AE29</f>
        <v>0</v>
      </c>
      <c r="U10" s="45">
        <f>I!AD29</f>
        <v>0</v>
      </c>
      <c r="V10" s="44">
        <f>I!AE29</f>
        <v>0</v>
      </c>
      <c r="W10" s="45">
        <f>J!AD29</f>
        <v>0</v>
      </c>
      <c r="X10" s="44">
        <f>J!AE29</f>
        <v>0</v>
      </c>
      <c r="Y10" s="45">
        <f>K!AD29</f>
        <v>0</v>
      </c>
      <c r="Z10" s="44">
        <f>K!AE29</f>
        <v>0</v>
      </c>
      <c r="AA10" s="45">
        <f>L!AD29</f>
        <v>0</v>
      </c>
      <c r="AB10" s="44">
        <f>L!AE29</f>
        <v>0</v>
      </c>
      <c r="AC10" s="405" t="str">
        <f>IF((E10+G10+I10+K10+M10+O10+Q10+S10+U10+W10+Y10+AA10)=('Month A'!AA29+B!AA29+'C'!AA29+D!AA29+E!AA29+F!AA29+G!AA29+H!AA29+I!AA29+J!AA29+K!AA29+L!AA29),"","Payments Mismatch. Check and correct ! ")</f>
        <v/>
      </c>
      <c r="AD10" s="405"/>
      <c r="AE10" s="39">
        <f t="shared" si="1"/>
        <v>0</v>
      </c>
      <c r="BA10" s="443">
        <f>'Budgets List'!P20</f>
        <v>0</v>
      </c>
      <c r="BB10" s="444">
        <f>'Budgets List'!Q20</f>
        <v>0</v>
      </c>
      <c r="BC10" s="444">
        <f>'Budgets List'!R20</f>
        <v>0</v>
      </c>
      <c r="BD10" s="444">
        <f>'Budgets List'!S20</f>
        <v>0</v>
      </c>
      <c r="BE10" s="444">
        <f>'Budgets List'!T20</f>
        <v>0</v>
      </c>
      <c r="BF10" s="444">
        <f>'Budgets List'!U20</f>
        <v>0</v>
      </c>
      <c r="BG10" s="444">
        <f>'Budgets List'!V20</f>
        <v>0</v>
      </c>
      <c r="BH10" s="444">
        <f>'Budgets List'!W20</f>
        <v>0</v>
      </c>
      <c r="BI10" s="444">
        <f>'Budgets List'!X20</f>
        <v>0</v>
      </c>
      <c r="BJ10" s="444">
        <f>'Budgets List'!Y20</f>
        <v>0</v>
      </c>
      <c r="BK10" s="445">
        <f>'Budgets List'!Z20</f>
        <v>0</v>
      </c>
    </row>
    <row r="11" spans="1:63" ht="14.85" customHeight="1">
      <c r="A11" s="405"/>
      <c r="B11" s="893" t="str">
        <f>'All Months Actuals'!B21</f>
        <v xml:space="preserve">  Car Insurance and Licensing</v>
      </c>
      <c r="C11" s="126">
        <f>L!Z30</f>
        <v>0</v>
      </c>
      <c r="D11" s="127">
        <f t="shared" si="0"/>
        <v>0</v>
      </c>
      <c r="E11" s="41">
        <f>'Month A'!AD30</f>
        <v>0</v>
      </c>
      <c r="F11" s="42">
        <f>'Month A'!AE30</f>
        <v>0</v>
      </c>
      <c r="G11" s="41">
        <f>B!AD30</f>
        <v>0</v>
      </c>
      <c r="H11" s="43">
        <f>B!AE30</f>
        <v>0</v>
      </c>
      <c r="I11" s="41">
        <f>'C'!AD30</f>
        <v>0</v>
      </c>
      <c r="J11" s="43">
        <f>'C'!AE30</f>
        <v>0</v>
      </c>
      <c r="K11" s="41">
        <f>D!AD30</f>
        <v>0</v>
      </c>
      <c r="L11" s="43">
        <f>D!AE30</f>
        <v>0</v>
      </c>
      <c r="M11" s="41">
        <f>E!AD30</f>
        <v>0</v>
      </c>
      <c r="N11" s="43">
        <f>E!AE30</f>
        <v>0</v>
      </c>
      <c r="O11" s="41">
        <f>F!AD30</f>
        <v>0</v>
      </c>
      <c r="P11" s="44">
        <f>F!AE30</f>
        <v>0</v>
      </c>
      <c r="Q11" s="45">
        <f>G!AD30</f>
        <v>0</v>
      </c>
      <c r="R11" s="44">
        <f>G!AE30</f>
        <v>0</v>
      </c>
      <c r="S11" s="45">
        <f>H!AD30</f>
        <v>0</v>
      </c>
      <c r="T11" s="44">
        <f>H!AE30</f>
        <v>0</v>
      </c>
      <c r="U11" s="45">
        <f>I!AD30</f>
        <v>0</v>
      </c>
      <c r="V11" s="44">
        <f>I!AE30</f>
        <v>0</v>
      </c>
      <c r="W11" s="45">
        <f>J!AD30</f>
        <v>0</v>
      </c>
      <c r="X11" s="44">
        <f>J!AE30</f>
        <v>0</v>
      </c>
      <c r="Y11" s="45">
        <f>K!AD30</f>
        <v>0</v>
      </c>
      <c r="Z11" s="44">
        <f>K!AE30</f>
        <v>0</v>
      </c>
      <c r="AA11" s="45">
        <f>L!AD30</f>
        <v>0</v>
      </c>
      <c r="AB11" s="44">
        <f>L!AE30</f>
        <v>0</v>
      </c>
      <c r="AC11" s="405" t="str">
        <f>IF((E11+G11+I11+K11+M11+O11+Q11+S11+U11+W11+Y11+AA11)=('Month A'!AA30+B!AA30+'C'!AA30+D!AA30+E!AA30+F!AA30+G!AA30+H!AA30+I!AA30+J!AA30+K!AA30+L!AA30),"","Payments Mismatch. Check and correct ! ")</f>
        <v/>
      </c>
      <c r="AD11" s="405"/>
      <c r="AE11" s="39">
        <f t="shared" si="1"/>
        <v>0</v>
      </c>
      <c r="BA11" s="443">
        <f>'Budgets List'!P21</f>
        <v>0</v>
      </c>
      <c r="BB11" s="444">
        <f>'Budgets List'!Q21</f>
        <v>0</v>
      </c>
      <c r="BC11" s="444">
        <f>'Budgets List'!R21</f>
        <v>0</v>
      </c>
      <c r="BD11" s="444">
        <f>'Budgets List'!S21</f>
        <v>0</v>
      </c>
      <c r="BE11" s="444">
        <f>'Budgets List'!T21</f>
        <v>0</v>
      </c>
      <c r="BF11" s="444">
        <f>'Budgets List'!U21</f>
        <v>0</v>
      </c>
      <c r="BG11" s="444">
        <f>'Budgets List'!V21</f>
        <v>0</v>
      </c>
      <c r="BH11" s="444">
        <f>'Budgets List'!W21</f>
        <v>0</v>
      </c>
      <c r="BI11" s="444">
        <f>'Budgets List'!X21</f>
        <v>0</v>
      </c>
      <c r="BJ11" s="444">
        <f>'Budgets List'!Y21</f>
        <v>0</v>
      </c>
      <c r="BK11" s="445">
        <f>'Budgets List'!Z21</f>
        <v>0</v>
      </c>
    </row>
    <row r="12" spans="1:63" ht="14.85" customHeight="1">
      <c r="A12" s="405"/>
      <c r="B12" s="893" t="str">
        <f>'All Months Actuals'!B22</f>
        <v>Car Maintenance</v>
      </c>
      <c r="C12" s="126">
        <f>L!Z31</f>
        <v>0</v>
      </c>
      <c r="D12" s="127">
        <f t="shared" si="0"/>
        <v>0</v>
      </c>
      <c r="E12" s="41">
        <f>'Month A'!AD31</f>
        <v>0</v>
      </c>
      <c r="F12" s="42">
        <f>'Month A'!AE31</f>
        <v>0</v>
      </c>
      <c r="G12" s="41">
        <f>B!AD31</f>
        <v>0</v>
      </c>
      <c r="H12" s="43">
        <f>B!AE31</f>
        <v>0</v>
      </c>
      <c r="I12" s="41">
        <f>'C'!AD31</f>
        <v>0</v>
      </c>
      <c r="J12" s="43">
        <f>'C'!AE31</f>
        <v>0</v>
      </c>
      <c r="K12" s="41">
        <f>D!AD31</f>
        <v>0</v>
      </c>
      <c r="L12" s="43">
        <f>D!AE31</f>
        <v>0</v>
      </c>
      <c r="M12" s="41">
        <f>E!AD31</f>
        <v>0</v>
      </c>
      <c r="N12" s="43">
        <f>E!AE31</f>
        <v>0</v>
      </c>
      <c r="O12" s="41">
        <f>F!AD31</f>
        <v>0</v>
      </c>
      <c r="P12" s="44">
        <f>F!AE31</f>
        <v>0</v>
      </c>
      <c r="Q12" s="45">
        <f>G!AD31</f>
        <v>0</v>
      </c>
      <c r="R12" s="44">
        <f>G!AE31</f>
        <v>0</v>
      </c>
      <c r="S12" s="45">
        <f>H!AD31</f>
        <v>0</v>
      </c>
      <c r="T12" s="44">
        <f>H!AE31</f>
        <v>0</v>
      </c>
      <c r="U12" s="45">
        <f>I!AD31</f>
        <v>0</v>
      </c>
      <c r="V12" s="44">
        <f>I!AE31</f>
        <v>0</v>
      </c>
      <c r="W12" s="45">
        <f>J!AD31</f>
        <v>0</v>
      </c>
      <c r="X12" s="44">
        <f>J!AE31</f>
        <v>0</v>
      </c>
      <c r="Y12" s="45">
        <f>K!AD31</f>
        <v>0</v>
      </c>
      <c r="Z12" s="44">
        <f>K!AE31</f>
        <v>0</v>
      </c>
      <c r="AA12" s="45">
        <f>L!AD31</f>
        <v>0</v>
      </c>
      <c r="AB12" s="44">
        <f>L!AE31</f>
        <v>0</v>
      </c>
      <c r="AC12" s="405" t="str">
        <f>IF((E12+G12+I12+K12+M12+O12+Q12+S12+U12+W12+Y12+AA12)=('Month A'!AA31+B!AA31+'C'!AA31+D!AA31+E!AA31+F!AA31+G!AA31+H!AA31+I!AA31+J!AA31+K!AA31+L!AA31),"","Payments Mismatch. Check and correct ! ")</f>
        <v/>
      </c>
      <c r="AD12" s="405"/>
      <c r="AE12" s="39">
        <f t="shared" si="1"/>
        <v>0</v>
      </c>
      <c r="BA12" s="443">
        <f>'Budgets List'!P22</f>
        <v>0</v>
      </c>
      <c r="BB12" s="444">
        <f>'Budgets List'!Q22</f>
        <v>0</v>
      </c>
      <c r="BC12" s="444">
        <f>'Budgets List'!R22</f>
        <v>0</v>
      </c>
      <c r="BD12" s="444">
        <f>'Budgets List'!S22</f>
        <v>0</v>
      </c>
      <c r="BE12" s="444">
        <f>'Budgets List'!T22</f>
        <v>0</v>
      </c>
      <c r="BF12" s="444">
        <f>'Budgets List'!U22</f>
        <v>0</v>
      </c>
      <c r="BG12" s="444">
        <f>'Budgets List'!V22</f>
        <v>0</v>
      </c>
      <c r="BH12" s="444">
        <f>'Budgets List'!W22</f>
        <v>0</v>
      </c>
      <c r="BI12" s="444">
        <f>'Budgets List'!X22</f>
        <v>0</v>
      </c>
      <c r="BJ12" s="444">
        <f>'Budgets List'!Y22</f>
        <v>0</v>
      </c>
      <c r="BK12" s="445">
        <f>'Budgets List'!Z22</f>
        <v>0</v>
      </c>
    </row>
    <row r="13" spans="1:63" ht="14.85" customHeight="1">
      <c r="A13" s="405"/>
      <c r="B13" s="893" t="str">
        <f>'All Months Actuals'!B23</f>
        <v>Clothing and Shoes</v>
      </c>
      <c r="C13" s="126">
        <f>L!Z32</f>
        <v>0</v>
      </c>
      <c r="D13" s="127">
        <f t="shared" si="0"/>
        <v>0</v>
      </c>
      <c r="E13" s="41">
        <f>'Month A'!AD32</f>
        <v>0</v>
      </c>
      <c r="F13" s="42">
        <f>'Month A'!AE32</f>
        <v>0</v>
      </c>
      <c r="G13" s="41">
        <f>B!AD32</f>
        <v>0</v>
      </c>
      <c r="H13" s="43">
        <f>B!AE32</f>
        <v>0</v>
      </c>
      <c r="I13" s="41">
        <f>'C'!AD32</f>
        <v>0</v>
      </c>
      <c r="J13" s="43">
        <f>'C'!AE32</f>
        <v>0</v>
      </c>
      <c r="K13" s="41">
        <f>D!AD32</f>
        <v>0</v>
      </c>
      <c r="L13" s="43">
        <f>D!AE32</f>
        <v>0</v>
      </c>
      <c r="M13" s="41">
        <f>E!AD32</f>
        <v>0</v>
      </c>
      <c r="N13" s="43">
        <f>E!AE32</f>
        <v>0</v>
      </c>
      <c r="O13" s="41">
        <f>F!AD32</f>
        <v>0</v>
      </c>
      <c r="P13" s="44">
        <f>F!AE32</f>
        <v>0</v>
      </c>
      <c r="Q13" s="45">
        <f>G!AD32</f>
        <v>0</v>
      </c>
      <c r="R13" s="44">
        <f>G!AE32</f>
        <v>0</v>
      </c>
      <c r="S13" s="45">
        <f>H!AD32</f>
        <v>0</v>
      </c>
      <c r="T13" s="44">
        <f>H!AE32</f>
        <v>0</v>
      </c>
      <c r="U13" s="45">
        <f>I!AD32</f>
        <v>0</v>
      </c>
      <c r="V13" s="44">
        <f>I!AE32</f>
        <v>0</v>
      </c>
      <c r="W13" s="45">
        <f>J!AD32</f>
        <v>0</v>
      </c>
      <c r="X13" s="44">
        <f>J!AE32</f>
        <v>0</v>
      </c>
      <c r="Y13" s="45">
        <f>K!AD32</f>
        <v>0</v>
      </c>
      <c r="Z13" s="44">
        <f>K!AE32</f>
        <v>0</v>
      </c>
      <c r="AA13" s="45">
        <f>L!AD32</f>
        <v>0</v>
      </c>
      <c r="AB13" s="44">
        <f>L!AE32</f>
        <v>0</v>
      </c>
      <c r="AC13" s="405" t="str">
        <f>IF((E13+G13+I13+K13+M13+O13+Q13+S13+U13+W13+Y13+AA13)=('Month A'!AA32+B!AA32+'C'!AA32+D!AA32+E!AA32+F!AA32+G!AA32+H!AA32+I!AA32+J!AA32+K!AA32+L!AA32),"","Payments Mismatch. Check and correct ! ")</f>
        <v/>
      </c>
      <c r="AD13" s="405"/>
      <c r="AE13" s="39">
        <f t="shared" si="1"/>
        <v>0</v>
      </c>
      <c r="BA13" s="443">
        <f>'Budgets List'!P23</f>
        <v>0</v>
      </c>
      <c r="BB13" s="444">
        <f>'Budgets List'!Q23</f>
        <v>0</v>
      </c>
      <c r="BC13" s="444">
        <f>'Budgets List'!R23</f>
        <v>0</v>
      </c>
      <c r="BD13" s="444">
        <f>'Budgets List'!S23</f>
        <v>0</v>
      </c>
      <c r="BE13" s="444">
        <f>'Budgets List'!T23</f>
        <v>0</v>
      </c>
      <c r="BF13" s="444">
        <f>'Budgets List'!U23</f>
        <v>0</v>
      </c>
      <c r="BG13" s="444">
        <f>'Budgets List'!V23</f>
        <v>0</v>
      </c>
      <c r="BH13" s="444">
        <f>'Budgets List'!W23</f>
        <v>0</v>
      </c>
      <c r="BI13" s="444">
        <f>'Budgets List'!X23</f>
        <v>0</v>
      </c>
      <c r="BJ13" s="444">
        <f>'Budgets List'!Y23</f>
        <v>0</v>
      </c>
      <c r="BK13" s="445">
        <f>'Budgets List'!Z23</f>
        <v>0</v>
      </c>
    </row>
    <row r="14" spans="1:63" ht="14.85" customHeight="1">
      <c r="A14" s="405"/>
      <c r="B14" s="893" t="str">
        <f>'All Months Actuals'!B24</f>
        <v>Medicine/Treatment</v>
      </c>
      <c r="C14" s="126">
        <f>L!Z33</f>
        <v>0</v>
      </c>
      <c r="D14" s="127">
        <f t="shared" si="0"/>
        <v>0</v>
      </c>
      <c r="E14" s="41">
        <f>'Month A'!AD33</f>
        <v>0</v>
      </c>
      <c r="F14" s="42">
        <f>'Month A'!AE33</f>
        <v>0</v>
      </c>
      <c r="G14" s="41">
        <f>B!AD33</f>
        <v>0</v>
      </c>
      <c r="H14" s="43">
        <f>B!AE33</f>
        <v>0</v>
      </c>
      <c r="I14" s="41">
        <f>'C'!AD33</f>
        <v>0</v>
      </c>
      <c r="J14" s="43">
        <f>'C'!AE33</f>
        <v>0</v>
      </c>
      <c r="K14" s="41">
        <f>D!AD33</f>
        <v>0</v>
      </c>
      <c r="L14" s="43">
        <f>D!AE33</f>
        <v>0</v>
      </c>
      <c r="M14" s="41">
        <f>E!AD33</f>
        <v>0</v>
      </c>
      <c r="N14" s="43">
        <f>E!AE33</f>
        <v>0</v>
      </c>
      <c r="O14" s="41">
        <f>F!AD33</f>
        <v>0</v>
      </c>
      <c r="P14" s="44">
        <f>F!AE33</f>
        <v>0</v>
      </c>
      <c r="Q14" s="45">
        <f>G!AD33</f>
        <v>0</v>
      </c>
      <c r="R14" s="44">
        <f>G!AE33</f>
        <v>0</v>
      </c>
      <c r="S14" s="45">
        <f>H!AD33</f>
        <v>0</v>
      </c>
      <c r="T14" s="44">
        <f>H!AE33</f>
        <v>0</v>
      </c>
      <c r="U14" s="45">
        <f>I!AD33</f>
        <v>0</v>
      </c>
      <c r="V14" s="44">
        <f>I!AE33</f>
        <v>0</v>
      </c>
      <c r="W14" s="45">
        <f>J!AD33</f>
        <v>0</v>
      </c>
      <c r="X14" s="44">
        <f>J!AE33</f>
        <v>0</v>
      </c>
      <c r="Y14" s="45">
        <f>K!AD33</f>
        <v>0</v>
      </c>
      <c r="Z14" s="44">
        <f>K!AE33</f>
        <v>0</v>
      </c>
      <c r="AA14" s="45">
        <f>L!AD33</f>
        <v>0</v>
      </c>
      <c r="AB14" s="44">
        <f>L!AE33</f>
        <v>0</v>
      </c>
      <c r="AC14" s="405" t="str">
        <f>IF((E14+G14+I14+K14+M14+O14+Q14+S14+U14+W14+Y14+AA14)=('Month A'!AA33+B!AA33+'C'!AA33+D!AA33+E!AA33+F!AA33+G!AA33+H!AA33+I!AA33+J!AA33+K!AA33+L!AA33),"","Payments Mismatch. Check and correct ! ")</f>
        <v/>
      </c>
      <c r="AD14" s="405"/>
      <c r="AE14" s="39">
        <f t="shared" si="1"/>
        <v>0</v>
      </c>
      <c r="BA14" s="443">
        <f>'Budgets List'!P24</f>
        <v>0</v>
      </c>
      <c r="BB14" s="444">
        <f>'Budgets List'!Q24</f>
        <v>0</v>
      </c>
      <c r="BC14" s="444">
        <f>'Budgets List'!R24</f>
        <v>0</v>
      </c>
      <c r="BD14" s="444">
        <f>'Budgets List'!S24</f>
        <v>0</v>
      </c>
      <c r="BE14" s="444">
        <f>'Budgets List'!T24</f>
        <v>0</v>
      </c>
      <c r="BF14" s="444">
        <f>'Budgets List'!U24</f>
        <v>0</v>
      </c>
      <c r="BG14" s="444">
        <f>'Budgets List'!V24</f>
        <v>0</v>
      </c>
      <c r="BH14" s="444">
        <f>'Budgets List'!W24</f>
        <v>0</v>
      </c>
      <c r="BI14" s="444">
        <f>'Budgets List'!X24</f>
        <v>0</v>
      </c>
      <c r="BJ14" s="444">
        <f>'Budgets List'!Y24</f>
        <v>0</v>
      </c>
      <c r="BK14" s="445">
        <f>'Budgets List'!Z24</f>
        <v>0</v>
      </c>
    </row>
    <row r="15" spans="1:63" ht="14.85" customHeight="1">
      <c r="A15" s="405"/>
      <c r="B15" s="892" t="str">
        <f>'All Months Actuals'!B25</f>
        <v>Bank Interest and Fees</v>
      </c>
      <c r="C15" s="126">
        <f>L!Z34</f>
        <v>0</v>
      </c>
      <c r="D15" s="127">
        <f t="shared" si="0"/>
        <v>0</v>
      </c>
      <c r="E15" s="41">
        <f>'Month A'!AD34</f>
        <v>0</v>
      </c>
      <c r="F15" s="42">
        <f>'Month A'!AE34</f>
        <v>0</v>
      </c>
      <c r="G15" s="41">
        <f>B!AD34</f>
        <v>0</v>
      </c>
      <c r="H15" s="43">
        <f>B!AE34</f>
        <v>0</v>
      </c>
      <c r="I15" s="41">
        <f>'C'!AD34</f>
        <v>0</v>
      </c>
      <c r="J15" s="43">
        <f>'C'!AE34</f>
        <v>0</v>
      </c>
      <c r="K15" s="41">
        <f>D!AD34</f>
        <v>0</v>
      </c>
      <c r="L15" s="43">
        <f>D!AE34</f>
        <v>0</v>
      </c>
      <c r="M15" s="41">
        <f>E!AD34</f>
        <v>0</v>
      </c>
      <c r="N15" s="43">
        <f>E!AE34</f>
        <v>0</v>
      </c>
      <c r="O15" s="41">
        <f>F!AD34</f>
        <v>0</v>
      </c>
      <c r="P15" s="44">
        <f>F!AE34</f>
        <v>0</v>
      </c>
      <c r="Q15" s="45">
        <f>G!AD34</f>
        <v>0</v>
      </c>
      <c r="R15" s="44">
        <f>G!AE34</f>
        <v>0</v>
      </c>
      <c r="S15" s="45">
        <f>H!AD34</f>
        <v>0</v>
      </c>
      <c r="T15" s="44">
        <f>H!AE34</f>
        <v>0</v>
      </c>
      <c r="U15" s="45">
        <f>I!AD34</f>
        <v>0</v>
      </c>
      <c r="V15" s="44">
        <f>I!AE34</f>
        <v>0</v>
      </c>
      <c r="W15" s="45">
        <f>J!AD34</f>
        <v>0</v>
      </c>
      <c r="X15" s="44">
        <f>J!AE34</f>
        <v>0</v>
      </c>
      <c r="Y15" s="45">
        <f>K!AD34</f>
        <v>0</v>
      </c>
      <c r="Z15" s="44">
        <f>K!AE34</f>
        <v>0</v>
      </c>
      <c r="AA15" s="45">
        <f>L!AD34</f>
        <v>0</v>
      </c>
      <c r="AB15" s="44">
        <f>L!AE34</f>
        <v>0</v>
      </c>
      <c r="AC15" s="405" t="str">
        <f>IF((E15+G15+I15+K15+M15+O15+Q15+S15+U15+W15+Y15+AA15)=('Month A'!AA34+B!AA34+'C'!AA34+D!AA34+E!AA34+F!AA34+G!AA34+H!AA34+I!AA34+J!AA34+K!AA34+L!AA34),"","Payments Mismatch. Check and correct ! ")</f>
        <v/>
      </c>
      <c r="AD15" s="405"/>
      <c r="AE15" s="39">
        <f t="shared" si="1"/>
        <v>0</v>
      </c>
      <c r="BA15" s="443">
        <f>'Budgets List'!P25</f>
        <v>0</v>
      </c>
      <c r="BB15" s="444">
        <f>'Budgets List'!Q25</f>
        <v>0</v>
      </c>
      <c r="BC15" s="444">
        <f>'Budgets List'!R25</f>
        <v>0</v>
      </c>
      <c r="BD15" s="444">
        <f>'Budgets List'!S25</f>
        <v>0</v>
      </c>
      <c r="BE15" s="444">
        <f>'Budgets List'!T25</f>
        <v>0</v>
      </c>
      <c r="BF15" s="444">
        <f>'Budgets List'!U25</f>
        <v>0</v>
      </c>
      <c r="BG15" s="444">
        <f>'Budgets List'!V25</f>
        <v>0</v>
      </c>
      <c r="BH15" s="444">
        <f>'Budgets List'!W25</f>
        <v>0</v>
      </c>
      <c r="BI15" s="444">
        <f>'Budgets List'!X25</f>
        <v>0</v>
      </c>
      <c r="BJ15" s="444">
        <f>'Budgets List'!Y25</f>
        <v>0</v>
      </c>
      <c r="BK15" s="445">
        <f>'Budgets List'!Z25</f>
        <v>0</v>
      </c>
    </row>
    <row r="16" spans="1:63" ht="14.85" customHeight="1">
      <c r="A16" s="405"/>
      <c r="B16" s="892" t="str">
        <f>'All Months Actuals'!B26</f>
        <v>Dental treatments</v>
      </c>
      <c r="C16" s="126">
        <f>L!Z35</f>
        <v>0</v>
      </c>
      <c r="D16" s="127">
        <f t="shared" si="0"/>
        <v>0</v>
      </c>
      <c r="E16" s="41">
        <f>'Month A'!AD35</f>
        <v>0</v>
      </c>
      <c r="F16" s="42">
        <f>'Month A'!AE35</f>
        <v>0</v>
      </c>
      <c r="G16" s="41">
        <f>B!AD35</f>
        <v>0</v>
      </c>
      <c r="H16" s="43">
        <f>B!AE35</f>
        <v>0</v>
      </c>
      <c r="I16" s="41">
        <f>'C'!AD35</f>
        <v>0</v>
      </c>
      <c r="J16" s="43">
        <f>'C'!AE35</f>
        <v>0</v>
      </c>
      <c r="K16" s="41">
        <f>D!AD35</f>
        <v>0</v>
      </c>
      <c r="L16" s="43">
        <f>D!AE35</f>
        <v>0</v>
      </c>
      <c r="M16" s="41">
        <f>E!AD35</f>
        <v>0</v>
      </c>
      <c r="N16" s="43">
        <f>E!AE35</f>
        <v>0</v>
      </c>
      <c r="O16" s="41">
        <f>F!AD35</f>
        <v>0</v>
      </c>
      <c r="P16" s="44">
        <f>F!AE35</f>
        <v>0</v>
      </c>
      <c r="Q16" s="45">
        <f>G!AD35</f>
        <v>0</v>
      </c>
      <c r="R16" s="44">
        <f>G!AE35</f>
        <v>0</v>
      </c>
      <c r="S16" s="45">
        <f>H!AD35</f>
        <v>0</v>
      </c>
      <c r="T16" s="44">
        <f>H!AE35</f>
        <v>0</v>
      </c>
      <c r="U16" s="45">
        <f>I!AD35</f>
        <v>0</v>
      </c>
      <c r="V16" s="44">
        <f>I!AE35</f>
        <v>0</v>
      </c>
      <c r="W16" s="45">
        <f>J!AD35</f>
        <v>0</v>
      </c>
      <c r="X16" s="44">
        <f>J!AE35</f>
        <v>0</v>
      </c>
      <c r="Y16" s="45">
        <f>K!AD35</f>
        <v>0</v>
      </c>
      <c r="Z16" s="44">
        <f>K!AE35</f>
        <v>0</v>
      </c>
      <c r="AA16" s="45">
        <f>L!AD35</f>
        <v>0</v>
      </c>
      <c r="AB16" s="44">
        <f>L!AE35</f>
        <v>0</v>
      </c>
      <c r="AC16" s="405" t="str">
        <f>IF((E16+G16+I16+K16+M16+O16+Q16+S16+U16+W16+Y16+AA16)=('Month A'!AA35+B!AA35+'C'!AA35+D!AA35+E!AA35+F!AA35+G!AA35+H!AA35+I!AA35+J!AA35+K!AA35+L!AA35),"","Payments Mismatch. Check and correct ! ")</f>
        <v/>
      </c>
      <c r="AD16" s="405"/>
      <c r="AE16" s="39">
        <f t="shared" si="1"/>
        <v>0</v>
      </c>
      <c r="BA16" s="443">
        <f>'Budgets List'!P26</f>
        <v>0</v>
      </c>
      <c r="BB16" s="444">
        <f>'Budgets List'!Q26</f>
        <v>0</v>
      </c>
      <c r="BC16" s="444">
        <f>'Budgets List'!R26</f>
        <v>0</v>
      </c>
      <c r="BD16" s="444">
        <f>'Budgets List'!S26</f>
        <v>0</v>
      </c>
      <c r="BE16" s="444">
        <f>'Budgets List'!T26</f>
        <v>0</v>
      </c>
      <c r="BF16" s="444">
        <f>'Budgets List'!U26</f>
        <v>0</v>
      </c>
      <c r="BG16" s="444">
        <f>'Budgets List'!V26</f>
        <v>0</v>
      </c>
      <c r="BH16" s="444">
        <f>'Budgets List'!W26</f>
        <v>0</v>
      </c>
      <c r="BI16" s="444">
        <f>'Budgets List'!X26</f>
        <v>0</v>
      </c>
      <c r="BJ16" s="444">
        <f>'Budgets List'!Y26</f>
        <v>0</v>
      </c>
      <c r="BK16" s="445">
        <f>'Budgets List'!Z26</f>
        <v>0</v>
      </c>
    </row>
    <row r="17" spans="1:63" ht="14.85" customHeight="1">
      <c r="A17" s="405"/>
      <c r="B17" s="892" t="str">
        <f>'All Months Actuals'!B27</f>
        <v>Eyeglasses/Contact Lens</v>
      </c>
      <c r="C17" s="126">
        <f>L!Z36</f>
        <v>0</v>
      </c>
      <c r="D17" s="127">
        <f t="shared" si="0"/>
        <v>0</v>
      </c>
      <c r="E17" s="41">
        <f>'Month A'!AD36</f>
        <v>0</v>
      </c>
      <c r="F17" s="42">
        <f>'Month A'!AE36</f>
        <v>0</v>
      </c>
      <c r="G17" s="41">
        <f>B!AD36</f>
        <v>0</v>
      </c>
      <c r="H17" s="43">
        <f>B!AE36</f>
        <v>0</v>
      </c>
      <c r="I17" s="41">
        <f>'C'!AD36</f>
        <v>0</v>
      </c>
      <c r="J17" s="43">
        <f>'C'!AE36</f>
        <v>0</v>
      </c>
      <c r="K17" s="41">
        <f>D!AD36</f>
        <v>0</v>
      </c>
      <c r="L17" s="43">
        <f>D!AE36</f>
        <v>0</v>
      </c>
      <c r="M17" s="41">
        <f>E!AD36</f>
        <v>0</v>
      </c>
      <c r="N17" s="43">
        <f>E!AE36</f>
        <v>0</v>
      </c>
      <c r="O17" s="41">
        <f>F!AD36</f>
        <v>0</v>
      </c>
      <c r="P17" s="44">
        <f>F!AE36</f>
        <v>0</v>
      </c>
      <c r="Q17" s="45">
        <f>G!AD36</f>
        <v>0</v>
      </c>
      <c r="R17" s="44">
        <f>G!AE36</f>
        <v>0</v>
      </c>
      <c r="S17" s="45">
        <f>H!AD36</f>
        <v>0</v>
      </c>
      <c r="T17" s="44">
        <f>H!AE36</f>
        <v>0</v>
      </c>
      <c r="U17" s="45">
        <f>I!AD36</f>
        <v>0</v>
      </c>
      <c r="V17" s="44">
        <f>I!AE36</f>
        <v>0</v>
      </c>
      <c r="W17" s="45">
        <f>J!AD36</f>
        <v>0</v>
      </c>
      <c r="X17" s="44">
        <f>J!AE36</f>
        <v>0</v>
      </c>
      <c r="Y17" s="45">
        <f>K!AD36</f>
        <v>0</v>
      </c>
      <c r="Z17" s="44">
        <f>K!AE36</f>
        <v>0</v>
      </c>
      <c r="AA17" s="45">
        <f>L!AD36</f>
        <v>0</v>
      </c>
      <c r="AB17" s="44">
        <f>L!AE36</f>
        <v>0</v>
      </c>
      <c r="AC17" s="405" t="str">
        <f>IF((E17+G17+I17+K17+M17+O17+Q17+S17+U17+W17+Y17+AA17)=('Month A'!AA36+B!AA36+'C'!AA36+D!AA36+E!AA36+F!AA36+G!AA36+H!AA36+I!AA36+J!AA36+K!AA36+L!AA36),"","Payments Mismatch. Check and correct ! ")</f>
        <v/>
      </c>
      <c r="AD17" s="405"/>
      <c r="AE17" s="39">
        <f t="shared" si="1"/>
        <v>0</v>
      </c>
      <c r="BA17" s="443">
        <f>'Budgets List'!P27</f>
        <v>0</v>
      </c>
      <c r="BB17" s="444">
        <f>'Budgets List'!Q27</f>
        <v>0</v>
      </c>
      <c r="BC17" s="444">
        <f>'Budgets List'!R27</f>
        <v>0</v>
      </c>
      <c r="BD17" s="444">
        <f>'Budgets List'!S27</f>
        <v>0</v>
      </c>
      <c r="BE17" s="444">
        <f>'Budgets List'!T27</f>
        <v>0</v>
      </c>
      <c r="BF17" s="444">
        <f>'Budgets List'!U27</f>
        <v>0</v>
      </c>
      <c r="BG17" s="444">
        <f>'Budgets List'!V27</f>
        <v>0</v>
      </c>
      <c r="BH17" s="444">
        <f>'Budgets List'!W27</f>
        <v>0</v>
      </c>
      <c r="BI17" s="444">
        <f>'Budgets List'!X27</f>
        <v>0</v>
      </c>
      <c r="BJ17" s="444">
        <f>'Budgets List'!Y27</f>
        <v>0</v>
      </c>
      <c r="BK17" s="445">
        <f>'Budgets List'!Z27</f>
        <v>0</v>
      </c>
    </row>
    <row r="18" spans="1:63" ht="14.85" customHeight="1">
      <c r="A18" s="405"/>
      <c r="B18" s="892" t="str">
        <f>'All Months Actuals'!B28</f>
        <v>Vacations</v>
      </c>
      <c r="C18" s="126">
        <f>L!Z37</f>
        <v>0</v>
      </c>
      <c r="D18" s="127">
        <f t="shared" si="0"/>
        <v>0</v>
      </c>
      <c r="E18" s="41">
        <f>'Month A'!AD37</f>
        <v>0</v>
      </c>
      <c r="F18" s="42">
        <f>'Month A'!AE37</f>
        <v>0</v>
      </c>
      <c r="G18" s="41">
        <f>B!AD37</f>
        <v>0</v>
      </c>
      <c r="H18" s="43">
        <f>B!AE37</f>
        <v>0</v>
      </c>
      <c r="I18" s="41">
        <f>'C'!AD37</f>
        <v>0</v>
      </c>
      <c r="J18" s="43">
        <f>'C'!AE37</f>
        <v>0</v>
      </c>
      <c r="K18" s="41">
        <f>D!AD37</f>
        <v>0</v>
      </c>
      <c r="L18" s="43">
        <f>D!AE37</f>
        <v>0</v>
      </c>
      <c r="M18" s="41">
        <f>E!AD37</f>
        <v>0</v>
      </c>
      <c r="N18" s="43">
        <f>E!AE37</f>
        <v>0</v>
      </c>
      <c r="O18" s="41">
        <f>F!AD37</f>
        <v>0</v>
      </c>
      <c r="P18" s="44">
        <f>F!AE37</f>
        <v>0</v>
      </c>
      <c r="Q18" s="45">
        <f>G!AD37</f>
        <v>0</v>
      </c>
      <c r="R18" s="44">
        <f>G!AE37</f>
        <v>0</v>
      </c>
      <c r="S18" s="45">
        <f>H!AD37</f>
        <v>0</v>
      </c>
      <c r="T18" s="44">
        <f>H!AE37</f>
        <v>0</v>
      </c>
      <c r="U18" s="45">
        <f>I!AD37</f>
        <v>0</v>
      </c>
      <c r="V18" s="44">
        <f>I!AE37</f>
        <v>0</v>
      </c>
      <c r="W18" s="45">
        <f>J!AD37</f>
        <v>0</v>
      </c>
      <c r="X18" s="44">
        <f>J!AE37</f>
        <v>0</v>
      </c>
      <c r="Y18" s="45">
        <f>K!AD37</f>
        <v>0</v>
      </c>
      <c r="Z18" s="44">
        <f>K!AE37</f>
        <v>0</v>
      </c>
      <c r="AA18" s="45">
        <f>L!AD37</f>
        <v>0</v>
      </c>
      <c r="AB18" s="44">
        <f>L!AE37</f>
        <v>0</v>
      </c>
      <c r="AC18" s="405" t="str">
        <f>IF((E18+G18+I18+K18+M18+O18+Q18+S18+U18+W18+Y18+AA18)=('Month A'!AA37+B!AA37+'C'!AA37+D!AA37+E!AA37+F!AA37+G!AA37+H!AA37+I!AA37+J!AA37+K!AA37+L!AA37),"","Payments Mismatch. Check and correct ! ")</f>
        <v/>
      </c>
      <c r="AD18" s="405"/>
      <c r="AE18" s="39">
        <f t="shared" si="1"/>
        <v>0</v>
      </c>
      <c r="BA18" s="443">
        <f>'Budgets List'!P28</f>
        <v>0</v>
      </c>
      <c r="BB18" s="444">
        <f>'Budgets List'!Q28</f>
        <v>0</v>
      </c>
      <c r="BC18" s="444">
        <f>'Budgets List'!R28</f>
        <v>0</v>
      </c>
      <c r="BD18" s="444">
        <f>'Budgets List'!S28</f>
        <v>0</v>
      </c>
      <c r="BE18" s="444">
        <f>'Budgets List'!T28</f>
        <v>0</v>
      </c>
      <c r="BF18" s="444">
        <f>'Budgets List'!U28</f>
        <v>0</v>
      </c>
      <c r="BG18" s="444">
        <f>'Budgets List'!V28</f>
        <v>0</v>
      </c>
      <c r="BH18" s="444">
        <f>'Budgets List'!W28</f>
        <v>0</v>
      </c>
      <c r="BI18" s="444">
        <f>'Budgets List'!X28</f>
        <v>0</v>
      </c>
      <c r="BJ18" s="444">
        <f>'Budgets List'!Y28</f>
        <v>0</v>
      </c>
      <c r="BK18" s="445">
        <f>'Budgets List'!Z28</f>
        <v>0</v>
      </c>
    </row>
    <row r="19" spans="1:63" ht="14.85" customHeight="1">
      <c r="A19" s="405"/>
      <c r="B19" s="893" t="str">
        <f>'All Months Actuals'!B29</f>
        <v>Religious expenses</v>
      </c>
      <c r="C19" s="126">
        <f>L!Z38</f>
        <v>0</v>
      </c>
      <c r="D19" s="127">
        <f t="shared" si="0"/>
        <v>0</v>
      </c>
      <c r="E19" s="41">
        <f>'Month A'!AD38</f>
        <v>0</v>
      </c>
      <c r="F19" s="42">
        <f>'Month A'!AE38</f>
        <v>0</v>
      </c>
      <c r="G19" s="41">
        <f>B!AD38</f>
        <v>0</v>
      </c>
      <c r="H19" s="43">
        <f>B!AE38</f>
        <v>0</v>
      </c>
      <c r="I19" s="41">
        <f>'C'!AD38</f>
        <v>0</v>
      </c>
      <c r="J19" s="43">
        <f>'C'!AE38</f>
        <v>0</v>
      </c>
      <c r="K19" s="41">
        <f>D!AD38</f>
        <v>0</v>
      </c>
      <c r="L19" s="43">
        <f>D!AE38</f>
        <v>0</v>
      </c>
      <c r="M19" s="41">
        <f>E!AD38</f>
        <v>0</v>
      </c>
      <c r="N19" s="43">
        <f>E!AE38</f>
        <v>0</v>
      </c>
      <c r="O19" s="41">
        <f>F!AD38</f>
        <v>0</v>
      </c>
      <c r="P19" s="44">
        <f>F!AE38</f>
        <v>0</v>
      </c>
      <c r="Q19" s="45">
        <f>G!AD38</f>
        <v>0</v>
      </c>
      <c r="R19" s="44">
        <f>G!AE38</f>
        <v>0</v>
      </c>
      <c r="S19" s="45">
        <f>H!AD38</f>
        <v>0</v>
      </c>
      <c r="T19" s="44">
        <f>H!AE38</f>
        <v>0</v>
      </c>
      <c r="U19" s="45">
        <f>I!AD38</f>
        <v>0</v>
      </c>
      <c r="V19" s="44">
        <f>I!AE38</f>
        <v>0</v>
      </c>
      <c r="W19" s="45">
        <f>J!AD38</f>
        <v>0</v>
      </c>
      <c r="X19" s="44">
        <f>J!AE38</f>
        <v>0</v>
      </c>
      <c r="Y19" s="45">
        <f>K!AD38</f>
        <v>0</v>
      </c>
      <c r="Z19" s="44">
        <f>K!AE38</f>
        <v>0</v>
      </c>
      <c r="AA19" s="45">
        <f>L!AD38</f>
        <v>0</v>
      </c>
      <c r="AB19" s="44">
        <f>L!AE38</f>
        <v>0</v>
      </c>
      <c r="AC19" s="405" t="str">
        <f>IF((E19+G19+I19+K19+M19+O19+Q19+S19+U19+W19+Y19+AA19)=('Month A'!AA38+B!AA38+'C'!AA38+D!AA38+E!AA38+F!AA38+G!AA38+H!AA38+I!AA38+J!AA38+K!AA38+L!AA38),"","Payments Mismatch. Check and correct ! ")</f>
        <v/>
      </c>
      <c r="AD19" s="405"/>
      <c r="AE19" s="39">
        <f t="shared" si="1"/>
        <v>0</v>
      </c>
      <c r="BA19" s="443">
        <f>'Budgets List'!P29</f>
        <v>0</v>
      </c>
      <c r="BB19" s="444">
        <f>'Budgets List'!Q29</f>
        <v>0</v>
      </c>
      <c r="BC19" s="444">
        <f>'Budgets List'!R29</f>
        <v>0</v>
      </c>
      <c r="BD19" s="444">
        <f>'Budgets List'!S29</f>
        <v>0</v>
      </c>
      <c r="BE19" s="444">
        <f>'Budgets List'!T29</f>
        <v>0</v>
      </c>
      <c r="BF19" s="444">
        <f>'Budgets List'!U29</f>
        <v>0</v>
      </c>
      <c r="BG19" s="444">
        <f>'Budgets List'!V29</f>
        <v>0</v>
      </c>
      <c r="BH19" s="444">
        <f>'Budgets List'!W29</f>
        <v>0</v>
      </c>
      <c r="BI19" s="444">
        <f>'Budgets List'!X29</f>
        <v>0</v>
      </c>
      <c r="BJ19" s="444">
        <f>'Budgets List'!Y29</f>
        <v>0</v>
      </c>
      <c r="BK19" s="445">
        <f>'Budgets List'!Z29</f>
        <v>0</v>
      </c>
    </row>
    <row r="20" spans="1:63" ht="14.85" customHeight="1">
      <c r="A20" s="405"/>
      <c r="B20" s="893" t="str">
        <f>'All Months Actuals'!B30</f>
        <v>Gifts</v>
      </c>
      <c r="C20" s="126">
        <f>L!Z39</f>
        <v>0</v>
      </c>
      <c r="D20" s="127">
        <f t="shared" si="0"/>
        <v>0</v>
      </c>
      <c r="E20" s="41">
        <f>'Month A'!AD39</f>
        <v>0</v>
      </c>
      <c r="F20" s="42">
        <f>'Month A'!AE39</f>
        <v>0</v>
      </c>
      <c r="G20" s="41">
        <f>B!AD39</f>
        <v>0</v>
      </c>
      <c r="H20" s="43">
        <f>B!AE39</f>
        <v>0</v>
      </c>
      <c r="I20" s="41">
        <f>'C'!AD39</f>
        <v>0</v>
      </c>
      <c r="J20" s="43">
        <f>'C'!AE39</f>
        <v>0</v>
      </c>
      <c r="K20" s="41">
        <f>D!AD39</f>
        <v>0</v>
      </c>
      <c r="L20" s="43">
        <f>D!AE39</f>
        <v>0</v>
      </c>
      <c r="M20" s="41">
        <f>E!AD39</f>
        <v>0</v>
      </c>
      <c r="N20" s="43">
        <f>E!AE39</f>
        <v>0</v>
      </c>
      <c r="O20" s="41">
        <f>F!AD39</f>
        <v>0</v>
      </c>
      <c r="P20" s="44">
        <f>F!AE39</f>
        <v>0</v>
      </c>
      <c r="Q20" s="45">
        <f>G!AD39</f>
        <v>0</v>
      </c>
      <c r="R20" s="44">
        <f>G!AE39</f>
        <v>0</v>
      </c>
      <c r="S20" s="45">
        <f>H!AD39</f>
        <v>0</v>
      </c>
      <c r="T20" s="44">
        <f>H!AE39</f>
        <v>0</v>
      </c>
      <c r="U20" s="45">
        <f>I!AD39</f>
        <v>0</v>
      </c>
      <c r="V20" s="44">
        <f>I!AE39</f>
        <v>0</v>
      </c>
      <c r="W20" s="45">
        <f>J!AD39</f>
        <v>0</v>
      </c>
      <c r="X20" s="44">
        <f>J!AE39</f>
        <v>0</v>
      </c>
      <c r="Y20" s="45">
        <f>K!AD39</f>
        <v>0</v>
      </c>
      <c r="Z20" s="44">
        <f>K!AE39</f>
        <v>0</v>
      </c>
      <c r="AA20" s="45">
        <f>L!AD39</f>
        <v>0</v>
      </c>
      <c r="AB20" s="44">
        <f>L!AE39</f>
        <v>0</v>
      </c>
      <c r="AC20" s="405" t="str">
        <f>IF((E20+G20+I20+K20+M20+O20+Q20+S20+U20+W20+Y20+AA20)=('Month A'!AA39+B!AA39+'C'!AA39+D!AA39+E!AA39+F!AA39+G!AA39+H!AA39+I!AA39+J!AA39+K!AA39+L!AA39),"","Payments Mismatch. Check and correct ! ")</f>
        <v/>
      </c>
      <c r="AD20" s="405"/>
      <c r="AE20" s="39">
        <f t="shared" si="1"/>
        <v>0</v>
      </c>
      <c r="BA20" s="443">
        <f>'Budgets List'!P30</f>
        <v>0</v>
      </c>
      <c r="BB20" s="444">
        <f>'Budgets List'!Q30</f>
        <v>0</v>
      </c>
      <c r="BC20" s="444">
        <f>'Budgets List'!R30</f>
        <v>0</v>
      </c>
      <c r="BD20" s="444">
        <f>'Budgets List'!S30</f>
        <v>0</v>
      </c>
      <c r="BE20" s="444">
        <f>'Budgets List'!T30</f>
        <v>0</v>
      </c>
      <c r="BF20" s="444">
        <f>'Budgets List'!U30</f>
        <v>0</v>
      </c>
      <c r="BG20" s="444">
        <f>'Budgets List'!V30</f>
        <v>0</v>
      </c>
      <c r="BH20" s="444">
        <f>'Budgets List'!W30</f>
        <v>0</v>
      </c>
      <c r="BI20" s="444">
        <f>'Budgets List'!X30</f>
        <v>0</v>
      </c>
      <c r="BJ20" s="444">
        <f>'Budgets List'!Y30</f>
        <v>0</v>
      </c>
      <c r="BK20" s="445">
        <f>'Budgets List'!Z30</f>
        <v>0</v>
      </c>
    </row>
    <row r="21" spans="1:63" ht="14.85" customHeight="1">
      <c r="A21" s="405"/>
      <c r="B21" s="893" t="str">
        <f>'All Months Actuals'!B31</f>
        <v>Small Purchases</v>
      </c>
      <c r="C21" s="126">
        <f>L!Z40</f>
        <v>0</v>
      </c>
      <c r="D21" s="127">
        <f t="shared" si="0"/>
        <v>0</v>
      </c>
      <c r="E21" s="41">
        <f>'Month A'!AD40</f>
        <v>0</v>
      </c>
      <c r="F21" s="42">
        <f>'Month A'!AE40</f>
        <v>0</v>
      </c>
      <c r="G21" s="41">
        <f>B!AD40</f>
        <v>0</v>
      </c>
      <c r="H21" s="43">
        <f>B!AE40</f>
        <v>0</v>
      </c>
      <c r="I21" s="41">
        <f>'C'!AD40</f>
        <v>0</v>
      </c>
      <c r="J21" s="43">
        <f>'C'!AE40</f>
        <v>0</v>
      </c>
      <c r="K21" s="41">
        <f>D!AD40</f>
        <v>0</v>
      </c>
      <c r="L21" s="43">
        <f>D!AE40</f>
        <v>0</v>
      </c>
      <c r="M21" s="41">
        <f>E!AD40</f>
        <v>0</v>
      </c>
      <c r="N21" s="43">
        <f>E!AE40</f>
        <v>0</v>
      </c>
      <c r="O21" s="41">
        <f>F!AD40</f>
        <v>0</v>
      </c>
      <c r="P21" s="44">
        <f>F!AE40</f>
        <v>0</v>
      </c>
      <c r="Q21" s="45">
        <f>G!AD40</f>
        <v>0</v>
      </c>
      <c r="R21" s="44">
        <f>G!AE40</f>
        <v>0</v>
      </c>
      <c r="S21" s="45">
        <f>H!AD40</f>
        <v>0</v>
      </c>
      <c r="T21" s="44">
        <f>H!AE40</f>
        <v>0</v>
      </c>
      <c r="U21" s="45">
        <f>I!AD40</f>
        <v>0</v>
      </c>
      <c r="V21" s="44">
        <f>I!AE40</f>
        <v>0</v>
      </c>
      <c r="W21" s="45">
        <f>J!AD40</f>
        <v>0</v>
      </c>
      <c r="X21" s="44">
        <f>J!AE40</f>
        <v>0</v>
      </c>
      <c r="Y21" s="45">
        <f>K!AD40</f>
        <v>0</v>
      </c>
      <c r="Z21" s="44">
        <f>K!AE40</f>
        <v>0</v>
      </c>
      <c r="AA21" s="45">
        <f>L!AD40</f>
        <v>0</v>
      </c>
      <c r="AB21" s="44">
        <f>L!AE40</f>
        <v>0</v>
      </c>
      <c r="AC21" s="405" t="str">
        <f>IF((E21+G21+I21+K21+M21+O21+Q21+S21+U21+W21+Y21+AA21)=('Month A'!AA40+B!AA40+'C'!AA40+D!AA40+E!AA40+F!AA40+G!AA40+H!AA40+I!AA40+J!AA40+K!AA40+L!AA40),"","Payments Mismatch. Check and correct ! ")</f>
        <v/>
      </c>
      <c r="AD21" s="405"/>
      <c r="AE21" s="39">
        <f t="shared" si="1"/>
        <v>0</v>
      </c>
      <c r="BA21" s="443">
        <f>'Budgets List'!P31</f>
        <v>0</v>
      </c>
      <c r="BB21" s="444">
        <f>'Budgets List'!Q31</f>
        <v>0</v>
      </c>
      <c r="BC21" s="444">
        <f>'Budgets List'!R31</f>
        <v>0</v>
      </c>
      <c r="BD21" s="444">
        <f>'Budgets List'!S31</f>
        <v>0</v>
      </c>
      <c r="BE21" s="444">
        <f>'Budgets List'!T31</f>
        <v>0</v>
      </c>
      <c r="BF21" s="444">
        <f>'Budgets List'!U31</f>
        <v>0</v>
      </c>
      <c r="BG21" s="444">
        <f>'Budgets List'!V31</f>
        <v>0</v>
      </c>
      <c r="BH21" s="444">
        <f>'Budgets List'!W31</f>
        <v>0</v>
      </c>
      <c r="BI21" s="444">
        <f>'Budgets List'!X31</f>
        <v>0</v>
      </c>
      <c r="BJ21" s="444">
        <f>'Budgets List'!Y31</f>
        <v>0</v>
      </c>
      <c r="BK21" s="445">
        <f>'Budgets List'!Z31</f>
        <v>0</v>
      </c>
    </row>
    <row r="22" spans="1:63" ht="14.85" customHeight="1">
      <c r="A22" s="405"/>
      <c r="B22" s="892" t="str">
        <f>'All Months Actuals'!B32</f>
        <v>Haircuts / Cosmetics Treatments</v>
      </c>
      <c r="C22" s="126">
        <f>L!Z41</f>
        <v>0</v>
      </c>
      <c r="D22" s="127">
        <f t="shared" si="0"/>
        <v>0</v>
      </c>
      <c r="E22" s="41">
        <f>'Month A'!AD41</f>
        <v>0</v>
      </c>
      <c r="F22" s="42">
        <f>'Month A'!AE41</f>
        <v>0</v>
      </c>
      <c r="G22" s="41">
        <f>B!AD41</f>
        <v>0</v>
      </c>
      <c r="H22" s="43">
        <f>B!AE41</f>
        <v>0</v>
      </c>
      <c r="I22" s="41">
        <f>'C'!AD41</f>
        <v>0</v>
      </c>
      <c r="J22" s="43">
        <f>'C'!AE41</f>
        <v>0</v>
      </c>
      <c r="K22" s="41">
        <f>D!AD41</f>
        <v>0</v>
      </c>
      <c r="L22" s="43">
        <f>D!AE41</f>
        <v>0</v>
      </c>
      <c r="M22" s="41">
        <f>E!AD41</f>
        <v>0</v>
      </c>
      <c r="N22" s="43">
        <f>E!AE41</f>
        <v>0</v>
      </c>
      <c r="O22" s="41">
        <f>F!AD41</f>
        <v>0</v>
      </c>
      <c r="P22" s="44">
        <f>F!AE41</f>
        <v>0</v>
      </c>
      <c r="Q22" s="45">
        <f>G!AD41</f>
        <v>0</v>
      </c>
      <c r="R22" s="44">
        <f>G!AE41</f>
        <v>0</v>
      </c>
      <c r="S22" s="45">
        <f>H!AD41</f>
        <v>0</v>
      </c>
      <c r="T22" s="44">
        <f>H!AE41</f>
        <v>0</v>
      </c>
      <c r="U22" s="45">
        <f>I!AD41</f>
        <v>0</v>
      </c>
      <c r="V22" s="44">
        <f>I!AE41</f>
        <v>0</v>
      </c>
      <c r="W22" s="45">
        <f>J!AD41</f>
        <v>0</v>
      </c>
      <c r="X22" s="44">
        <f>J!AE41</f>
        <v>0</v>
      </c>
      <c r="Y22" s="45">
        <f>K!AD41</f>
        <v>0</v>
      </c>
      <c r="Z22" s="44">
        <f>K!AE41</f>
        <v>0</v>
      </c>
      <c r="AA22" s="45">
        <f>L!AD41</f>
        <v>0</v>
      </c>
      <c r="AB22" s="44">
        <f>L!AE41</f>
        <v>0</v>
      </c>
      <c r="AC22" s="405" t="str">
        <f>IF((E22+G22+I22+K22+M22+O22+Q22+S22+U22+W22+Y22+AA22)=('Month A'!AA41+B!AA41+'C'!AA41+D!AA41+E!AA41+F!AA41+G!AA41+H!AA41+I!AA41+J!AA41+K!AA41+L!AA41),"","Payments Mismatch. Check and correct ! ")</f>
        <v/>
      </c>
      <c r="AD22" s="405"/>
      <c r="AE22" s="39">
        <f t="shared" si="1"/>
        <v>0</v>
      </c>
      <c r="BA22" s="443">
        <f>'Budgets List'!P32</f>
        <v>0</v>
      </c>
      <c r="BB22" s="444">
        <f>'Budgets List'!Q32</f>
        <v>0</v>
      </c>
      <c r="BC22" s="444">
        <f>'Budgets List'!R32</f>
        <v>0</v>
      </c>
      <c r="BD22" s="444">
        <f>'Budgets List'!S32</f>
        <v>0</v>
      </c>
      <c r="BE22" s="444">
        <f>'Budgets List'!T32</f>
        <v>0</v>
      </c>
      <c r="BF22" s="444">
        <f>'Budgets List'!U32</f>
        <v>0</v>
      </c>
      <c r="BG22" s="444">
        <f>'Budgets List'!V32</f>
        <v>0</v>
      </c>
      <c r="BH22" s="444">
        <f>'Budgets List'!W32</f>
        <v>0</v>
      </c>
      <c r="BI22" s="444">
        <f>'Budgets List'!X32</f>
        <v>0</v>
      </c>
      <c r="BJ22" s="444">
        <f>'Budgets List'!Y32</f>
        <v>0</v>
      </c>
      <c r="BK22" s="445">
        <f>'Budgets List'!Z32</f>
        <v>0</v>
      </c>
    </row>
    <row r="23" spans="1:63" ht="14.85" customHeight="1">
      <c r="A23" s="405"/>
      <c r="B23" s="892" t="str">
        <f>'All Months Actuals'!B33</f>
        <v>National Insurance</v>
      </c>
      <c r="C23" s="126">
        <f>L!Z42</f>
        <v>0</v>
      </c>
      <c r="D23" s="127">
        <f>C23*12</f>
        <v>0</v>
      </c>
      <c r="E23" s="41">
        <f>'Month A'!AD42</f>
        <v>0</v>
      </c>
      <c r="F23" s="42">
        <f>'Month A'!AE42</f>
        <v>0</v>
      </c>
      <c r="G23" s="41">
        <f>B!AD42</f>
        <v>0</v>
      </c>
      <c r="H23" s="43">
        <f>B!AE42</f>
        <v>0</v>
      </c>
      <c r="I23" s="41">
        <f>'C'!AD42</f>
        <v>0</v>
      </c>
      <c r="J23" s="43">
        <f>'C'!AE42</f>
        <v>0</v>
      </c>
      <c r="K23" s="41">
        <f>D!AD42</f>
        <v>0</v>
      </c>
      <c r="L23" s="43">
        <f>D!AE42</f>
        <v>0</v>
      </c>
      <c r="M23" s="41">
        <f>E!AD42</f>
        <v>0</v>
      </c>
      <c r="N23" s="43">
        <f>E!AE42</f>
        <v>0</v>
      </c>
      <c r="O23" s="41">
        <f>F!AD42</f>
        <v>0</v>
      </c>
      <c r="P23" s="44">
        <f>F!AE42</f>
        <v>0</v>
      </c>
      <c r="Q23" s="45">
        <f>G!AD42</f>
        <v>0</v>
      </c>
      <c r="R23" s="44">
        <f>G!AE42</f>
        <v>0</v>
      </c>
      <c r="S23" s="45">
        <f>H!AD42</f>
        <v>0</v>
      </c>
      <c r="T23" s="44">
        <f>H!AE42</f>
        <v>0</v>
      </c>
      <c r="U23" s="45">
        <f>I!AD42</f>
        <v>0</v>
      </c>
      <c r="V23" s="44">
        <f>I!AE42</f>
        <v>0</v>
      </c>
      <c r="W23" s="45">
        <f>J!AD42</f>
        <v>0</v>
      </c>
      <c r="X23" s="44">
        <f>J!AE42</f>
        <v>0</v>
      </c>
      <c r="Y23" s="45">
        <f>K!AD42</f>
        <v>0</v>
      </c>
      <c r="Z23" s="44">
        <f>K!AE42</f>
        <v>0</v>
      </c>
      <c r="AA23" s="45">
        <f>L!AD42</f>
        <v>0</v>
      </c>
      <c r="AB23" s="44">
        <f>L!AE42</f>
        <v>0</v>
      </c>
      <c r="AC23" s="405" t="str">
        <f>IF((E23+G23+I23+K23+M23+O23+Q23+S23+U23+W23+Y23+AA23)=('Month A'!AA42+B!AA42+'C'!AA42+D!AA42+E!AA42+F!AA42+G!AA42+H!AA42+I!AA42+J!AA42+K!AA42+L!AA42),"","Payments Mismatch. Check and correct ! ")</f>
        <v/>
      </c>
      <c r="AD23" s="405"/>
      <c r="AE23" s="39">
        <f t="shared" si="1"/>
        <v>0</v>
      </c>
      <c r="BA23" s="443">
        <f>'Budgets List'!P33</f>
        <v>0</v>
      </c>
      <c r="BB23" s="444">
        <f>'Budgets List'!Q33</f>
        <v>0</v>
      </c>
      <c r="BC23" s="444">
        <f>'Budgets List'!R33</f>
        <v>0</v>
      </c>
      <c r="BD23" s="444">
        <f>'Budgets List'!S33</f>
        <v>0</v>
      </c>
      <c r="BE23" s="444">
        <f>'Budgets List'!T33</f>
        <v>0</v>
      </c>
      <c r="BF23" s="444">
        <f>'Budgets List'!U33</f>
        <v>0</v>
      </c>
      <c r="BG23" s="444">
        <f>'Budgets List'!V33</f>
        <v>0</v>
      </c>
      <c r="BH23" s="444">
        <f>'Budgets List'!W33</f>
        <v>0</v>
      </c>
      <c r="BI23" s="444">
        <f>'Budgets List'!X33</f>
        <v>0</v>
      </c>
      <c r="BJ23" s="444">
        <f>'Budgets List'!Y33</f>
        <v>0</v>
      </c>
      <c r="BK23" s="445">
        <f>'Budgets List'!Z33</f>
        <v>0</v>
      </c>
    </row>
    <row r="24" spans="1:63" ht="14.85" customHeight="1">
      <c r="A24" s="405"/>
      <c r="B24" s="894">
        <f>'All Months Actuals'!B34</f>
        <v>0</v>
      </c>
      <c r="C24" s="126">
        <f>L!Z43</f>
        <v>0</v>
      </c>
      <c r="D24" s="127">
        <f t="shared" si="0"/>
        <v>0</v>
      </c>
      <c r="E24" s="41">
        <f>'Month A'!AD43</f>
        <v>0</v>
      </c>
      <c r="F24" s="42">
        <f>'Month A'!AE43</f>
        <v>0</v>
      </c>
      <c r="G24" s="41">
        <f>B!AD43</f>
        <v>0</v>
      </c>
      <c r="H24" s="43">
        <f>B!AE43</f>
        <v>0</v>
      </c>
      <c r="I24" s="41">
        <f>'C'!AD43</f>
        <v>0</v>
      </c>
      <c r="J24" s="43">
        <f>'C'!AE43</f>
        <v>0</v>
      </c>
      <c r="K24" s="41">
        <f>D!AD43</f>
        <v>0</v>
      </c>
      <c r="L24" s="43">
        <f>D!AE43</f>
        <v>0</v>
      </c>
      <c r="M24" s="41">
        <f>E!AD43</f>
        <v>0</v>
      </c>
      <c r="N24" s="43">
        <f>E!AE43</f>
        <v>0</v>
      </c>
      <c r="O24" s="41">
        <f>F!AD43</f>
        <v>0</v>
      </c>
      <c r="P24" s="44">
        <f>F!AE43</f>
        <v>0</v>
      </c>
      <c r="Q24" s="45">
        <f>G!AD43</f>
        <v>0</v>
      </c>
      <c r="R24" s="44">
        <f>G!AE43</f>
        <v>0</v>
      </c>
      <c r="S24" s="45">
        <f>H!AD43</f>
        <v>0</v>
      </c>
      <c r="T24" s="44">
        <f>H!AE43</f>
        <v>0</v>
      </c>
      <c r="U24" s="45">
        <f>I!AD43</f>
        <v>0</v>
      </c>
      <c r="V24" s="44">
        <f>I!AE43</f>
        <v>0</v>
      </c>
      <c r="W24" s="45">
        <f>J!AD43</f>
        <v>0</v>
      </c>
      <c r="X24" s="44">
        <f>J!AE43</f>
        <v>0</v>
      </c>
      <c r="Y24" s="45">
        <f>K!AD43</f>
        <v>0</v>
      </c>
      <c r="Z24" s="44">
        <f>K!AE43</f>
        <v>0</v>
      </c>
      <c r="AA24" s="45">
        <f>L!AD43</f>
        <v>0</v>
      </c>
      <c r="AB24" s="44">
        <f>L!AE43</f>
        <v>0</v>
      </c>
      <c r="AC24" s="405" t="str">
        <f>IF((E24+G24+I24+K24+M24+O24+Q24+S24+U24+W24+Y24+AA24)=('Month A'!AA43+B!AA43+'C'!AA43+D!AA43+E!AA43+F!AA43+G!AA43+H!AA43+I!AA43+J!AA43+K!AA43+L!AA43),"","Payments Mismatch. Check and correct ! ")</f>
        <v/>
      </c>
      <c r="AD24" s="405"/>
      <c r="AE24" s="39">
        <f t="shared" si="1"/>
        <v>0</v>
      </c>
      <c r="BA24" s="443">
        <f>'Budgets List'!P34</f>
        <v>0</v>
      </c>
      <c r="BB24" s="444">
        <f>'Budgets List'!Q34</f>
        <v>0</v>
      </c>
      <c r="BC24" s="444">
        <f>'Budgets List'!R34</f>
        <v>0</v>
      </c>
      <c r="BD24" s="444">
        <f>'Budgets List'!S34</f>
        <v>0</v>
      </c>
      <c r="BE24" s="444">
        <f>'Budgets List'!T34</f>
        <v>0</v>
      </c>
      <c r="BF24" s="444">
        <f>'Budgets List'!U34</f>
        <v>0</v>
      </c>
      <c r="BG24" s="444">
        <f>'Budgets List'!V34</f>
        <v>0</v>
      </c>
      <c r="BH24" s="444">
        <f>'Budgets List'!W34</f>
        <v>0</v>
      </c>
      <c r="BI24" s="444">
        <f>'Budgets List'!X34</f>
        <v>0</v>
      </c>
      <c r="BJ24" s="444">
        <f>'Budgets List'!Y34</f>
        <v>0</v>
      </c>
      <c r="BK24" s="445">
        <f>'Budgets List'!Z34</f>
        <v>0</v>
      </c>
    </row>
    <row r="25" spans="1:63" ht="14.85" customHeight="1" thickBot="1">
      <c r="A25" s="405"/>
      <c r="B25" s="895">
        <f>'All Months Actuals'!B35</f>
        <v>0</v>
      </c>
      <c r="C25" s="128">
        <f>L!Z44</f>
        <v>0</v>
      </c>
      <c r="D25" s="129">
        <f t="shared" si="0"/>
        <v>0</v>
      </c>
      <c r="E25" s="46">
        <f>'Month A'!AD44</f>
        <v>0</v>
      </c>
      <c r="F25" s="449">
        <f>'Month A'!AE44</f>
        <v>0</v>
      </c>
      <c r="G25" s="46">
        <f>B!AD44</f>
        <v>0</v>
      </c>
      <c r="H25" s="47">
        <f>B!AE44</f>
        <v>0</v>
      </c>
      <c r="I25" s="46">
        <f>'C'!AD44</f>
        <v>0</v>
      </c>
      <c r="J25" s="47">
        <f>'C'!AE44</f>
        <v>0</v>
      </c>
      <c r="K25" s="46">
        <f>D!AD44</f>
        <v>0</v>
      </c>
      <c r="L25" s="47">
        <f>D!AE44</f>
        <v>0</v>
      </c>
      <c r="M25" s="46">
        <f>E!AD44</f>
        <v>0</v>
      </c>
      <c r="N25" s="47">
        <f>E!AE44</f>
        <v>0</v>
      </c>
      <c r="O25" s="46">
        <f>F!AD44</f>
        <v>0</v>
      </c>
      <c r="P25" s="48">
        <f>F!AE44</f>
        <v>0</v>
      </c>
      <c r="Q25" s="49">
        <f>G!AD44</f>
        <v>0</v>
      </c>
      <c r="R25" s="48">
        <f>G!AE44</f>
        <v>0</v>
      </c>
      <c r="S25" s="49">
        <f>H!AD44</f>
        <v>0</v>
      </c>
      <c r="T25" s="48">
        <f>H!AE44</f>
        <v>0</v>
      </c>
      <c r="U25" s="49">
        <f>I!AD44</f>
        <v>0</v>
      </c>
      <c r="V25" s="48">
        <f>I!AE44</f>
        <v>0</v>
      </c>
      <c r="W25" s="49">
        <f>J!AD44</f>
        <v>0</v>
      </c>
      <c r="X25" s="48">
        <f>J!AE44</f>
        <v>0</v>
      </c>
      <c r="Y25" s="49">
        <f>K!AD44</f>
        <v>0</v>
      </c>
      <c r="Z25" s="48">
        <f>K!AE44</f>
        <v>0</v>
      </c>
      <c r="AA25" s="49">
        <f>L!AD44</f>
        <v>0</v>
      </c>
      <c r="AB25" s="48">
        <f>L!AE44</f>
        <v>0</v>
      </c>
      <c r="AC25" s="405" t="str">
        <f>IF((E25+G25+I25+K25+M25+O25+Q25+S25+U25+W25+Y25+AA25)=('Month A'!AA44+B!AA44+'C'!AA44+D!AA44+E!AA44+F!AA44+G!AA44+H!AA44+I!AA44+J!AA44+K!AA44+L!AA44),"","Payments Mismatch. Check and correct ! ")</f>
        <v/>
      </c>
      <c r="AD25" s="405"/>
      <c r="AE25" s="39">
        <f t="shared" si="1"/>
        <v>0</v>
      </c>
      <c r="BA25" s="446">
        <f>'Budgets List'!P35</f>
        <v>0</v>
      </c>
      <c r="BB25" s="447">
        <f>'Budgets List'!Q35</f>
        <v>0</v>
      </c>
      <c r="BC25" s="447">
        <f>'Budgets List'!R35</f>
        <v>0</v>
      </c>
      <c r="BD25" s="447">
        <f>'Budgets List'!S35</f>
        <v>0</v>
      </c>
      <c r="BE25" s="447">
        <f>'Budgets List'!T35</f>
        <v>0</v>
      </c>
      <c r="BF25" s="447">
        <f>'Budgets List'!U35</f>
        <v>0</v>
      </c>
      <c r="BG25" s="447">
        <f>'Budgets List'!V35</f>
        <v>0</v>
      </c>
      <c r="BH25" s="447">
        <f>'Budgets List'!W35</f>
        <v>0</v>
      </c>
      <c r="BI25" s="447">
        <f>'Budgets List'!X35</f>
        <v>0</v>
      </c>
      <c r="BJ25" s="447">
        <f>'Budgets List'!Y35</f>
        <v>0</v>
      </c>
      <c r="BK25" s="448">
        <f>'Budgets List'!Z35</f>
        <v>0</v>
      </c>
    </row>
    <row r="26" spans="1:63" ht="10.5" customHeight="1">
      <c r="A26" s="405"/>
      <c r="B26" s="414"/>
      <c r="C26" s="415"/>
      <c r="D26" s="415"/>
      <c r="E26" s="415"/>
      <c r="F26" s="415" t="str">
        <f>IF(SUM(BA4:BK25)&gt;0,"    תאים בצבע זה  מסמנים שהיה שינוי תקציב באותו חודש","")</f>
        <v/>
      </c>
      <c r="G26" s="416"/>
      <c r="H26" s="415"/>
      <c r="I26" s="415"/>
      <c r="J26" s="416"/>
      <c r="K26" s="415"/>
      <c r="L26" s="415"/>
      <c r="M26" s="416"/>
      <c r="N26" s="415"/>
      <c r="O26" s="415"/>
      <c r="P26" s="405"/>
      <c r="Q26" s="405"/>
      <c r="R26" s="405"/>
      <c r="S26" s="405"/>
      <c r="T26" s="405"/>
      <c r="U26" s="405"/>
      <c r="V26" s="405"/>
      <c r="W26" s="405"/>
      <c r="X26" s="405"/>
      <c r="Y26" s="405"/>
      <c r="Z26" s="405"/>
      <c r="AA26" s="405"/>
      <c r="AB26" s="405"/>
      <c r="AC26" s="405"/>
      <c r="AD26" s="405"/>
    </row>
    <row r="27" spans="1:63" ht="14.85" customHeight="1" thickBot="1">
      <c r="A27" s="405"/>
      <c r="B27" s="891" t="s">
        <v>418</v>
      </c>
      <c r="C27" s="415"/>
      <c r="D27" s="415"/>
      <c r="E27" s="415"/>
      <c r="F27" s="415"/>
      <c r="G27" s="416"/>
      <c r="H27" s="415"/>
      <c r="I27" s="415"/>
      <c r="J27" s="416"/>
      <c r="K27" s="415"/>
      <c r="L27" s="415"/>
      <c r="M27" s="416"/>
      <c r="N27" s="415"/>
      <c r="O27" s="415"/>
      <c r="P27" s="405"/>
      <c r="Q27" s="405"/>
      <c r="R27" s="405"/>
      <c r="S27" s="405"/>
      <c r="T27" s="405"/>
      <c r="U27" s="405"/>
      <c r="V27" s="405"/>
      <c r="W27" s="405"/>
      <c r="X27" s="405"/>
      <c r="Y27" s="405"/>
      <c r="Z27" s="405"/>
      <c r="AA27" s="405"/>
      <c r="AB27" s="405"/>
      <c r="AC27" s="405"/>
      <c r="AD27" s="405"/>
    </row>
    <row r="28" spans="1:63" ht="14.85" customHeight="1">
      <c r="A28" s="405"/>
      <c r="B28" s="131"/>
      <c r="C28" s="1268" t="s">
        <v>414</v>
      </c>
      <c r="D28" s="1269"/>
      <c r="E28" s="132" t="s">
        <v>421</v>
      </c>
      <c r="F28" s="133" t="str">
        <f>E2</f>
        <v>Month</v>
      </c>
      <c r="G28" s="134" t="s">
        <v>421</v>
      </c>
      <c r="H28" s="135" t="str">
        <f>G2</f>
        <v/>
      </c>
      <c r="I28" s="134" t="s">
        <v>421</v>
      </c>
      <c r="J28" s="135" t="str">
        <f>I2</f>
        <v/>
      </c>
      <c r="K28" s="134" t="s">
        <v>421</v>
      </c>
      <c r="L28" s="135" t="str">
        <f>K2</f>
        <v/>
      </c>
      <c r="M28" s="134" t="s">
        <v>421</v>
      </c>
      <c r="N28" s="135" t="str">
        <f>M2</f>
        <v/>
      </c>
      <c r="O28" s="134" t="s">
        <v>421</v>
      </c>
      <c r="P28" s="135" t="str">
        <f>O2</f>
        <v/>
      </c>
      <c r="Q28" s="134" t="s">
        <v>421</v>
      </c>
      <c r="R28" s="135" t="str">
        <f>Q2</f>
        <v/>
      </c>
      <c r="S28" s="134" t="s">
        <v>421</v>
      </c>
      <c r="T28" s="135" t="str">
        <f>S2</f>
        <v/>
      </c>
      <c r="U28" s="134" t="s">
        <v>421</v>
      </c>
      <c r="V28" s="135" t="str">
        <f>U2</f>
        <v/>
      </c>
      <c r="W28" s="134" t="s">
        <v>421</v>
      </c>
      <c r="X28" s="135" t="str">
        <f>W2</f>
        <v/>
      </c>
      <c r="Y28" s="134" t="s">
        <v>421</v>
      </c>
      <c r="Z28" s="135" t="str">
        <f>Y2</f>
        <v/>
      </c>
      <c r="AA28" s="134" t="s">
        <v>421</v>
      </c>
      <c r="AB28" s="136" t="str">
        <f>AA2</f>
        <v/>
      </c>
      <c r="AC28" s="410"/>
      <c r="AD28" s="405"/>
    </row>
    <row r="29" spans="1:63" ht="14.85" customHeight="1">
      <c r="A29" s="405"/>
      <c r="B29" s="108" t="s">
        <v>296</v>
      </c>
      <c r="C29" s="1251">
        <f>L!AA4</f>
        <v>0</v>
      </c>
      <c r="D29" s="1252"/>
      <c r="E29" s="1253">
        <f>'Month A'!R54</f>
        <v>0</v>
      </c>
      <c r="F29" s="1254"/>
      <c r="G29" s="1254">
        <f>B!$R$54</f>
        <v>0</v>
      </c>
      <c r="H29" s="1254"/>
      <c r="I29" s="1254">
        <f>'C'!$R$54</f>
        <v>0</v>
      </c>
      <c r="J29" s="1254"/>
      <c r="K29" s="1255">
        <f>D!$R$54</f>
        <v>0</v>
      </c>
      <c r="L29" s="1255"/>
      <c r="M29" s="1244">
        <f>E!$R$54</f>
        <v>0</v>
      </c>
      <c r="N29" s="1244"/>
      <c r="O29" s="1244">
        <f>F!$R$54</f>
        <v>0</v>
      </c>
      <c r="P29" s="1244"/>
      <c r="Q29" s="1244">
        <f>G!$R$54</f>
        <v>0</v>
      </c>
      <c r="R29" s="1244"/>
      <c r="S29" s="1244">
        <f>H!$R$54</f>
        <v>0</v>
      </c>
      <c r="T29" s="1244"/>
      <c r="U29" s="1244">
        <f>I!$R$54</f>
        <v>0</v>
      </c>
      <c r="V29" s="1244"/>
      <c r="W29" s="1244">
        <f>J!$R$54</f>
        <v>0</v>
      </c>
      <c r="X29" s="1244"/>
      <c r="Y29" s="1244">
        <f>K!$R$54</f>
        <v>0</v>
      </c>
      <c r="Z29" s="1244"/>
      <c r="AA29" s="1244">
        <f>L!$R$54</f>
        <v>0</v>
      </c>
      <c r="AB29" s="1245"/>
      <c r="AC29" s="411"/>
      <c r="AD29" s="405"/>
    </row>
    <row r="30" spans="1:63" ht="14.85" customHeight="1">
      <c r="A30" s="405"/>
      <c r="B30" s="109" t="s">
        <v>151</v>
      </c>
      <c r="C30" s="1251">
        <f>L!C18</f>
        <v>0</v>
      </c>
      <c r="D30" s="1252"/>
      <c r="E30" s="1253">
        <f>'Month A'!R50</f>
        <v>0</v>
      </c>
      <c r="F30" s="1254"/>
      <c r="G30" s="1254">
        <f>B!$R$50</f>
        <v>0</v>
      </c>
      <c r="H30" s="1254"/>
      <c r="I30" s="1254">
        <f>'C'!$R$50</f>
        <v>0</v>
      </c>
      <c r="J30" s="1254"/>
      <c r="K30" s="1255">
        <f>D!$R$50</f>
        <v>0</v>
      </c>
      <c r="L30" s="1255"/>
      <c r="M30" s="1244">
        <f>E!$R$50</f>
        <v>0</v>
      </c>
      <c r="N30" s="1244"/>
      <c r="O30" s="1244">
        <f>F!$R$50</f>
        <v>0</v>
      </c>
      <c r="P30" s="1244"/>
      <c r="Q30" s="1244">
        <f>G!$R$50</f>
        <v>0</v>
      </c>
      <c r="R30" s="1244"/>
      <c r="S30" s="1244">
        <f>H!$R$50</f>
        <v>0</v>
      </c>
      <c r="T30" s="1244"/>
      <c r="U30" s="1244">
        <f>I!$R$50</f>
        <v>0</v>
      </c>
      <c r="V30" s="1244"/>
      <c r="W30" s="1244">
        <f>J!$R$50</f>
        <v>0</v>
      </c>
      <c r="X30" s="1244"/>
      <c r="Y30" s="1244">
        <f>K!$R$50</f>
        <v>0</v>
      </c>
      <c r="Z30" s="1244"/>
      <c r="AA30" s="1244">
        <f>L!$R$50</f>
        <v>0</v>
      </c>
      <c r="AB30" s="1245"/>
      <c r="AC30" s="411"/>
      <c r="AD30" s="405"/>
    </row>
    <row r="31" spans="1:63" ht="14.85" customHeight="1">
      <c r="A31" s="405"/>
      <c r="B31" s="130" t="s">
        <v>396</v>
      </c>
      <c r="C31" s="1251">
        <f>L!Z45</f>
        <v>0</v>
      </c>
      <c r="D31" s="1252"/>
      <c r="E31" s="1253">
        <f>'Month A'!R51</f>
        <v>0</v>
      </c>
      <c r="F31" s="1254"/>
      <c r="G31" s="1254">
        <f>B!$R$51</f>
        <v>0</v>
      </c>
      <c r="H31" s="1254"/>
      <c r="I31" s="1254">
        <f>'C'!$R$51</f>
        <v>0</v>
      </c>
      <c r="J31" s="1254"/>
      <c r="K31" s="1255">
        <f>D!$R$51</f>
        <v>0</v>
      </c>
      <c r="L31" s="1255"/>
      <c r="M31" s="1244">
        <f>E!$R$51</f>
        <v>0</v>
      </c>
      <c r="N31" s="1244"/>
      <c r="O31" s="1244">
        <f>F!$R$51</f>
        <v>0</v>
      </c>
      <c r="P31" s="1244"/>
      <c r="Q31" s="1244">
        <f>G!$R$51</f>
        <v>0</v>
      </c>
      <c r="R31" s="1244"/>
      <c r="S31" s="1244">
        <f>H!$R$51</f>
        <v>0</v>
      </c>
      <c r="T31" s="1244"/>
      <c r="U31" s="1244">
        <f>I!$R$51</f>
        <v>0</v>
      </c>
      <c r="V31" s="1244"/>
      <c r="W31" s="1244">
        <f>J!$R$51</f>
        <v>0</v>
      </c>
      <c r="X31" s="1244"/>
      <c r="Y31" s="1244">
        <f>K!$R$51</f>
        <v>0</v>
      </c>
      <c r="Z31" s="1244"/>
      <c r="AA31" s="1244">
        <f>L!$R$51</f>
        <v>0</v>
      </c>
      <c r="AB31" s="1245"/>
      <c r="AC31" s="411"/>
      <c r="AD31" s="405"/>
    </row>
    <row r="32" spans="1:63" s="70" customFormat="1" ht="14.85" customHeight="1">
      <c r="A32" s="412"/>
      <c r="B32" s="110" t="s">
        <v>397</v>
      </c>
      <c r="C32" s="1251">
        <f>L!C57</f>
        <v>0</v>
      </c>
      <c r="D32" s="1252"/>
      <c r="E32" s="1253">
        <f>'Month A'!R52</f>
        <v>0</v>
      </c>
      <c r="F32" s="1254"/>
      <c r="G32" s="1254">
        <f>B!$R$52</f>
        <v>0</v>
      </c>
      <c r="H32" s="1254"/>
      <c r="I32" s="1254">
        <f>'C'!$R$52</f>
        <v>0</v>
      </c>
      <c r="J32" s="1254"/>
      <c r="K32" s="1255">
        <f>D!$R$52</f>
        <v>0</v>
      </c>
      <c r="L32" s="1255"/>
      <c r="M32" s="1244">
        <f>E!$R$52</f>
        <v>0</v>
      </c>
      <c r="N32" s="1244"/>
      <c r="O32" s="1244">
        <f>F!$R$52</f>
        <v>0</v>
      </c>
      <c r="P32" s="1244"/>
      <c r="Q32" s="1244">
        <f>G!$R$52</f>
        <v>0</v>
      </c>
      <c r="R32" s="1244"/>
      <c r="S32" s="1244">
        <f>H!$R$52</f>
        <v>0</v>
      </c>
      <c r="T32" s="1244"/>
      <c r="U32" s="1244">
        <f>I!$R$52</f>
        <v>0</v>
      </c>
      <c r="V32" s="1244"/>
      <c r="W32" s="1244">
        <f>J!$R$52</f>
        <v>0</v>
      </c>
      <c r="X32" s="1244"/>
      <c r="Y32" s="1244">
        <f>K!$R$52</f>
        <v>0</v>
      </c>
      <c r="Z32" s="1244"/>
      <c r="AA32" s="1244">
        <f>L!$R$52</f>
        <v>0</v>
      </c>
      <c r="AB32" s="1245"/>
      <c r="AC32" s="411"/>
      <c r="AD32" s="412"/>
    </row>
    <row r="33" spans="1:30" ht="14.85" customHeight="1">
      <c r="A33" s="405"/>
      <c r="B33" s="137" t="s">
        <v>419</v>
      </c>
      <c r="C33" s="1261">
        <f>C29-SUM(C30:D32)</f>
        <v>0</v>
      </c>
      <c r="D33" s="1262"/>
      <c r="E33" s="1263">
        <f>E29-SUM(E30:F32)</f>
        <v>0</v>
      </c>
      <c r="F33" s="1264"/>
      <c r="G33" s="1264">
        <f>G29-SUM(G30:H32)</f>
        <v>0</v>
      </c>
      <c r="H33" s="1264"/>
      <c r="I33" s="1264">
        <f>I29-SUM(I30:J32)</f>
        <v>0</v>
      </c>
      <c r="J33" s="1264"/>
      <c r="K33" s="1265">
        <f>K29-SUM(K30:L32)</f>
        <v>0</v>
      </c>
      <c r="L33" s="1265"/>
      <c r="M33" s="1246">
        <f>M29-SUM(M30:N32)</f>
        <v>0</v>
      </c>
      <c r="N33" s="1246"/>
      <c r="O33" s="1246">
        <f>O29-SUM(O30:P32)</f>
        <v>0</v>
      </c>
      <c r="P33" s="1246"/>
      <c r="Q33" s="1246">
        <f>Q29-SUM(Q30:R32)</f>
        <v>0</v>
      </c>
      <c r="R33" s="1246"/>
      <c r="S33" s="1246">
        <f>S29-SUM(S30:T32)</f>
        <v>0</v>
      </c>
      <c r="T33" s="1246"/>
      <c r="U33" s="1246">
        <f>U29-SUM(U30:V32)</f>
        <v>0</v>
      </c>
      <c r="V33" s="1246"/>
      <c r="W33" s="1246">
        <f>W29-SUM(W30:X32)</f>
        <v>0</v>
      </c>
      <c r="X33" s="1246"/>
      <c r="Y33" s="1246">
        <f>Y29-SUM(Y30:Z32)</f>
        <v>0</v>
      </c>
      <c r="Z33" s="1246"/>
      <c r="AA33" s="1246">
        <f>AA29-SUM(AA30:AB32)</f>
        <v>0</v>
      </c>
      <c r="AB33" s="1247"/>
      <c r="AC33" s="413"/>
      <c r="AD33" s="405"/>
    </row>
    <row r="34" spans="1:30" s="70" customFormat="1" ht="14.85" customHeight="1">
      <c r="A34" s="412"/>
      <c r="B34" s="111" t="s">
        <v>493</v>
      </c>
      <c r="C34" s="1251">
        <f ca="1">L!C40</f>
        <v>0</v>
      </c>
      <c r="D34" s="1252"/>
      <c r="E34" s="1253">
        <f>'Month A'!R55</f>
        <v>0</v>
      </c>
      <c r="F34" s="1254"/>
      <c r="G34" s="1254">
        <f>B!$R$55</f>
        <v>0</v>
      </c>
      <c r="H34" s="1254"/>
      <c r="I34" s="1254">
        <f>'C'!$R$55</f>
        <v>0</v>
      </c>
      <c r="J34" s="1254"/>
      <c r="K34" s="1255">
        <f>D!$R$55</f>
        <v>0</v>
      </c>
      <c r="L34" s="1255"/>
      <c r="M34" s="1244">
        <f>E!$R$55</f>
        <v>0</v>
      </c>
      <c r="N34" s="1244"/>
      <c r="O34" s="1244">
        <f>F!$R$55</f>
        <v>0</v>
      </c>
      <c r="P34" s="1244"/>
      <c r="Q34" s="1244">
        <f>G!$R$55</f>
        <v>0</v>
      </c>
      <c r="R34" s="1244"/>
      <c r="S34" s="1244">
        <f>H!$R$55</f>
        <v>0</v>
      </c>
      <c r="T34" s="1244"/>
      <c r="U34" s="1244">
        <f>I!$R$55</f>
        <v>0</v>
      </c>
      <c r="V34" s="1244"/>
      <c r="W34" s="1244">
        <f>J!$R$55</f>
        <v>0</v>
      </c>
      <c r="X34" s="1244"/>
      <c r="Y34" s="1244">
        <f>K!$R$55</f>
        <v>0</v>
      </c>
      <c r="Z34" s="1244"/>
      <c r="AA34" s="1244">
        <f>L!$R$55</f>
        <v>0</v>
      </c>
      <c r="AB34" s="1245"/>
      <c r="AC34" s="411"/>
      <c r="AD34" s="412"/>
    </row>
    <row r="35" spans="1:30" ht="16.5" thickBot="1">
      <c r="A35" s="405"/>
      <c r="B35" s="138" t="s">
        <v>420</v>
      </c>
      <c r="C35" s="1256">
        <f ca="1">C33-C34</f>
        <v>0</v>
      </c>
      <c r="D35" s="1257"/>
      <c r="E35" s="1258">
        <f>E33-E34</f>
        <v>0</v>
      </c>
      <c r="F35" s="1259"/>
      <c r="G35" s="1259">
        <f>G33-G34</f>
        <v>0</v>
      </c>
      <c r="H35" s="1259"/>
      <c r="I35" s="1259">
        <f>I33-I34</f>
        <v>0</v>
      </c>
      <c r="J35" s="1259"/>
      <c r="K35" s="1260">
        <f>K33-K34</f>
        <v>0</v>
      </c>
      <c r="L35" s="1260"/>
      <c r="M35" s="1248">
        <f>M33-M34</f>
        <v>0</v>
      </c>
      <c r="N35" s="1248"/>
      <c r="O35" s="1248">
        <f>O33-O34</f>
        <v>0</v>
      </c>
      <c r="P35" s="1248"/>
      <c r="Q35" s="1248">
        <f>Q33-Q34</f>
        <v>0</v>
      </c>
      <c r="R35" s="1248"/>
      <c r="S35" s="1248">
        <f>S33-S34</f>
        <v>0</v>
      </c>
      <c r="T35" s="1248"/>
      <c r="U35" s="1248">
        <f>U33-U34</f>
        <v>0</v>
      </c>
      <c r="V35" s="1248"/>
      <c r="W35" s="1248">
        <f>W33-W34</f>
        <v>0</v>
      </c>
      <c r="X35" s="1248"/>
      <c r="Y35" s="1248">
        <f>Y33-Y34</f>
        <v>0</v>
      </c>
      <c r="Z35" s="1248"/>
      <c r="AA35" s="1248">
        <f>AA33-AA34</f>
        <v>0</v>
      </c>
      <c r="AB35" s="1249"/>
      <c r="AC35" s="413"/>
      <c r="AD35" s="405"/>
    </row>
    <row r="36" spans="1:30">
      <c r="A36" s="405"/>
      <c r="B36" s="405"/>
      <c r="C36" s="406"/>
      <c r="D36" s="406"/>
      <c r="E36" s="406"/>
      <c r="F36" s="406"/>
      <c r="G36" s="406"/>
      <c r="H36" s="406"/>
      <c r="I36" s="406"/>
      <c r="J36" s="406"/>
      <c r="K36" s="406"/>
      <c r="L36" s="406"/>
      <c r="M36" s="406"/>
      <c r="N36" s="406"/>
      <c r="O36" s="406"/>
      <c r="P36" s="406"/>
      <c r="Q36" s="405"/>
      <c r="R36" s="405"/>
      <c r="S36" s="405"/>
      <c r="T36" s="405"/>
      <c r="U36" s="405"/>
      <c r="V36" s="405"/>
      <c r="W36" s="405"/>
      <c r="X36" s="405"/>
      <c r="Y36" s="405"/>
      <c r="Z36" s="405"/>
      <c r="AA36" s="405"/>
      <c r="AB36" s="405"/>
      <c r="AC36" s="405"/>
      <c r="AD36" s="405"/>
    </row>
    <row r="37" spans="1:30">
      <c r="A37" s="405"/>
      <c r="B37" s="405"/>
      <c r="C37" s="406"/>
      <c r="D37" s="406"/>
      <c r="E37" s="406"/>
      <c r="F37" s="406"/>
      <c r="G37" s="406"/>
      <c r="H37" s="406"/>
      <c r="I37" s="406"/>
      <c r="J37" s="406"/>
      <c r="K37" s="406"/>
      <c r="L37" s="406"/>
      <c r="M37" s="406"/>
      <c r="N37" s="406"/>
      <c r="O37" s="406"/>
      <c r="P37" s="406"/>
      <c r="Q37" s="405"/>
      <c r="R37" s="405"/>
      <c r="S37" s="405"/>
      <c r="T37" s="405"/>
      <c r="U37" s="405"/>
      <c r="V37" s="405"/>
      <c r="W37" s="405"/>
      <c r="X37" s="405"/>
      <c r="Y37" s="405"/>
      <c r="Z37" s="405"/>
      <c r="AA37" s="405"/>
      <c r="AB37" s="405"/>
      <c r="AC37" s="405"/>
      <c r="AD37" s="405"/>
    </row>
    <row r="38" spans="1:30">
      <c r="A38" s="405"/>
      <c r="B38" s="405"/>
      <c r="C38" s="406"/>
      <c r="D38" s="406"/>
      <c r="E38" s="406"/>
      <c r="F38" s="406"/>
      <c r="G38" s="406"/>
      <c r="H38" s="406"/>
      <c r="I38" s="406"/>
      <c r="J38" s="406"/>
      <c r="K38" s="406"/>
      <c r="L38" s="406"/>
      <c r="M38" s="406"/>
      <c r="N38" s="406"/>
      <c r="O38" s="406"/>
      <c r="P38" s="406"/>
      <c r="Q38" s="405"/>
      <c r="R38" s="405"/>
      <c r="S38" s="405"/>
      <c r="T38" s="405"/>
      <c r="U38" s="405"/>
      <c r="V38" s="405"/>
      <c r="W38" s="405"/>
      <c r="X38" s="405"/>
      <c r="Y38" s="405"/>
      <c r="Z38" s="405"/>
      <c r="AA38" s="405"/>
      <c r="AB38" s="405"/>
      <c r="AC38" s="405"/>
      <c r="AD38" s="405"/>
    </row>
    <row r="39" spans="1:30">
      <c r="A39" s="405"/>
      <c r="B39" s="405"/>
      <c r="C39" s="406"/>
      <c r="D39" s="406"/>
      <c r="E39" s="406"/>
      <c r="F39" s="406"/>
      <c r="G39" s="406"/>
      <c r="H39" s="406"/>
      <c r="I39" s="406"/>
      <c r="J39" s="406"/>
      <c r="K39" s="406"/>
      <c r="L39" s="406"/>
      <c r="M39" s="406"/>
      <c r="N39" s="406"/>
      <c r="O39" s="406"/>
      <c r="P39" s="406"/>
      <c r="Q39" s="405"/>
      <c r="R39" s="405"/>
      <c r="S39" s="405"/>
      <c r="T39" s="405"/>
      <c r="U39" s="405"/>
      <c r="V39" s="405"/>
      <c r="W39" s="405"/>
      <c r="X39" s="405"/>
      <c r="Y39" s="405"/>
      <c r="Z39" s="405"/>
      <c r="AA39" s="405"/>
      <c r="AB39" s="405"/>
      <c r="AC39" s="405"/>
      <c r="AD39" s="405"/>
    </row>
    <row r="40" spans="1:30">
      <c r="A40" s="405"/>
      <c r="B40" s="405"/>
      <c r="C40" s="406"/>
      <c r="D40" s="406"/>
      <c r="E40" s="406"/>
      <c r="F40" s="406"/>
      <c r="G40" s="406"/>
      <c r="H40" s="406"/>
      <c r="I40" s="406"/>
      <c r="J40" s="406"/>
      <c r="K40" s="406"/>
      <c r="L40" s="406"/>
      <c r="M40" s="406"/>
      <c r="N40" s="406"/>
      <c r="O40" s="406"/>
      <c r="P40" s="406"/>
      <c r="Q40" s="405"/>
      <c r="R40" s="405"/>
      <c r="S40" s="405"/>
      <c r="T40" s="405"/>
      <c r="U40" s="405"/>
      <c r="V40" s="405"/>
      <c r="W40" s="405"/>
      <c r="X40" s="405"/>
      <c r="Y40" s="405"/>
      <c r="Z40" s="405"/>
      <c r="AA40" s="405"/>
      <c r="AB40" s="405"/>
      <c r="AC40" s="405"/>
      <c r="AD40" s="405"/>
    </row>
  </sheetData>
  <sheetProtection password="D37A" sheet="1" formatCells="0" formatColumns="0" formatRows="0" insertColumns="0" insertRows="0" sort="0" autoFilter="0"/>
  <mergeCells count="108">
    <mergeCell ref="B2:B3"/>
    <mergeCell ref="C2:C3"/>
    <mergeCell ref="D2:D3"/>
    <mergeCell ref="E2:F2"/>
    <mergeCell ref="G2:H2"/>
    <mergeCell ref="I2:J2"/>
    <mergeCell ref="M29:N29"/>
    <mergeCell ref="K2:L2"/>
    <mergeCell ref="M2:N2"/>
    <mergeCell ref="C30:D30"/>
    <mergeCell ref="E30:F30"/>
    <mergeCell ref="G30:H30"/>
    <mergeCell ref="I30:J30"/>
    <mergeCell ref="K30:L30"/>
    <mergeCell ref="M30:N30"/>
    <mergeCell ref="C28:D28"/>
    <mergeCell ref="C29:D29"/>
    <mergeCell ref="E29:F29"/>
    <mergeCell ref="G29:H29"/>
    <mergeCell ref="I29:J29"/>
    <mergeCell ref="K29:L29"/>
    <mergeCell ref="W2:X2"/>
    <mergeCell ref="Y2:Z2"/>
    <mergeCell ref="AA2:AB2"/>
    <mergeCell ref="O2:P2"/>
    <mergeCell ref="Q2:R2"/>
    <mergeCell ref="S2:T2"/>
    <mergeCell ref="U2:V2"/>
    <mergeCell ref="U30:V30"/>
    <mergeCell ref="W30:X30"/>
    <mergeCell ref="Y30:Z30"/>
    <mergeCell ref="O30:P30"/>
    <mergeCell ref="Q30:R30"/>
    <mergeCell ref="S30:T30"/>
    <mergeCell ref="O29:P29"/>
    <mergeCell ref="Q29:R29"/>
    <mergeCell ref="S29:T29"/>
    <mergeCell ref="AA29:AB29"/>
    <mergeCell ref="C31:D31"/>
    <mergeCell ref="E31:F31"/>
    <mergeCell ref="G31:H31"/>
    <mergeCell ref="I31:J31"/>
    <mergeCell ref="K31:L31"/>
    <mergeCell ref="M31:N31"/>
    <mergeCell ref="AA31:AB31"/>
    <mergeCell ref="U31:V31"/>
    <mergeCell ref="W31:X31"/>
    <mergeCell ref="C33:D33"/>
    <mergeCell ref="E33:F33"/>
    <mergeCell ref="G33:H33"/>
    <mergeCell ref="I33:J33"/>
    <mergeCell ref="K33:L33"/>
    <mergeCell ref="M33:N33"/>
    <mergeCell ref="O32:P32"/>
    <mergeCell ref="Q32:R32"/>
    <mergeCell ref="S32:T32"/>
    <mergeCell ref="C32:D32"/>
    <mergeCell ref="E32:F32"/>
    <mergeCell ref="G32:H32"/>
    <mergeCell ref="I32:J32"/>
    <mergeCell ref="K32:L32"/>
    <mergeCell ref="M32:N32"/>
    <mergeCell ref="C34:D34"/>
    <mergeCell ref="E34:F34"/>
    <mergeCell ref="G34:H34"/>
    <mergeCell ref="I34:J34"/>
    <mergeCell ref="K34:L34"/>
    <mergeCell ref="M34:N34"/>
    <mergeCell ref="C35:D35"/>
    <mergeCell ref="E35:F35"/>
    <mergeCell ref="G35:H35"/>
    <mergeCell ref="I35:J35"/>
    <mergeCell ref="K35:L35"/>
    <mergeCell ref="M35:N35"/>
    <mergeCell ref="AA35:AB35"/>
    <mergeCell ref="O35:P35"/>
    <mergeCell ref="Q35:R35"/>
    <mergeCell ref="S35:T35"/>
    <mergeCell ref="U35:V35"/>
    <mergeCell ref="W35:X35"/>
    <mergeCell ref="Y35:Z35"/>
    <mergeCell ref="U1:AB1"/>
    <mergeCell ref="O33:P33"/>
    <mergeCell ref="Q33:R33"/>
    <mergeCell ref="S33:T33"/>
    <mergeCell ref="U33:V33"/>
    <mergeCell ref="W33:X33"/>
    <mergeCell ref="Y33:Z33"/>
    <mergeCell ref="Y31:Z31"/>
    <mergeCell ref="U32:V32"/>
    <mergeCell ref="W32:X32"/>
    <mergeCell ref="O31:P31"/>
    <mergeCell ref="Q31:R31"/>
    <mergeCell ref="S31:T31"/>
    <mergeCell ref="AA30:AB30"/>
    <mergeCell ref="U29:V29"/>
    <mergeCell ref="W29:X29"/>
    <mergeCell ref="Y29:Z29"/>
    <mergeCell ref="O34:P34"/>
    <mergeCell ref="Q34:R34"/>
    <mergeCell ref="S34:T34"/>
    <mergeCell ref="U34:V34"/>
    <mergeCell ref="W34:X34"/>
    <mergeCell ref="Y34:Z34"/>
    <mergeCell ref="AA34:AB34"/>
    <mergeCell ref="Y32:Z32"/>
    <mergeCell ref="AA32:AB32"/>
    <mergeCell ref="AA33:AB33"/>
  </mergeCells>
  <conditionalFormatting sqref="C29:AC35 C4:AB25">
    <cfRule type="cellIs" dxfId="893" priority="315" stopIfTrue="1" operator="lessThan">
      <formula>0</formula>
    </cfRule>
  </conditionalFormatting>
  <conditionalFormatting sqref="AC4:AC25">
    <cfRule type="containsText" dxfId="892" priority="313" stopIfTrue="1" operator="containsText" text="אין">
      <formula>NOT(ISERROR(SEARCH("אין",AC4)))</formula>
    </cfRule>
  </conditionalFormatting>
  <conditionalFormatting sqref="AC3">
    <cfRule type="expression" dxfId="891" priority="311" stopIfTrue="1">
      <formula>AE3&gt;0</formula>
    </cfRule>
  </conditionalFormatting>
  <conditionalFormatting sqref="U1">
    <cfRule type="expression" dxfId="890" priority="310" stopIfTrue="1">
      <formula>$AE$3&gt;0</formula>
    </cfRule>
  </conditionalFormatting>
  <conditionalFormatting sqref="H4">
    <cfRule type="expression" dxfId="889" priority="308" stopIfTrue="1">
      <formula>$BA4=1</formula>
    </cfRule>
  </conditionalFormatting>
  <conditionalFormatting sqref="J4">
    <cfRule type="expression" dxfId="888" priority="307" stopIfTrue="1">
      <formula>$BB4=1</formula>
    </cfRule>
  </conditionalFormatting>
  <conditionalFormatting sqref="L4">
    <cfRule type="expression" dxfId="887" priority="306" stopIfTrue="1">
      <formula>$BC4=1</formula>
    </cfRule>
  </conditionalFormatting>
  <conditionalFormatting sqref="N4">
    <cfRule type="expression" dxfId="886" priority="305" stopIfTrue="1">
      <formula>$BD4=1</formula>
    </cfRule>
  </conditionalFormatting>
  <conditionalFormatting sqref="P4">
    <cfRule type="expression" dxfId="885" priority="304" stopIfTrue="1">
      <formula>$BE4=1</formula>
    </cfRule>
  </conditionalFormatting>
  <conditionalFormatting sqref="R4">
    <cfRule type="expression" dxfId="884" priority="303" stopIfTrue="1">
      <formula>$BF4=1</formula>
    </cfRule>
  </conditionalFormatting>
  <conditionalFormatting sqref="T4">
    <cfRule type="expression" dxfId="883" priority="302" stopIfTrue="1">
      <formula>$BG4=1</formula>
    </cfRule>
  </conditionalFormatting>
  <conditionalFormatting sqref="V4">
    <cfRule type="expression" dxfId="882" priority="301" stopIfTrue="1">
      <formula>$BH4=1</formula>
    </cfRule>
  </conditionalFormatting>
  <conditionalFormatting sqref="X4">
    <cfRule type="expression" dxfId="881" priority="300" stopIfTrue="1">
      <formula>$BI4=1</formula>
    </cfRule>
  </conditionalFormatting>
  <conditionalFormatting sqref="Z4">
    <cfRule type="expression" dxfId="880" priority="299" stopIfTrue="1">
      <formula>$BJ4=1</formula>
    </cfRule>
  </conditionalFormatting>
  <conditionalFormatting sqref="AB4">
    <cfRule type="expression" dxfId="879" priority="298" stopIfTrue="1">
      <formula>$BK4=1</formula>
    </cfRule>
  </conditionalFormatting>
  <conditionalFormatting sqref="H5">
    <cfRule type="expression" dxfId="878" priority="233" stopIfTrue="1">
      <formula>$BA5=1</formula>
    </cfRule>
  </conditionalFormatting>
  <conditionalFormatting sqref="H6">
    <cfRule type="expression" dxfId="877" priority="232" stopIfTrue="1">
      <formula>$BA6=1</formula>
    </cfRule>
  </conditionalFormatting>
  <conditionalFormatting sqref="H7">
    <cfRule type="expression" dxfId="876" priority="231" stopIfTrue="1">
      <formula>$BA7=1</formula>
    </cfRule>
  </conditionalFormatting>
  <conditionalFormatting sqref="H8">
    <cfRule type="expression" dxfId="875" priority="230" stopIfTrue="1">
      <formula>$BA8=1</formula>
    </cfRule>
  </conditionalFormatting>
  <conditionalFormatting sqref="H9">
    <cfRule type="expression" dxfId="874" priority="229" stopIfTrue="1">
      <formula>$BA9=1</formula>
    </cfRule>
  </conditionalFormatting>
  <conditionalFormatting sqref="H10">
    <cfRule type="expression" dxfId="873" priority="228" stopIfTrue="1">
      <formula>$BA10=1</formula>
    </cfRule>
  </conditionalFormatting>
  <conditionalFormatting sqref="H11">
    <cfRule type="expression" dxfId="872" priority="227" stopIfTrue="1">
      <formula>$BA11=1</formula>
    </cfRule>
  </conditionalFormatting>
  <conditionalFormatting sqref="H12">
    <cfRule type="expression" dxfId="871" priority="226" stopIfTrue="1">
      <formula>$BA12=1</formula>
    </cfRule>
  </conditionalFormatting>
  <conditionalFormatting sqref="H13">
    <cfRule type="expression" dxfId="870" priority="225" stopIfTrue="1">
      <formula>$BA13=1</formula>
    </cfRule>
  </conditionalFormatting>
  <conditionalFormatting sqref="H14">
    <cfRule type="expression" dxfId="869" priority="224" stopIfTrue="1">
      <formula>$BA14=1</formula>
    </cfRule>
  </conditionalFormatting>
  <conditionalFormatting sqref="H15">
    <cfRule type="expression" dxfId="868" priority="223" stopIfTrue="1">
      <formula>$BA15=1</formula>
    </cfRule>
  </conditionalFormatting>
  <conditionalFormatting sqref="H16">
    <cfRule type="expression" dxfId="867" priority="222" stopIfTrue="1">
      <formula>$BA16=1</formula>
    </cfRule>
  </conditionalFormatting>
  <conditionalFormatting sqref="H17">
    <cfRule type="expression" dxfId="866" priority="221" stopIfTrue="1">
      <formula>$BA17=1</formula>
    </cfRule>
  </conditionalFormatting>
  <conditionalFormatting sqref="H18">
    <cfRule type="expression" dxfId="865" priority="220" stopIfTrue="1">
      <formula>$BA18=1</formula>
    </cfRule>
  </conditionalFormatting>
  <conditionalFormatting sqref="H19">
    <cfRule type="expression" dxfId="864" priority="219" stopIfTrue="1">
      <formula>$BA19=1</formula>
    </cfRule>
  </conditionalFormatting>
  <conditionalFormatting sqref="H20">
    <cfRule type="expression" dxfId="863" priority="218" stopIfTrue="1">
      <formula>$BA20=1</formula>
    </cfRule>
  </conditionalFormatting>
  <conditionalFormatting sqref="H21">
    <cfRule type="expression" dxfId="862" priority="217" stopIfTrue="1">
      <formula>$BA21=1</formula>
    </cfRule>
  </conditionalFormatting>
  <conditionalFormatting sqref="H22">
    <cfRule type="expression" dxfId="861" priority="216" stopIfTrue="1">
      <formula>$BA22=1</formula>
    </cfRule>
  </conditionalFormatting>
  <conditionalFormatting sqref="H23">
    <cfRule type="expression" dxfId="860" priority="215" stopIfTrue="1">
      <formula>$BA23=1</formula>
    </cfRule>
  </conditionalFormatting>
  <conditionalFormatting sqref="H24">
    <cfRule type="expression" dxfId="859" priority="214" stopIfTrue="1">
      <formula>$BA24=1</formula>
    </cfRule>
  </conditionalFormatting>
  <conditionalFormatting sqref="H25">
    <cfRule type="expression" dxfId="858" priority="213" stopIfTrue="1">
      <formula>$BA25=1</formula>
    </cfRule>
  </conditionalFormatting>
  <conditionalFormatting sqref="J5">
    <cfRule type="expression" dxfId="857" priority="212" stopIfTrue="1">
      <formula>$BB5=1</formula>
    </cfRule>
  </conditionalFormatting>
  <conditionalFormatting sqref="J6">
    <cfRule type="expression" dxfId="856" priority="211" stopIfTrue="1">
      <formula>$BB6=1</formula>
    </cfRule>
  </conditionalFormatting>
  <conditionalFormatting sqref="J7">
    <cfRule type="expression" dxfId="855" priority="210" stopIfTrue="1">
      <formula>$BB7=1</formula>
    </cfRule>
  </conditionalFormatting>
  <conditionalFormatting sqref="J8">
    <cfRule type="expression" dxfId="854" priority="209" stopIfTrue="1">
      <formula>$BB8=1</formula>
    </cfRule>
  </conditionalFormatting>
  <conditionalFormatting sqref="J9">
    <cfRule type="expression" dxfId="853" priority="208" stopIfTrue="1">
      <formula>$BB9=1</formula>
    </cfRule>
  </conditionalFormatting>
  <conditionalFormatting sqref="J10">
    <cfRule type="expression" dxfId="852" priority="207" stopIfTrue="1">
      <formula>$BB10=1</formula>
    </cfRule>
  </conditionalFormatting>
  <conditionalFormatting sqref="J11">
    <cfRule type="expression" dxfId="851" priority="206" stopIfTrue="1">
      <formula>$BB11=1</formula>
    </cfRule>
  </conditionalFormatting>
  <conditionalFormatting sqref="J12">
    <cfRule type="expression" dxfId="850" priority="205" stopIfTrue="1">
      <formula>$BB12=1</formula>
    </cfRule>
  </conditionalFormatting>
  <conditionalFormatting sqref="J13">
    <cfRule type="expression" dxfId="849" priority="204" stopIfTrue="1">
      <formula>$BB13=1</formula>
    </cfRule>
  </conditionalFormatting>
  <conditionalFormatting sqref="J14">
    <cfRule type="expression" dxfId="848" priority="203" stopIfTrue="1">
      <formula>$BB14=1</formula>
    </cfRule>
  </conditionalFormatting>
  <conditionalFormatting sqref="J15">
    <cfRule type="expression" dxfId="847" priority="202" stopIfTrue="1">
      <formula>$BB15=1</formula>
    </cfRule>
  </conditionalFormatting>
  <conditionalFormatting sqref="J16">
    <cfRule type="expression" dxfId="846" priority="201" stopIfTrue="1">
      <formula>$BB16=1</formula>
    </cfRule>
  </conditionalFormatting>
  <conditionalFormatting sqref="J17">
    <cfRule type="expression" dxfId="845" priority="200" stopIfTrue="1">
      <formula>$BB17=1</formula>
    </cfRule>
  </conditionalFormatting>
  <conditionalFormatting sqref="J18">
    <cfRule type="expression" dxfId="844" priority="199" stopIfTrue="1">
      <formula>$BB18=1</formula>
    </cfRule>
  </conditionalFormatting>
  <conditionalFormatting sqref="J19">
    <cfRule type="expression" dxfId="843" priority="198" stopIfTrue="1">
      <formula>$BB19=1</formula>
    </cfRule>
  </conditionalFormatting>
  <conditionalFormatting sqref="J20">
    <cfRule type="expression" dxfId="842" priority="197" stopIfTrue="1">
      <formula>$BB20=1</formula>
    </cfRule>
  </conditionalFormatting>
  <conditionalFormatting sqref="J21">
    <cfRule type="expression" dxfId="841" priority="196" stopIfTrue="1">
      <formula>$BB21=1</formula>
    </cfRule>
  </conditionalFormatting>
  <conditionalFormatting sqref="J22">
    <cfRule type="expression" dxfId="840" priority="195" stopIfTrue="1">
      <formula>$BB22=1</formula>
    </cfRule>
  </conditionalFormatting>
  <conditionalFormatting sqref="J23">
    <cfRule type="expression" dxfId="839" priority="194" stopIfTrue="1">
      <formula>$BB23=1</formula>
    </cfRule>
  </conditionalFormatting>
  <conditionalFormatting sqref="J24">
    <cfRule type="expression" dxfId="838" priority="193" stopIfTrue="1">
      <formula>$BB24=1</formula>
    </cfRule>
  </conditionalFormatting>
  <conditionalFormatting sqref="J25">
    <cfRule type="expression" dxfId="837" priority="192" stopIfTrue="1">
      <formula>$BB25=1</formula>
    </cfRule>
  </conditionalFormatting>
  <conditionalFormatting sqref="L5">
    <cfRule type="expression" dxfId="836" priority="191" stopIfTrue="1">
      <formula>$BC5=1</formula>
    </cfRule>
  </conditionalFormatting>
  <conditionalFormatting sqref="L6">
    <cfRule type="expression" dxfId="835" priority="190" stopIfTrue="1">
      <formula>$BC6=1</formula>
    </cfRule>
  </conditionalFormatting>
  <conditionalFormatting sqref="L7">
    <cfRule type="expression" dxfId="834" priority="189" stopIfTrue="1">
      <formula>$BC7=1</formula>
    </cfRule>
  </conditionalFormatting>
  <conditionalFormatting sqref="L8">
    <cfRule type="expression" dxfId="833" priority="188" stopIfTrue="1">
      <formula>$BC8=1</formula>
    </cfRule>
  </conditionalFormatting>
  <conditionalFormatting sqref="L9">
    <cfRule type="expression" dxfId="832" priority="187" stopIfTrue="1">
      <formula>$BC9=1</formula>
    </cfRule>
  </conditionalFormatting>
  <conditionalFormatting sqref="L10">
    <cfRule type="expression" dxfId="831" priority="186" stopIfTrue="1">
      <formula>$BC10=1</formula>
    </cfRule>
  </conditionalFormatting>
  <conditionalFormatting sqref="L11">
    <cfRule type="expression" dxfId="830" priority="185" stopIfTrue="1">
      <formula>$BC11=1</formula>
    </cfRule>
  </conditionalFormatting>
  <conditionalFormatting sqref="L12">
    <cfRule type="expression" dxfId="829" priority="184" stopIfTrue="1">
      <formula>$BC12=1</formula>
    </cfRule>
  </conditionalFormatting>
  <conditionalFormatting sqref="L13">
    <cfRule type="expression" dxfId="828" priority="183" stopIfTrue="1">
      <formula>$BC13=1</formula>
    </cfRule>
  </conditionalFormatting>
  <conditionalFormatting sqref="L14">
    <cfRule type="expression" dxfId="827" priority="182" stopIfTrue="1">
      <formula>$BC14=1</formula>
    </cfRule>
  </conditionalFormatting>
  <conditionalFormatting sqref="L15">
    <cfRule type="expression" dxfId="826" priority="181" stopIfTrue="1">
      <formula>$BC15=1</formula>
    </cfRule>
  </conditionalFormatting>
  <conditionalFormatting sqref="L16">
    <cfRule type="expression" dxfId="825" priority="180" stopIfTrue="1">
      <formula>$BC16=1</formula>
    </cfRule>
  </conditionalFormatting>
  <conditionalFormatting sqref="L17">
    <cfRule type="expression" dxfId="824" priority="179" stopIfTrue="1">
      <formula>$BC17=1</formula>
    </cfRule>
  </conditionalFormatting>
  <conditionalFormatting sqref="L18">
    <cfRule type="expression" dxfId="823" priority="178" stopIfTrue="1">
      <formula>$BC18=1</formula>
    </cfRule>
  </conditionalFormatting>
  <conditionalFormatting sqref="L19">
    <cfRule type="expression" dxfId="822" priority="177" stopIfTrue="1">
      <formula>$BC19=1</formula>
    </cfRule>
  </conditionalFormatting>
  <conditionalFormatting sqref="L20">
    <cfRule type="expression" dxfId="821" priority="176" stopIfTrue="1">
      <formula>$BC20=1</formula>
    </cfRule>
  </conditionalFormatting>
  <conditionalFormatting sqref="L21">
    <cfRule type="expression" dxfId="820" priority="175" stopIfTrue="1">
      <formula>$BC21=1</formula>
    </cfRule>
  </conditionalFormatting>
  <conditionalFormatting sqref="L22">
    <cfRule type="expression" dxfId="819" priority="174" stopIfTrue="1">
      <formula>$BC22=1</formula>
    </cfRule>
  </conditionalFormatting>
  <conditionalFormatting sqref="L23">
    <cfRule type="expression" dxfId="818" priority="173" stopIfTrue="1">
      <formula>$BC23=1</formula>
    </cfRule>
  </conditionalFormatting>
  <conditionalFormatting sqref="L24">
    <cfRule type="expression" dxfId="817" priority="172" stopIfTrue="1">
      <formula>$BC24=1</formula>
    </cfRule>
  </conditionalFormatting>
  <conditionalFormatting sqref="L25">
    <cfRule type="expression" dxfId="816" priority="171" stopIfTrue="1">
      <formula>$BC25=1</formula>
    </cfRule>
  </conditionalFormatting>
  <conditionalFormatting sqref="N5">
    <cfRule type="expression" dxfId="815" priority="170" stopIfTrue="1">
      <formula>$BD5=1</formula>
    </cfRule>
  </conditionalFormatting>
  <conditionalFormatting sqref="N6">
    <cfRule type="expression" dxfId="814" priority="169" stopIfTrue="1">
      <formula>$BD6=1</formula>
    </cfRule>
  </conditionalFormatting>
  <conditionalFormatting sqref="N7">
    <cfRule type="expression" dxfId="813" priority="168" stopIfTrue="1">
      <formula>$BD7=1</formula>
    </cfRule>
  </conditionalFormatting>
  <conditionalFormatting sqref="N8">
    <cfRule type="expression" dxfId="812" priority="167" stopIfTrue="1">
      <formula>$BD8=1</formula>
    </cfRule>
  </conditionalFormatting>
  <conditionalFormatting sqref="N9">
    <cfRule type="expression" dxfId="811" priority="166" stopIfTrue="1">
      <formula>$BD9=1</formula>
    </cfRule>
  </conditionalFormatting>
  <conditionalFormatting sqref="N10">
    <cfRule type="expression" dxfId="810" priority="165" stopIfTrue="1">
      <formula>$BD10=1</formula>
    </cfRule>
  </conditionalFormatting>
  <conditionalFormatting sqref="N11">
    <cfRule type="expression" dxfId="809" priority="164" stopIfTrue="1">
      <formula>$BD11=1</formula>
    </cfRule>
  </conditionalFormatting>
  <conditionalFormatting sqref="N12">
    <cfRule type="expression" dxfId="808" priority="163" stopIfTrue="1">
      <formula>$BD12=1</formula>
    </cfRule>
  </conditionalFormatting>
  <conditionalFormatting sqref="N13">
    <cfRule type="expression" dxfId="807" priority="162" stopIfTrue="1">
      <formula>$BD13=1</formula>
    </cfRule>
  </conditionalFormatting>
  <conditionalFormatting sqref="N14">
    <cfRule type="expression" dxfId="806" priority="161" stopIfTrue="1">
      <formula>$BD14=1</formula>
    </cfRule>
  </conditionalFormatting>
  <conditionalFormatting sqref="N15">
    <cfRule type="expression" dxfId="805" priority="160" stopIfTrue="1">
      <formula>$BD15=1</formula>
    </cfRule>
  </conditionalFormatting>
  <conditionalFormatting sqref="N16">
    <cfRule type="expression" dxfId="804" priority="159" stopIfTrue="1">
      <formula>$BD16=1</formula>
    </cfRule>
  </conditionalFormatting>
  <conditionalFormatting sqref="N17">
    <cfRule type="expression" dxfId="803" priority="158" stopIfTrue="1">
      <formula>$BD17=1</formula>
    </cfRule>
  </conditionalFormatting>
  <conditionalFormatting sqref="N18">
    <cfRule type="expression" dxfId="802" priority="157" stopIfTrue="1">
      <formula>$BD18=1</formula>
    </cfRule>
  </conditionalFormatting>
  <conditionalFormatting sqref="N19">
    <cfRule type="expression" dxfId="801" priority="156" stopIfTrue="1">
      <formula>$BD19=1</formula>
    </cfRule>
  </conditionalFormatting>
  <conditionalFormatting sqref="N20">
    <cfRule type="expression" dxfId="800" priority="155" stopIfTrue="1">
      <formula>$BD20=1</formula>
    </cfRule>
  </conditionalFormatting>
  <conditionalFormatting sqref="N21">
    <cfRule type="expression" dxfId="799" priority="154" stopIfTrue="1">
      <formula>$BD21=1</formula>
    </cfRule>
  </conditionalFormatting>
  <conditionalFormatting sqref="N22">
    <cfRule type="expression" dxfId="798" priority="153" stopIfTrue="1">
      <formula>$BD22=1</formula>
    </cfRule>
  </conditionalFormatting>
  <conditionalFormatting sqref="N23">
    <cfRule type="expression" dxfId="797" priority="152" stopIfTrue="1">
      <formula>$BD23=1</formula>
    </cfRule>
  </conditionalFormatting>
  <conditionalFormatting sqref="N24">
    <cfRule type="expression" dxfId="796" priority="151" stopIfTrue="1">
      <formula>$BD24=1</formula>
    </cfRule>
  </conditionalFormatting>
  <conditionalFormatting sqref="N25">
    <cfRule type="expression" dxfId="795" priority="150" stopIfTrue="1">
      <formula>$BD25=1</formula>
    </cfRule>
  </conditionalFormatting>
  <conditionalFormatting sqref="P5">
    <cfRule type="expression" dxfId="794" priority="149" stopIfTrue="1">
      <formula>$BE5=1</formula>
    </cfRule>
  </conditionalFormatting>
  <conditionalFormatting sqref="P6">
    <cfRule type="expression" dxfId="793" priority="148" stopIfTrue="1">
      <formula>$BE6=1</formula>
    </cfRule>
  </conditionalFormatting>
  <conditionalFormatting sqref="P7">
    <cfRule type="expression" dxfId="792" priority="147" stopIfTrue="1">
      <formula>$BE7=1</formula>
    </cfRule>
  </conditionalFormatting>
  <conditionalFormatting sqref="P8">
    <cfRule type="expression" dxfId="791" priority="146" stopIfTrue="1">
      <formula>$BE8=1</formula>
    </cfRule>
  </conditionalFormatting>
  <conditionalFormatting sqref="P9">
    <cfRule type="expression" dxfId="790" priority="145" stopIfTrue="1">
      <formula>$BE9=1</formula>
    </cfRule>
  </conditionalFormatting>
  <conditionalFormatting sqref="P10">
    <cfRule type="expression" dxfId="789" priority="144" stopIfTrue="1">
      <formula>$BE10=1</formula>
    </cfRule>
  </conditionalFormatting>
  <conditionalFormatting sqref="P11">
    <cfRule type="expression" dxfId="788" priority="143" stopIfTrue="1">
      <formula>$BE11=1</formula>
    </cfRule>
  </conditionalFormatting>
  <conditionalFormatting sqref="P12">
    <cfRule type="expression" dxfId="787" priority="142" stopIfTrue="1">
      <formula>$BE12=1</formula>
    </cfRule>
  </conditionalFormatting>
  <conditionalFormatting sqref="P13">
    <cfRule type="expression" dxfId="786" priority="141" stopIfTrue="1">
      <formula>$BE13=1</formula>
    </cfRule>
  </conditionalFormatting>
  <conditionalFormatting sqref="P14">
    <cfRule type="expression" dxfId="785" priority="140" stopIfTrue="1">
      <formula>$BE14=1</formula>
    </cfRule>
  </conditionalFormatting>
  <conditionalFormatting sqref="P15">
    <cfRule type="expression" dxfId="784" priority="139" stopIfTrue="1">
      <formula>$BE15=1</formula>
    </cfRule>
  </conditionalFormatting>
  <conditionalFormatting sqref="P16">
    <cfRule type="expression" dxfId="783" priority="138" stopIfTrue="1">
      <formula>$BE16=1</formula>
    </cfRule>
  </conditionalFormatting>
  <conditionalFormatting sqref="P17">
    <cfRule type="expression" dxfId="782" priority="137" stopIfTrue="1">
      <formula>$BE17=1</formula>
    </cfRule>
  </conditionalFormatting>
  <conditionalFormatting sqref="P18">
    <cfRule type="expression" dxfId="781" priority="136" stopIfTrue="1">
      <formula>$BE18=1</formula>
    </cfRule>
  </conditionalFormatting>
  <conditionalFormatting sqref="P19">
    <cfRule type="expression" dxfId="780" priority="135" stopIfTrue="1">
      <formula>$BE19=1</formula>
    </cfRule>
  </conditionalFormatting>
  <conditionalFormatting sqref="P20">
    <cfRule type="expression" dxfId="779" priority="134" stopIfTrue="1">
      <formula>$BE20=1</formula>
    </cfRule>
  </conditionalFormatting>
  <conditionalFormatting sqref="P21">
    <cfRule type="expression" dxfId="778" priority="133" stopIfTrue="1">
      <formula>$BE21=1</formula>
    </cfRule>
  </conditionalFormatting>
  <conditionalFormatting sqref="P22">
    <cfRule type="expression" dxfId="777" priority="132" stopIfTrue="1">
      <formula>$BE22=1</formula>
    </cfRule>
  </conditionalFormatting>
  <conditionalFormatting sqref="P23">
    <cfRule type="expression" dxfId="776" priority="131" stopIfTrue="1">
      <formula>$BE23=1</formula>
    </cfRule>
  </conditionalFormatting>
  <conditionalFormatting sqref="P24">
    <cfRule type="expression" dxfId="775" priority="130" stopIfTrue="1">
      <formula>$BE24=1</formula>
    </cfRule>
  </conditionalFormatting>
  <conditionalFormatting sqref="P25">
    <cfRule type="expression" dxfId="774" priority="129" stopIfTrue="1">
      <formula>$BE25=1</formula>
    </cfRule>
  </conditionalFormatting>
  <conditionalFormatting sqref="R5">
    <cfRule type="expression" dxfId="773" priority="128" stopIfTrue="1">
      <formula>$BF5=1</formula>
    </cfRule>
  </conditionalFormatting>
  <conditionalFormatting sqref="R6">
    <cfRule type="expression" dxfId="772" priority="127" stopIfTrue="1">
      <formula>$BF6=1</formula>
    </cfRule>
  </conditionalFormatting>
  <conditionalFormatting sqref="R7">
    <cfRule type="expression" dxfId="771" priority="126" stopIfTrue="1">
      <formula>$BF7=1</formula>
    </cfRule>
  </conditionalFormatting>
  <conditionalFormatting sqref="R8">
    <cfRule type="expression" dxfId="770" priority="125" stopIfTrue="1">
      <formula>$BF8=1</formula>
    </cfRule>
  </conditionalFormatting>
  <conditionalFormatting sqref="R9">
    <cfRule type="expression" dxfId="769" priority="124" stopIfTrue="1">
      <formula>$BF9=1</formula>
    </cfRule>
  </conditionalFormatting>
  <conditionalFormatting sqref="R10">
    <cfRule type="expression" dxfId="768" priority="123" stopIfTrue="1">
      <formula>$BF10=1</formula>
    </cfRule>
  </conditionalFormatting>
  <conditionalFormatting sqref="R11">
    <cfRule type="expression" dxfId="767" priority="122" stopIfTrue="1">
      <formula>$BF11=1</formula>
    </cfRule>
  </conditionalFormatting>
  <conditionalFormatting sqref="R12">
    <cfRule type="expression" dxfId="766" priority="121" stopIfTrue="1">
      <formula>$BF12=1</formula>
    </cfRule>
  </conditionalFormatting>
  <conditionalFormatting sqref="R13">
    <cfRule type="expression" dxfId="765" priority="120" stopIfTrue="1">
      <formula>$BF13=1</formula>
    </cfRule>
  </conditionalFormatting>
  <conditionalFormatting sqref="R14">
    <cfRule type="expression" dxfId="764" priority="119" stopIfTrue="1">
      <formula>$BF14=1</formula>
    </cfRule>
  </conditionalFormatting>
  <conditionalFormatting sqref="R15">
    <cfRule type="expression" dxfId="763" priority="118" stopIfTrue="1">
      <formula>$BF15=1</formula>
    </cfRule>
  </conditionalFormatting>
  <conditionalFormatting sqref="R16">
    <cfRule type="expression" dxfId="762" priority="117" stopIfTrue="1">
      <formula>$BF16=1</formula>
    </cfRule>
  </conditionalFormatting>
  <conditionalFormatting sqref="R17">
    <cfRule type="expression" dxfId="761" priority="116" stopIfTrue="1">
      <formula>$BF17=1</formula>
    </cfRule>
  </conditionalFormatting>
  <conditionalFormatting sqref="R18">
    <cfRule type="expression" dxfId="760" priority="115" stopIfTrue="1">
      <formula>$BF18=1</formula>
    </cfRule>
  </conditionalFormatting>
  <conditionalFormatting sqref="R19">
    <cfRule type="expression" dxfId="759" priority="114" stopIfTrue="1">
      <formula>$BF19=1</formula>
    </cfRule>
  </conditionalFormatting>
  <conditionalFormatting sqref="R20">
    <cfRule type="expression" dxfId="758" priority="113" stopIfTrue="1">
      <formula>$BF20=1</formula>
    </cfRule>
  </conditionalFormatting>
  <conditionalFormatting sqref="R21">
    <cfRule type="expression" dxfId="757" priority="112" stopIfTrue="1">
      <formula>$BF21=1</formula>
    </cfRule>
  </conditionalFormatting>
  <conditionalFormatting sqref="R22">
    <cfRule type="expression" dxfId="756" priority="111" stopIfTrue="1">
      <formula>$BF22=1</formula>
    </cfRule>
  </conditionalFormatting>
  <conditionalFormatting sqref="R23">
    <cfRule type="expression" dxfId="755" priority="110" stopIfTrue="1">
      <formula>$BF23=1</formula>
    </cfRule>
  </conditionalFormatting>
  <conditionalFormatting sqref="R24">
    <cfRule type="expression" dxfId="754" priority="109" stopIfTrue="1">
      <formula>$BF24=1</formula>
    </cfRule>
  </conditionalFormatting>
  <conditionalFormatting sqref="R25">
    <cfRule type="expression" dxfId="753" priority="108" stopIfTrue="1">
      <formula>$BF25=1</formula>
    </cfRule>
  </conditionalFormatting>
  <conditionalFormatting sqref="T5">
    <cfRule type="expression" dxfId="752" priority="107" stopIfTrue="1">
      <formula>$BG5=1</formula>
    </cfRule>
  </conditionalFormatting>
  <conditionalFormatting sqref="T6">
    <cfRule type="expression" dxfId="751" priority="106" stopIfTrue="1">
      <formula>$BG6=1</formula>
    </cfRule>
  </conditionalFormatting>
  <conditionalFormatting sqref="T7">
    <cfRule type="expression" dxfId="750" priority="105" stopIfTrue="1">
      <formula>$BG7=1</formula>
    </cfRule>
  </conditionalFormatting>
  <conditionalFormatting sqref="T8">
    <cfRule type="expression" dxfId="749" priority="104" stopIfTrue="1">
      <formula>$BG8=1</formula>
    </cfRule>
  </conditionalFormatting>
  <conditionalFormatting sqref="T9">
    <cfRule type="expression" dxfId="748" priority="103" stopIfTrue="1">
      <formula>$BG9=1</formula>
    </cfRule>
  </conditionalFormatting>
  <conditionalFormatting sqref="T10">
    <cfRule type="expression" dxfId="747" priority="102" stopIfTrue="1">
      <formula>$BG10=1</formula>
    </cfRule>
  </conditionalFormatting>
  <conditionalFormatting sqref="T11">
    <cfRule type="expression" dxfId="746" priority="101" stopIfTrue="1">
      <formula>$BG11=1</formula>
    </cfRule>
  </conditionalFormatting>
  <conditionalFormatting sqref="T12">
    <cfRule type="expression" dxfId="745" priority="100" stopIfTrue="1">
      <formula>$BG12=1</formula>
    </cfRule>
  </conditionalFormatting>
  <conditionalFormatting sqref="T13">
    <cfRule type="expression" dxfId="744" priority="99" stopIfTrue="1">
      <formula>$BG13=1</formula>
    </cfRule>
  </conditionalFormatting>
  <conditionalFormatting sqref="T14">
    <cfRule type="expression" dxfId="743" priority="98" stopIfTrue="1">
      <formula>$BG14=1</formula>
    </cfRule>
  </conditionalFormatting>
  <conditionalFormatting sqref="T15">
    <cfRule type="expression" dxfId="742" priority="97" stopIfTrue="1">
      <formula>$BG15=1</formula>
    </cfRule>
  </conditionalFormatting>
  <conditionalFormatting sqref="T16">
    <cfRule type="expression" dxfId="741" priority="96" stopIfTrue="1">
      <formula>$BG16=1</formula>
    </cfRule>
  </conditionalFormatting>
  <conditionalFormatting sqref="T17">
    <cfRule type="expression" dxfId="740" priority="95" stopIfTrue="1">
      <formula>$BG17=1</formula>
    </cfRule>
  </conditionalFormatting>
  <conditionalFormatting sqref="T18">
    <cfRule type="expression" dxfId="739" priority="94" stopIfTrue="1">
      <formula>$BG18=1</formula>
    </cfRule>
  </conditionalFormatting>
  <conditionalFormatting sqref="T19">
    <cfRule type="expression" dxfId="738" priority="93" stopIfTrue="1">
      <formula>$BG19=1</formula>
    </cfRule>
  </conditionalFormatting>
  <conditionalFormatting sqref="T20">
    <cfRule type="expression" dxfId="737" priority="92" stopIfTrue="1">
      <formula>$BG20=1</formula>
    </cfRule>
  </conditionalFormatting>
  <conditionalFormatting sqref="T21">
    <cfRule type="expression" dxfId="736" priority="91" stopIfTrue="1">
      <formula>$BG21=1</formula>
    </cfRule>
  </conditionalFormatting>
  <conditionalFormatting sqref="T22">
    <cfRule type="expression" dxfId="735" priority="90" stopIfTrue="1">
      <formula>$BG22=1</formula>
    </cfRule>
  </conditionalFormatting>
  <conditionalFormatting sqref="T23">
    <cfRule type="expression" dxfId="734" priority="89" stopIfTrue="1">
      <formula>$BG23=1</formula>
    </cfRule>
  </conditionalFormatting>
  <conditionalFormatting sqref="T24">
    <cfRule type="expression" dxfId="733" priority="88" stopIfTrue="1">
      <formula>$BG24=1</formula>
    </cfRule>
  </conditionalFormatting>
  <conditionalFormatting sqref="T25">
    <cfRule type="expression" dxfId="732" priority="87" stopIfTrue="1">
      <formula>$BG25=1</formula>
    </cfRule>
  </conditionalFormatting>
  <conditionalFormatting sqref="V5">
    <cfRule type="expression" dxfId="731" priority="86" stopIfTrue="1">
      <formula>$BH5=1</formula>
    </cfRule>
  </conditionalFormatting>
  <conditionalFormatting sqref="V6">
    <cfRule type="expression" dxfId="730" priority="85" stopIfTrue="1">
      <formula>$BH6=1</formula>
    </cfRule>
  </conditionalFormatting>
  <conditionalFormatting sqref="V7">
    <cfRule type="expression" dxfId="729" priority="84" stopIfTrue="1">
      <formula>$BH7=1</formula>
    </cfRule>
  </conditionalFormatting>
  <conditionalFormatting sqref="V8">
    <cfRule type="expression" dxfId="728" priority="83" stopIfTrue="1">
      <formula>$BH8=1</formula>
    </cfRule>
  </conditionalFormatting>
  <conditionalFormatting sqref="V9">
    <cfRule type="expression" dxfId="727" priority="82" stopIfTrue="1">
      <formula>$BH9=1</formula>
    </cfRule>
  </conditionalFormatting>
  <conditionalFormatting sqref="V10">
    <cfRule type="expression" dxfId="726" priority="81" stopIfTrue="1">
      <formula>$BH10=1</formula>
    </cfRule>
  </conditionalFormatting>
  <conditionalFormatting sqref="V11">
    <cfRule type="expression" dxfId="725" priority="80" stopIfTrue="1">
      <formula>$BH11=1</formula>
    </cfRule>
  </conditionalFormatting>
  <conditionalFormatting sqref="V12">
    <cfRule type="expression" dxfId="724" priority="79" stopIfTrue="1">
      <formula>$BH12=1</formula>
    </cfRule>
  </conditionalFormatting>
  <conditionalFormatting sqref="V13">
    <cfRule type="expression" dxfId="723" priority="78" stopIfTrue="1">
      <formula>$BH13=1</formula>
    </cfRule>
  </conditionalFormatting>
  <conditionalFormatting sqref="V14">
    <cfRule type="expression" dxfId="722" priority="77" stopIfTrue="1">
      <formula>$BH14=1</formula>
    </cfRule>
  </conditionalFormatting>
  <conditionalFormatting sqref="V15">
    <cfRule type="expression" dxfId="721" priority="76" stopIfTrue="1">
      <formula>$BH15=1</formula>
    </cfRule>
  </conditionalFormatting>
  <conditionalFormatting sqref="V16">
    <cfRule type="expression" dxfId="720" priority="75" stopIfTrue="1">
      <formula>$BH16=1</formula>
    </cfRule>
  </conditionalFormatting>
  <conditionalFormatting sqref="V17">
    <cfRule type="expression" dxfId="719" priority="74" stopIfTrue="1">
      <formula>$BH17=1</formula>
    </cfRule>
  </conditionalFormatting>
  <conditionalFormatting sqref="V18">
    <cfRule type="expression" dxfId="718" priority="73" stopIfTrue="1">
      <formula>$BH18=1</formula>
    </cfRule>
  </conditionalFormatting>
  <conditionalFormatting sqref="V19">
    <cfRule type="expression" dxfId="717" priority="72" stopIfTrue="1">
      <formula>$BH19=1</formula>
    </cfRule>
  </conditionalFormatting>
  <conditionalFormatting sqref="V20">
    <cfRule type="expression" dxfId="716" priority="71" stopIfTrue="1">
      <formula>$BH20=1</formula>
    </cfRule>
  </conditionalFormatting>
  <conditionalFormatting sqref="V21">
    <cfRule type="expression" dxfId="715" priority="70" stopIfTrue="1">
      <formula>$BH21=1</formula>
    </cfRule>
  </conditionalFormatting>
  <conditionalFormatting sqref="V22">
    <cfRule type="expression" dxfId="714" priority="69" stopIfTrue="1">
      <formula>$BH22=1</formula>
    </cfRule>
  </conditionalFormatting>
  <conditionalFormatting sqref="V23">
    <cfRule type="expression" dxfId="713" priority="68" stopIfTrue="1">
      <formula>$BH23=1</formula>
    </cfRule>
  </conditionalFormatting>
  <conditionalFormatting sqref="V24">
    <cfRule type="expression" dxfId="712" priority="67" stopIfTrue="1">
      <formula>$BH24=1</formula>
    </cfRule>
  </conditionalFormatting>
  <conditionalFormatting sqref="V25">
    <cfRule type="expression" dxfId="711" priority="66" stopIfTrue="1">
      <formula>$BH25=1</formula>
    </cfRule>
  </conditionalFormatting>
  <conditionalFormatting sqref="X5">
    <cfRule type="expression" dxfId="710" priority="65" stopIfTrue="1">
      <formula>$BI5=1</formula>
    </cfRule>
  </conditionalFormatting>
  <conditionalFormatting sqref="X6">
    <cfRule type="expression" dxfId="709" priority="64" stopIfTrue="1">
      <formula>$BI6=1</formula>
    </cfRule>
  </conditionalFormatting>
  <conditionalFormatting sqref="X7">
    <cfRule type="expression" dxfId="708" priority="63" stopIfTrue="1">
      <formula>$BI7=1</formula>
    </cfRule>
  </conditionalFormatting>
  <conditionalFormatting sqref="X8">
    <cfRule type="expression" dxfId="707" priority="62" stopIfTrue="1">
      <formula>$BI8=1</formula>
    </cfRule>
  </conditionalFormatting>
  <conditionalFormatting sqref="X9">
    <cfRule type="expression" dxfId="706" priority="61" stopIfTrue="1">
      <formula>$BI9=1</formula>
    </cfRule>
  </conditionalFormatting>
  <conditionalFormatting sqref="X10">
    <cfRule type="expression" dxfId="705" priority="60" stopIfTrue="1">
      <formula>$BI10=1</formula>
    </cfRule>
  </conditionalFormatting>
  <conditionalFormatting sqref="X11">
    <cfRule type="expression" dxfId="704" priority="59" stopIfTrue="1">
      <formula>$BI11=1</formula>
    </cfRule>
  </conditionalFormatting>
  <conditionalFormatting sqref="X12">
    <cfRule type="expression" dxfId="703" priority="58" stopIfTrue="1">
      <formula>$BI12=1</formula>
    </cfRule>
  </conditionalFormatting>
  <conditionalFormatting sqref="X13">
    <cfRule type="expression" dxfId="702" priority="57" stopIfTrue="1">
      <formula>$BI13=1</formula>
    </cfRule>
  </conditionalFormatting>
  <conditionalFormatting sqref="X14">
    <cfRule type="expression" dxfId="701" priority="56" stopIfTrue="1">
      <formula>$BI14=1</formula>
    </cfRule>
  </conditionalFormatting>
  <conditionalFormatting sqref="X15">
    <cfRule type="expression" dxfId="700" priority="55" stopIfTrue="1">
      <formula>$BI15=1</formula>
    </cfRule>
  </conditionalFormatting>
  <conditionalFormatting sqref="X16">
    <cfRule type="expression" dxfId="699" priority="54" stopIfTrue="1">
      <formula>$BI16=1</formula>
    </cfRule>
  </conditionalFormatting>
  <conditionalFormatting sqref="X17">
    <cfRule type="expression" dxfId="698" priority="53" stopIfTrue="1">
      <formula>$BI17=1</formula>
    </cfRule>
  </conditionalFormatting>
  <conditionalFormatting sqref="X18">
    <cfRule type="expression" dxfId="697" priority="52" stopIfTrue="1">
      <formula>$BI18=1</formula>
    </cfRule>
  </conditionalFormatting>
  <conditionalFormatting sqref="X19">
    <cfRule type="expression" dxfId="696" priority="51" stopIfTrue="1">
      <formula>$BI19=1</formula>
    </cfRule>
  </conditionalFormatting>
  <conditionalFormatting sqref="X20">
    <cfRule type="expression" dxfId="695" priority="50" stopIfTrue="1">
      <formula>$BI20=1</formula>
    </cfRule>
  </conditionalFormatting>
  <conditionalFormatting sqref="X21">
    <cfRule type="expression" dxfId="694" priority="49" stopIfTrue="1">
      <formula>$BI21=1</formula>
    </cfRule>
  </conditionalFormatting>
  <conditionalFormatting sqref="X22">
    <cfRule type="expression" dxfId="693" priority="48" stopIfTrue="1">
      <formula>$BI22=1</formula>
    </cfRule>
  </conditionalFormatting>
  <conditionalFormatting sqref="X23">
    <cfRule type="expression" dxfId="692" priority="47" stopIfTrue="1">
      <formula>$BI23=1</formula>
    </cfRule>
  </conditionalFormatting>
  <conditionalFormatting sqref="X24">
    <cfRule type="expression" dxfId="691" priority="46" stopIfTrue="1">
      <formula>$BI24=1</formula>
    </cfRule>
  </conditionalFormatting>
  <conditionalFormatting sqref="X25">
    <cfRule type="expression" dxfId="690" priority="45" stopIfTrue="1">
      <formula>$BI25=1</formula>
    </cfRule>
  </conditionalFormatting>
  <conditionalFormatting sqref="Z5">
    <cfRule type="expression" dxfId="689" priority="44" stopIfTrue="1">
      <formula>$BJ5=1</formula>
    </cfRule>
  </conditionalFormatting>
  <conditionalFormatting sqref="Z6">
    <cfRule type="expression" dxfId="688" priority="43" stopIfTrue="1">
      <formula>$BJ6=1</formula>
    </cfRule>
  </conditionalFormatting>
  <conditionalFormatting sqref="Z7">
    <cfRule type="expression" dxfId="687" priority="42" stopIfTrue="1">
      <formula>$BJ7=1</formula>
    </cfRule>
  </conditionalFormatting>
  <conditionalFormatting sqref="Z8">
    <cfRule type="expression" dxfId="686" priority="41" stopIfTrue="1">
      <formula>$BJ8=1</formula>
    </cfRule>
  </conditionalFormatting>
  <conditionalFormatting sqref="Z9">
    <cfRule type="expression" dxfId="685" priority="40" stopIfTrue="1">
      <formula>$BJ9=1</formula>
    </cfRule>
  </conditionalFormatting>
  <conditionalFormatting sqref="Z10">
    <cfRule type="expression" dxfId="684" priority="39" stopIfTrue="1">
      <formula>$BJ10=1</formula>
    </cfRule>
  </conditionalFormatting>
  <conditionalFormatting sqref="Z11">
    <cfRule type="expression" dxfId="683" priority="38" stopIfTrue="1">
      <formula>$BJ11=1</formula>
    </cfRule>
  </conditionalFormatting>
  <conditionalFormatting sqref="Z12">
    <cfRule type="expression" dxfId="682" priority="37" stopIfTrue="1">
      <formula>$BJ12=1</formula>
    </cfRule>
  </conditionalFormatting>
  <conditionalFormatting sqref="Z13">
    <cfRule type="expression" dxfId="681" priority="36" stopIfTrue="1">
      <formula>$BJ13=1</formula>
    </cfRule>
  </conditionalFormatting>
  <conditionalFormatting sqref="Z14">
    <cfRule type="expression" dxfId="680" priority="35" stopIfTrue="1">
      <formula>$BJ14=1</formula>
    </cfRule>
  </conditionalFormatting>
  <conditionalFormatting sqref="Z15">
    <cfRule type="expression" dxfId="679" priority="34" stopIfTrue="1">
      <formula>$BJ15=1</formula>
    </cfRule>
  </conditionalFormatting>
  <conditionalFormatting sqref="Z16">
    <cfRule type="expression" dxfId="678" priority="33" stopIfTrue="1">
      <formula>$BJ16=1</formula>
    </cfRule>
  </conditionalFormatting>
  <conditionalFormatting sqref="Z17">
    <cfRule type="expression" dxfId="677" priority="32" stopIfTrue="1">
      <formula>$BJ17=1</formula>
    </cfRule>
  </conditionalFormatting>
  <conditionalFormatting sqref="Z18">
    <cfRule type="expression" dxfId="676" priority="31" stopIfTrue="1">
      <formula>$BJ18=1</formula>
    </cfRule>
  </conditionalFormatting>
  <conditionalFormatting sqref="Z19">
    <cfRule type="expression" dxfId="675" priority="30" stopIfTrue="1">
      <formula>$BJ19=1</formula>
    </cfRule>
  </conditionalFormatting>
  <conditionalFormatting sqref="Z20">
    <cfRule type="expression" dxfId="674" priority="29" stopIfTrue="1">
      <formula>$BJ20=1</formula>
    </cfRule>
  </conditionalFormatting>
  <conditionalFormatting sqref="Z21">
    <cfRule type="expression" dxfId="673" priority="28" stopIfTrue="1">
      <formula>$BJ21=1</formula>
    </cfRule>
  </conditionalFormatting>
  <conditionalFormatting sqref="Z22">
    <cfRule type="expression" dxfId="672" priority="27" stopIfTrue="1">
      <formula>$BJ22=1</formula>
    </cfRule>
  </conditionalFormatting>
  <conditionalFormatting sqref="Z23">
    <cfRule type="expression" dxfId="671" priority="26" stopIfTrue="1">
      <formula>$BJ23=1</formula>
    </cfRule>
  </conditionalFormatting>
  <conditionalFormatting sqref="Z24">
    <cfRule type="expression" dxfId="670" priority="25" stopIfTrue="1">
      <formula>$BJ24=1</formula>
    </cfRule>
  </conditionalFormatting>
  <conditionalFormatting sqref="Z25">
    <cfRule type="expression" dxfId="669" priority="24" stopIfTrue="1">
      <formula>$BJ25=1</formula>
    </cfRule>
  </conditionalFormatting>
  <conditionalFormatting sqref="AB5">
    <cfRule type="expression" dxfId="668" priority="23" stopIfTrue="1">
      <formula>$BK5=1</formula>
    </cfRule>
  </conditionalFormatting>
  <conditionalFormatting sqref="AB6">
    <cfRule type="expression" dxfId="667" priority="22" stopIfTrue="1">
      <formula>$BK6=1</formula>
    </cfRule>
  </conditionalFormatting>
  <conditionalFormatting sqref="AB7">
    <cfRule type="expression" dxfId="666" priority="21" stopIfTrue="1">
      <formula>$BK7=1</formula>
    </cfRule>
  </conditionalFormatting>
  <conditionalFormatting sqref="AB8">
    <cfRule type="expression" dxfId="665" priority="20" stopIfTrue="1">
      <formula>$BK8=1</formula>
    </cfRule>
  </conditionalFormatting>
  <conditionalFormatting sqref="AB9">
    <cfRule type="expression" dxfId="664" priority="19" stopIfTrue="1">
      <formula>$BK9=1</formula>
    </cfRule>
  </conditionalFormatting>
  <conditionalFormatting sqref="AB10">
    <cfRule type="expression" dxfId="663" priority="18" stopIfTrue="1">
      <formula>$BK10=1</formula>
    </cfRule>
  </conditionalFormatting>
  <conditionalFormatting sqref="AB11">
    <cfRule type="expression" dxfId="662" priority="17" stopIfTrue="1">
      <formula>$BK11=1</formula>
    </cfRule>
  </conditionalFormatting>
  <conditionalFormatting sqref="AB12">
    <cfRule type="expression" dxfId="661" priority="16" stopIfTrue="1">
      <formula>$BK12=1</formula>
    </cfRule>
  </conditionalFormatting>
  <conditionalFormatting sqref="AB13">
    <cfRule type="expression" dxfId="660" priority="15" stopIfTrue="1">
      <formula>$BK13=1</formula>
    </cfRule>
  </conditionalFormatting>
  <conditionalFormatting sqref="AB14">
    <cfRule type="expression" dxfId="659" priority="14" stopIfTrue="1">
      <formula>$BK14=1</formula>
    </cfRule>
  </conditionalFormatting>
  <conditionalFormatting sqref="AB15">
    <cfRule type="expression" dxfId="658" priority="13" stopIfTrue="1">
      <formula>$BK15=1</formula>
    </cfRule>
  </conditionalFormatting>
  <conditionalFormatting sqref="AB16">
    <cfRule type="expression" dxfId="657" priority="12" stopIfTrue="1">
      <formula>$BK16=1</formula>
    </cfRule>
  </conditionalFormatting>
  <conditionalFormatting sqref="AB17">
    <cfRule type="expression" dxfId="656" priority="11" stopIfTrue="1">
      <formula>$BK17=1</formula>
    </cfRule>
  </conditionalFormatting>
  <conditionalFormatting sqref="AB18">
    <cfRule type="expression" dxfId="655" priority="10" stopIfTrue="1">
      <formula>$BK18=1</formula>
    </cfRule>
  </conditionalFormatting>
  <conditionalFormatting sqref="AB19">
    <cfRule type="expression" dxfId="654" priority="9" stopIfTrue="1">
      <formula>$BK19=1</formula>
    </cfRule>
  </conditionalFormatting>
  <conditionalFormatting sqref="AB20">
    <cfRule type="expression" dxfId="653" priority="8" stopIfTrue="1">
      <formula>$BK20=1</formula>
    </cfRule>
  </conditionalFormatting>
  <conditionalFormatting sqref="AB21">
    <cfRule type="expression" dxfId="652" priority="7" stopIfTrue="1">
      <formula>$BK21=1</formula>
    </cfRule>
  </conditionalFormatting>
  <conditionalFormatting sqref="AB22">
    <cfRule type="expression" dxfId="651" priority="6" stopIfTrue="1">
      <formula>$BK22=1</formula>
    </cfRule>
  </conditionalFormatting>
  <conditionalFormatting sqref="AB23">
    <cfRule type="expression" dxfId="650" priority="5" stopIfTrue="1">
      <formula>$BK23=1</formula>
    </cfRule>
  </conditionalFormatting>
  <conditionalFormatting sqref="AB24">
    <cfRule type="expression" dxfId="649" priority="4" stopIfTrue="1">
      <formula>$BK24=1</formula>
    </cfRule>
  </conditionalFormatting>
  <conditionalFormatting sqref="AB25">
    <cfRule type="expression" dxfId="648" priority="3" stopIfTrue="1">
      <formula>$BK25=1</formula>
    </cfRule>
  </conditionalFormatting>
  <conditionalFormatting sqref="G26">
    <cfRule type="expression" dxfId="647" priority="2" stopIfTrue="1">
      <formula>SUM($BA$4:$BK$25)&gt;0</formula>
    </cfRule>
  </conditionalFormatting>
  <conditionalFormatting sqref="B4:B25">
    <cfRule type="cellIs" dxfId="646" priority="1" stopIfTrue="1" operator="equal">
      <formula>$AE$1</formula>
    </cfRule>
  </conditionalFormatting>
  <pageMargins left="0.23622047244094491" right="0.23622047244094491" top="0.74803149606299213" bottom="0.74803149606299213" header="0.31496062992125984" footer="0.31496062992125984"/>
  <pageSetup paperSize="9" orientation="landscape" r:id="rId1"/>
  <headerFooter differentOddEven="1" differentFirst="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8" tint="0.79998168889431442"/>
  </sheetPr>
  <dimension ref="A1:AE70"/>
  <sheetViews>
    <sheetView showZeros="0" zoomScaleNormal="100" workbookViewId="0">
      <pane xSplit="2" ySplit="2" topLeftCell="C3" activePane="bottomRight" state="frozen"/>
      <selection pane="topRight"/>
      <selection pane="bottomLeft"/>
      <selection pane="bottomRight"/>
    </sheetView>
  </sheetViews>
  <sheetFormatPr defaultColWidth="9.125" defaultRowHeight="14.25"/>
  <cols>
    <col min="1" max="1" width="3.75" style="52" bestFit="1" customWidth="1"/>
    <col min="2" max="2" width="31.625" style="52" bestFit="1" customWidth="1"/>
    <col min="3" max="3" width="6.375" style="52" bestFit="1" customWidth="1"/>
    <col min="4" max="14" width="9.125" style="52"/>
    <col min="15" max="15" width="1.125" style="52" hidden="1" customWidth="1"/>
    <col min="16" max="26" width="3.875" style="52" hidden="1" customWidth="1"/>
    <col min="27" max="27" width="11" style="52" customWidth="1"/>
    <col min="28" max="28" width="20.625" style="52" customWidth="1"/>
    <col min="29" max="30" width="9.125" style="52"/>
    <col min="31" max="31" width="0" style="52" hidden="1" customWidth="1"/>
    <col min="32" max="16384" width="9.125" style="52"/>
  </cols>
  <sheetData>
    <row r="1" spans="1:31" ht="19.5" customHeight="1" thickBot="1">
      <c r="A1" s="417"/>
      <c r="B1" s="418"/>
      <c r="C1" s="1283" t="s">
        <v>512</v>
      </c>
      <c r="D1" s="1283"/>
      <c r="E1" s="1283"/>
      <c r="F1" s="1283"/>
      <c r="G1" s="1283"/>
      <c r="H1" s="1283"/>
      <c r="I1" s="1283"/>
      <c r="J1" s="1283"/>
      <c r="K1" s="1283"/>
      <c r="L1" s="1283"/>
      <c r="M1" s="1283"/>
      <c r="N1" s="1283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1280"/>
      <c r="AC1" s="1280"/>
      <c r="AD1" s="86"/>
      <c r="AE1" s="52" t="s">
        <v>42</v>
      </c>
    </row>
    <row r="2" spans="1:31" ht="18" customHeight="1" thickBot="1">
      <c r="A2" s="1284" t="s">
        <v>469</v>
      </c>
      <c r="B2" s="1285"/>
      <c r="C2" s="146" t="str">
        <f>'Month A'!M2</f>
        <v>Month</v>
      </c>
      <c r="D2" s="147" t="str">
        <f>B!M2</f>
        <v/>
      </c>
      <c r="E2" s="147" t="str">
        <f>'C'!M2</f>
        <v/>
      </c>
      <c r="F2" s="147" t="str">
        <f>D!M2</f>
        <v/>
      </c>
      <c r="G2" s="147" t="str">
        <f>E!M2</f>
        <v/>
      </c>
      <c r="H2" s="147" t="str">
        <f>F!M2</f>
        <v/>
      </c>
      <c r="I2" s="147" t="str">
        <f>G!M2</f>
        <v/>
      </c>
      <c r="J2" s="147" t="str">
        <f>H!M2</f>
        <v/>
      </c>
      <c r="K2" s="147" t="str">
        <f>I!M2</f>
        <v/>
      </c>
      <c r="L2" s="147" t="str">
        <f>J!M2</f>
        <v/>
      </c>
      <c r="M2" s="147" t="str">
        <f>K!M2</f>
        <v/>
      </c>
      <c r="N2" s="148" t="str">
        <f>L!M2</f>
        <v/>
      </c>
      <c r="O2" s="86"/>
      <c r="P2" s="419">
        <v>1</v>
      </c>
      <c r="Q2" s="420">
        <v>2</v>
      </c>
      <c r="R2" s="420">
        <v>3</v>
      </c>
      <c r="S2" s="420">
        <v>4</v>
      </c>
      <c r="T2" s="420">
        <v>5</v>
      </c>
      <c r="U2" s="420">
        <v>6</v>
      </c>
      <c r="V2" s="420">
        <v>7</v>
      </c>
      <c r="W2" s="420">
        <v>8</v>
      </c>
      <c r="X2" s="420">
        <v>9</v>
      </c>
      <c r="Y2" s="420">
        <v>10</v>
      </c>
      <c r="Z2" s="421">
        <v>11</v>
      </c>
      <c r="AA2" s="86"/>
      <c r="AB2" s="1280"/>
      <c r="AC2" s="1280"/>
      <c r="AD2" s="86"/>
      <c r="AE2" s="86"/>
    </row>
    <row r="3" spans="1:31">
      <c r="A3" s="1286" t="s">
        <v>151</v>
      </c>
      <c r="B3" s="112" t="str">
        <f>'All Months Actuals'!B3</f>
        <v>Mortgage Payments</v>
      </c>
      <c r="C3" s="347">
        <f>'Month A'!C7</f>
        <v>0</v>
      </c>
      <c r="D3" s="348">
        <f ca="1">$P$67*B!$C7</f>
        <v>0</v>
      </c>
      <c r="E3" s="348">
        <f ca="1">$Q$67*'C'!$C7</f>
        <v>0</v>
      </c>
      <c r="F3" s="348">
        <f ca="1">$R$67*D!$C7</f>
        <v>0</v>
      </c>
      <c r="G3" s="348">
        <f ca="1">$S$67*E!$C7</f>
        <v>0</v>
      </c>
      <c r="H3" s="348">
        <f ca="1">$T$67*F!$C7</f>
        <v>0</v>
      </c>
      <c r="I3" s="348">
        <f ca="1">$U$67*G!$C7</f>
        <v>0</v>
      </c>
      <c r="J3" s="348">
        <f ca="1">$V$67*H!$C7</f>
        <v>0</v>
      </c>
      <c r="K3" s="348">
        <f ca="1">$W$67*I!$C7</f>
        <v>0</v>
      </c>
      <c r="L3" s="348">
        <f ca="1">$X$67*J!$C7</f>
        <v>0</v>
      </c>
      <c r="M3" s="348">
        <f ca="1">$Y$67*K!$C7</f>
        <v>0</v>
      </c>
      <c r="N3" s="349">
        <f ca="1">$Z$67*L!$C7</f>
        <v>0</v>
      </c>
      <c r="O3" s="86"/>
      <c r="P3" s="422">
        <f>IF(B!$C7&lt;&gt;'Month A'!$C7,1,0)</f>
        <v>0</v>
      </c>
      <c r="Q3" s="423">
        <f>IF('C'!$C7&lt;&gt;B!$C7,1,0)</f>
        <v>0</v>
      </c>
      <c r="R3" s="423">
        <f>IF(D!$C7&lt;&gt;'C'!$C7,1,0)</f>
        <v>0</v>
      </c>
      <c r="S3" s="423">
        <f>IF(E!$C7&lt;&gt;D!$C7,1,0)</f>
        <v>0</v>
      </c>
      <c r="T3" s="423">
        <f>IF(F!$C7&lt;&gt;E!$C7,1,0)</f>
        <v>0</v>
      </c>
      <c r="U3" s="423">
        <f>IF(G!$C7&lt;&gt;F!$C7,1,0)</f>
        <v>0</v>
      </c>
      <c r="V3" s="423">
        <f>IF(H!$C7&lt;&gt;G!$C7,1,0)</f>
        <v>0</v>
      </c>
      <c r="W3" s="423">
        <f>IF(I!$C7&lt;&gt;H!$C7,1,0)</f>
        <v>0</v>
      </c>
      <c r="X3" s="423">
        <f>IF(J!$C7&lt;&gt;I!$C7,1,0)</f>
        <v>0</v>
      </c>
      <c r="Y3" s="423">
        <f>IF(K!$C7&lt;&gt;J!$C7,1,0)</f>
        <v>0</v>
      </c>
      <c r="Z3" s="424">
        <f>IF(L!$C7&lt;&gt;K!$C7,1,0)</f>
        <v>0</v>
      </c>
      <c r="AA3" s="86"/>
      <c r="AB3" s="86"/>
      <c r="AC3" s="86"/>
      <c r="AD3" s="86"/>
      <c r="AE3" s="86"/>
    </row>
    <row r="4" spans="1:31">
      <c r="A4" s="1287"/>
      <c r="B4" s="113" t="str">
        <f>'All Months Actuals'!B4</f>
        <v>Mortgage Insurance</v>
      </c>
      <c r="C4" s="350">
        <f>'Month A'!C8</f>
        <v>0</v>
      </c>
      <c r="D4" s="351">
        <f ca="1">$P$67*B!$C8</f>
        <v>0</v>
      </c>
      <c r="E4" s="351">
        <f ca="1">$Q$67*'C'!$C8</f>
        <v>0</v>
      </c>
      <c r="F4" s="351">
        <f ca="1">$R$67*D!$C8</f>
        <v>0</v>
      </c>
      <c r="G4" s="351">
        <f ca="1">$S$67*E!$C8</f>
        <v>0</v>
      </c>
      <c r="H4" s="351">
        <f ca="1">$T$67*F!$C8</f>
        <v>0</v>
      </c>
      <c r="I4" s="351">
        <f ca="1">$U$67*G!$C8</f>
        <v>0</v>
      </c>
      <c r="J4" s="351">
        <f ca="1">$V$67*H!$C8</f>
        <v>0</v>
      </c>
      <c r="K4" s="351">
        <f ca="1">$W$67*I!$C8</f>
        <v>0</v>
      </c>
      <c r="L4" s="351">
        <f ca="1">$X$67*J!$C8</f>
        <v>0</v>
      </c>
      <c r="M4" s="351">
        <f ca="1">$Y$67*K!$C8</f>
        <v>0</v>
      </c>
      <c r="N4" s="352">
        <f ca="1">$Z$67*L!$C8</f>
        <v>0</v>
      </c>
      <c r="O4" s="86"/>
      <c r="P4" s="422">
        <f>IF(B!$C8&lt;&gt;'Month A'!$C8,1,0)</f>
        <v>0</v>
      </c>
      <c r="Q4" s="423">
        <f>IF('C'!$C8&lt;&gt;B!$C8,1,0)</f>
        <v>0</v>
      </c>
      <c r="R4" s="423">
        <f>IF(D!$C8&lt;&gt;'C'!$C8,1,0)</f>
        <v>0</v>
      </c>
      <c r="S4" s="423">
        <f>IF(E!$C8&lt;&gt;D!$C8,1,0)</f>
        <v>0</v>
      </c>
      <c r="T4" s="423">
        <f>IF(F!$C8&lt;&gt;E!$C8,1,0)</f>
        <v>0</v>
      </c>
      <c r="U4" s="423">
        <f>IF(G!$C8&lt;&gt;F!$C8,1,0)</f>
        <v>0</v>
      </c>
      <c r="V4" s="423">
        <f>IF(H!$C8&lt;&gt;G!$C8,1,0)</f>
        <v>0</v>
      </c>
      <c r="W4" s="423">
        <f>IF(I!$C8&lt;&gt;H!$C8,1,0)</f>
        <v>0</v>
      </c>
      <c r="X4" s="423">
        <f>IF(J!$C8&lt;&gt;I!$C8,1,0)</f>
        <v>0</v>
      </c>
      <c r="Y4" s="423">
        <f>IF(K!$C8&lt;&gt;J!$C8,1,0)</f>
        <v>0</v>
      </c>
      <c r="Z4" s="424">
        <f>IF(L!$C8&lt;&gt;K!$C8,1,0)</f>
        <v>0</v>
      </c>
      <c r="AA4" s="86"/>
      <c r="AB4" s="86"/>
      <c r="AC4" s="86"/>
      <c r="AD4" s="86"/>
      <c r="AE4" s="86"/>
    </row>
    <row r="5" spans="1:31">
      <c r="A5" s="1287"/>
      <c r="B5" s="113" t="str">
        <f>'All Months Actuals'!B5</f>
        <v>Rent</v>
      </c>
      <c r="C5" s="350">
        <f>'Month A'!C9</f>
        <v>0</v>
      </c>
      <c r="D5" s="351">
        <f ca="1">$P$67*B!$C9</f>
        <v>0</v>
      </c>
      <c r="E5" s="351">
        <f ca="1">$Q$67*'C'!$C9</f>
        <v>0</v>
      </c>
      <c r="F5" s="351">
        <f ca="1">$R$67*D!$C9</f>
        <v>0</v>
      </c>
      <c r="G5" s="351">
        <f ca="1">$S$67*E!$C9</f>
        <v>0</v>
      </c>
      <c r="H5" s="351">
        <f ca="1">$T$67*F!$C9</f>
        <v>0</v>
      </c>
      <c r="I5" s="351">
        <f ca="1">$U$67*G!$C9</f>
        <v>0</v>
      </c>
      <c r="J5" s="351">
        <f ca="1">$V$67*H!$C9</f>
        <v>0</v>
      </c>
      <c r="K5" s="351">
        <f ca="1">$W$67*I!$C9</f>
        <v>0</v>
      </c>
      <c r="L5" s="351">
        <f ca="1">$X$67*J!$C9</f>
        <v>0</v>
      </c>
      <c r="M5" s="351">
        <f ca="1">$Y$67*K!$C9</f>
        <v>0</v>
      </c>
      <c r="N5" s="352">
        <f ca="1">$Z$67*L!$C9</f>
        <v>0</v>
      </c>
      <c r="O5" s="86"/>
      <c r="P5" s="422">
        <f>IF(B!$C9&lt;&gt;'Month A'!$C9,1,0)</f>
        <v>0</v>
      </c>
      <c r="Q5" s="423">
        <f>IF('C'!$C9&lt;&gt;B!$C9,1,0)</f>
        <v>0</v>
      </c>
      <c r="R5" s="423">
        <f>IF(D!$C9&lt;&gt;'C'!$C9,1,0)</f>
        <v>0</v>
      </c>
      <c r="S5" s="423">
        <f>IF(E!$C9&lt;&gt;D!$C9,1,0)</f>
        <v>0</v>
      </c>
      <c r="T5" s="423">
        <f>IF(F!$C9&lt;&gt;E!$C9,1,0)</f>
        <v>0</v>
      </c>
      <c r="U5" s="423">
        <f>IF(G!$C9&lt;&gt;F!$C9,1,0)</f>
        <v>0</v>
      </c>
      <c r="V5" s="423">
        <f>IF(H!$C9&lt;&gt;G!$C9,1,0)</f>
        <v>0</v>
      </c>
      <c r="W5" s="423">
        <f>IF(I!$C9&lt;&gt;H!$C9,1,0)</f>
        <v>0</v>
      </c>
      <c r="X5" s="423">
        <f>IF(J!$C9&lt;&gt;I!$C9,1,0)</f>
        <v>0</v>
      </c>
      <c r="Y5" s="423">
        <f>IF(K!$C9&lt;&gt;J!$C9,1,0)</f>
        <v>0</v>
      </c>
      <c r="Z5" s="424">
        <f>IF(L!$C9&lt;&gt;K!$C9,1,0)</f>
        <v>0</v>
      </c>
      <c r="AA5" s="86"/>
      <c r="AB5" s="86"/>
      <c r="AC5" s="86"/>
      <c r="AD5" s="86"/>
      <c r="AE5" s="86"/>
    </row>
    <row r="6" spans="1:31">
      <c r="A6" s="1287"/>
      <c r="B6" s="113" t="str">
        <f>'All Months Actuals'!B6</f>
        <v>Town Taxes / Maintenance Fees</v>
      </c>
      <c r="C6" s="350">
        <f>'Month A'!C10</f>
        <v>0</v>
      </c>
      <c r="D6" s="351">
        <f ca="1">$P$67*B!$C10</f>
        <v>0</v>
      </c>
      <c r="E6" s="351">
        <f ca="1">$Q$67*'C'!$C10</f>
        <v>0</v>
      </c>
      <c r="F6" s="351">
        <f ca="1">$R$67*D!$C10</f>
        <v>0</v>
      </c>
      <c r="G6" s="351">
        <f ca="1">$S$67*E!$C10</f>
        <v>0</v>
      </c>
      <c r="H6" s="351">
        <f ca="1">$T$67*F!$C10</f>
        <v>0</v>
      </c>
      <c r="I6" s="351">
        <f ca="1">$U$67*G!$C10</f>
        <v>0</v>
      </c>
      <c r="J6" s="351">
        <f ca="1">$V$67*H!$C10</f>
        <v>0</v>
      </c>
      <c r="K6" s="351">
        <f ca="1">$W$67*I!$C10</f>
        <v>0</v>
      </c>
      <c r="L6" s="351">
        <f ca="1">$X$67*J!$C10</f>
        <v>0</v>
      </c>
      <c r="M6" s="351">
        <f ca="1">$Y$67*K!$C10</f>
        <v>0</v>
      </c>
      <c r="N6" s="352">
        <f ca="1">$Z$67*L!$C10</f>
        <v>0</v>
      </c>
      <c r="O6" s="86"/>
      <c r="P6" s="422">
        <f>IF(B!$C10&lt;&gt;'Month A'!$C10,1,0)</f>
        <v>0</v>
      </c>
      <c r="Q6" s="423">
        <f>IF('C'!$C10&lt;&gt;B!$C10,1,0)</f>
        <v>0</v>
      </c>
      <c r="R6" s="423">
        <f>IF(D!$C10&lt;&gt;'C'!$C10,1,0)</f>
        <v>0</v>
      </c>
      <c r="S6" s="423">
        <f>IF(E!$C10&lt;&gt;D!$C10,1,0)</f>
        <v>0</v>
      </c>
      <c r="T6" s="423">
        <f>IF(F!$C10&lt;&gt;E!$C10,1,0)</f>
        <v>0</v>
      </c>
      <c r="U6" s="423">
        <f>IF(G!$C10&lt;&gt;F!$C10,1,0)</f>
        <v>0</v>
      </c>
      <c r="V6" s="423">
        <f>IF(H!$C10&lt;&gt;G!$C10,1,0)</f>
        <v>0</v>
      </c>
      <c r="W6" s="423">
        <f>IF(I!$C10&lt;&gt;H!$C10,1,0)</f>
        <v>0</v>
      </c>
      <c r="X6" s="423">
        <f>IF(J!$C10&lt;&gt;I!$C10,1,0)</f>
        <v>0</v>
      </c>
      <c r="Y6" s="423">
        <f>IF(K!$C10&lt;&gt;J!$C10,1,0)</f>
        <v>0</v>
      </c>
      <c r="Z6" s="424">
        <f>IF(L!$C10&lt;&gt;K!$C10,1,0)</f>
        <v>0</v>
      </c>
      <c r="AA6" s="86"/>
      <c r="AB6" s="86"/>
      <c r="AC6" s="86"/>
      <c r="AD6" s="86"/>
      <c r="AE6" s="86"/>
    </row>
    <row r="7" spans="1:31">
      <c r="A7" s="1287"/>
      <c r="B7" s="113" t="str">
        <f>'All Months Actuals'!B7</f>
        <v xml:space="preserve">Insurance (excl. car) </v>
      </c>
      <c r="C7" s="350">
        <f>'Month A'!C11</f>
        <v>0</v>
      </c>
      <c r="D7" s="351">
        <f ca="1">$P$67*B!$C11</f>
        <v>0</v>
      </c>
      <c r="E7" s="351">
        <f ca="1">$Q$67*'C'!$C11</f>
        <v>0</v>
      </c>
      <c r="F7" s="351">
        <f ca="1">$R$67*D!$C11</f>
        <v>0</v>
      </c>
      <c r="G7" s="351">
        <f ca="1">$S$67*E!$C11</f>
        <v>0</v>
      </c>
      <c r="H7" s="351">
        <f ca="1">$T$67*F!$C11</f>
        <v>0</v>
      </c>
      <c r="I7" s="351">
        <f ca="1">$U$67*G!$C11</f>
        <v>0</v>
      </c>
      <c r="J7" s="351">
        <f ca="1">$V$67*H!$C11</f>
        <v>0</v>
      </c>
      <c r="K7" s="351">
        <f ca="1">$W$67*I!$C11</f>
        <v>0</v>
      </c>
      <c r="L7" s="351">
        <f ca="1">$X$67*J!$C11</f>
        <v>0</v>
      </c>
      <c r="M7" s="351">
        <f ca="1">$Y$67*K!$C11</f>
        <v>0</v>
      </c>
      <c r="N7" s="352">
        <f ca="1">$Z$67*L!$C11</f>
        <v>0</v>
      </c>
      <c r="O7" s="86"/>
      <c r="P7" s="422">
        <f>IF(B!$C11&lt;&gt;'Month A'!$C11,1,0)</f>
        <v>0</v>
      </c>
      <c r="Q7" s="423">
        <f>IF('C'!$C11&lt;&gt;B!$C11,1,0)</f>
        <v>0</v>
      </c>
      <c r="R7" s="423">
        <f>IF(D!$C11&lt;&gt;'C'!$C11,1,0)</f>
        <v>0</v>
      </c>
      <c r="S7" s="423">
        <f>IF(E!$C11&lt;&gt;D!$C11,1,0)</f>
        <v>0</v>
      </c>
      <c r="T7" s="423">
        <f>IF(F!$C11&lt;&gt;E!$C11,1,0)</f>
        <v>0</v>
      </c>
      <c r="U7" s="423">
        <f>IF(G!$C11&lt;&gt;F!$C11,1,0)</f>
        <v>0</v>
      </c>
      <c r="V7" s="423">
        <f>IF(H!$C11&lt;&gt;G!$C11,1,0)</f>
        <v>0</v>
      </c>
      <c r="W7" s="423">
        <f>IF(I!$C11&lt;&gt;H!$C11,1,0)</f>
        <v>0</v>
      </c>
      <c r="X7" s="423">
        <f>IF(J!$C11&lt;&gt;I!$C11,1,0)</f>
        <v>0</v>
      </c>
      <c r="Y7" s="423">
        <f>IF(K!$C11&lt;&gt;J!$C11,1,0)</f>
        <v>0</v>
      </c>
      <c r="Z7" s="424">
        <f>IF(L!$C11&lt;&gt;K!$C11,1,0)</f>
        <v>0</v>
      </c>
      <c r="AA7" s="86"/>
      <c r="AB7" s="86"/>
      <c r="AC7" s="86"/>
      <c r="AD7" s="86"/>
      <c r="AE7" s="86"/>
    </row>
    <row r="8" spans="1:31">
      <c r="A8" s="1287"/>
      <c r="B8" s="113" t="str">
        <f>'All Months Actuals'!B8</f>
        <v>Bank Savings Program</v>
      </c>
      <c r="C8" s="350">
        <f>'Month A'!C12</f>
        <v>0</v>
      </c>
      <c r="D8" s="351">
        <f ca="1">$P$67*B!$C12</f>
        <v>0</v>
      </c>
      <c r="E8" s="351">
        <f ca="1">$Q$67*'C'!$C12</f>
        <v>0</v>
      </c>
      <c r="F8" s="351">
        <f ca="1">$R$67*D!$C12</f>
        <v>0</v>
      </c>
      <c r="G8" s="351">
        <f ca="1">$S$67*E!$C12</f>
        <v>0</v>
      </c>
      <c r="H8" s="351">
        <f ca="1">$T$67*F!$C12</f>
        <v>0</v>
      </c>
      <c r="I8" s="351">
        <f ca="1">$U$67*G!$C12</f>
        <v>0</v>
      </c>
      <c r="J8" s="351">
        <f ca="1">$V$67*H!$C12</f>
        <v>0</v>
      </c>
      <c r="K8" s="351">
        <f ca="1">$W$67*I!$C12</f>
        <v>0</v>
      </c>
      <c r="L8" s="351">
        <f ca="1">$X$67*J!$C12</f>
        <v>0</v>
      </c>
      <c r="M8" s="351">
        <f ca="1">$Y$67*K!$C12</f>
        <v>0</v>
      </c>
      <c r="N8" s="352">
        <f ca="1">$Z$67*L!$C12</f>
        <v>0</v>
      </c>
      <c r="O8" s="86"/>
      <c r="P8" s="422">
        <f>IF(B!$C12&lt;&gt;'Month A'!$C12,1,0)</f>
        <v>0</v>
      </c>
      <c r="Q8" s="423">
        <f>IF('C'!$C12&lt;&gt;B!$C12,1,0)</f>
        <v>0</v>
      </c>
      <c r="R8" s="423">
        <f>IF(D!$C12&lt;&gt;'C'!$C12,1,0)</f>
        <v>0</v>
      </c>
      <c r="S8" s="423">
        <f>IF(E!$C12&lt;&gt;D!$C12,1,0)</f>
        <v>0</v>
      </c>
      <c r="T8" s="423">
        <f>IF(F!$C12&lt;&gt;E!$C12,1,0)</f>
        <v>0</v>
      </c>
      <c r="U8" s="423">
        <f>IF(G!$C12&lt;&gt;F!$C12,1,0)</f>
        <v>0</v>
      </c>
      <c r="V8" s="423">
        <f>IF(H!$C12&lt;&gt;G!$C12,1,0)</f>
        <v>0</v>
      </c>
      <c r="W8" s="423">
        <f>IF(I!$C12&lt;&gt;H!$C12,1,0)</f>
        <v>0</v>
      </c>
      <c r="X8" s="423">
        <f>IF(J!$C12&lt;&gt;I!$C12,1,0)</f>
        <v>0</v>
      </c>
      <c r="Y8" s="423">
        <f>IF(K!$C12&lt;&gt;J!$C12,1,0)</f>
        <v>0</v>
      </c>
      <c r="Z8" s="424">
        <f>IF(L!$C12&lt;&gt;K!$C12,1,0)</f>
        <v>0</v>
      </c>
      <c r="AA8" s="86"/>
      <c r="AB8" s="86"/>
      <c r="AC8" s="86"/>
      <c r="AD8" s="86"/>
      <c r="AE8" s="86"/>
    </row>
    <row r="9" spans="1:31">
      <c r="A9" s="1287"/>
      <c r="B9" s="113" t="str">
        <f>'All Months Actuals'!B9</f>
        <v>Subscriptions</v>
      </c>
      <c r="C9" s="350">
        <f>'Month A'!C13</f>
        <v>0</v>
      </c>
      <c r="D9" s="351">
        <f ca="1">$P$67*B!$C13</f>
        <v>0</v>
      </c>
      <c r="E9" s="351">
        <f ca="1">$Q$67*'C'!$C13</f>
        <v>0</v>
      </c>
      <c r="F9" s="351">
        <f ca="1">$R$67*D!$C13</f>
        <v>0</v>
      </c>
      <c r="G9" s="351">
        <f ca="1">$S$67*E!$C13</f>
        <v>0</v>
      </c>
      <c r="H9" s="351">
        <f ca="1">$T$67*F!$C13</f>
        <v>0</v>
      </c>
      <c r="I9" s="351">
        <f ca="1">$U$67*G!$C13</f>
        <v>0</v>
      </c>
      <c r="J9" s="351">
        <f ca="1">$V$67*H!$C13</f>
        <v>0</v>
      </c>
      <c r="K9" s="351">
        <f ca="1">$W$67*I!$C13</f>
        <v>0</v>
      </c>
      <c r="L9" s="351">
        <f ca="1">$X$67*J!$C13</f>
        <v>0</v>
      </c>
      <c r="M9" s="351">
        <f ca="1">$Y$67*K!$C13</f>
        <v>0</v>
      </c>
      <c r="N9" s="352">
        <f ca="1">$Z$67*L!$C13</f>
        <v>0</v>
      </c>
      <c r="O9" s="86"/>
      <c r="P9" s="422">
        <f>IF(B!$C13&lt;&gt;'Month A'!$C13,1,0)</f>
        <v>0</v>
      </c>
      <c r="Q9" s="423">
        <f>IF('C'!$C13&lt;&gt;B!$C13,1,0)</f>
        <v>0</v>
      </c>
      <c r="R9" s="423">
        <f>IF(D!$C13&lt;&gt;'C'!$C13,1,0)</f>
        <v>0</v>
      </c>
      <c r="S9" s="423">
        <f>IF(E!$C13&lt;&gt;D!$C13,1,0)</f>
        <v>0</v>
      </c>
      <c r="T9" s="423">
        <f>IF(F!$C13&lt;&gt;E!$C13,1,0)</f>
        <v>0</v>
      </c>
      <c r="U9" s="423">
        <f>IF(G!$C13&lt;&gt;F!$C13,1,0)</f>
        <v>0</v>
      </c>
      <c r="V9" s="423">
        <f>IF(H!$C13&lt;&gt;G!$C13,1,0)</f>
        <v>0</v>
      </c>
      <c r="W9" s="423">
        <f>IF(I!$C13&lt;&gt;H!$C13,1,0)</f>
        <v>0</v>
      </c>
      <c r="X9" s="423">
        <f>IF(J!$C13&lt;&gt;I!$C13,1,0)</f>
        <v>0</v>
      </c>
      <c r="Y9" s="423">
        <f>IF(K!$C13&lt;&gt;J!$C13,1,0)</f>
        <v>0</v>
      </c>
      <c r="Z9" s="424">
        <f>IF(L!$C13&lt;&gt;K!$C13,1,0)</f>
        <v>0</v>
      </c>
      <c r="AA9" s="86"/>
      <c r="AB9" s="86"/>
      <c r="AC9" s="86"/>
      <c r="AD9" s="86"/>
      <c r="AE9" s="86"/>
    </row>
    <row r="10" spans="1:31">
      <c r="A10" s="1287"/>
      <c r="B10" s="113" t="str">
        <f>'All Months Actuals'!B10</f>
        <v>Donations</v>
      </c>
      <c r="C10" s="350">
        <f>'Month A'!C14</f>
        <v>0</v>
      </c>
      <c r="D10" s="351">
        <f ca="1">$P$67*B!$C14</f>
        <v>0</v>
      </c>
      <c r="E10" s="351">
        <f ca="1">$Q$67*'C'!$C14</f>
        <v>0</v>
      </c>
      <c r="F10" s="351">
        <f ca="1">$R$67*D!$C14</f>
        <v>0</v>
      </c>
      <c r="G10" s="351">
        <f ca="1">$S$67*E!$C14</f>
        <v>0</v>
      </c>
      <c r="H10" s="351">
        <f ca="1">$T$67*F!$C14</f>
        <v>0</v>
      </c>
      <c r="I10" s="351">
        <f ca="1">$U$67*G!$C14</f>
        <v>0</v>
      </c>
      <c r="J10" s="351">
        <f ca="1">$V$67*H!$C14</f>
        <v>0</v>
      </c>
      <c r="K10" s="351">
        <f ca="1">$W$67*I!$C14</f>
        <v>0</v>
      </c>
      <c r="L10" s="351">
        <f ca="1">$X$67*J!$C14</f>
        <v>0</v>
      </c>
      <c r="M10" s="351">
        <f ca="1">$Y$67*K!$C14</f>
        <v>0</v>
      </c>
      <c r="N10" s="352">
        <f ca="1">$Z$67*L!$C14</f>
        <v>0</v>
      </c>
      <c r="O10" s="86"/>
      <c r="P10" s="422">
        <f>IF(B!$C14&lt;&gt;'Month A'!$C14,1,0)</f>
        <v>0</v>
      </c>
      <c r="Q10" s="423">
        <f>IF('C'!$C14&lt;&gt;B!$C14,1,0)</f>
        <v>0</v>
      </c>
      <c r="R10" s="423">
        <f>IF(D!$C14&lt;&gt;'C'!$C14,1,0)</f>
        <v>0</v>
      </c>
      <c r="S10" s="423">
        <f>IF(E!$C14&lt;&gt;D!$C14,1,0)</f>
        <v>0</v>
      </c>
      <c r="T10" s="423">
        <f>IF(F!$C14&lt;&gt;E!$C14,1,0)</f>
        <v>0</v>
      </c>
      <c r="U10" s="423">
        <f>IF(G!$C14&lt;&gt;F!$C14,1,0)</f>
        <v>0</v>
      </c>
      <c r="V10" s="423">
        <f>IF(H!$C14&lt;&gt;G!$C14,1,0)</f>
        <v>0</v>
      </c>
      <c r="W10" s="423">
        <f>IF(I!$C14&lt;&gt;H!$C14,1,0)</f>
        <v>0</v>
      </c>
      <c r="X10" s="423">
        <f>IF(J!$C14&lt;&gt;I!$C14,1,0)</f>
        <v>0</v>
      </c>
      <c r="Y10" s="423">
        <f>IF(K!$C14&lt;&gt;J!$C14,1,0)</f>
        <v>0</v>
      </c>
      <c r="Z10" s="424">
        <f>IF(L!$C14&lt;&gt;K!$C14,1,0)</f>
        <v>0</v>
      </c>
      <c r="AA10" s="86"/>
      <c r="AB10" s="86"/>
      <c r="AC10" s="86"/>
      <c r="AD10" s="86"/>
      <c r="AE10" s="86"/>
    </row>
    <row r="11" spans="1:31">
      <c r="A11" s="1287"/>
      <c r="B11" s="113">
        <f>'All Months Actuals'!B11</f>
        <v>0</v>
      </c>
      <c r="C11" s="350">
        <f>'Month A'!C15</f>
        <v>0</v>
      </c>
      <c r="D11" s="351">
        <f ca="1">$P$67*B!$C15</f>
        <v>0</v>
      </c>
      <c r="E11" s="351">
        <f ca="1">$Q$67*'C'!$C15</f>
        <v>0</v>
      </c>
      <c r="F11" s="351">
        <f ca="1">$R$67*D!$C15</f>
        <v>0</v>
      </c>
      <c r="G11" s="351">
        <f ca="1">$S$67*E!$C15</f>
        <v>0</v>
      </c>
      <c r="H11" s="351">
        <f ca="1">$T$67*F!$C15</f>
        <v>0</v>
      </c>
      <c r="I11" s="351">
        <f ca="1">$U$67*G!$C15</f>
        <v>0</v>
      </c>
      <c r="J11" s="351">
        <f ca="1">$V$67*H!$C15</f>
        <v>0</v>
      </c>
      <c r="K11" s="351">
        <f ca="1">$W$67*I!$C15</f>
        <v>0</v>
      </c>
      <c r="L11" s="351">
        <f ca="1">$X$67*J!$C15</f>
        <v>0</v>
      </c>
      <c r="M11" s="351">
        <f ca="1">$Y$67*K!$C15</f>
        <v>0</v>
      </c>
      <c r="N11" s="352">
        <f ca="1">$Z$67*L!$C15</f>
        <v>0</v>
      </c>
      <c r="O11" s="86"/>
      <c r="P11" s="422">
        <f>IF(B!$C15&lt;&gt;'Month A'!$C15,1,0)</f>
        <v>0</v>
      </c>
      <c r="Q11" s="423">
        <f>IF('C'!$C15&lt;&gt;B!$C15,1,0)</f>
        <v>0</v>
      </c>
      <c r="R11" s="423">
        <f>IF(D!$C15&lt;&gt;'C'!$C15,1,0)</f>
        <v>0</v>
      </c>
      <c r="S11" s="423">
        <f>IF(E!$C15&lt;&gt;D!$C15,1,0)</f>
        <v>0</v>
      </c>
      <c r="T11" s="423">
        <f>IF(F!$C15&lt;&gt;E!$C15,1,0)</f>
        <v>0</v>
      </c>
      <c r="U11" s="423">
        <f>IF(G!$C15&lt;&gt;F!$C15,1,0)</f>
        <v>0</v>
      </c>
      <c r="V11" s="423">
        <f>IF(H!$C15&lt;&gt;G!$C15,1,0)</f>
        <v>0</v>
      </c>
      <c r="W11" s="423">
        <f>IF(I!$C15&lt;&gt;H!$C15,1,0)</f>
        <v>0</v>
      </c>
      <c r="X11" s="423">
        <f>IF(J!$C15&lt;&gt;I!$C15,1,0)</f>
        <v>0</v>
      </c>
      <c r="Y11" s="423">
        <f>IF(K!$C15&lt;&gt;J!$C15,1,0)</f>
        <v>0</v>
      </c>
      <c r="Z11" s="424">
        <f>IF(L!$C15&lt;&gt;K!$C15,1,0)</f>
        <v>0</v>
      </c>
      <c r="AA11" s="86"/>
      <c r="AB11" s="86"/>
      <c r="AC11" s="86"/>
      <c r="AD11" s="86"/>
      <c r="AE11" s="86"/>
    </row>
    <row r="12" spans="1:31">
      <c r="A12" s="1287"/>
      <c r="B12" s="113">
        <f>'All Months Actuals'!B12</f>
        <v>0</v>
      </c>
      <c r="C12" s="350">
        <f>'Month A'!C16</f>
        <v>0</v>
      </c>
      <c r="D12" s="351">
        <f ca="1">$P$67*B!$C16</f>
        <v>0</v>
      </c>
      <c r="E12" s="351">
        <f ca="1">$Q$67*'C'!$C16</f>
        <v>0</v>
      </c>
      <c r="F12" s="351">
        <f ca="1">$R$67*D!$C16</f>
        <v>0</v>
      </c>
      <c r="G12" s="351">
        <f ca="1">$S$67*E!$C16</f>
        <v>0</v>
      </c>
      <c r="H12" s="351">
        <f ca="1">$T$67*F!$C16</f>
        <v>0</v>
      </c>
      <c r="I12" s="351">
        <f ca="1">$U$67*G!$C16</f>
        <v>0</v>
      </c>
      <c r="J12" s="351">
        <f ca="1">$V$67*H!$C16</f>
        <v>0</v>
      </c>
      <c r="K12" s="351">
        <f ca="1">$W$67*I!$C16</f>
        <v>0</v>
      </c>
      <c r="L12" s="351">
        <f ca="1">$X$67*J!$C16</f>
        <v>0</v>
      </c>
      <c r="M12" s="351">
        <f ca="1">$Y$67*K!$C16</f>
        <v>0</v>
      </c>
      <c r="N12" s="352">
        <f ca="1">$Z$67*L!$C16</f>
        <v>0</v>
      </c>
      <c r="O12" s="86"/>
      <c r="P12" s="422">
        <f>IF(B!$C16&lt;&gt;'Month A'!$C16,1,0)</f>
        <v>0</v>
      </c>
      <c r="Q12" s="423">
        <f>IF('C'!$C16&lt;&gt;B!$C16,1,0)</f>
        <v>0</v>
      </c>
      <c r="R12" s="423">
        <f>IF(D!$C16&lt;&gt;'C'!$C16,1,0)</f>
        <v>0</v>
      </c>
      <c r="S12" s="423">
        <f>IF(E!$C16&lt;&gt;D!$C16,1,0)</f>
        <v>0</v>
      </c>
      <c r="T12" s="423">
        <f>IF(F!$C16&lt;&gt;E!$C16,1,0)</f>
        <v>0</v>
      </c>
      <c r="U12" s="423">
        <f>IF(G!$C16&lt;&gt;F!$C16,1,0)</f>
        <v>0</v>
      </c>
      <c r="V12" s="423">
        <f>IF(H!$C16&lt;&gt;G!$C16,1,0)</f>
        <v>0</v>
      </c>
      <c r="W12" s="423">
        <f>IF(I!$C16&lt;&gt;H!$C16,1,0)</f>
        <v>0</v>
      </c>
      <c r="X12" s="423">
        <f>IF(J!$C16&lt;&gt;I!$C16,1,0)</f>
        <v>0</v>
      </c>
      <c r="Y12" s="423">
        <f>IF(K!$C16&lt;&gt;J!$C16,1,0)</f>
        <v>0</v>
      </c>
      <c r="Z12" s="424">
        <f>IF(L!$C16&lt;&gt;K!$C16,1,0)</f>
        <v>0</v>
      </c>
      <c r="AA12" s="86"/>
      <c r="AB12" s="86"/>
      <c r="AC12" s="86"/>
      <c r="AD12" s="86"/>
      <c r="AE12" s="86"/>
    </row>
    <row r="13" spans="1:31" ht="15" thickBot="1">
      <c r="A13" s="1288"/>
      <c r="B13" s="114">
        <f>'All Months Actuals'!B13</f>
        <v>0</v>
      </c>
      <c r="C13" s="353">
        <f>'Month A'!C17</f>
        <v>0</v>
      </c>
      <c r="D13" s="354">
        <f ca="1">$P$67*B!$C17</f>
        <v>0</v>
      </c>
      <c r="E13" s="354">
        <f ca="1">$Q$67*'C'!$C17</f>
        <v>0</v>
      </c>
      <c r="F13" s="354">
        <f ca="1">$R$67*D!$C17</f>
        <v>0</v>
      </c>
      <c r="G13" s="354">
        <f ca="1">$S$67*E!$C17</f>
        <v>0</v>
      </c>
      <c r="H13" s="354">
        <f ca="1">$T$67*F!$C17</f>
        <v>0</v>
      </c>
      <c r="I13" s="354">
        <f ca="1">$U$67*G!$C17</f>
        <v>0</v>
      </c>
      <c r="J13" s="354">
        <f ca="1">$V$67*H!$C17</f>
        <v>0</v>
      </c>
      <c r="K13" s="354">
        <f ca="1">$W$67*I!$C17</f>
        <v>0</v>
      </c>
      <c r="L13" s="354">
        <f ca="1">$X$67*J!$C17</f>
        <v>0</v>
      </c>
      <c r="M13" s="354">
        <f ca="1">$Y$67*K!$C17</f>
        <v>0</v>
      </c>
      <c r="N13" s="355">
        <f ca="1">$Z$67*L!$C17</f>
        <v>0</v>
      </c>
      <c r="O13" s="86"/>
      <c r="P13" s="422">
        <f>IF(B!$C17&lt;&gt;'Month A'!$C17,1,0)</f>
        <v>0</v>
      </c>
      <c r="Q13" s="423">
        <f>IF('C'!$C17&lt;&gt;B!$C17,1,0)</f>
        <v>0</v>
      </c>
      <c r="R13" s="423">
        <f>IF(D!$C17&lt;&gt;'C'!$C17,1,0)</f>
        <v>0</v>
      </c>
      <c r="S13" s="423">
        <f>IF(E!$C17&lt;&gt;D!$C17,1,0)</f>
        <v>0</v>
      </c>
      <c r="T13" s="423">
        <f>IF(F!$C17&lt;&gt;E!$C17,1,0)</f>
        <v>0</v>
      </c>
      <c r="U13" s="423">
        <f>IF(G!$C17&lt;&gt;F!$C17,1,0)</f>
        <v>0</v>
      </c>
      <c r="V13" s="423">
        <f>IF(H!$C17&lt;&gt;G!$C17,1,0)</f>
        <v>0</v>
      </c>
      <c r="W13" s="423">
        <f>IF(I!$C17&lt;&gt;H!$C17,1,0)</f>
        <v>0</v>
      </c>
      <c r="X13" s="423">
        <f>IF(J!$C17&lt;&gt;I!$C17,1,0)</f>
        <v>0</v>
      </c>
      <c r="Y13" s="423">
        <f>IF(K!$C17&lt;&gt;J!$C17,1,0)</f>
        <v>0</v>
      </c>
      <c r="Z13" s="424">
        <f>IF(L!$C17&lt;&gt;K!$C17,1,0)</f>
        <v>0</v>
      </c>
      <c r="AA13" s="86"/>
      <c r="AB13" s="86"/>
      <c r="AC13" s="86"/>
      <c r="AD13" s="86"/>
      <c r="AE13" s="86"/>
    </row>
    <row r="14" spans="1:31" ht="15" customHeight="1">
      <c r="A14" s="1292" t="s">
        <v>422</v>
      </c>
      <c r="B14" s="141" t="str">
        <f>'All Months Actuals'!B14</f>
        <v>Municipal Taxes</v>
      </c>
      <c r="C14" s="347">
        <f>'Month A'!Z23</f>
        <v>0</v>
      </c>
      <c r="D14" s="348">
        <f ca="1">$P$67*B!$Z23</f>
        <v>0</v>
      </c>
      <c r="E14" s="348">
        <f ca="1">$Q$67*'C'!$Z23</f>
        <v>0</v>
      </c>
      <c r="F14" s="348">
        <f ca="1">$R$67*D!$Z23</f>
        <v>0</v>
      </c>
      <c r="G14" s="348">
        <f ca="1">$S$67*E!$Z23</f>
        <v>0</v>
      </c>
      <c r="H14" s="348">
        <f ca="1">$T$67*F!$Z23</f>
        <v>0</v>
      </c>
      <c r="I14" s="348">
        <f ca="1">$U$67*G!$Z23</f>
        <v>0</v>
      </c>
      <c r="J14" s="348">
        <f ca="1">$V$67*H!$Z23</f>
        <v>0</v>
      </c>
      <c r="K14" s="348">
        <f ca="1">$W$67*I!$Z23</f>
        <v>0</v>
      </c>
      <c r="L14" s="348">
        <f ca="1">$X$67*J!$Z23</f>
        <v>0</v>
      </c>
      <c r="M14" s="348">
        <f ca="1">$Y$67*K!$Z23</f>
        <v>0</v>
      </c>
      <c r="N14" s="349">
        <f ca="1">$Z$67*L!$Z23</f>
        <v>0</v>
      </c>
      <c r="O14" s="86"/>
      <c r="P14" s="422">
        <f>IF(B!Z23&lt;&gt;'Month A'!Z23,1,0)</f>
        <v>0</v>
      </c>
      <c r="Q14" s="423">
        <f>IF('C'!$Z23&lt;&gt;B!$Z23,1,0)</f>
        <v>0</v>
      </c>
      <c r="R14" s="423">
        <f>IF(D!$Z23&lt;&gt;'C'!$Z23,1,0)</f>
        <v>0</v>
      </c>
      <c r="S14" s="423">
        <f>IF(E!$Z23&lt;&gt;D!$Z23,1,0)</f>
        <v>0</v>
      </c>
      <c r="T14" s="423">
        <f>IF(F!$Z23&lt;&gt;E!$Z23,1,0)</f>
        <v>0</v>
      </c>
      <c r="U14" s="423">
        <f>IF(G!$Z23&lt;&gt;F!$Z23,1,0)</f>
        <v>0</v>
      </c>
      <c r="V14" s="423">
        <f>IF(H!$Z23&lt;&gt;G!$Z23,1,0)</f>
        <v>0</v>
      </c>
      <c r="W14" s="423">
        <f>IF(I!$Z23&lt;&gt;H!$Z23,1,0)</f>
        <v>0</v>
      </c>
      <c r="X14" s="423">
        <f>IF(J!$Z23&lt;&gt;I!$Z23,1,0)</f>
        <v>0</v>
      </c>
      <c r="Y14" s="423">
        <f>IF(K!$Z23&lt;&gt;J!$Z23,1,0)</f>
        <v>0</v>
      </c>
      <c r="Z14" s="424">
        <f>IF(L!$Z23&lt;&gt;K!$Z23,1,0)</f>
        <v>0</v>
      </c>
      <c r="AA14" s="86"/>
      <c r="AB14" s="86"/>
      <c r="AC14" s="86"/>
      <c r="AD14" s="86"/>
      <c r="AE14" s="86"/>
    </row>
    <row r="15" spans="1:31">
      <c r="A15" s="1293"/>
      <c r="B15" s="142" t="str">
        <f>'All Months Actuals'!B15</f>
        <v>Water and Sewage</v>
      </c>
      <c r="C15" s="350">
        <f>'Month A'!Z24</f>
        <v>0</v>
      </c>
      <c r="D15" s="351">
        <f ca="1">$P$67*B!$Z24</f>
        <v>0</v>
      </c>
      <c r="E15" s="351">
        <f ca="1">$Q$67*'C'!$Z24</f>
        <v>0</v>
      </c>
      <c r="F15" s="351">
        <f ca="1">$R$67*D!$Z24</f>
        <v>0</v>
      </c>
      <c r="G15" s="351">
        <f ca="1">$S$67*E!$Z24</f>
        <v>0</v>
      </c>
      <c r="H15" s="351">
        <f ca="1">$T$67*F!$Z24</f>
        <v>0</v>
      </c>
      <c r="I15" s="351">
        <f ca="1">$U$67*G!$Z24</f>
        <v>0</v>
      </c>
      <c r="J15" s="351">
        <f ca="1">$V$67*H!$Z24</f>
        <v>0</v>
      </c>
      <c r="K15" s="351">
        <f ca="1">$W$67*I!$Z24</f>
        <v>0</v>
      </c>
      <c r="L15" s="351">
        <f ca="1">$X$67*J!$Z24</f>
        <v>0</v>
      </c>
      <c r="M15" s="351">
        <f ca="1">$Y$67*K!$Z24</f>
        <v>0</v>
      </c>
      <c r="N15" s="352">
        <f ca="1">$Z$67*L!$Z24</f>
        <v>0</v>
      </c>
      <c r="O15" s="86"/>
      <c r="P15" s="422">
        <f>IF(B!Z24&lt;&gt;'Month A'!Z24,1,0)</f>
        <v>0</v>
      </c>
      <c r="Q15" s="423">
        <f>IF('C'!$Z24&lt;&gt;B!$Z24,1,0)</f>
        <v>0</v>
      </c>
      <c r="R15" s="423">
        <f>IF(D!$Z24&lt;&gt;'C'!$Z24,1,0)</f>
        <v>0</v>
      </c>
      <c r="S15" s="423">
        <f>IF(E!$Z24&lt;&gt;D!$Z24,1,0)</f>
        <v>0</v>
      </c>
      <c r="T15" s="423">
        <f>IF(F!$Z24&lt;&gt;E!$Z24,1,0)</f>
        <v>0</v>
      </c>
      <c r="U15" s="423">
        <f>IF(G!$Z24&lt;&gt;F!$Z24,1,0)</f>
        <v>0</v>
      </c>
      <c r="V15" s="423">
        <f>IF(H!$Z24&lt;&gt;G!$Z24,1,0)</f>
        <v>0</v>
      </c>
      <c r="W15" s="423">
        <f>IF(I!$Z24&lt;&gt;H!$Z24,1,0)</f>
        <v>0</v>
      </c>
      <c r="X15" s="423">
        <f>IF(J!$Z24&lt;&gt;I!$Z24,1,0)</f>
        <v>0</v>
      </c>
      <c r="Y15" s="423">
        <f>IF(K!$Z24&lt;&gt;J!$Z24,1,0)</f>
        <v>0</v>
      </c>
      <c r="Z15" s="424">
        <f>IF(L!$Z24&lt;&gt;K!$Z24,1,0)</f>
        <v>0</v>
      </c>
      <c r="AA15" s="86"/>
      <c r="AB15" s="86"/>
      <c r="AC15" s="86"/>
      <c r="AD15" s="86"/>
      <c r="AE15" s="86"/>
    </row>
    <row r="16" spans="1:31">
      <c r="A16" s="1293"/>
      <c r="B16" s="142" t="str">
        <f>'All Months Actuals'!B16</f>
        <v>Electricity</v>
      </c>
      <c r="C16" s="350">
        <f>'Month A'!Z25</f>
        <v>0</v>
      </c>
      <c r="D16" s="351">
        <f ca="1">$P$67*B!$Z25</f>
        <v>0</v>
      </c>
      <c r="E16" s="351">
        <f ca="1">$Q$67*'C'!$Z25</f>
        <v>0</v>
      </c>
      <c r="F16" s="351">
        <f ca="1">$R$67*D!$Z25</f>
        <v>0</v>
      </c>
      <c r="G16" s="351">
        <f ca="1">$S$67*E!$Z25</f>
        <v>0</v>
      </c>
      <c r="H16" s="351">
        <f ca="1">$T$67*F!$Z25</f>
        <v>0</v>
      </c>
      <c r="I16" s="351">
        <f ca="1">$U$67*G!$Z25</f>
        <v>0</v>
      </c>
      <c r="J16" s="351">
        <f ca="1">$V$67*H!$Z25</f>
        <v>0</v>
      </c>
      <c r="K16" s="351">
        <f ca="1">$W$67*I!$Z25</f>
        <v>0</v>
      </c>
      <c r="L16" s="351">
        <f ca="1">$X$67*J!$Z25</f>
        <v>0</v>
      </c>
      <c r="M16" s="351">
        <f ca="1">$Y$67*K!$Z25</f>
        <v>0</v>
      </c>
      <c r="N16" s="352">
        <f ca="1">$Z$67*L!$Z25</f>
        <v>0</v>
      </c>
      <c r="O16" s="86"/>
      <c r="P16" s="422">
        <f>IF(B!Z25&lt;&gt;'Month A'!Z25,1,0)</f>
        <v>0</v>
      </c>
      <c r="Q16" s="423">
        <f>IF('C'!$Z25&lt;&gt;B!$Z25,1,0)</f>
        <v>0</v>
      </c>
      <c r="R16" s="423">
        <f>IF(D!$Z25&lt;&gt;'C'!$Z25,1,0)</f>
        <v>0</v>
      </c>
      <c r="S16" s="423">
        <f>IF(E!$Z25&lt;&gt;D!$Z25,1,0)</f>
        <v>0</v>
      </c>
      <c r="T16" s="423">
        <f>IF(F!$Z25&lt;&gt;E!$Z25,1,0)</f>
        <v>0</v>
      </c>
      <c r="U16" s="423">
        <f>IF(G!$Z25&lt;&gt;F!$Z25,1,0)</f>
        <v>0</v>
      </c>
      <c r="V16" s="423">
        <f>IF(H!$Z25&lt;&gt;G!$Z25,1,0)</f>
        <v>0</v>
      </c>
      <c r="W16" s="423">
        <f>IF(I!$Z25&lt;&gt;H!$Z25,1,0)</f>
        <v>0</v>
      </c>
      <c r="X16" s="423">
        <f>IF(J!$Z25&lt;&gt;I!$Z25,1,0)</f>
        <v>0</v>
      </c>
      <c r="Y16" s="423">
        <f>IF(K!$Z25&lt;&gt;J!$Z25,1,0)</f>
        <v>0</v>
      </c>
      <c r="Z16" s="424">
        <f>IF(L!$Z25&lt;&gt;K!$Z25,1,0)</f>
        <v>0</v>
      </c>
      <c r="AA16" s="86"/>
      <c r="AB16" s="86"/>
      <c r="AC16" s="86"/>
      <c r="AD16" s="86"/>
      <c r="AE16" s="86"/>
    </row>
    <row r="17" spans="1:31">
      <c r="A17" s="1293"/>
      <c r="B17" s="142" t="str">
        <f>'All Months Actuals'!B17</f>
        <v>Gas</v>
      </c>
      <c r="C17" s="350">
        <f>'Month A'!Z26</f>
        <v>0</v>
      </c>
      <c r="D17" s="351">
        <f ca="1">$P$67*B!$Z26</f>
        <v>0</v>
      </c>
      <c r="E17" s="351">
        <f ca="1">$Q$67*'C'!$Z26</f>
        <v>0</v>
      </c>
      <c r="F17" s="351">
        <f ca="1">$R$67*D!$Z26</f>
        <v>0</v>
      </c>
      <c r="G17" s="351">
        <f ca="1">$S$67*E!$Z26</f>
        <v>0</v>
      </c>
      <c r="H17" s="351">
        <f ca="1">$T$67*F!$Z26</f>
        <v>0</v>
      </c>
      <c r="I17" s="351">
        <f ca="1">$U$67*G!$Z26</f>
        <v>0</v>
      </c>
      <c r="J17" s="351">
        <f ca="1">$V$67*H!$Z26</f>
        <v>0</v>
      </c>
      <c r="K17" s="351">
        <f ca="1">$W$67*I!$Z26</f>
        <v>0</v>
      </c>
      <c r="L17" s="351">
        <f ca="1">$X$67*J!$Z26</f>
        <v>0</v>
      </c>
      <c r="M17" s="351">
        <f ca="1">$Y$67*K!$Z26</f>
        <v>0</v>
      </c>
      <c r="N17" s="352">
        <f ca="1">$Z$67*L!$Z26</f>
        <v>0</v>
      </c>
      <c r="O17" s="86"/>
      <c r="P17" s="422">
        <f>IF(B!Z26&lt;&gt;'Month A'!Z26,1,0)</f>
        <v>0</v>
      </c>
      <c r="Q17" s="423">
        <f>IF('C'!$Z26&lt;&gt;B!$Z26,1,0)</f>
        <v>0</v>
      </c>
      <c r="R17" s="423">
        <f>IF(D!$Z26&lt;&gt;'C'!$Z26,1,0)</f>
        <v>0</v>
      </c>
      <c r="S17" s="423">
        <f>IF(E!$Z26&lt;&gt;D!$Z26,1,0)</f>
        <v>0</v>
      </c>
      <c r="T17" s="423">
        <f>IF(F!$Z26&lt;&gt;E!$Z26,1,0)</f>
        <v>0</v>
      </c>
      <c r="U17" s="423">
        <f>IF(G!$Z26&lt;&gt;F!$Z26,1,0)</f>
        <v>0</v>
      </c>
      <c r="V17" s="423">
        <f>IF(H!$Z26&lt;&gt;G!$Z26,1,0)</f>
        <v>0</v>
      </c>
      <c r="W17" s="423">
        <f>IF(I!$Z26&lt;&gt;H!$Z26,1,0)</f>
        <v>0</v>
      </c>
      <c r="X17" s="423">
        <f>IF(J!$Z26&lt;&gt;I!$Z26,1,0)</f>
        <v>0</v>
      </c>
      <c r="Y17" s="423">
        <f>IF(K!$Z26&lt;&gt;J!$Z26,1,0)</f>
        <v>0</v>
      </c>
      <c r="Z17" s="424">
        <f>IF(L!$Z26&lt;&gt;K!$Z26,1,0)</f>
        <v>0</v>
      </c>
      <c r="AA17" s="86"/>
      <c r="AB17" s="86"/>
      <c r="AC17" s="86"/>
      <c r="AD17" s="86"/>
      <c r="AE17" s="86"/>
    </row>
    <row r="18" spans="1:31">
      <c r="A18" s="1293"/>
      <c r="B18" s="142" t="str">
        <f>'All Months Actuals'!B18</f>
        <v>Heating</v>
      </c>
      <c r="C18" s="350">
        <f>'Month A'!Z27</f>
        <v>0</v>
      </c>
      <c r="D18" s="351">
        <f ca="1">$P$67*B!$Z27</f>
        <v>0</v>
      </c>
      <c r="E18" s="351">
        <f ca="1">$Q$67*'C'!$Z27</f>
        <v>0</v>
      </c>
      <c r="F18" s="351">
        <f ca="1">$R$67*D!$Z27</f>
        <v>0</v>
      </c>
      <c r="G18" s="351">
        <f ca="1">$S$67*E!$Z27</f>
        <v>0</v>
      </c>
      <c r="H18" s="351">
        <f ca="1">$T$67*F!$Z27</f>
        <v>0</v>
      </c>
      <c r="I18" s="351">
        <f ca="1">$U$67*G!$Z27</f>
        <v>0</v>
      </c>
      <c r="J18" s="351">
        <f ca="1">$V$67*H!$Z27</f>
        <v>0</v>
      </c>
      <c r="K18" s="351">
        <f ca="1">$W$67*I!$Z27</f>
        <v>0</v>
      </c>
      <c r="L18" s="351">
        <f ca="1">$X$67*J!$Z27</f>
        <v>0</v>
      </c>
      <c r="M18" s="351">
        <f ca="1">$Y$67*K!$Z27</f>
        <v>0</v>
      </c>
      <c r="N18" s="352">
        <f ca="1">$Z$67*L!$Z27</f>
        <v>0</v>
      </c>
      <c r="O18" s="86"/>
      <c r="P18" s="422">
        <f>IF(B!Z27&lt;&gt;'Month A'!Z27,1,0)</f>
        <v>0</v>
      </c>
      <c r="Q18" s="423">
        <f>IF('C'!$Z27&lt;&gt;B!$Z27,1,0)</f>
        <v>0</v>
      </c>
      <c r="R18" s="423">
        <f>IF(D!$Z27&lt;&gt;'C'!$Z27,1,0)</f>
        <v>0</v>
      </c>
      <c r="S18" s="423">
        <f>IF(E!$Z27&lt;&gt;D!$Z27,1,0)</f>
        <v>0</v>
      </c>
      <c r="T18" s="423">
        <f>IF(F!$Z27&lt;&gt;E!$Z27,1,0)</f>
        <v>0</v>
      </c>
      <c r="U18" s="423">
        <f>IF(G!$Z27&lt;&gt;F!$Z27,1,0)</f>
        <v>0</v>
      </c>
      <c r="V18" s="423">
        <f>IF(H!$Z27&lt;&gt;G!$Z27,1,0)</f>
        <v>0</v>
      </c>
      <c r="W18" s="423">
        <f>IF(I!$Z27&lt;&gt;H!$Z27,1,0)</f>
        <v>0</v>
      </c>
      <c r="X18" s="423">
        <f>IF(J!$Z27&lt;&gt;I!$Z27,1,0)</f>
        <v>0</v>
      </c>
      <c r="Y18" s="423">
        <f>IF(K!$Z27&lt;&gt;J!$Z27,1,0)</f>
        <v>0</v>
      </c>
      <c r="Z18" s="424">
        <f>IF(L!$Z27&lt;&gt;K!$Z27,1,0)</f>
        <v>0</v>
      </c>
      <c r="AA18" s="86"/>
      <c r="AB18" s="86"/>
      <c r="AC18" s="86"/>
      <c r="AD18" s="86"/>
      <c r="AE18" s="86"/>
    </row>
    <row r="19" spans="1:31">
      <c r="A19" s="1293"/>
      <c r="B19" s="142" t="str">
        <f>'All Months Actuals'!B19</f>
        <v>Education/Schoolbooks</v>
      </c>
      <c r="C19" s="350">
        <f>'Month A'!Z28</f>
        <v>0</v>
      </c>
      <c r="D19" s="351">
        <f ca="1">$P$67*B!$Z28</f>
        <v>0</v>
      </c>
      <c r="E19" s="351">
        <f ca="1">$Q$67*'C'!$Z28</f>
        <v>0</v>
      </c>
      <c r="F19" s="351">
        <f ca="1">$R$67*D!$Z28</f>
        <v>0</v>
      </c>
      <c r="G19" s="351">
        <f ca="1">$S$67*E!$Z28</f>
        <v>0</v>
      </c>
      <c r="H19" s="351">
        <f ca="1">$T$67*F!$Z28</f>
        <v>0</v>
      </c>
      <c r="I19" s="351">
        <f ca="1">$U$67*G!$Z28</f>
        <v>0</v>
      </c>
      <c r="J19" s="351">
        <f ca="1">$V$67*H!$Z28</f>
        <v>0</v>
      </c>
      <c r="K19" s="351">
        <f ca="1">$W$67*I!$Z28</f>
        <v>0</v>
      </c>
      <c r="L19" s="351">
        <f ca="1">$X$67*J!$Z28</f>
        <v>0</v>
      </c>
      <c r="M19" s="351">
        <f ca="1">$Y$67*K!$Z28</f>
        <v>0</v>
      </c>
      <c r="N19" s="352">
        <f ca="1">$Z$67*L!$Z28</f>
        <v>0</v>
      </c>
      <c r="O19" s="86"/>
      <c r="P19" s="422">
        <f>IF(B!Z28&lt;&gt;'Month A'!Z28,1,0)</f>
        <v>0</v>
      </c>
      <c r="Q19" s="423">
        <f>IF('C'!$Z28&lt;&gt;B!$Z28,1,0)</f>
        <v>0</v>
      </c>
      <c r="R19" s="423">
        <f>IF(D!$Z28&lt;&gt;'C'!$Z28,1,0)</f>
        <v>0</v>
      </c>
      <c r="S19" s="423">
        <f>IF(E!$Z28&lt;&gt;D!$Z28,1,0)</f>
        <v>0</v>
      </c>
      <c r="T19" s="423">
        <f>IF(F!$Z28&lt;&gt;E!$Z28,1,0)</f>
        <v>0</v>
      </c>
      <c r="U19" s="423">
        <f>IF(G!$Z28&lt;&gt;F!$Z28,1,0)</f>
        <v>0</v>
      </c>
      <c r="V19" s="423">
        <f>IF(H!$Z28&lt;&gt;G!$Z28,1,0)</f>
        <v>0</v>
      </c>
      <c r="W19" s="423">
        <f>IF(I!$Z28&lt;&gt;H!$Z28,1,0)</f>
        <v>0</v>
      </c>
      <c r="X19" s="423">
        <f>IF(J!$Z28&lt;&gt;I!$Z28,1,0)</f>
        <v>0</v>
      </c>
      <c r="Y19" s="423">
        <f>IF(K!$Z28&lt;&gt;J!$Z28,1,0)</f>
        <v>0</v>
      </c>
      <c r="Z19" s="424">
        <f>IF(L!$Z28&lt;&gt;K!$Z28,1,0)</f>
        <v>0</v>
      </c>
      <c r="AA19" s="86"/>
      <c r="AB19" s="86"/>
      <c r="AC19" s="86"/>
      <c r="AD19" s="86"/>
      <c r="AE19" s="86"/>
    </row>
    <row r="20" spans="1:31">
      <c r="A20" s="1293"/>
      <c r="B20" s="142" t="str">
        <f>'All Months Actuals'!B20</f>
        <v>Extracurricular Activities/Camps/Pool</v>
      </c>
      <c r="C20" s="350">
        <f>'Month A'!Z29</f>
        <v>0</v>
      </c>
      <c r="D20" s="351">
        <f ca="1">$P$67*B!$Z29</f>
        <v>0</v>
      </c>
      <c r="E20" s="351">
        <f ca="1">$Q$67*'C'!$Z29</f>
        <v>0</v>
      </c>
      <c r="F20" s="351">
        <f ca="1">$R$67*D!$Z29</f>
        <v>0</v>
      </c>
      <c r="G20" s="351">
        <f ca="1">$S$67*E!$Z29</f>
        <v>0</v>
      </c>
      <c r="H20" s="351">
        <f ca="1">$T$67*F!$Z29</f>
        <v>0</v>
      </c>
      <c r="I20" s="351">
        <f ca="1">$U$67*G!$Z29</f>
        <v>0</v>
      </c>
      <c r="J20" s="351">
        <f ca="1">$V$67*H!$Z29</f>
        <v>0</v>
      </c>
      <c r="K20" s="351">
        <f ca="1">$W$67*I!$Z29</f>
        <v>0</v>
      </c>
      <c r="L20" s="351">
        <f ca="1">$X$67*J!$Z29</f>
        <v>0</v>
      </c>
      <c r="M20" s="351">
        <f ca="1">$Y$67*K!$Z29</f>
        <v>0</v>
      </c>
      <c r="N20" s="352">
        <f ca="1">$Z$67*L!$Z29</f>
        <v>0</v>
      </c>
      <c r="O20" s="86"/>
      <c r="P20" s="422">
        <f>IF(B!Z29&lt;&gt;'Month A'!Z29,1,0)</f>
        <v>0</v>
      </c>
      <c r="Q20" s="423">
        <f>IF('C'!$Z29&lt;&gt;B!$Z29,1,0)</f>
        <v>0</v>
      </c>
      <c r="R20" s="423">
        <f>IF(D!$Z29&lt;&gt;'C'!$Z29,1,0)</f>
        <v>0</v>
      </c>
      <c r="S20" s="423">
        <f>IF(E!$Z29&lt;&gt;D!$Z29,1,0)</f>
        <v>0</v>
      </c>
      <c r="T20" s="423">
        <f>IF(F!$Z29&lt;&gt;E!$Z29,1,0)</f>
        <v>0</v>
      </c>
      <c r="U20" s="423">
        <f>IF(G!$Z29&lt;&gt;F!$Z29,1,0)</f>
        <v>0</v>
      </c>
      <c r="V20" s="423">
        <f>IF(H!$Z29&lt;&gt;G!$Z29,1,0)</f>
        <v>0</v>
      </c>
      <c r="W20" s="423">
        <f>IF(I!$Z29&lt;&gt;H!$Z29,1,0)</f>
        <v>0</v>
      </c>
      <c r="X20" s="423">
        <f>IF(J!$Z29&lt;&gt;I!$Z29,1,0)</f>
        <v>0</v>
      </c>
      <c r="Y20" s="423">
        <f>IF(K!$Z29&lt;&gt;J!$Z29,1,0)</f>
        <v>0</v>
      </c>
      <c r="Z20" s="424">
        <f>IF(L!$Z29&lt;&gt;K!$Z29,1,0)</f>
        <v>0</v>
      </c>
      <c r="AA20" s="86"/>
      <c r="AB20" s="86"/>
      <c r="AC20" s="86"/>
      <c r="AD20" s="86"/>
      <c r="AE20" s="86"/>
    </row>
    <row r="21" spans="1:31">
      <c r="A21" s="1293"/>
      <c r="B21" s="142" t="str">
        <f>'All Months Actuals'!B21</f>
        <v xml:space="preserve">  Car Insurance and Licensing</v>
      </c>
      <c r="C21" s="350">
        <f>'Month A'!Z30</f>
        <v>0</v>
      </c>
      <c r="D21" s="351">
        <f ca="1">$P$67*B!$Z30</f>
        <v>0</v>
      </c>
      <c r="E21" s="351">
        <f ca="1">$Q$67*'C'!$Z30</f>
        <v>0</v>
      </c>
      <c r="F21" s="351">
        <f ca="1">$R$67*D!$Z30</f>
        <v>0</v>
      </c>
      <c r="G21" s="351">
        <f ca="1">$S$67*E!$Z30</f>
        <v>0</v>
      </c>
      <c r="H21" s="351">
        <f ca="1">$T$67*F!$Z30</f>
        <v>0</v>
      </c>
      <c r="I21" s="351">
        <f ca="1">$U$67*G!$Z30</f>
        <v>0</v>
      </c>
      <c r="J21" s="351">
        <f ca="1">$V$67*H!$Z30</f>
        <v>0</v>
      </c>
      <c r="K21" s="351">
        <f ca="1">$W$67*I!$Z30</f>
        <v>0</v>
      </c>
      <c r="L21" s="351">
        <f ca="1">$X$67*J!$Z30</f>
        <v>0</v>
      </c>
      <c r="M21" s="351">
        <f ca="1">$Y$67*K!$Z30</f>
        <v>0</v>
      </c>
      <c r="N21" s="352">
        <f ca="1">$Z$67*L!$Z30</f>
        <v>0</v>
      </c>
      <c r="O21" s="86"/>
      <c r="P21" s="422">
        <f>IF(B!Z30&lt;&gt;'Month A'!Z30,1,0)</f>
        <v>0</v>
      </c>
      <c r="Q21" s="423">
        <f>IF('C'!$Z30&lt;&gt;B!$Z30,1,0)</f>
        <v>0</v>
      </c>
      <c r="R21" s="423">
        <f>IF(D!$Z30&lt;&gt;'C'!$Z30,1,0)</f>
        <v>0</v>
      </c>
      <c r="S21" s="423">
        <f>IF(E!$Z30&lt;&gt;D!$Z30,1,0)</f>
        <v>0</v>
      </c>
      <c r="T21" s="423">
        <f>IF(F!$Z30&lt;&gt;E!$Z30,1,0)</f>
        <v>0</v>
      </c>
      <c r="U21" s="423">
        <f>IF(G!$Z30&lt;&gt;F!$Z30,1,0)</f>
        <v>0</v>
      </c>
      <c r="V21" s="423">
        <f>IF(H!$Z30&lt;&gt;G!$Z30,1,0)</f>
        <v>0</v>
      </c>
      <c r="W21" s="423">
        <f>IF(I!$Z30&lt;&gt;H!$Z30,1,0)</f>
        <v>0</v>
      </c>
      <c r="X21" s="423">
        <f>IF(J!$Z30&lt;&gt;I!$Z30,1,0)</f>
        <v>0</v>
      </c>
      <c r="Y21" s="423">
        <f>IF(K!$Z30&lt;&gt;J!$Z30,1,0)</f>
        <v>0</v>
      </c>
      <c r="Z21" s="424">
        <f>IF(L!$Z30&lt;&gt;K!$Z30,1,0)</f>
        <v>0</v>
      </c>
      <c r="AA21" s="86"/>
      <c r="AB21" s="86"/>
      <c r="AC21" s="86"/>
      <c r="AD21" s="86"/>
      <c r="AE21" s="86"/>
    </row>
    <row r="22" spans="1:31">
      <c r="A22" s="1293"/>
      <c r="B22" s="142" t="str">
        <f>'All Months Actuals'!B22</f>
        <v>Car Maintenance</v>
      </c>
      <c r="C22" s="350">
        <f>'Month A'!Z31</f>
        <v>0</v>
      </c>
      <c r="D22" s="351">
        <f ca="1">$P$67*B!$Z31</f>
        <v>0</v>
      </c>
      <c r="E22" s="351">
        <f ca="1">$Q$67*'C'!$Z31</f>
        <v>0</v>
      </c>
      <c r="F22" s="351">
        <f ca="1">$R$67*D!$Z31</f>
        <v>0</v>
      </c>
      <c r="G22" s="351">
        <f ca="1">$S$67*E!$Z31</f>
        <v>0</v>
      </c>
      <c r="H22" s="351">
        <f ca="1">$T$67*F!$Z31</f>
        <v>0</v>
      </c>
      <c r="I22" s="351">
        <f ca="1">$U$67*G!$Z31</f>
        <v>0</v>
      </c>
      <c r="J22" s="351">
        <f ca="1">$V$67*H!$Z31</f>
        <v>0</v>
      </c>
      <c r="K22" s="351">
        <f ca="1">$W$67*I!$Z31</f>
        <v>0</v>
      </c>
      <c r="L22" s="351">
        <f ca="1">$X$67*J!$Z31</f>
        <v>0</v>
      </c>
      <c r="M22" s="351">
        <f ca="1">$Y$67*K!$Z31</f>
        <v>0</v>
      </c>
      <c r="N22" s="352">
        <f ca="1">$Z$67*L!$Z31</f>
        <v>0</v>
      </c>
      <c r="O22" s="86"/>
      <c r="P22" s="422">
        <f>IF(B!Z31&lt;&gt;'Month A'!Z31,1,0)</f>
        <v>0</v>
      </c>
      <c r="Q22" s="423">
        <f>IF('C'!$Z31&lt;&gt;B!$Z31,1,0)</f>
        <v>0</v>
      </c>
      <c r="R22" s="423">
        <f>IF(D!$Z31&lt;&gt;'C'!$Z31,1,0)</f>
        <v>0</v>
      </c>
      <c r="S22" s="423">
        <f>IF(E!$Z31&lt;&gt;D!$Z31,1,0)</f>
        <v>0</v>
      </c>
      <c r="T22" s="423">
        <f>IF(F!$Z31&lt;&gt;E!$Z31,1,0)</f>
        <v>0</v>
      </c>
      <c r="U22" s="423">
        <f>IF(G!$Z31&lt;&gt;F!$Z31,1,0)</f>
        <v>0</v>
      </c>
      <c r="V22" s="423">
        <f>IF(H!$Z31&lt;&gt;G!$Z31,1,0)</f>
        <v>0</v>
      </c>
      <c r="W22" s="423">
        <f>IF(I!$Z31&lt;&gt;H!$Z31,1,0)</f>
        <v>0</v>
      </c>
      <c r="X22" s="423">
        <f>IF(J!$Z31&lt;&gt;I!$Z31,1,0)</f>
        <v>0</v>
      </c>
      <c r="Y22" s="423">
        <f>IF(K!$Z31&lt;&gt;J!$Z31,1,0)</f>
        <v>0</v>
      </c>
      <c r="Z22" s="424">
        <f>IF(L!$Z31&lt;&gt;K!$Z31,1,0)</f>
        <v>0</v>
      </c>
      <c r="AA22" s="86"/>
      <c r="AB22" s="86"/>
      <c r="AC22" s="86"/>
      <c r="AD22" s="86"/>
      <c r="AE22" s="86"/>
    </row>
    <row r="23" spans="1:31">
      <c r="A23" s="1293"/>
      <c r="B23" s="142" t="str">
        <f>'All Months Actuals'!B23</f>
        <v>Clothing and Shoes</v>
      </c>
      <c r="C23" s="350">
        <f>'Month A'!Z32</f>
        <v>0</v>
      </c>
      <c r="D23" s="351">
        <f ca="1">$P$67*B!$Z32</f>
        <v>0</v>
      </c>
      <c r="E23" s="351">
        <f ca="1">$Q$67*'C'!$Z32</f>
        <v>0</v>
      </c>
      <c r="F23" s="351">
        <f ca="1">$R$67*D!$Z32</f>
        <v>0</v>
      </c>
      <c r="G23" s="351">
        <f ca="1">$S$67*E!$Z32</f>
        <v>0</v>
      </c>
      <c r="H23" s="351">
        <f ca="1">$T$67*F!$Z32</f>
        <v>0</v>
      </c>
      <c r="I23" s="351">
        <f ca="1">$U$67*G!$Z32</f>
        <v>0</v>
      </c>
      <c r="J23" s="351">
        <f ca="1">$V$67*H!$Z32</f>
        <v>0</v>
      </c>
      <c r="K23" s="351">
        <f ca="1">$W$67*I!$Z32</f>
        <v>0</v>
      </c>
      <c r="L23" s="351">
        <f ca="1">$X$67*J!$Z32</f>
        <v>0</v>
      </c>
      <c r="M23" s="351">
        <f ca="1">$Y$67*K!$Z32</f>
        <v>0</v>
      </c>
      <c r="N23" s="352">
        <f ca="1">$Z$67*L!$Z32</f>
        <v>0</v>
      </c>
      <c r="O23" s="86"/>
      <c r="P23" s="422">
        <f>IF(B!Z32&lt;&gt;'Month A'!Z32,1,0)</f>
        <v>0</v>
      </c>
      <c r="Q23" s="423">
        <f>IF('C'!$Z32&lt;&gt;B!$Z32,1,0)</f>
        <v>0</v>
      </c>
      <c r="R23" s="423">
        <f>IF(D!$Z32&lt;&gt;'C'!$Z32,1,0)</f>
        <v>0</v>
      </c>
      <c r="S23" s="423">
        <f>IF(E!$Z32&lt;&gt;D!$Z32,1,0)</f>
        <v>0</v>
      </c>
      <c r="T23" s="423">
        <f>IF(F!$Z32&lt;&gt;E!$Z32,1,0)</f>
        <v>0</v>
      </c>
      <c r="U23" s="423">
        <f>IF(G!$Z32&lt;&gt;F!$Z32,1,0)</f>
        <v>0</v>
      </c>
      <c r="V23" s="423">
        <f>IF(H!$Z32&lt;&gt;G!$Z32,1,0)</f>
        <v>0</v>
      </c>
      <c r="W23" s="423">
        <f>IF(I!$Z32&lt;&gt;H!$Z32,1,0)</f>
        <v>0</v>
      </c>
      <c r="X23" s="423">
        <f>IF(J!$Z32&lt;&gt;I!$Z32,1,0)</f>
        <v>0</v>
      </c>
      <c r="Y23" s="423">
        <f>IF(K!$Z32&lt;&gt;J!$Z32,1,0)</f>
        <v>0</v>
      </c>
      <c r="Z23" s="424">
        <f>IF(L!$Z32&lt;&gt;K!$Z32,1,0)</f>
        <v>0</v>
      </c>
      <c r="AA23" s="86"/>
      <c r="AB23" s="86"/>
      <c r="AC23" s="86"/>
      <c r="AD23" s="86"/>
      <c r="AE23" s="86"/>
    </row>
    <row r="24" spans="1:31">
      <c r="A24" s="1293"/>
      <c r="B24" s="142" t="str">
        <f>'All Months Actuals'!B24</f>
        <v>Medicine/Treatment</v>
      </c>
      <c r="C24" s="350">
        <f>'Month A'!Z33</f>
        <v>0</v>
      </c>
      <c r="D24" s="351">
        <f ca="1">$P$67*B!$Z33</f>
        <v>0</v>
      </c>
      <c r="E24" s="351">
        <f ca="1">$Q$67*'C'!$Z33</f>
        <v>0</v>
      </c>
      <c r="F24" s="351">
        <f ca="1">$R$67*D!$Z33</f>
        <v>0</v>
      </c>
      <c r="G24" s="351">
        <f ca="1">$S$67*E!$Z33</f>
        <v>0</v>
      </c>
      <c r="H24" s="351">
        <f ca="1">$T$67*F!$Z33</f>
        <v>0</v>
      </c>
      <c r="I24" s="351">
        <f ca="1">$U$67*G!$Z33</f>
        <v>0</v>
      </c>
      <c r="J24" s="351">
        <f ca="1">$V$67*H!$Z33</f>
        <v>0</v>
      </c>
      <c r="K24" s="351">
        <f ca="1">$W$67*I!$Z33</f>
        <v>0</v>
      </c>
      <c r="L24" s="351">
        <f ca="1">$X$67*J!$Z33</f>
        <v>0</v>
      </c>
      <c r="M24" s="351">
        <f ca="1">$Y$67*K!$Z33</f>
        <v>0</v>
      </c>
      <c r="N24" s="352">
        <f ca="1">$Z$67*L!$Z33</f>
        <v>0</v>
      </c>
      <c r="O24" s="86"/>
      <c r="P24" s="422">
        <f>IF(B!Z33&lt;&gt;'Month A'!Z33,1,0)</f>
        <v>0</v>
      </c>
      <c r="Q24" s="423">
        <f>IF('C'!$Z33&lt;&gt;B!$Z33,1,0)</f>
        <v>0</v>
      </c>
      <c r="R24" s="423">
        <f>IF(D!$Z33&lt;&gt;'C'!$Z33,1,0)</f>
        <v>0</v>
      </c>
      <c r="S24" s="423">
        <f>IF(E!$Z33&lt;&gt;D!$Z33,1,0)</f>
        <v>0</v>
      </c>
      <c r="T24" s="423">
        <f>IF(F!$Z33&lt;&gt;E!$Z33,1,0)</f>
        <v>0</v>
      </c>
      <c r="U24" s="423">
        <f>IF(G!$Z33&lt;&gt;F!$Z33,1,0)</f>
        <v>0</v>
      </c>
      <c r="V24" s="423">
        <f>IF(H!$Z33&lt;&gt;G!$Z33,1,0)</f>
        <v>0</v>
      </c>
      <c r="W24" s="423">
        <f>IF(I!$Z33&lt;&gt;H!$Z33,1,0)</f>
        <v>0</v>
      </c>
      <c r="X24" s="423">
        <f>IF(J!$Z33&lt;&gt;I!$Z33,1,0)</f>
        <v>0</v>
      </c>
      <c r="Y24" s="423">
        <f>IF(K!$Z33&lt;&gt;J!$Z33,1,0)</f>
        <v>0</v>
      </c>
      <c r="Z24" s="424">
        <f>IF(L!$Z33&lt;&gt;K!$Z33,1,0)</f>
        <v>0</v>
      </c>
      <c r="AA24" s="86"/>
      <c r="AB24" s="86"/>
      <c r="AC24" s="86"/>
      <c r="AD24" s="86"/>
      <c r="AE24" s="86"/>
    </row>
    <row r="25" spans="1:31">
      <c r="A25" s="1293"/>
      <c r="B25" s="142" t="str">
        <f>'All Months Actuals'!B25</f>
        <v>Bank Interest and Fees</v>
      </c>
      <c r="C25" s="350">
        <f>'Month A'!Z34</f>
        <v>0</v>
      </c>
      <c r="D25" s="351">
        <f ca="1">$P$67*B!$Z34</f>
        <v>0</v>
      </c>
      <c r="E25" s="351">
        <f ca="1">$Q$67*'C'!$Z34</f>
        <v>0</v>
      </c>
      <c r="F25" s="351">
        <f ca="1">$R$67*D!$Z34</f>
        <v>0</v>
      </c>
      <c r="G25" s="351">
        <f ca="1">$S$67*E!$Z34</f>
        <v>0</v>
      </c>
      <c r="H25" s="351">
        <f ca="1">$T$67*F!$Z34</f>
        <v>0</v>
      </c>
      <c r="I25" s="351">
        <f ca="1">$U$67*G!$Z34</f>
        <v>0</v>
      </c>
      <c r="J25" s="351">
        <f ca="1">$V$67*H!$Z34</f>
        <v>0</v>
      </c>
      <c r="K25" s="351">
        <f ca="1">$W$67*I!$Z34</f>
        <v>0</v>
      </c>
      <c r="L25" s="351">
        <f ca="1">$X$67*J!$Z34</f>
        <v>0</v>
      </c>
      <c r="M25" s="351">
        <f ca="1">$Y$67*K!$Z34</f>
        <v>0</v>
      </c>
      <c r="N25" s="352">
        <f ca="1">$Z$67*L!$Z34</f>
        <v>0</v>
      </c>
      <c r="O25" s="86"/>
      <c r="P25" s="422">
        <f>IF(B!Z34&lt;&gt;'Month A'!Z34,1,0)</f>
        <v>0</v>
      </c>
      <c r="Q25" s="423">
        <f>IF('C'!$Z34&lt;&gt;B!$Z34,1,0)</f>
        <v>0</v>
      </c>
      <c r="R25" s="423">
        <f>IF(D!$Z34&lt;&gt;'C'!$Z34,1,0)</f>
        <v>0</v>
      </c>
      <c r="S25" s="423">
        <f>IF(E!$Z34&lt;&gt;D!$Z34,1,0)</f>
        <v>0</v>
      </c>
      <c r="T25" s="423">
        <f>IF(F!$Z34&lt;&gt;E!$Z34,1,0)</f>
        <v>0</v>
      </c>
      <c r="U25" s="423">
        <f>IF(G!$Z34&lt;&gt;F!$Z34,1,0)</f>
        <v>0</v>
      </c>
      <c r="V25" s="423">
        <f>IF(H!$Z34&lt;&gt;G!$Z34,1,0)</f>
        <v>0</v>
      </c>
      <c r="W25" s="423">
        <f>IF(I!$Z34&lt;&gt;H!$Z34,1,0)</f>
        <v>0</v>
      </c>
      <c r="X25" s="423">
        <f>IF(J!$Z34&lt;&gt;I!$Z34,1,0)</f>
        <v>0</v>
      </c>
      <c r="Y25" s="423">
        <f>IF(K!$Z34&lt;&gt;J!$Z34,1,0)</f>
        <v>0</v>
      </c>
      <c r="Z25" s="424">
        <f>IF(L!$Z34&lt;&gt;K!$Z34,1,0)</f>
        <v>0</v>
      </c>
      <c r="AA25" s="86"/>
      <c r="AB25" s="86"/>
      <c r="AC25" s="86"/>
      <c r="AD25" s="86"/>
      <c r="AE25" s="86"/>
    </row>
    <row r="26" spans="1:31">
      <c r="A26" s="1293"/>
      <c r="B26" s="142" t="str">
        <f>'All Months Actuals'!B26</f>
        <v>Dental treatments</v>
      </c>
      <c r="C26" s="350">
        <f>'Month A'!Z35</f>
        <v>0</v>
      </c>
      <c r="D26" s="351">
        <f ca="1">$P$67*B!$Z35</f>
        <v>0</v>
      </c>
      <c r="E26" s="351">
        <f ca="1">$Q$67*'C'!$Z35</f>
        <v>0</v>
      </c>
      <c r="F26" s="351">
        <f ca="1">$R$67*D!$Z35</f>
        <v>0</v>
      </c>
      <c r="G26" s="351">
        <f ca="1">$S$67*E!$Z35</f>
        <v>0</v>
      </c>
      <c r="H26" s="351">
        <f ca="1">$T$67*F!$Z35</f>
        <v>0</v>
      </c>
      <c r="I26" s="351">
        <f ca="1">$U$67*G!$Z35</f>
        <v>0</v>
      </c>
      <c r="J26" s="351">
        <f ca="1">$V$67*H!$Z35</f>
        <v>0</v>
      </c>
      <c r="K26" s="351">
        <f ca="1">$W$67*I!$Z35</f>
        <v>0</v>
      </c>
      <c r="L26" s="351">
        <f ca="1">$X$67*J!$Z35</f>
        <v>0</v>
      </c>
      <c r="M26" s="351">
        <f ca="1">$Y$67*K!$Z35</f>
        <v>0</v>
      </c>
      <c r="N26" s="352">
        <f ca="1">$Z$67*L!$Z35</f>
        <v>0</v>
      </c>
      <c r="O26" s="86"/>
      <c r="P26" s="422">
        <f>IF(B!Z35&lt;&gt;'Month A'!Z35,1,0)</f>
        <v>0</v>
      </c>
      <c r="Q26" s="423">
        <f>IF('C'!$Z35&lt;&gt;B!$Z35,1,0)</f>
        <v>0</v>
      </c>
      <c r="R26" s="423">
        <f>IF(D!$Z35&lt;&gt;'C'!$Z35,1,0)</f>
        <v>0</v>
      </c>
      <c r="S26" s="423">
        <f>IF(E!$Z35&lt;&gt;D!$Z35,1,0)</f>
        <v>0</v>
      </c>
      <c r="T26" s="423">
        <f>IF(F!$Z35&lt;&gt;E!$Z35,1,0)</f>
        <v>0</v>
      </c>
      <c r="U26" s="423">
        <f>IF(G!$Z35&lt;&gt;F!$Z35,1,0)</f>
        <v>0</v>
      </c>
      <c r="V26" s="423">
        <f>IF(H!$Z35&lt;&gt;G!$Z35,1,0)</f>
        <v>0</v>
      </c>
      <c r="W26" s="423">
        <f>IF(I!$Z35&lt;&gt;H!$Z35,1,0)</f>
        <v>0</v>
      </c>
      <c r="X26" s="423">
        <f>IF(J!$Z35&lt;&gt;I!$Z35,1,0)</f>
        <v>0</v>
      </c>
      <c r="Y26" s="423">
        <f>IF(K!$Z35&lt;&gt;J!$Z35,1,0)</f>
        <v>0</v>
      </c>
      <c r="Z26" s="424">
        <f>IF(L!$Z35&lt;&gt;K!$Z35,1,0)</f>
        <v>0</v>
      </c>
      <c r="AA26" s="86"/>
      <c r="AB26" s="86"/>
      <c r="AC26" s="86"/>
      <c r="AD26" s="86"/>
      <c r="AE26" s="86"/>
    </row>
    <row r="27" spans="1:31">
      <c r="A27" s="1293"/>
      <c r="B27" s="142" t="str">
        <f>'All Months Actuals'!B27</f>
        <v>Eyeglasses/Contact Lens</v>
      </c>
      <c r="C27" s="350">
        <f>'Month A'!Z36</f>
        <v>0</v>
      </c>
      <c r="D27" s="351">
        <f ca="1">$P$67*B!$Z36</f>
        <v>0</v>
      </c>
      <c r="E27" s="351">
        <f ca="1">$Q$67*'C'!$Z36</f>
        <v>0</v>
      </c>
      <c r="F27" s="351">
        <f ca="1">$R$67*D!$Z36</f>
        <v>0</v>
      </c>
      <c r="G27" s="351">
        <f ca="1">$S$67*E!$Z36</f>
        <v>0</v>
      </c>
      <c r="H27" s="351">
        <f ca="1">$T$67*F!$Z36</f>
        <v>0</v>
      </c>
      <c r="I27" s="351">
        <f ca="1">$U$67*G!$Z36</f>
        <v>0</v>
      </c>
      <c r="J27" s="351">
        <f ca="1">$V$67*H!$Z36</f>
        <v>0</v>
      </c>
      <c r="K27" s="351">
        <f ca="1">$W$67*I!$Z36</f>
        <v>0</v>
      </c>
      <c r="L27" s="351">
        <f ca="1">$X$67*J!$Z36</f>
        <v>0</v>
      </c>
      <c r="M27" s="351">
        <f ca="1">$Y$67*K!$Z36</f>
        <v>0</v>
      </c>
      <c r="N27" s="352">
        <f ca="1">$Z$67*L!$Z36</f>
        <v>0</v>
      </c>
      <c r="O27" s="86"/>
      <c r="P27" s="422">
        <f>IF(B!Z36&lt;&gt;'Month A'!Z36,1,0)</f>
        <v>0</v>
      </c>
      <c r="Q27" s="423">
        <f>IF('C'!$Z36&lt;&gt;B!$Z36,1,0)</f>
        <v>0</v>
      </c>
      <c r="R27" s="423">
        <f>IF(D!$Z36&lt;&gt;'C'!$Z36,1,0)</f>
        <v>0</v>
      </c>
      <c r="S27" s="423">
        <f>IF(E!$Z36&lt;&gt;D!$Z36,1,0)</f>
        <v>0</v>
      </c>
      <c r="T27" s="423">
        <f>IF(F!$Z36&lt;&gt;E!$Z36,1,0)</f>
        <v>0</v>
      </c>
      <c r="U27" s="423">
        <f>IF(G!$Z36&lt;&gt;F!$Z36,1,0)</f>
        <v>0</v>
      </c>
      <c r="V27" s="423">
        <f>IF(H!$Z36&lt;&gt;G!$Z36,1,0)</f>
        <v>0</v>
      </c>
      <c r="W27" s="423">
        <f>IF(I!$Z36&lt;&gt;H!$Z36,1,0)</f>
        <v>0</v>
      </c>
      <c r="X27" s="423">
        <f>IF(J!$Z36&lt;&gt;I!$Z36,1,0)</f>
        <v>0</v>
      </c>
      <c r="Y27" s="423">
        <f>IF(K!$Z36&lt;&gt;J!$Z36,1,0)</f>
        <v>0</v>
      </c>
      <c r="Z27" s="424">
        <f>IF(L!$Z36&lt;&gt;K!$Z36,1,0)</f>
        <v>0</v>
      </c>
      <c r="AA27" s="86"/>
      <c r="AB27" s="86"/>
      <c r="AC27" s="86"/>
      <c r="AD27" s="86"/>
      <c r="AE27" s="86"/>
    </row>
    <row r="28" spans="1:31">
      <c r="A28" s="1293"/>
      <c r="B28" s="142" t="str">
        <f>'All Months Actuals'!B28</f>
        <v>Vacations</v>
      </c>
      <c r="C28" s="350">
        <f>'Month A'!Z37</f>
        <v>0</v>
      </c>
      <c r="D28" s="351">
        <f ca="1">$P$67*B!$Z37</f>
        <v>0</v>
      </c>
      <c r="E28" s="351">
        <f ca="1">$Q$67*'C'!$Z37</f>
        <v>0</v>
      </c>
      <c r="F28" s="351">
        <f ca="1">$R$67*D!$Z37</f>
        <v>0</v>
      </c>
      <c r="G28" s="351">
        <f ca="1">$S$67*E!$Z37</f>
        <v>0</v>
      </c>
      <c r="H28" s="351">
        <f ca="1">$T$67*F!$Z37</f>
        <v>0</v>
      </c>
      <c r="I28" s="351">
        <f ca="1">$U$67*G!$Z37</f>
        <v>0</v>
      </c>
      <c r="J28" s="351">
        <f ca="1">$V$67*H!$Z37</f>
        <v>0</v>
      </c>
      <c r="K28" s="351">
        <f ca="1">$W$67*I!$Z37</f>
        <v>0</v>
      </c>
      <c r="L28" s="351">
        <f ca="1">$X$67*J!$Z37</f>
        <v>0</v>
      </c>
      <c r="M28" s="351">
        <f ca="1">$Y$67*K!$Z37</f>
        <v>0</v>
      </c>
      <c r="N28" s="352">
        <f ca="1">$Z$67*L!$Z37</f>
        <v>0</v>
      </c>
      <c r="O28" s="86"/>
      <c r="P28" s="422">
        <f>IF(B!Z37&lt;&gt;'Month A'!Z37,1,0)</f>
        <v>0</v>
      </c>
      <c r="Q28" s="423">
        <f>IF('C'!$Z37&lt;&gt;B!$Z37,1,0)</f>
        <v>0</v>
      </c>
      <c r="R28" s="423">
        <f>IF(D!$Z37&lt;&gt;'C'!$Z37,1,0)</f>
        <v>0</v>
      </c>
      <c r="S28" s="423">
        <f>IF(E!$Z37&lt;&gt;D!$Z37,1,0)</f>
        <v>0</v>
      </c>
      <c r="T28" s="423">
        <f>IF(F!$Z37&lt;&gt;E!$Z37,1,0)</f>
        <v>0</v>
      </c>
      <c r="U28" s="423">
        <f>IF(G!$Z37&lt;&gt;F!$Z37,1,0)</f>
        <v>0</v>
      </c>
      <c r="V28" s="423">
        <f>IF(H!$Z37&lt;&gt;G!$Z37,1,0)</f>
        <v>0</v>
      </c>
      <c r="W28" s="423">
        <f>IF(I!$Z37&lt;&gt;H!$Z37,1,0)</f>
        <v>0</v>
      </c>
      <c r="X28" s="423">
        <f>IF(J!$Z37&lt;&gt;I!$Z37,1,0)</f>
        <v>0</v>
      </c>
      <c r="Y28" s="423">
        <f>IF(K!$Z37&lt;&gt;J!$Z37,1,0)</f>
        <v>0</v>
      </c>
      <c r="Z28" s="424">
        <f>IF(L!$Z37&lt;&gt;K!$Z37,1,0)</f>
        <v>0</v>
      </c>
      <c r="AA28" s="86"/>
      <c r="AB28" s="86"/>
      <c r="AC28" s="86"/>
      <c r="AD28" s="86"/>
      <c r="AE28" s="86"/>
    </row>
    <row r="29" spans="1:31">
      <c r="A29" s="1293"/>
      <c r="B29" s="142" t="str">
        <f>'All Months Actuals'!B29</f>
        <v>Religious expenses</v>
      </c>
      <c r="C29" s="350">
        <f>'Month A'!Z38</f>
        <v>0</v>
      </c>
      <c r="D29" s="351">
        <f ca="1">$P$67*B!$Z38</f>
        <v>0</v>
      </c>
      <c r="E29" s="351">
        <f ca="1">$Q$67*'C'!$Z38</f>
        <v>0</v>
      </c>
      <c r="F29" s="351">
        <f ca="1">$R$67*D!$Z38</f>
        <v>0</v>
      </c>
      <c r="G29" s="351">
        <f ca="1">$S$67*E!$Z38</f>
        <v>0</v>
      </c>
      <c r="H29" s="351">
        <f ca="1">$T$67*F!$Z38</f>
        <v>0</v>
      </c>
      <c r="I29" s="351">
        <f ca="1">$U$67*G!$Z38</f>
        <v>0</v>
      </c>
      <c r="J29" s="351">
        <f ca="1">$V$67*H!$Z38</f>
        <v>0</v>
      </c>
      <c r="K29" s="351">
        <f ca="1">$W$67*I!$Z38</f>
        <v>0</v>
      </c>
      <c r="L29" s="351">
        <f ca="1">$X$67*J!$Z38</f>
        <v>0</v>
      </c>
      <c r="M29" s="351">
        <f ca="1">$Y$67*K!$Z38</f>
        <v>0</v>
      </c>
      <c r="N29" s="352">
        <f ca="1">$Z$67*L!$Z38</f>
        <v>0</v>
      </c>
      <c r="O29" s="86"/>
      <c r="P29" s="422">
        <f>IF(B!Z38&lt;&gt;'Month A'!Z38,1,0)</f>
        <v>0</v>
      </c>
      <c r="Q29" s="423">
        <f>IF('C'!$Z38&lt;&gt;B!$Z38,1,0)</f>
        <v>0</v>
      </c>
      <c r="R29" s="423">
        <f>IF(D!$Z38&lt;&gt;'C'!$Z38,1,0)</f>
        <v>0</v>
      </c>
      <c r="S29" s="423">
        <f>IF(E!$Z38&lt;&gt;D!$Z38,1,0)</f>
        <v>0</v>
      </c>
      <c r="T29" s="423">
        <f>IF(F!$Z38&lt;&gt;E!$Z38,1,0)</f>
        <v>0</v>
      </c>
      <c r="U29" s="423">
        <f>IF(G!$Z38&lt;&gt;F!$Z38,1,0)</f>
        <v>0</v>
      </c>
      <c r="V29" s="423">
        <f>IF(H!$Z38&lt;&gt;G!$Z38,1,0)</f>
        <v>0</v>
      </c>
      <c r="W29" s="423">
        <f>IF(I!$Z38&lt;&gt;H!$Z38,1,0)</f>
        <v>0</v>
      </c>
      <c r="X29" s="423">
        <f>IF(J!$Z38&lt;&gt;I!$Z38,1,0)</f>
        <v>0</v>
      </c>
      <c r="Y29" s="423">
        <f>IF(K!$Z38&lt;&gt;J!$Z38,1,0)</f>
        <v>0</v>
      </c>
      <c r="Z29" s="424">
        <f>IF(L!$Z38&lt;&gt;K!$Z38,1,0)</f>
        <v>0</v>
      </c>
      <c r="AA29" s="86"/>
      <c r="AB29" s="86"/>
      <c r="AC29" s="86"/>
      <c r="AD29" s="86"/>
      <c r="AE29" s="86"/>
    </row>
    <row r="30" spans="1:31">
      <c r="A30" s="1293"/>
      <c r="B30" s="142" t="str">
        <f>'All Months Actuals'!B30</f>
        <v>Gifts</v>
      </c>
      <c r="C30" s="350">
        <f>'Month A'!Z39</f>
        <v>0</v>
      </c>
      <c r="D30" s="351">
        <f ca="1">$P$67*B!$Z39</f>
        <v>0</v>
      </c>
      <c r="E30" s="351">
        <f ca="1">$Q$67*'C'!$Z39</f>
        <v>0</v>
      </c>
      <c r="F30" s="351">
        <f ca="1">$R$67*D!$Z39</f>
        <v>0</v>
      </c>
      <c r="G30" s="351">
        <f ca="1">$S$67*E!$Z39</f>
        <v>0</v>
      </c>
      <c r="H30" s="351">
        <f ca="1">$T$67*F!$Z39</f>
        <v>0</v>
      </c>
      <c r="I30" s="351">
        <f ca="1">$U$67*G!$Z39</f>
        <v>0</v>
      </c>
      <c r="J30" s="351">
        <f ca="1">$V$67*H!$Z39</f>
        <v>0</v>
      </c>
      <c r="K30" s="351">
        <f ca="1">$W$67*I!$Z39</f>
        <v>0</v>
      </c>
      <c r="L30" s="351">
        <f ca="1">$X$67*J!$Z39</f>
        <v>0</v>
      </c>
      <c r="M30" s="351">
        <f ca="1">$Y$67*K!$Z39</f>
        <v>0</v>
      </c>
      <c r="N30" s="352">
        <f ca="1">$Z$67*L!$Z39</f>
        <v>0</v>
      </c>
      <c r="O30" s="86"/>
      <c r="P30" s="422">
        <f>IF(B!Z39&lt;&gt;'Month A'!Z39,1,0)</f>
        <v>0</v>
      </c>
      <c r="Q30" s="423">
        <f>IF('C'!$Z39&lt;&gt;B!$Z39,1,0)</f>
        <v>0</v>
      </c>
      <c r="R30" s="423">
        <f>IF(D!$Z39&lt;&gt;'C'!$Z39,1,0)</f>
        <v>0</v>
      </c>
      <c r="S30" s="423">
        <f>IF(E!$Z39&lt;&gt;D!$Z39,1,0)</f>
        <v>0</v>
      </c>
      <c r="T30" s="423">
        <f>IF(F!$Z39&lt;&gt;E!$Z39,1,0)</f>
        <v>0</v>
      </c>
      <c r="U30" s="423">
        <f>IF(G!$Z39&lt;&gt;F!$Z39,1,0)</f>
        <v>0</v>
      </c>
      <c r="V30" s="423">
        <f>IF(H!$Z39&lt;&gt;G!$Z39,1,0)</f>
        <v>0</v>
      </c>
      <c r="W30" s="423">
        <f>IF(I!$Z39&lt;&gt;H!$Z39,1,0)</f>
        <v>0</v>
      </c>
      <c r="X30" s="423">
        <f>IF(J!$Z39&lt;&gt;I!$Z39,1,0)</f>
        <v>0</v>
      </c>
      <c r="Y30" s="423">
        <f>IF(K!$Z39&lt;&gt;J!$Z39,1,0)</f>
        <v>0</v>
      </c>
      <c r="Z30" s="424">
        <f>IF(L!$Z39&lt;&gt;K!$Z39,1,0)</f>
        <v>0</v>
      </c>
      <c r="AA30" s="86"/>
      <c r="AB30" s="86"/>
      <c r="AC30" s="86"/>
      <c r="AD30" s="86"/>
      <c r="AE30" s="86"/>
    </row>
    <row r="31" spans="1:31">
      <c r="A31" s="1293"/>
      <c r="B31" s="142" t="str">
        <f>'All Months Actuals'!B31</f>
        <v>Small Purchases</v>
      </c>
      <c r="C31" s="350">
        <f>'Month A'!Z40</f>
        <v>0</v>
      </c>
      <c r="D31" s="351">
        <f ca="1">$P$67*B!$Z40</f>
        <v>0</v>
      </c>
      <c r="E31" s="351">
        <f ca="1">$Q$67*'C'!$Z40</f>
        <v>0</v>
      </c>
      <c r="F31" s="351">
        <f ca="1">$R$67*D!$Z40</f>
        <v>0</v>
      </c>
      <c r="G31" s="351">
        <f ca="1">$S$67*E!$Z40</f>
        <v>0</v>
      </c>
      <c r="H31" s="351">
        <f ca="1">$T$67*F!$Z40</f>
        <v>0</v>
      </c>
      <c r="I31" s="351">
        <f ca="1">$U$67*G!$Z40</f>
        <v>0</v>
      </c>
      <c r="J31" s="351">
        <f ca="1">$V$67*H!$Z40</f>
        <v>0</v>
      </c>
      <c r="K31" s="351">
        <f ca="1">$W$67*I!$Z40</f>
        <v>0</v>
      </c>
      <c r="L31" s="351">
        <f ca="1">$X$67*J!$Z40</f>
        <v>0</v>
      </c>
      <c r="M31" s="351">
        <f ca="1">$Y$67*K!$Z40</f>
        <v>0</v>
      </c>
      <c r="N31" s="352">
        <f ca="1">$Z$67*L!$Z40</f>
        <v>0</v>
      </c>
      <c r="O31" s="86"/>
      <c r="P31" s="422">
        <f>IF(B!Z40&lt;&gt;'Month A'!Z40,1,0)</f>
        <v>0</v>
      </c>
      <c r="Q31" s="423">
        <f>IF('C'!$Z40&lt;&gt;B!$Z40,1,0)</f>
        <v>0</v>
      </c>
      <c r="R31" s="423">
        <f>IF(D!$Z40&lt;&gt;'C'!$Z40,1,0)</f>
        <v>0</v>
      </c>
      <c r="S31" s="423">
        <f>IF(E!$Z40&lt;&gt;D!$Z40,1,0)</f>
        <v>0</v>
      </c>
      <c r="T31" s="423">
        <f>IF(F!$Z40&lt;&gt;E!$Z40,1,0)</f>
        <v>0</v>
      </c>
      <c r="U31" s="423">
        <f>IF(G!$Z40&lt;&gt;F!$Z40,1,0)</f>
        <v>0</v>
      </c>
      <c r="V31" s="423">
        <f>IF(H!$Z40&lt;&gt;G!$Z40,1,0)</f>
        <v>0</v>
      </c>
      <c r="W31" s="423">
        <f>IF(I!$Z40&lt;&gt;H!$Z40,1,0)</f>
        <v>0</v>
      </c>
      <c r="X31" s="423">
        <f>IF(J!$Z40&lt;&gt;I!$Z40,1,0)</f>
        <v>0</v>
      </c>
      <c r="Y31" s="423">
        <f>IF(K!$Z40&lt;&gt;J!$Z40,1,0)</f>
        <v>0</v>
      </c>
      <c r="Z31" s="424">
        <f>IF(L!$Z40&lt;&gt;K!$Z40,1,0)</f>
        <v>0</v>
      </c>
      <c r="AA31" s="86"/>
      <c r="AB31" s="86"/>
      <c r="AC31" s="86"/>
      <c r="AD31" s="86"/>
      <c r="AE31" s="86"/>
    </row>
    <row r="32" spans="1:31">
      <c r="A32" s="1293"/>
      <c r="B32" s="142" t="str">
        <f>'All Months Actuals'!B32</f>
        <v>Haircuts / Cosmetics Treatments</v>
      </c>
      <c r="C32" s="350">
        <f>'Month A'!Z41</f>
        <v>0</v>
      </c>
      <c r="D32" s="351">
        <f ca="1">$P$67*B!$Z41</f>
        <v>0</v>
      </c>
      <c r="E32" s="351">
        <f ca="1">$Q$67*'C'!$Z41</f>
        <v>0</v>
      </c>
      <c r="F32" s="351">
        <f ca="1">$R$67*D!$Z41</f>
        <v>0</v>
      </c>
      <c r="G32" s="351">
        <f ca="1">$S$67*E!$Z41</f>
        <v>0</v>
      </c>
      <c r="H32" s="351">
        <f ca="1">$T$67*F!$Z41</f>
        <v>0</v>
      </c>
      <c r="I32" s="351">
        <f ca="1">$U$67*G!$Z41</f>
        <v>0</v>
      </c>
      <c r="J32" s="351">
        <f ca="1">$V$67*H!$Z41</f>
        <v>0</v>
      </c>
      <c r="K32" s="351">
        <f ca="1">$W$67*I!$Z41</f>
        <v>0</v>
      </c>
      <c r="L32" s="351">
        <f ca="1">$X$67*J!$Z41</f>
        <v>0</v>
      </c>
      <c r="M32" s="351">
        <f ca="1">$Y$67*K!$Z41</f>
        <v>0</v>
      </c>
      <c r="N32" s="352">
        <f ca="1">$Z$67*L!$Z41</f>
        <v>0</v>
      </c>
      <c r="O32" s="86"/>
      <c r="P32" s="422">
        <f>IF(B!Z41&lt;&gt;'Month A'!Z41,1,0)</f>
        <v>0</v>
      </c>
      <c r="Q32" s="423">
        <f>IF('C'!$Z41&lt;&gt;B!$Z41,1,0)</f>
        <v>0</v>
      </c>
      <c r="R32" s="423">
        <f>IF(D!$Z41&lt;&gt;'C'!$Z41,1,0)</f>
        <v>0</v>
      </c>
      <c r="S32" s="423">
        <f>IF(E!$Z41&lt;&gt;D!$Z41,1,0)</f>
        <v>0</v>
      </c>
      <c r="T32" s="423">
        <f>IF(F!$Z41&lt;&gt;E!$Z41,1,0)</f>
        <v>0</v>
      </c>
      <c r="U32" s="423">
        <f>IF(G!$Z41&lt;&gt;F!$Z41,1,0)</f>
        <v>0</v>
      </c>
      <c r="V32" s="423">
        <f>IF(H!$Z41&lt;&gt;G!$Z41,1,0)</f>
        <v>0</v>
      </c>
      <c r="W32" s="423">
        <f>IF(I!$Z41&lt;&gt;H!$Z41,1,0)</f>
        <v>0</v>
      </c>
      <c r="X32" s="423">
        <f>IF(J!$Z41&lt;&gt;I!$Z41,1,0)</f>
        <v>0</v>
      </c>
      <c r="Y32" s="423">
        <f>IF(K!$Z41&lt;&gt;J!$Z41,1,0)</f>
        <v>0</v>
      </c>
      <c r="Z32" s="424">
        <f>IF(L!$Z41&lt;&gt;K!$Z41,1,0)</f>
        <v>0</v>
      </c>
      <c r="AA32" s="86"/>
      <c r="AB32" s="86"/>
      <c r="AC32" s="86"/>
      <c r="AD32" s="86"/>
      <c r="AE32" s="86"/>
    </row>
    <row r="33" spans="1:31">
      <c r="A33" s="1293"/>
      <c r="B33" s="142" t="str">
        <f>'All Months Actuals'!B33</f>
        <v>National Insurance</v>
      </c>
      <c r="C33" s="350">
        <f>'Month A'!Z42</f>
        <v>0</v>
      </c>
      <c r="D33" s="351">
        <f ca="1">$P$67*B!$Z42</f>
        <v>0</v>
      </c>
      <c r="E33" s="351">
        <f ca="1">$Q$67*'C'!$Z42</f>
        <v>0</v>
      </c>
      <c r="F33" s="351">
        <f ca="1">$R$67*D!$Z42</f>
        <v>0</v>
      </c>
      <c r="G33" s="351">
        <f ca="1">$S$67*E!$Z42</f>
        <v>0</v>
      </c>
      <c r="H33" s="351">
        <f ca="1">$T$67*F!$Z42</f>
        <v>0</v>
      </c>
      <c r="I33" s="351">
        <f ca="1">$U$67*G!$Z42</f>
        <v>0</v>
      </c>
      <c r="J33" s="351">
        <f ca="1">$V$67*H!$Z42</f>
        <v>0</v>
      </c>
      <c r="K33" s="351">
        <f ca="1">$W$67*I!$Z42</f>
        <v>0</v>
      </c>
      <c r="L33" s="351">
        <f ca="1">$X$67*J!$Z42</f>
        <v>0</v>
      </c>
      <c r="M33" s="351">
        <f ca="1">$Y$67*K!$Z42</f>
        <v>0</v>
      </c>
      <c r="N33" s="352">
        <f ca="1">$Z$67*L!$Z42</f>
        <v>0</v>
      </c>
      <c r="O33" s="86"/>
      <c r="P33" s="422">
        <f>IF(B!Z42&lt;&gt;'Month A'!Z42,1,0)</f>
        <v>0</v>
      </c>
      <c r="Q33" s="423">
        <f>IF('C'!$Z42&lt;&gt;B!$Z42,1,0)</f>
        <v>0</v>
      </c>
      <c r="R33" s="423">
        <f>IF(D!$Z42&lt;&gt;'C'!$Z42,1,0)</f>
        <v>0</v>
      </c>
      <c r="S33" s="423">
        <f>IF(E!$Z42&lt;&gt;D!$Z42,1,0)</f>
        <v>0</v>
      </c>
      <c r="T33" s="423">
        <f>IF(F!$Z42&lt;&gt;E!$Z42,1,0)</f>
        <v>0</v>
      </c>
      <c r="U33" s="423">
        <f>IF(G!$Z42&lt;&gt;F!$Z42,1,0)</f>
        <v>0</v>
      </c>
      <c r="V33" s="423">
        <f>IF(H!$Z42&lt;&gt;G!$Z42,1,0)</f>
        <v>0</v>
      </c>
      <c r="W33" s="423">
        <f>IF(I!$Z42&lt;&gt;H!$Z42,1,0)</f>
        <v>0</v>
      </c>
      <c r="X33" s="423">
        <f>IF(J!$Z42&lt;&gt;I!$Z42,1,0)</f>
        <v>0</v>
      </c>
      <c r="Y33" s="423">
        <f>IF(K!$Z42&lt;&gt;J!$Z42,1,0)</f>
        <v>0</v>
      </c>
      <c r="Z33" s="424">
        <f>IF(L!$Z42&lt;&gt;K!$Z42,1,0)</f>
        <v>0</v>
      </c>
      <c r="AA33" s="86"/>
      <c r="AB33" s="86"/>
      <c r="AC33" s="86"/>
      <c r="AD33" s="86"/>
      <c r="AE33" s="86"/>
    </row>
    <row r="34" spans="1:31">
      <c r="A34" s="1293"/>
      <c r="B34" s="142">
        <f>'All Months Actuals'!B34</f>
        <v>0</v>
      </c>
      <c r="C34" s="350">
        <f>'Month A'!Z43</f>
        <v>0</v>
      </c>
      <c r="D34" s="351">
        <f ca="1">$P$67*B!$Z43</f>
        <v>0</v>
      </c>
      <c r="E34" s="351">
        <f ca="1">$Q$67*'C'!$Z43</f>
        <v>0</v>
      </c>
      <c r="F34" s="351">
        <f ca="1">$R$67*D!$Z43</f>
        <v>0</v>
      </c>
      <c r="G34" s="351">
        <f ca="1">$S$67*E!$Z43</f>
        <v>0</v>
      </c>
      <c r="H34" s="351">
        <f ca="1">$T$67*F!$Z43</f>
        <v>0</v>
      </c>
      <c r="I34" s="351">
        <f ca="1">$U$67*G!$Z43</f>
        <v>0</v>
      </c>
      <c r="J34" s="351">
        <f ca="1">$V$67*H!$Z43</f>
        <v>0</v>
      </c>
      <c r="K34" s="351">
        <f ca="1">$W$67*I!$Z43</f>
        <v>0</v>
      </c>
      <c r="L34" s="351">
        <f ca="1">$X$67*J!$Z43</f>
        <v>0</v>
      </c>
      <c r="M34" s="351">
        <f ca="1">$Y$67*K!$Z43</f>
        <v>0</v>
      </c>
      <c r="N34" s="352">
        <f ca="1">$Z$67*L!$Z43</f>
        <v>0</v>
      </c>
      <c r="O34" s="86"/>
      <c r="P34" s="422">
        <f>IF(B!Z43&lt;&gt;'Month A'!Z43,1,0)</f>
        <v>0</v>
      </c>
      <c r="Q34" s="423">
        <f>IF('C'!$Z43&lt;&gt;B!$Z43,1,0)</f>
        <v>0</v>
      </c>
      <c r="R34" s="423">
        <f>IF(D!$Z43&lt;&gt;'C'!$Z43,1,0)</f>
        <v>0</v>
      </c>
      <c r="S34" s="423">
        <f>IF(E!$Z43&lt;&gt;D!$Z43,1,0)</f>
        <v>0</v>
      </c>
      <c r="T34" s="423">
        <f>IF(F!$Z43&lt;&gt;E!$Z43,1,0)</f>
        <v>0</v>
      </c>
      <c r="U34" s="423">
        <f>IF(G!$Z43&lt;&gt;F!$Z43,1,0)</f>
        <v>0</v>
      </c>
      <c r="V34" s="423">
        <f>IF(H!$Z43&lt;&gt;G!$Z43,1,0)</f>
        <v>0</v>
      </c>
      <c r="W34" s="423">
        <f>IF(I!$Z43&lt;&gt;H!$Z43,1,0)</f>
        <v>0</v>
      </c>
      <c r="X34" s="423">
        <f>IF(J!$Z43&lt;&gt;I!$Z43,1,0)</f>
        <v>0</v>
      </c>
      <c r="Y34" s="423">
        <f>IF(K!$Z43&lt;&gt;J!$Z43,1,0)</f>
        <v>0</v>
      </c>
      <c r="Z34" s="424">
        <f>IF(L!$Z43&lt;&gt;K!$Z43,1,0)</f>
        <v>0</v>
      </c>
      <c r="AA34" s="86"/>
      <c r="AB34" s="86"/>
      <c r="AC34" s="86"/>
      <c r="AD34" s="86"/>
      <c r="AE34" s="86"/>
    </row>
    <row r="35" spans="1:31" ht="15.75" customHeight="1" thickBot="1">
      <c r="A35" s="1294"/>
      <c r="B35" s="143">
        <f>'All Months Actuals'!B35</f>
        <v>0</v>
      </c>
      <c r="C35" s="353">
        <f>'Month A'!Z44</f>
        <v>0</v>
      </c>
      <c r="D35" s="354">
        <f ca="1">$P$67*B!$Z44</f>
        <v>0</v>
      </c>
      <c r="E35" s="354">
        <f ca="1">$Q$67*'C'!$Z44</f>
        <v>0</v>
      </c>
      <c r="F35" s="354">
        <f ca="1">$R$67*D!$Z44</f>
        <v>0</v>
      </c>
      <c r="G35" s="354">
        <f ca="1">$S$67*E!$Z44</f>
        <v>0</v>
      </c>
      <c r="H35" s="354">
        <f ca="1">$T$67*F!$Z44</f>
        <v>0</v>
      </c>
      <c r="I35" s="354">
        <f ca="1">$U$67*G!$Z44</f>
        <v>0</v>
      </c>
      <c r="J35" s="354">
        <f ca="1">$V$67*H!$Z44</f>
        <v>0</v>
      </c>
      <c r="K35" s="354">
        <f ca="1">$W$67*I!$Z44</f>
        <v>0</v>
      </c>
      <c r="L35" s="354">
        <f ca="1">$X$67*J!$Z44</f>
        <v>0</v>
      </c>
      <c r="M35" s="354">
        <f ca="1">$Y$67*K!$Z44</f>
        <v>0</v>
      </c>
      <c r="N35" s="355">
        <f ca="1">$Z$67*L!$Z44</f>
        <v>0</v>
      </c>
      <c r="O35" s="86"/>
      <c r="P35" s="422">
        <f>IF(B!Z44&lt;&gt;'Month A'!Z44,1,0)</f>
        <v>0</v>
      </c>
      <c r="Q35" s="423">
        <f>IF('C'!$Z44&lt;&gt;B!$Z44,1,0)</f>
        <v>0</v>
      </c>
      <c r="R35" s="423">
        <f>IF(D!$Z44&lt;&gt;'C'!$Z44,1,0)</f>
        <v>0</v>
      </c>
      <c r="S35" s="423">
        <f>IF(E!$Z44&lt;&gt;D!$Z44,1,0)</f>
        <v>0</v>
      </c>
      <c r="T35" s="423">
        <f>IF(F!$Z44&lt;&gt;E!$Z44,1,0)</f>
        <v>0</v>
      </c>
      <c r="U35" s="423">
        <f>IF(G!$Z44&lt;&gt;F!$Z44,1,0)</f>
        <v>0</v>
      </c>
      <c r="V35" s="423">
        <f>IF(H!$Z44&lt;&gt;G!$Z44,1,0)</f>
        <v>0</v>
      </c>
      <c r="W35" s="423">
        <f>IF(I!$Z44&lt;&gt;H!$Z44,1,0)</f>
        <v>0</v>
      </c>
      <c r="X35" s="423">
        <f>IF(J!$Z44&lt;&gt;I!$Z44,1,0)</f>
        <v>0</v>
      </c>
      <c r="Y35" s="423">
        <f>IF(K!$Z44&lt;&gt;J!$Z44,1,0)</f>
        <v>0</v>
      </c>
      <c r="Z35" s="424">
        <f>IF(L!$Z44&lt;&gt;K!$Z44,1,0)</f>
        <v>0</v>
      </c>
      <c r="AA35" s="86"/>
      <c r="AB35" s="86"/>
      <c r="AC35" s="86"/>
      <c r="AD35" s="86"/>
      <c r="AE35" s="86"/>
    </row>
    <row r="36" spans="1:31">
      <c r="A36" s="1289" t="s">
        <v>397</v>
      </c>
      <c r="B36" s="118" t="str">
        <f>'All Months Actuals'!B36</f>
        <v>Food</v>
      </c>
      <c r="C36" s="347">
        <f>'Month A'!C45</f>
        <v>0</v>
      </c>
      <c r="D36" s="348">
        <f ca="1">$P$67*B!$C45</f>
        <v>0</v>
      </c>
      <c r="E36" s="348">
        <f ca="1">$Q$67*'C'!$C45</f>
        <v>0</v>
      </c>
      <c r="F36" s="348">
        <f ca="1">$R$67*D!$C45</f>
        <v>0</v>
      </c>
      <c r="G36" s="348">
        <f ca="1">$S$67*E!$C45</f>
        <v>0</v>
      </c>
      <c r="H36" s="348">
        <f ca="1">$T$67*F!$C45</f>
        <v>0</v>
      </c>
      <c r="I36" s="348">
        <f ca="1">$U$67*G!$C45</f>
        <v>0</v>
      </c>
      <c r="J36" s="348">
        <f ca="1">$V$67*H!$C45</f>
        <v>0</v>
      </c>
      <c r="K36" s="348">
        <f ca="1">$W$67*I!$C45</f>
        <v>0</v>
      </c>
      <c r="L36" s="348">
        <f ca="1">$X$67*J!$C45</f>
        <v>0</v>
      </c>
      <c r="M36" s="348">
        <f ca="1">$Y$67*K!$C45</f>
        <v>0</v>
      </c>
      <c r="N36" s="349">
        <f ca="1">$Z$67*L!$C45</f>
        <v>0</v>
      </c>
      <c r="O36" s="86"/>
      <c r="P36" s="422">
        <f>IF(B!C45&lt;&gt;'Month A'!C45,1,0)</f>
        <v>0</v>
      </c>
      <c r="Q36" s="423">
        <f>IF('C'!$C45&lt;&gt;B!$C45,1,0)</f>
        <v>0</v>
      </c>
      <c r="R36" s="423">
        <f>IF(D!$C45&lt;&gt;'C'!$C45,1,0)</f>
        <v>0</v>
      </c>
      <c r="S36" s="423">
        <f>IF(E!$C45&lt;&gt;D!$C45,1,0)</f>
        <v>0</v>
      </c>
      <c r="T36" s="423">
        <f>IF(F!$C45&lt;&gt;E!$C45,1,0)</f>
        <v>0</v>
      </c>
      <c r="U36" s="423">
        <f>IF(G!$C45&lt;&gt;F!$C45,1,0)</f>
        <v>0</v>
      </c>
      <c r="V36" s="423">
        <f>IF(H!$C45&lt;&gt;G!$C45,1,0)</f>
        <v>0</v>
      </c>
      <c r="W36" s="423">
        <f>IF(I!$C45&lt;&gt;H!$C45,1,0)</f>
        <v>0</v>
      </c>
      <c r="X36" s="423">
        <f>IF(J!$C45&lt;&gt;I!$C45,1,0)</f>
        <v>0</v>
      </c>
      <c r="Y36" s="423">
        <f>IF(K!$C45&lt;&gt;J!$C45,1,0)</f>
        <v>0</v>
      </c>
      <c r="Z36" s="424">
        <f>IF(L!$C45&lt;&gt;K!$C45,1,0)</f>
        <v>0</v>
      </c>
      <c r="AA36" s="86"/>
      <c r="AB36" s="86"/>
      <c r="AC36" s="86"/>
      <c r="AD36" s="86"/>
      <c r="AE36" s="86"/>
    </row>
    <row r="37" spans="1:31">
      <c r="A37" s="1290"/>
      <c r="B37" s="119" t="str">
        <f>'All Months Actuals'!B37</f>
        <v>Public Transportation</v>
      </c>
      <c r="C37" s="350">
        <f>'Month A'!C46</f>
        <v>0</v>
      </c>
      <c r="D37" s="351">
        <f ca="1">$P$67*B!$C46</f>
        <v>0</v>
      </c>
      <c r="E37" s="351">
        <f ca="1">$Q$67*'C'!$C46</f>
        <v>0</v>
      </c>
      <c r="F37" s="351">
        <f ca="1">$R$67*D!$C46</f>
        <v>0</v>
      </c>
      <c r="G37" s="351">
        <f ca="1">$S$67*E!$C46</f>
        <v>0</v>
      </c>
      <c r="H37" s="351">
        <f ca="1">$T$67*F!$C46</f>
        <v>0</v>
      </c>
      <c r="I37" s="351">
        <f ca="1">$U$67*G!$C46</f>
        <v>0</v>
      </c>
      <c r="J37" s="351">
        <f ca="1">$V$67*H!$C46</f>
        <v>0</v>
      </c>
      <c r="K37" s="351">
        <f ca="1">$W$67*I!$C46</f>
        <v>0</v>
      </c>
      <c r="L37" s="351">
        <f ca="1">$X$67*J!$C46</f>
        <v>0</v>
      </c>
      <c r="M37" s="351">
        <f ca="1">$Y$67*K!$C46</f>
        <v>0</v>
      </c>
      <c r="N37" s="352">
        <f ca="1">$Z$67*L!$C46</f>
        <v>0</v>
      </c>
      <c r="O37" s="86"/>
      <c r="P37" s="422">
        <f>IF(B!C46&lt;&gt;'Month A'!C46,1,0)</f>
        <v>0</v>
      </c>
      <c r="Q37" s="423">
        <f>IF('C'!$C46&lt;&gt;B!$C46,1,0)</f>
        <v>0</v>
      </c>
      <c r="R37" s="423">
        <f>IF(D!$C46&lt;&gt;'C'!$C46,1,0)</f>
        <v>0</v>
      </c>
      <c r="S37" s="423">
        <f>IF(E!$C46&lt;&gt;D!$C46,1,0)</f>
        <v>0</v>
      </c>
      <c r="T37" s="423">
        <f>IF(F!$C46&lt;&gt;E!$C46,1,0)</f>
        <v>0</v>
      </c>
      <c r="U37" s="423">
        <f>IF(G!$C46&lt;&gt;F!$C46,1,0)</f>
        <v>0</v>
      </c>
      <c r="V37" s="423">
        <f>IF(H!$C46&lt;&gt;G!$C46,1,0)</f>
        <v>0</v>
      </c>
      <c r="W37" s="423">
        <f>IF(I!$C46&lt;&gt;H!$C46,1,0)</f>
        <v>0</v>
      </c>
      <c r="X37" s="423">
        <f>IF(J!$C46&lt;&gt;I!$C46,1,0)</f>
        <v>0</v>
      </c>
      <c r="Y37" s="423">
        <f>IF(K!$C46&lt;&gt;J!$C46,1,0)</f>
        <v>0</v>
      </c>
      <c r="Z37" s="424">
        <f>IF(L!$C46&lt;&gt;K!$C46,1,0)</f>
        <v>0</v>
      </c>
      <c r="AA37" s="86"/>
      <c r="AB37" s="86"/>
      <c r="AC37" s="86"/>
      <c r="AD37" s="86"/>
      <c r="AE37" s="86"/>
    </row>
    <row r="38" spans="1:31">
      <c r="A38" s="1290"/>
      <c r="B38" s="119" t="str">
        <f>'All Months Actuals'!B38</f>
        <v>Gas and Parking</v>
      </c>
      <c r="C38" s="350">
        <f>'Month A'!C47</f>
        <v>0</v>
      </c>
      <c r="D38" s="351">
        <f ca="1">$P$67*B!$C47</f>
        <v>0</v>
      </c>
      <c r="E38" s="351">
        <f ca="1">$Q$67*'C'!$C47</f>
        <v>0</v>
      </c>
      <c r="F38" s="351">
        <f ca="1">$R$67*D!$C47</f>
        <v>0</v>
      </c>
      <c r="G38" s="351">
        <f ca="1">$S$67*E!$C47</f>
        <v>0</v>
      </c>
      <c r="H38" s="351">
        <f ca="1">$T$67*F!$C47</f>
        <v>0</v>
      </c>
      <c r="I38" s="351">
        <f ca="1">$U$67*G!$C47</f>
        <v>0</v>
      </c>
      <c r="J38" s="351">
        <f ca="1">$V$67*H!$C47</f>
        <v>0</v>
      </c>
      <c r="K38" s="351">
        <f ca="1">$W$67*I!$C47</f>
        <v>0</v>
      </c>
      <c r="L38" s="351">
        <f ca="1">$X$67*J!$C47</f>
        <v>0</v>
      </c>
      <c r="M38" s="351">
        <f ca="1">$Y$67*K!$C47</f>
        <v>0</v>
      </c>
      <c r="N38" s="352">
        <f ca="1">$Z$67*L!$C47</f>
        <v>0</v>
      </c>
      <c r="O38" s="86"/>
      <c r="P38" s="422">
        <f>IF(B!C47&lt;&gt;'Month A'!C47,1,0)</f>
        <v>0</v>
      </c>
      <c r="Q38" s="423">
        <f>IF('C'!$C47&lt;&gt;B!$C47,1,0)</f>
        <v>0</v>
      </c>
      <c r="R38" s="423">
        <f>IF(D!$C47&lt;&gt;'C'!$C47,1,0)</f>
        <v>0</v>
      </c>
      <c r="S38" s="423">
        <f>IF(E!$C47&lt;&gt;D!$C47,1,0)</f>
        <v>0</v>
      </c>
      <c r="T38" s="423">
        <f>IF(F!$C47&lt;&gt;E!$C47,1,0)</f>
        <v>0</v>
      </c>
      <c r="U38" s="423">
        <f>IF(G!$C47&lt;&gt;F!$C47,1,0)</f>
        <v>0</v>
      </c>
      <c r="V38" s="423">
        <f>IF(H!$C47&lt;&gt;G!$C47,1,0)</f>
        <v>0</v>
      </c>
      <c r="W38" s="423">
        <f>IF(I!$C47&lt;&gt;H!$C47,1,0)</f>
        <v>0</v>
      </c>
      <c r="X38" s="423">
        <f>IF(J!$C47&lt;&gt;I!$C47,1,0)</f>
        <v>0</v>
      </c>
      <c r="Y38" s="423">
        <f>IF(K!$C47&lt;&gt;J!$C47,1,0)</f>
        <v>0</v>
      </c>
      <c r="Z38" s="424">
        <f>IF(L!$C47&lt;&gt;K!$C47,1,0)</f>
        <v>0</v>
      </c>
      <c r="AA38" s="86"/>
      <c r="AB38" s="86"/>
      <c r="AC38" s="86"/>
      <c r="AD38" s="86"/>
      <c r="AE38" s="86"/>
    </row>
    <row r="39" spans="1:31">
      <c r="A39" s="1290"/>
      <c r="B39" s="119" t="str">
        <f>'All Months Actuals'!B39</f>
        <v>Telephone-Landline/Long Distance</v>
      </c>
      <c r="C39" s="350">
        <f>'Month A'!C48</f>
        <v>0</v>
      </c>
      <c r="D39" s="351">
        <f ca="1">$P$67*B!$C48</f>
        <v>0</v>
      </c>
      <c r="E39" s="351">
        <f ca="1">$Q$67*'C'!$C48</f>
        <v>0</v>
      </c>
      <c r="F39" s="351">
        <f ca="1">$R$67*D!$C48</f>
        <v>0</v>
      </c>
      <c r="G39" s="351">
        <f ca="1">$S$67*E!$C48</f>
        <v>0</v>
      </c>
      <c r="H39" s="351">
        <f ca="1">$T$67*F!$C48</f>
        <v>0</v>
      </c>
      <c r="I39" s="351">
        <f ca="1">$U$67*G!$C48</f>
        <v>0</v>
      </c>
      <c r="J39" s="351">
        <f ca="1">$V$67*H!$C48</f>
        <v>0</v>
      </c>
      <c r="K39" s="351">
        <f ca="1">$W$67*I!$C48</f>
        <v>0</v>
      </c>
      <c r="L39" s="351">
        <f ca="1">$X$67*J!$C48</f>
        <v>0</v>
      </c>
      <c r="M39" s="351">
        <f ca="1">$Y$67*K!$C48</f>
        <v>0</v>
      </c>
      <c r="N39" s="352">
        <f ca="1">$Z$67*L!$C48</f>
        <v>0</v>
      </c>
      <c r="O39" s="86"/>
      <c r="P39" s="422">
        <f>IF(B!C48&lt;&gt;'Month A'!C48,1,0)</f>
        <v>0</v>
      </c>
      <c r="Q39" s="423">
        <f>IF('C'!$C48&lt;&gt;B!$C48,1,0)</f>
        <v>0</v>
      </c>
      <c r="R39" s="423">
        <f>IF(D!$C48&lt;&gt;'C'!$C48,1,0)</f>
        <v>0</v>
      </c>
      <c r="S39" s="423">
        <f>IF(E!$C48&lt;&gt;D!$C48,1,0)</f>
        <v>0</v>
      </c>
      <c r="T39" s="423">
        <f>IF(F!$C48&lt;&gt;E!$C48,1,0)</f>
        <v>0</v>
      </c>
      <c r="U39" s="423">
        <f>IF(G!$C48&lt;&gt;F!$C48,1,0)</f>
        <v>0</v>
      </c>
      <c r="V39" s="423">
        <f>IF(H!$C48&lt;&gt;G!$C48,1,0)</f>
        <v>0</v>
      </c>
      <c r="W39" s="423">
        <f>IF(I!$C48&lt;&gt;H!$C48,1,0)</f>
        <v>0</v>
      </c>
      <c r="X39" s="423">
        <f>IF(J!$C48&lt;&gt;I!$C48,1,0)</f>
        <v>0</v>
      </c>
      <c r="Y39" s="423">
        <f>IF(K!$C48&lt;&gt;J!$C48,1,0)</f>
        <v>0</v>
      </c>
      <c r="Z39" s="424">
        <f>IF(L!$C48&lt;&gt;K!$C48,1,0)</f>
        <v>0</v>
      </c>
      <c r="AA39" s="86"/>
      <c r="AB39" s="86"/>
      <c r="AC39" s="86"/>
      <c r="AD39" s="86"/>
      <c r="AE39" s="86"/>
    </row>
    <row r="40" spans="1:31">
      <c r="A40" s="1290"/>
      <c r="B40" s="119" t="str">
        <f>'All Months Actuals'!B40</f>
        <v>Cell Phones</v>
      </c>
      <c r="C40" s="350">
        <f>'Month A'!C49</f>
        <v>0</v>
      </c>
      <c r="D40" s="351">
        <f ca="1">$P$67*B!$C49</f>
        <v>0</v>
      </c>
      <c r="E40" s="351">
        <f ca="1">$Q$67*'C'!$C49</f>
        <v>0</v>
      </c>
      <c r="F40" s="351">
        <f ca="1">$R$67*D!$C49</f>
        <v>0</v>
      </c>
      <c r="G40" s="351">
        <f ca="1">$S$67*E!$C49</f>
        <v>0</v>
      </c>
      <c r="H40" s="351">
        <f ca="1">$T$67*F!$C49</f>
        <v>0</v>
      </c>
      <c r="I40" s="351">
        <f ca="1">$U$67*G!$C49</f>
        <v>0</v>
      </c>
      <c r="J40" s="351">
        <f ca="1">$V$67*H!$C49</f>
        <v>0</v>
      </c>
      <c r="K40" s="351">
        <f ca="1">$W$67*I!$C49</f>
        <v>0</v>
      </c>
      <c r="L40" s="351">
        <f ca="1">$X$67*J!$C49</f>
        <v>0</v>
      </c>
      <c r="M40" s="351">
        <f ca="1">$Y$67*K!$C49</f>
        <v>0</v>
      </c>
      <c r="N40" s="352">
        <f ca="1">$Z$67*L!$C49</f>
        <v>0</v>
      </c>
      <c r="O40" s="86"/>
      <c r="P40" s="422">
        <f>IF(B!C49&lt;&gt;'Month A'!C49,1,0)</f>
        <v>0</v>
      </c>
      <c r="Q40" s="423">
        <f>IF('C'!$C49&lt;&gt;B!$C49,1,0)</f>
        <v>0</v>
      </c>
      <c r="R40" s="423">
        <f>IF(D!$C49&lt;&gt;'C'!$C49,1,0)</f>
        <v>0</v>
      </c>
      <c r="S40" s="423">
        <f>IF(E!$C49&lt;&gt;D!$C49,1,0)</f>
        <v>0</v>
      </c>
      <c r="T40" s="423">
        <f>IF(F!$C49&lt;&gt;E!$C49,1,0)</f>
        <v>0</v>
      </c>
      <c r="U40" s="423">
        <f>IF(G!$C49&lt;&gt;F!$C49,1,0)</f>
        <v>0</v>
      </c>
      <c r="V40" s="423">
        <f>IF(H!$C49&lt;&gt;G!$C49,1,0)</f>
        <v>0</v>
      </c>
      <c r="W40" s="423">
        <f>IF(I!$C49&lt;&gt;H!$C49,1,0)</f>
        <v>0</v>
      </c>
      <c r="X40" s="423">
        <f>IF(J!$C49&lt;&gt;I!$C49,1,0)</f>
        <v>0</v>
      </c>
      <c r="Y40" s="423">
        <f>IF(K!$C49&lt;&gt;J!$C49,1,0)</f>
        <v>0</v>
      </c>
      <c r="Z40" s="424">
        <f>IF(L!$C49&lt;&gt;K!$C49,1,0)</f>
        <v>0</v>
      </c>
      <c r="AA40" s="86"/>
      <c r="AB40" s="86"/>
      <c r="AC40" s="86"/>
      <c r="AD40" s="86"/>
      <c r="AE40" s="86"/>
    </row>
    <row r="41" spans="1:31">
      <c r="A41" s="1290"/>
      <c r="B41" s="119" t="str">
        <f>'All Months Actuals'!B41</f>
        <v>Home</v>
      </c>
      <c r="C41" s="350">
        <f>'Month A'!C50</f>
        <v>0</v>
      </c>
      <c r="D41" s="351">
        <f ca="1">$P$67*B!$C50</f>
        <v>0</v>
      </c>
      <c r="E41" s="351">
        <f ca="1">$Q$67*'C'!$C50</f>
        <v>0</v>
      </c>
      <c r="F41" s="351">
        <f ca="1">$R$67*D!$C50</f>
        <v>0</v>
      </c>
      <c r="G41" s="351">
        <f ca="1">$S$67*E!$C50</f>
        <v>0</v>
      </c>
      <c r="H41" s="351">
        <f ca="1">$T$67*F!$C50</f>
        <v>0</v>
      </c>
      <c r="I41" s="351">
        <f ca="1">$U$67*G!$C50</f>
        <v>0</v>
      </c>
      <c r="J41" s="351">
        <f ca="1">$V$67*H!$C50</f>
        <v>0</v>
      </c>
      <c r="K41" s="351">
        <f ca="1">$W$67*I!$C50</f>
        <v>0</v>
      </c>
      <c r="L41" s="351">
        <f ca="1">$X$67*J!$C50</f>
        <v>0</v>
      </c>
      <c r="M41" s="351">
        <f ca="1">$Y$67*K!$C50</f>
        <v>0</v>
      </c>
      <c r="N41" s="352">
        <f ca="1">$Z$67*L!$C50</f>
        <v>0</v>
      </c>
      <c r="O41" s="86"/>
      <c r="P41" s="422">
        <f>IF(B!C50&lt;&gt;'Month A'!C50,1,0)</f>
        <v>0</v>
      </c>
      <c r="Q41" s="423">
        <f>IF('C'!$C50&lt;&gt;B!$C50,1,0)</f>
        <v>0</v>
      </c>
      <c r="R41" s="423">
        <f>IF(D!$C50&lt;&gt;'C'!$C50,1,0)</f>
        <v>0</v>
      </c>
      <c r="S41" s="423">
        <f>IF(E!$C50&lt;&gt;D!$C50,1,0)</f>
        <v>0</v>
      </c>
      <c r="T41" s="423">
        <f>IF(F!$C50&lt;&gt;E!$C50,1,0)</f>
        <v>0</v>
      </c>
      <c r="U41" s="423">
        <f>IF(G!$C50&lt;&gt;F!$C50,1,0)</f>
        <v>0</v>
      </c>
      <c r="V41" s="423">
        <f>IF(H!$C50&lt;&gt;G!$C50,1,0)</f>
        <v>0</v>
      </c>
      <c r="W41" s="423">
        <f>IF(I!$C50&lt;&gt;H!$C50,1,0)</f>
        <v>0</v>
      </c>
      <c r="X41" s="423">
        <f>IF(J!$C50&lt;&gt;I!$C50,1,0)</f>
        <v>0</v>
      </c>
      <c r="Y41" s="423">
        <f>IF(K!$C50&lt;&gt;J!$C50,1,0)</f>
        <v>0</v>
      </c>
      <c r="Z41" s="424">
        <f>IF(L!$C50&lt;&gt;K!$C50,1,0)</f>
        <v>0</v>
      </c>
      <c r="AA41" s="86"/>
      <c r="AB41" s="86"/>
      <c r="AC41" s="86"/>
      <c r="AD41" s="86"/>
      <c r="AE41" s="86"/>
    </row>
    <row r="42" spans="1:31">
      <c r="A42" s="1290"/>
      <c r="B42" s="119" t="str">
        <f>'All Months Actuals'!B42</f>
        <v>Cleaning help / Babysitter</v>
      </c>
      <c r="C42" s="350">
        <f>'Month A'!C51</f>
        <v>0</v>
      </c>
      <c r="D42" s="351">
        <f ca="1">$P$67*B!$C51</f>
        <v>0</v>
      </c>
      <c r="E42" s="351">
        <f ca="1">$Q$67*'C'!$C51</f>
        <v>0</v>
      </c>
      <c r="F42" s="351">
        <f ca="1">$R$67*D!$C51</f>
        <v>0</v>
      </c>
      <c r="G42" s="351">
        <f ca="1">$S$67*E!$C51</f>
        <v>0</v>
      </c>
      <c r="H42" s="351">
        <f ca="1">$T$67*F!$C51</f>
        <v>0</v>
      </c>
      <c r="I42" s="351">
        <f ca="1">$U$67*G!$C51</f>
        <v>0</v>
      </c>
      <c r="J42" s="351">
        <f ca="1">$V$67*H!$C51</f>
        <v>0</v>
      </c>
      <c r="K42" s="351">
        <f ca="1">$W$67*I!$C51</f>
        <v>0</v>
      </c>
      <c r="L42" s="351">
        <f ca="1">$X$67*J!$C51</f>
        <v>0</v>
      </c>
      <c r="M42" s="351">
        <f ca="1">$Y$67*K!$C51</f>
        <v>0</v>
      </c>
      <c r="N42" s="352">
        <f ca="1">$Z$67*L!$C51</f>
        <v>0</v>
      </c>
      <c r="O42" s="86"/>
      <c r="P42" s="422">
        <f>IF(B!C51&lt;&gt;'Month A'!C51,1,0)</f>
        <v>0</v>
      </c>
      <c r="Q42" s="423">
        <f>IF('C'!$C51&lt;&gt;B!$C51,1,0)</f>
        <v>0</v>
      </c>
      <c r="R42" s="423">
        <f>IF(D!$C51&lt;&gt;'C'!$C51,1,0)</f>
        <v>0</v>
      </c>
      <c r="S42" s="423">
        <f>IF(E!$C51&lt;&gt;D!$C51,1,0)</f>
        <v>0</v>
      </c>
      <c r="T42" s="423">
        <f>IF(F!$C51&lt;&gt;E!$C51,1,0)</f>
        <v>0</v>
      </c>
      <c r="U42" s="423">
        <f>IF(G!$C51&lt;&gt;F!$C51,1,0)</f>
        <v>0</v>
      </c>
      <c r="V42" s="423">
        <f>IF(H!$C51&lt;&gt;G!$C51,1,0)</f>
        <v>0</v>
      </c>
      <c r="W42" s="423">
        <f>IF(I!$C51&lt;&gt;H!$C51,1,0)</f>
        <v>0</v>
      </c>
      <c r="X42" s="423">
        <f>IF(J!$C51&lt;&gt;I!$C51,1,0)</f>
        <v>0</v>
      </c>
      <c r="Y42" s="423">
        <f>IF(K!$C51&lt;&gt;J!$C51,1,0)</f>
        <v>0</v>
      </c>
      <c r="Z42" s="424">
        <f>IF(L!$C51&lt;&gt;K!$C51,1,0)</f>
        <v>0</v>
      </c>
      <c r="AA42" s="86"/>
      <c r="AB42" s="86"/>
      <c r="AC42" s="86"/>
      <c r="AD42" s="86"/>
      <c r="AE42" s="86"/>
    </row>
    <row r="43" spans="1:31">
      <c r="A43" s="1290"/>
      <c r="B43" s="119" t="str">
        <f>'All Months Actuals'!B43</f>
        <v>Cigarettes</v>
      </c>
      <c r="C43" s="350">
        <f>'Month A'!C52</f>
        <v>0</v>
      </c>
      <c r="D43" s="351">
        <f ca="1">$P$67*B!$C52</f>
        <v>0</v>
      </c>
      <c r="E43" s="351">
        <f ca="1">$Q$67*'C'!$C52</f>
        <v>0</v>
      </c>
      <c r="F43" s="351">
        <f ca="1">$R$67*D!$C52</f>
        <v>0</v>
      </c>
      <c r="G43" s="351">
        <f ca="1">$S$67*E!$C52</f>
        <v>0</v>
      </c>
      <c r="H43" s="351">
        <f ca="1">$T$67*F!$C52</f>
        <v>0</v>
      </c>
      <c r="I43" s="351">
        <f ca="1">$U$67*G!$C52</f>
        <v>0</v>
      </c>
      <c r="J43" s="351">
        <f ca="1">$V$67*H!$C52</f>
        <v>0</v>
      </c>
      <c r="K43" s="351">
        <f ca="1">$W$67*I!$C52</f>
        <v>0</v>
      </c>
      <c r="L43" s="351">
        <f ca="1">$X$67*J!$C52</f>
        <v>0</v>
      </c>
      <c r="M43" s="351">
        <f ca="1">$Y$67*K!$C52</f>
        <v>0</v>
      </c>
      <c r="N43" s="352">
        <f ca="1">$Z$67*L!$C52</f>
        <v>0</v>
      </c>
      <c r="O43" s="86"/>
      <c r="P43" s="422">
        <f>IF(B!C52&lt;&gt;'Month A'!C52,1,0)</f>
        <v>0</v>
      </c>
      <c r="Q43" s="423">
        <f>IF('C'!$C52&lt;&gt;B!$C52,1,0)</f>
        <v>0</v>
      </c>
      <c r="R43" s="423">
        <f>IF(D!$C52&lt;&gt;'C'!$C52,1,0)</f>
        <v>0</v>
      </c>
      <c r="S43" s="423">
        <f>IF(E!$C52&lt;&gt;D!$C52,1,0)</f>
        <v>0</v>
      </c>
      <c r="T43" s="423">
        <f>IF(F!$C52&lt;&gt;E!$C52,1,0)</f>
        <v>0</v>
      </c>
      <c r="U43" s="423">
        <f>IF(G!$C52&lt;&gt;F!$C52,1,0)</f>
        <v>0</v>
      </c>
      <c r="V43" s="423">
        <f>IF(H!$C52&lt;&gt;G!$C52,1,0)</f>
        <v>0</v>
      </c>
      <c r="W43" s="423">
        <f>IF(I!$C52&lt;&gt;H!$C52,1,0)</f>
        <v>0</v>
      </c>
      <c r="X43" s="423">
        <f>IF(J!$C52&lt;&gt;I!$C52,1,0)</f>
        <v>0</v>
      </c>
      <c r="Y43" s="423">
        <f>IF(K!$C52&lt;&gt;J!$C52,1,0)</f>
        <v>0</v>
      </c>
      <c r="Z43" s="424">
        <f>IF(L!$C52&lt;&gt;K!$C52,1,0)</f>
        <v>0</v>
      </c>
      <c r="AA43" s="86"/>
      <c r="AB43" s="86"/>
      <c r="AC43" s="86"/>
      <c r="AD43" s="86"/>
      <c r="AE43" s="86"/>
    </row>
    <row r="44" spans="1:31">
      <c r="A44" s="1290"/>
      <c r="B44" s="119" t="str">
        <f>'All Months Actuals'!B44</f>
        <v>Other</v>
      </c>
      <c r="C44" s="350">
        <f>'Month A'!C53</f>
        <v>0</v>
      </c>
      <c r="D44" s="351">
        <f ca="1">$P$67*B!$C53</f>
        <v>0</v>
      </c>
      <c r="E44" s="351">
        <f ca="1">$Q$67*'C'!$C53</f>
        <v>0</v>
      </c>
      <c r="F44" s="351">
        <f ca="1">$R$67*D!$C53</f>
        <v>0</v>
      </c>
      <c r="G44" s="351">
        <f ca="1">$S$67*E!$C53</f>
        <v>0</v>
      </c>
      <c r="H44" s="351">
        <f ca="1">$T$67*F!$C53</f>
        <v>0</v>
      </c>
      <c r="I44" s="351">
        <f ca="1">$U$67*G!$C53</f>
        <v>0</v>
      </c>
      <c r="J44" s="351">
        <f ca="1">$V$67*H!$C53</f>
        <v>0</v>
      </c>
      <c r="K44" s="351">
        <f ca="1">$W$67*I!$C53</f>
        <v>0</v>
      </c>
      <c r="L44" s="351">
        <f ca="1">$X$67*J!$C53</f>
        <v>0</v>
      </c>
      <c r="M44" s="351">
        <f ca="1">$Y$67*K!$C53</f>
        <v>0</v>
      </c>
      <c r="N44" s="352">
        <f ca="1">$Z$67*L!$C53</f>
        <v>0</v>
      </c>
      <c r="O44" s="86"/>
      <c r="P44" s="422">
        <f>IF(B!C53&lt;&gt;'Month A'!C53,1,0)</f>
        <v>0</v>
      </c>
      <c r="Q44" s="423">
        <f>IF('C'!$C53&lt;&gt;B!$C53,1,0)</f>
        <v>0</v>
      </c>
      <c r="R44" s="423">
        <f>IF(D!$C53&lt;&gt;'C'!$C53,1,0)</f>
        <v>0</v>
      </c>
      <c r="S44" s="423">
        <f>IF(E!$C53&lt;&gt;D!$C53,1,0)</f>
        <v>0</v>
      </c>
      <c r="T44" s="423">
        <f>IF(F!$C53&lt;&gt;E!$C53,1,0)</f>
        <v>0</v>
      </c>
      <c r="U44" s="423">
        <f>IF(G!$C53&lt;&gt;F!$C53,1,0)</f>
        <v>0</v>
      </c>
      <c r="V44" s="423">
        <f>IF(H!$C53&lt;&gt;G!$C53,1,0)</f>
        <v>0</v>
      </c>
      <c r="W44" s="423">
        <f>IF(I!$C53&lt;&gt;H!$C53,1,0)</f>
        <v>0</v>
      </c>
      <c r="X44" s="423">
        <f>IF(J!$C53&lt;&gt;I!$C53,1,0)</f>
        <v>0</v>
      </c>
      <c r="Y44" s="423">
        <f>IF(K!$C53&lt;&gt;J!$C53,1,0)</f>
        <v>0</v>
      </c>
      <c r="Z44" s="424">
        <f>IF(L!$C53&lt;&gt;K!$C53,1,0)</f>
        <v>0</v>
      </c>
      <c r="AA44" s="86"/>
      <c r="AB44" s="86"/>
      <c r="AC44" s="86"/>
      <c r="AD44" s="86"/>
      <c r="AE44" s="86"/>
    </row>
    <row r="45" spans="1:31">
      <c r="A45" s="1290"/>
      <c r="B45" s="119">
        <f>'All Months Actuals'!B45</f>
        <v>0</v>
      </c>
      <c r="C45" s="350">
        <f>'Month A'!C54</f>
        <v>0</v>
      </c>
      <c r="D45" s="351">
        <f ca="1">$P$67*B!$C54</f>
        <v>0</v>
      </c>
      <c r="E45" s="351">
        <f ca="1">$Q$67*'C'!$C54</f>
        <v>0</v>
      </c>
      <c r="F45" s="351">
        <f ca="1">$R$67*D!$C54</f>
        <v>0</v>
      </c>
      <c r="G45" s="351">
        <f ca="1">$S$67*E!$C54</f>
        <v>0</v>
      </c>
      <c r="H45" s="351">
        <f ca="1">$T$67*F!$C54</f>
        <v>0</v>
      </c>
      <c r="I45" s="351">
        <f ca="1">$U$67*G!$C54</f>
        <v>0</v>
      </c>
      <c r="J45" s="351">
        <f ca="1">$V$67*H!$C54</f>
        <v>0</v>
      </c>
      <c r="K45" s="351">
        <f ca="1">$W$67*I!$C54</f>
        <v>0</v>
      </c>
      <c r="L45" s="351">
        <f ca="1">$X$67*J!$C54</f>
        <v>0</v>
      </c>
      <c r="M45" s="351">
        <f ca="1">$Y$67*K!$C54</f>
        <v>0</v>
      </c>
      <c r="N45" s="352">
        <f ca="1">$Z$67*L!$C54</f>
        <v>0</v>
      </c>
      <c r="O45" s="86"/>
      <c r="P45" s="422">
        <f>IF(B!C54&lt;&gt;'Month A'!C54,1,0)</f>
        <v>0</v>
      </c>
      <c r="Q45" s="423">
        <f>IF('C'!$C54&lt;&gt;B!$C54,1,0)</f>
        <v>0</v>
      </c>
      <c r="R45" s="423">
        <f>IF(D!$C54&lt;&gt;'C'!$C54,1,0)</f>
        <v>0</v>
      </c>
      <c r="S45" s="423">
        <f>IF(E!$C54&lt;&gt;D!$C54,1,0)</f>
        <v>0</v>
      </c>
      <c r="T45" s="423">
        <f>IF(F!$C54&lt;&gt;E!$C54,1,0)</f>
        <v>0</v>
      </c>
      <c r="U45" s="423">
        <f>IF(G!$C54&lt;&gt;F!$C54,1,0)</f>
        <v>0</v>
      </c>
      <c r="V45" s="423">
        <f>IF(H!$C54&lt;&gt;G!$C54,1,0)</f>
        <v>0</v>
      </c>
      <c r="W45" s="423">
        <f>IF(I!$C54&lt;&gt;H!$C54,1,0)</f>
        <v>0</v>
      </c>
      <c r="X45" s="423">
        <f>IF(J!$C54&lt;&gt;I!$C54,1,0)</f>
        <v>0</v>
      </c>
      <c r="Y45" s="423">
        <f>IF(K!$C54&lt;&gt;J!$C54,1,0)</f>
        <v>0</v>
      </c>
      <c r="Z45" s="424">
        <f>IF(L!$C54&lt;&gt;K!$C54,1,0)</f>
        <v>0</v>
      </c>
      <c r="AA45" s="86"/>
      <c r="AB45" s="86"/>
      <c r="AC45" s="86"/>
      <c r="AD45" s="86"/>
      <c r="AE45" s="86"/>
    </row>
    <row r="46" spans="1:31">
      <c r="A46" s="1290"/>
      <c r="B46" s="119">
        <f>'All Months Actuals'!B46</f>
        <v>0</v>
      </c>
      <c r="C46" s="350">
        <f>'Month A'!C55</f>
        <v>0</v>
      </c>
      <c r="D46" s="351">
        <f ca="1">$P$67*B!$C55</f>
        <v>0</v>
      </c>
      <c r="E46" s="351">
        <f ca="1">$Q$67*'C'!$C55</f>
        <v>0</v>
      </c>
      <c r="F46" s="351">
        <f ca="1">$R$67*D!$C55</f>
        <v>0</v>
      </c>
      <c r="G46" s="351">
        <f ca="1">$S$67*E!$C55</f>
        <v>0</v>
      </c>
      <c r="H46" s="351">
        <f ca="1">$T$67*F!$C55</f>
        <v>0</v>
      </c>
      <c r="I46" s="351">
        <f ca="1">$U$67*G!$C55</f>
        <v>0</v>
      </c>
      <c r="J46" s="351">
        <f ca="1">$V$67*H!$C55</f>
        <v>0</v>
      </c>
      <c r="K46" s="351">
        <f ca="1">$W$67*I!$C55</f>
        <v>0</v>
      </c>
      <c r="L46" s="351">
        <f ca="1">$X$67*J!$C55</f>
        <v>0</v>
      </c>
      <c r="M46" s="351">
        <f ca="1">$Y$67*K!$C55</f>
        <v>0</v>
      </c>
      <c r="N46" s="352">
        <f ca="1">$Z$67*L!$C55</f>
        <v>0</v>
      </c>
      <c r="O46" s="86"/>
      <c r="P46" s="422">
        <f>IF(B!C55&lt;&gt;'Month A'!C55,1,0)</f>
        <v>0</v>
      </c>
      <c r="Q46" s="423">
        <f>IF('C'!$C55&lt;&gt;B!$C55,1,0)</f>
        <v>0</v>
      </c>
      <c r="R46" s="423">
        <f>IF(D!$C55&lt;&gt;'C'!$C55,1,0)</f>
        <v>0</v>
      </c>
      <c r="S46" s="423">
        <f>IF(E!$C55&lt;&gt;D!$C55,1,0)</f>
        <v>0</v>
      </c>
      <c r="T46" s="423">
        <f>IF(F!$C55&lt;&gt;E!$C55,1,0)</f>
        <v>0</v>
      </c>
      <c r="U46" s="423">
        <f>IF(G!$C55&lt;&gt;F!$C55,1,0)</f>
        <v>0</v>
      </c>
      <c r="V46" s="423">
        <f>IF(H!$C55&lt;&gt;G!$C55,1,0)</f>
        <v>0</v>
      </c>
      <c r="W46" s="423">
        <f>IF(I!$C55&lt;&gt;H!$C55,1,0)</f>
        <v>0</v>
      </c>
      <c r="X46" s="423">
        <f>IF(J!$C55&lt;&gt;I!$C55,1,0)</f>
        <v>0</v>
      </c>
      <c r="Y46" s="423">
        <f>IF(K!$C55&lt;&gt;J!$C55,1,0)</f>
        <v>0</v>
      </c>
      <c r="Z46" s="424">
        <f>IF(L!$C55&lt;&gt;K!$C55,1,0)</f>
        <v>0</v>
      </c>
      <c r="AA46" s="86"/>
      <c r="AB46" s="86"/>
      <c r="AC46" s="86"/>
      <c r="AD46" s="86"/>
      <c r="AE46" s="86"/>
    </row>
    <row r="47" spans="1:31" ht="15" thickBot="1">
      <c r="A47" s="1291"/>
      <c r="B47" s="120">
        <f>'All Months Actuals'!B47</f>
        <v>0</v>
      </c>
      <c r="C47" s="353">
        <f>'Month A'!C56</f>
        <v>0</v>
      </c>
      <c r="D47" s="354">
        <f ca="1">$P$67*B!$C56</f>
        <v>0</v>
      </c>
      <c r="E47" s="354">
        <f ca="1">$Q$67*'C'!$C56</f>
        <v>0</v>
      </c>
      <c r="F47" s="354">
        <f ca="1">$R$67*D!$C56</f>
        <v>0</v>
      </c>
      <c r="G47" s="354">
        <f ca="1">$S$67*E!$C56</f>
        <v>0</v>
      </c>
      <c r="H47" s="354">
        <f ca="1">$T$67*F!$C56</f>
        <v>0</v>
      </c>
      <c r="I47" s="354">
        <f ca="1">$U$67*G!$C56</f>
        <v>0</v>
      </c>
      <c r="J47" s="354">
        <f ca="1">$V$67*H!$C56</f>
        <v>0</v>
      </c>
      <c r="K47" s="354">
        <f ca="1">$W$67*I!$C56</f>
        <v>0</v>
      </c>
      <c r="L47" s="354">
        <f ca="1">$X$67*J!$C56</f>
        <v>0</v>
      </c>
      <c r="M47" s="354">
        <f ca="1">$Y$67*K!$C56</f>
        <v>0</v>
      </c>
      <c r="N47" s="355">
        <f ca="1">$Z$67*L!$C56</f>
        <v>0</v>
      </c>
      <c r="O47" s="86"/>
      <c r="P47" s="422">
        <f>IF(B!C56&lt;&gt;'Month A'!C56,1,0)</f>
        <v>0</v>
      </c>
      <c r="Q47" s="423">
        <f>IF('C'!$C56&lt;&gt;B!$C56,1,0)</f>
        <v>0</v>
      </c>
      <c r="R47" s="423">
        <f>IF(D!$C56&lt;&gt;'C'!$C56,1,0)</f>
        <v>0</v>
      </c>
      <c r="S47" s="423">
        <f>IF(E!$C56&lt;&gt;D!$C56,1,0)</f>
        <v>0</v>
      </c>
      <c r="T47" s="423">
        <f>IF(F!$C56&lt;&gt;E!$C56,1,0)</f>
        <v>0</v>
      </c>
      <c r="U47" s="423">
        <f>IF(G!$C56&lt;&gt;F!$C56,1,0)</f>
        <v>0</v>
      </c>
      <c r="V47" s="423">
        <f>IF(H!$C56&lt;&gt;G!$C56,1,0)</f>
        <v>0</v>
      </c>
      <c r="W47" s="423">
        <f>IF(I!$C56&lt;&gt;H!$C56,1,0)</f>
        <v>0</v>
      </c>
      <c r="X47" s="423">
        <f>IF(J!$C56&lt;&gt;I!$C56,1,0)</f>
        <v>0</v>
      </c>
      <c r="Y47" s="423">
        <f>IF(K!$C56&lt;&gt;J!$C56,1,0)</f>
        <v>0</v>
      </c>
      <c r="Z47" s="424">
        <f>IF(L!$C56&lt;&gt;K!$C56,1,0)</f>
        <v>0</v>
      </c>
      <c r="AA47" s="86"/>
      <c r="AB47" s="86"/>
      <c r="AC47" s="86"/>
      <c r="AD47" s="86"/>
      <c r="AE47" s="86"/>
    </row>
    <row r="48" spans="1:31" ht="15.75" thickBot="1">
      <c r="A48" s="1281" t="s">
        <v>308</v>
      </c>
      <c r="B48" s="1282"/>
      <c r="C48" s="356">
        <f t="shared" ref="C48:N48" si="0">SUM(C3:C47)</f>
        <v>0</v>
      </c>
      <c r="D48" s="357">
        <f t="shared" ca="1" si="0"/>
        <v>0</v>
      </c>
      <c r="E48" s="357">
        <f t="shared" ca="1" si="0"/>
        <v>0</v>
      </c>
      <c r="F48" s="357">
        <f t="shared" ca="1" si="0"/>
        <v>0</v>
      </c>
      <c r="G48" s="357">
        <f t="shared" ca="1" si="0"/>
        <v>0</v>
      </c>
      <c r="H48" s="357">
        <f t="shared" ca="1" si="0"/>
        <v>0</v>
      </c>
      <c r="I48" s="357">
        <f t="shared" ca="1" si="0"/>
        <v>0</v>
      </c>
      <c r="J48" s="357">
        <f t="shared" ca="1" si="0"/>
        <v>0</v>
      </c>
      <c r="K48" s="357">
        <f t="shared" ca="1" si="0"/>
        <v>0</v>
      </c>
      <c r="L48" s="357">
        <f t="shared" ca="1" si="0"/>
        <v>0</v>
      </c>
      <c r="M48" s="357">
        <f t="shared" ca="1" si="0"/>
        <v>0</v>
      </c>
      <c r="N48" s="358">
        <f t="shared" ca="1" si="0"/>
        <v>0</v>
      </c>
      <c r="O48" s="86"/>
      <c r="P48" s="422"/>
      <c r="Q48" s="423"/>
      <c r="R48" s="423"/>
      <c r="S48" s="423"/>
      <c r="T48" s="423"/>
      <c r="U48" s="423"/>
      <c r="V48" s="423"/>
      <c r="W48" s="423"/>
      <c r="X48" s="423"/>
      <c r="Y48" s="423"/>
      <c r="Z48" s="424"/>
      <c r="AA48" s="86"/>
      <c r="AB48" s="86"/>
      <c r="AC48" s="86"/>
      <c r="AD48" s="86"/>
      <c r="AE48" s="86"/>
    </row>
    <row r="49" spans="1:31" ht="6" customHeight="1" thickBot="1">
      <c r="A49" s="86"/>
      <c r="B49" s="86"/>
      <c r="C49" s="431"/>
      <c r="D49" s="431"/>
      <c r="E49" s="431"/>
      <c r="F49" s="431"/>
      <c r="G49" s="431"/>
      <c r="H49" s="431"/>
      <c r="I49" s="431"/>
      <c r="J49" s="431"/>
      <c r="K49" s="431"/>
      <c r="L49" s="431"/>
      <c r="M49" s="431"/>
      <c r="N49" s="431"/>
      <c r="O49" s="86"/>
      <c r="P49" s="422"/>
      <c r="Q49" s="423"/>
      <c r="R49" s="423"/>
      <c r="S49" s="423"/>
      <c r="T49" s="423"/>
      <c r="U49" s="423"/>
      <c r="V49" s="423"/>
      <c r="W49" s="423"/>
      <c r="X49" s="423"/>
      <c r="Y49" s="423"/>
      <c r="Z49" s="424"/>
      <c r="AA49" s="86"/>
      <c r="AB49" s="86"/>
      <c r="AC49" s="86"/>
      <c r="AD49" s="86"/>
      <c r="AE49" s="86"/>
    </row>
    <row r="50" spans="1:31" ht="15" customHeight="1">
      <c r="A50" s="1295" t="s">
        <v>296</v>
      </c>
      <c r="B50" s="122" t="str">
        <f>'All Months Actuals'!B50</f>
        <v>Husband job 1</v>
      </c>
      <c r="C50" s="347">
        <f>'Month A'!Z6</f>
        <v>0</v>
      </c>
      <c r="D50" s="348">
        <f ca="1">$P$67*B!Z6</f>
        <v>0</v>
      </c>
      <c r="E50" s="348">
        <f ca="1">$Q$67*'C'!Z6</f>
        <v>0</v>
      </c>
      <c r="F50" s="348">
        <f ca="1">$R$67*D!Z6</f>
        <v>0</v>
      </c>
      <c r="G50" s="348">
        <f ca="1">$S$67*E!Z6</f>
        <v>0</v>
      </c>
      <c r="H50" s="348">
        <f ca="1">$T$67*F!Z6</f>
        <v>0</v>
      </c>
      <c r="I50" s="348">
        <f ca="1">$U$67*G!Z6</f>
        <v>0</v>
      </c>
      <c r="J50" s="348">
        <f ca="1">$V$67*H!Z6</f>
        <v>0</v>
      </c>
      <c r="K50" s="348">
        <f ca="1">$W$67*I!Z6</f>
        <v>0</v>
      </c>
      <c r="L50" s="348">
        <f ca="1">$X$67*J!Z6</f>
        <v>0</v>
      </c>
      <c r="M50" s="348">
        <f ca="1">$Y$67*K!Z6</f>
        <v>0</v>
      </c>
      <c r="N50" s="349">
        <f ca="1">$Z$67*L!Z6</f>
        <v>0</v>
      </c>
      <c r="O50" s="86"/>
      <c r="P50" s="422">
        <f>IF(B!Z6&lt;&gt;'Month A'!Z6,1,0)</f>
        <v>0</v>
      </c>
      <c r="Q50" s="423">
        <f>IF('C'!$Z6&lt;&gt;B!$Z6,1,0)</f>
        <v>0</v>
      </c>
      <c r="R50" s="423">
        <f>IF(D!$Z6&lt;&gt;'C'!$Z6,1,0)</f>
        <v>0</v>
      </c>
      <c r="S50" s="423">
        <f>IF(E!$Z6&lt;&gt;D!$Z6,1,0)</f>
        <v>0</v>
      </c>
      <c r="T50" s="423">
        <f>IF(F!$Z6&lt;&gt;E!$Z6,1,0)</f>
        <v>0</v>
      </c>
      <c r="U50" s="423">
        <f>IF(G!$Z6&lt;&gt;F!$Z6,1,0)</f>
        <v>0</v>
      </c>
      <c r="V50" s="423">
        <f>IF(H!$Z6&lt;&gt;G!$Z6,1,0)</f>
        <v>0</v>
      </c>
      <c r="W50" s="423">
        <f>IF(I!$Z6&lt;&gt;H!$Z6,1,0)</f>
        <v>0</v>
      </c>
      <c r="X50" s="423">
        <f>IF(J!$Z6&lt;&gt;I!$Z6,1,0)</f>
        <v>0</v>
      </c>
      <c r="Y50" s="423">
        <f>IF(K!$Z6&lt;&gt;J!$Z6,1,0)</f>
        <v>0</v>
      </c>
      <c r="Z50" s="424">
        <f>IF(L!$Z6&lt;&gt;K!$Z6,1,0)</f>
        <v>0</v>
      </c>
      <c r="AA50" s="86"/>
      <c r="AB50" s="86"/>
      <c r="AC50" s="86"/>
      <c r="AD50" s="86"/>
      <c r="AE50" s="86"/>
    </row>
    <row r="51" spans="1:31">
      <c r="A51" s="1296"/>
      <c r="B51" s="123" t="str">
        <f>'All Months Actuals'!B51</f>
        <v>Husband job 2</v>
      </c>
      <c r="C51" s="350">
        <f>'Month A'!Z7</f>
        <v>0</v>
      </c>
      <c r="D51" s="351">
        <f ca="1">$P$67*B!Z7</f>
        <v>0</v>
      </c>
      <c r="E51" s="351">
        <f ca="1">$Q$67*'C'!Z7</f>
        <v>0</v>
      </c>
      <c r="F51" s="351">
        <f ca="1">$R$67*D!Z7</f>
        <v>0</v>
      </c>
      <c r="G51" s="351">
        <f ca="1">$S$67*E!Z7</f>
        <v>0</v>
      </c>
      <c r="H51" s="351">
        <f ca="1">$T$67*F!Z7</f>
        <v>0</v>
      </c>
      <c r="I51" s="351">
        <f ca="1">$U$67*G!Z7</f>
        <v>0</v>
      </c>
      <c r="J51" s="351">
        <f ca="1">$V$67*H!Z7</f>
        <v>0</v>
      </c>
      <c r="K51" s="351">
        <f ca="1">$W$67*I!Z7</f>
        <v>0</v>
      </c>
      <c r="L51" s="351">
        <f ca="1">$X$67*J!Z7</f>
        <v>0</v>
      </c>
      <c r="M51" s="351">
        <f ca="1">$Y$67*K!Z7</f>
        <v>0</v>
      </c>
      <c r="N51" s="352">
        <f ca="1">$Z$67*L!Z7</f>
        <v>0</v>
      </c>
      <c r="O51" s="86"/>
      <c r="P51" s="422">
        <f>IF(B!Z7&lt;&gt;'Month A'!Z7,1,0)</f>
        <v>0</v>
      </c>
      <c r="Q51" s="423">
        <f>IF('C'!$Z7&lt;&gt;B!$Z7,1,0)</f>
        <v>0</v>
      </c>
      <c r="R51" s="423">
        <f>IF(D!$Z7&lt;&gt;'C'!$Z7,1,0)</f>
        <v>0</v>
      </c>
      <c r="S51" s="423">
        <f>IF(E!$Z7&lt;&gt;D!$Z7,1,0)</f>
        <v>0</v>
      </c>
      <c r="T51" s="423">
        <f>IF(F!$Z7&lt;&gt;E!$Z7,1,0)</f>
        <v>0</v>
      </c>
      <c r="U51" s="423">
        <f>IF(G!$Z7&lt;&gt;F!$Z7,1,0)</f>
        <v>0</v>
      </c>
      <c r="V51" s="423">
        <f>IF(H!$Z7&lt;&gt;G!$Z7,1,0)</f>
        <v>0</v>
      </c>
      <c r="W51" s="423">
        <f>IF(I!$Z7&lt;&gt;H!$Z7,1,0)</f>
        <v>0</v>
      </c>
      <c r="X51" s="423">
        <f>IF(J!$Z7&lt;&gt;I!$Z7,1,0)</f>
        <v>0</v>
      </c>
      <c r="Y51" s="423">
        <f>IF(K!$Z7&lt;&gt;J!$Z7,1,0)</f>
        <v>0</v>
      </c>
      <c r="Z51" s="424">
        <f>IF(L!$Z7&lt;&gt;K!$Z7,1,0)</f>
        <v>0</v>
      </c>
      <c r="AA51" s="86"/>
      <c r="AB51" s="86"/>
      <c r="AC51" s="86"/>
      <c r="AD51" s="86"/>
      <c r="AE51" s="86"/>
    </row>
    <row r="52" spans="1:31">
      <c r="A52" s="1296"/>
      <c r="B52" s="123" t="str">
        <f>'All Months Actuals'!B52</f>
        <v>Wife job 1</v>
      </c>
      <c r="C52" s="350">
        <f>'Month A'!Z8</f>
        <v>0</v>
      </c>
      <c r="D52" s="351">
        <f ca="1">$P$67*B!Z8</f>
        <v>0</v>
      </c>
      <c r="E52" s="351">
        <f ca="1">$Q$67*'C'!Z8</f>
        <v>0</v>
      </c>
      <c r="F52" s="351">
        <f ca="1">$R$67*D!Z8</f>
        <v>0</v>
      </c>
      <c r="G52" s="351">
        <f ca="1">$S$67*E!Z8</f>
        <v>0</v>
      </c>
      <c r="H52" s="351">
        <f ca="1">$T$67*F!Z8</f>
        <v>0</v>
      </c>
      <c r="I52" s="351">
        <f ca="1">$U$67*G!Z8</f>
        <v>0</v>
      </c>
      <c r="J52" s="351">
        <f ca="1">$V$67*H!Z8</f>
        <v>0</v>
      </c>
      <c r="K52" s="351">
        <f ca="1">$W$67*I!Z8</f>
        <v>0</v>
      </c>
      <c r="L52" s="351">
        <f ca="1">$X$67*J!Z8</f>
        <v>0</v>
      </c>
      <c r="M52" s="351">
        <f ca="1">$Y$67*K!Z8</f>
        <v>0</v>
      </c>
      <c r="N52" s="352">
        <f ca="1">$Z$67*L!Z8</f>
        <v>0</v>
      </c>
      <c r="O52" s="86"/>
      <c r="P52" s="422">
        <f>IF(B!Z8&lt;&gt;'Month A'!Z8,1,0)</f>
        <v>0</v>
      </c>
      <c r="Q52" s="423">
        <f>IF('C'!$Z8&lt;&gt;B!$Z8,1,0)</f>
        <v>0</v>
      </c>
      <c r="R52" s="423">
        <f>IF(D!$Z8&lt;&gt;'C'!$Z8,1,0)</f>
        <v>0</v>
      </c>
      <c r="S52" s="423">
        <f>IF(E!$Z8&lt;&gt;D!$Z8,1,0)</f>
        <v>0</v>
      </c>
      <c r="T52" s="423">
        <f>IF(F!$Z8&lt;&gt;E!$Z8,1,0)</f>
        <v>0</v>
      </c>
      <c r="U52" s="423">
        <f>IF(G!$Z8&lt;&gt;F!$Z8,1,0)</f>
        <v>0</v>
      </c>
      <c r="V52" s="423">
        <f>IF(H!$Z8&lt;&gt;G!$Z8,1,0)</f>
        <v>0</v>
      </c>
      <c r="W52" s="423">
        <f>IF(I!$Z8&lt;&gt;H!$Z8,1,0)</f>
        <v>0</v>
      </c>
      <c r="X52" s="423">
        <f>IF(J!$Z8&lt;&gt;I!$Z8,1,0)</f>
        <v>0</v>
      </c>
      <c r="Y52" s="423">
        <f>IF(K!$Z8&lt;&gt;J!$Z8,1,0)</f>
        <v>0</v>
      </c>
      <c r="Z52" s="424">
        <f>IF(L!$Z8&lt;&gt;K!$Z8,1,0)</f>
        <v>0</v>
      </c>
      <c r="AA52" s="86"/>
      <c r="AB52" s="86"/>
      <c r="AC52" s="86"/>
      <c r="AD52" s="86"/>
      <c r="AE52" s="86"/>
    </row>
    <row r="53" spans="1:31">
      <c r="A53" s="1296"/>
      <c r="B53" s="123" t="str">
        <f>'All Months Actuals'!B53</f>
        <v>Wife job 2</v>
      </c>
      <c r="C53" s="350">
        <f>'Month A'!Z9</f>
        <v>0</v>
      </c>
      <c r="D53" s="351">
        <f ca="1">$P$67*B!Z9</f>
        <v>0</v>
      </c>
      <c r="E53" s="351">
        <f ca="1">$Q$67*'C'!Z9</f>
        <v>0</v>
      </c>
      <c r="F53" s="351">
        <f ca="1">$R$67*D!Z9</f>
        <v>0</v>
      </c>
      <c r="G53" s="351">
        <f ca="1">$S$67*E!Z9</f>
        <v>0</v>
      </c>
      <c r="H53" s="351">
        <f ca="1">$T$67*F!Z9</f>
        <v>0</v>
      </c>
      <c r="I53" s="351">
        <f ca="1">$U$67*G!Z9</f>
        <v>0</v>
      </c>
      <c r="J53" s="351">
        <f ca="1">$V$67*H!Z9</f>
        <v>0</v>
      </c>
      <c r="K53" s="351">
        <f ca="1">$W$67*I!Z9</f>
        <v>0</v>
      </c>
      <c r="L53" s="351">
        <f ca="1">$X$67*J!Z9</f>
        <v>0</v>
      </c>
      <c r="M53" s="351">
        <f ca="1">$Y$67*K!Z9</f>
        <v>0</v>
      </c>
      <c r="N53" s="352">
        <f ca="1">$Z$67*L!Z9</f>
        <v>0</v>
      </c>
      <c r="O53" s="86"/>
      <c r="P53" s="422">
        <f>IF(B!Z9&lt;&gt;'Month A'!Z9,1,0)</f>
        <v>0</v>
      </c>
      <c r="Q53" s="423">
        <f>IF('C'!$Z9&lt;&gt;B!$Z9,1,0)</f>
        <v>0</v>
      </c>
      <c r="R53" s="423">
        <f>IF(D!$Z9&lt;&gt;'C'!$Z9,1,0)</f>
        <v>0</v>
      </c>
      <c r="S53" s="423">
        <f>IF(E!$Z9&lt;&gt;D!$Z9,1,0)</f>
        <v>0</v>
      </c>
      <c r="T53" s="423">
        <f>IF(F!$Z9&lt;&gt;E!$Z9,1,0)</f>
        <v>0</v>
      </c>
      <c r="U53" s="423">
        <f>IF(G!$Z9&lt;&gt;F!$Z9,1,0)</f>
        <v>0</v>
      </c>
      <c r="V53" s="423">
        <f>IF(H!$Z9&lt;&gt;G!$Z9,1,0)</f>
        <v>0</v>
      </c>
      <c r="W53" s="423">
        <f>IF(I!$Z9&lt;&gt;H!$Z9,1,0)</f>
        <v>0</v>
      </c>
      <c r="X53" s="423">
        <f>IF(J!$Z9&lt;&gt;I!$Z9,1,0)</f>
        <v>0</v>
      </c>
      <c r="Y53" s="423">
        <f>IF(K!$Z9&lt;&gt;J!$Z9,1,0)</f>
        <v>0</v>
      </c>
      <c r="Z53" s="424">
        <f>IF(L!$Z9&lt;&gt;K!$Z9,1,0)</f>
        <v>0</v>
      </c>
      <c r="AA53" s="86"/>
      <c r="AB53" s="86"/>
      <c r="AC53" s="86"/>
      <c r="AD53" s="86"/>
      <c r="AE53" s="86"/>
    </row>
    <row r="54" spans="1:31">
      <c r="A54" s="1296"/>
      <c r="B54" s="123" t="str">
        <f>'All Months Actuals'!B54</f>
        <v>National Social Security for Children</v>
      </c>
      <c r="C54" s="350">
        <f>'Month A'!Z10</f>
        <v>0</v>
      </c>
      <c r="D54" s="351">
        <f ca="1">$P$67*B!Z10</f>
        <v>0</v>
      </c>
      <c r="E54" s="351">
        <f ca="1">$Q$67*'C'!Z10</f>
        <v>0</v>
      </c>
      <c r="F54" s="351">
        <f ca="1">$R$67*D!Z10</f>
        <v>0</v>
      </c>
      <c r="G54" s="351">
        <f ca="1">$S$67*E!Z10</f>
        <v>0</v>
      </c>
      <c r="H54" s="351">
        <f ca="1">$T$67*F!Z10</f>
        <v>0</v>
      </c>
      <c r="I54" s="351">
        <f ca="1">$U$67*G!Z10</f>
        <v>0</v>
      </c>
      <c r="J54" s="351">
        <f ca="1">$V$67*H!Z10</f>
        <v>0</v>
      </c>
      <c r="K54" s="351">
        <f ca="1">$W$67*I!Z10</f>
        <v>0</v>
      </c>
      <c r="L54" s="351">
        <f ca="1">$X$67*J!Z10</f>
        <v>0</v>
      </c>
      <c r="M54" s="351">
        <f ca="1">$Y$67*K!Z10</f>
        <v>0</v>
      </c>
      <c r="N54" s="352">
        <f ca="1">$Z$67*L!Z10</f>
        <v>0</v>
      </c>
      <c r="O54" s="86"/>
      <c r="P54" s="422">
        <f>IF(B!Z10&lt;&gt;'Month A'!Z10,1,0)</f>
        <v>0</v>
      </c>
      <c r="Q54" s="423">
        <f>IF('C'!$Z10&lt;&gt;B!$Z10,1,0)</f>
        <v>0</v>
      </c>
      <c r="R54" s="423">
        <f>IF(D!$Z10&lt;&gt;'C'!$Z10,1,0)</f>
        <v>0</v>
      </c>
      <c r="S54" s="423">
        <f>IF(E!$Z10&lt;&gt;D!$Z10,1,0)</f>
        <v>0</v>
      </c>
      <c r="T54" s="423">
        <f>IF(F!$Z10&lt;&gt;E!$Z10,1,0)</f>
        <v>0</v>
      </c>
      <c r="U54" s="423">
        <f>IF(G!$Z10&lt;&gt;F!$Z10,1,0)</f>
        <v>0</v>
      </c>
      <c r="V54" s="423">
        <f>IF(H!$Z10&lt;&gt;G!$Z10,1,0)</f>
        <v>0</v>
      </c>
      <c r="W54" s="423">
        <f>IF(I!$Z10&lt;&gt;H!$Z10,1,0)</f>
        <v>0</v>
      </c>
      <c r="X54" s="423">
        <f>IF(J!$Z10&lt;&gt;I!$Z10,1,0)</f>
        <v>0</v>
      </c>
      <c r="Y54" s="423">
        <f>IF(K!$Z10&lt;&gt;J!$Z10,1,0)</f>
        <v>0</v>
      </c>
      <c r="Z54" s="424">
        <f>IF(L!$Z10&lt;&gt;K!$Z10,1,0)</f>
        <v>0</v>
      </c>
      <c r="AA54" s="86"/>
      <c r="AB54" s="86"/>
      <c r="AC54" s="86"/>
      <c r="AD54" s="86"/>
      <c r="AE54" s="86"/>
    </row>
    <row r="55" spans="1:31">
      <c r="A55" s="1296"/>
      <c r="B55" s="123" t="str">
        <f>'All Months Actuals'!B55</f>
        <v>other Allowances</v>
      </c>
      <c r="C55" s="350">
        <f>'Month A'!Z11</f>
        <v>0</v>
      </c>
      <c r="D55" s="351">
        <f ca="1">$P$67*B!Z11</f>
        <v>0</v>
      </c>
      <c r="E55" s="351">
        <f ca="1">$Q$67*'C'!Z11</f>
        <v>0</v>
      </c>
      <c r="F55" s="351">
        <f ca="1">$R$67*D!Z11</f>
        <v>0</v>
      </c>
      <c r="G55" s="351">
        <f ca="1">$S$67*E!Z11</f>
        <v>0</v>
      </c>
      <c r="H55" s="351">
        <f ca="1">$T$67*F!Z11</f>
        <v>0</v>
      </c>
      <c r="I55" s="351">
        <f ca="1">$U$67*G!Z11</f>
        <v>0</v>
      </c>
      <c r="J55" s="351">
        <f ca="1">$V$67*H!Z11</f>
        <v>0</v>
      </c>
      <c r="K55" s="351">
        <f ca="1">$W$67*I!Z11</f>
        <v>0</v>
      </c>
      <c r="L55" s="351">
        <f ca="1">$X$67*J!Z11</f>
        <v>0</v>
      </c>
      <c r="M55" s="351">
        <f ca="1">$Y$67*K!Z11</f>
        <v>0</v>
      </c>
      <c r="N55" s="352">
        <f ca="1">$Z$67*L!Z11</f>
        <v>0</v>
      </c>
      <c r="O55" s="86"/>
      <c r="P55" s="422">
        <f>IF(B!Z11&lt;&gt;'Month A'!Z11,1,0)</f>
        <v>0</v>
      </c>
      <c r="Q55" s="423">
        <f>IF('C'!$Z11&lt;&gt;B!$Z11,1,0)</f>
        <v>0</v>
      </c>
      <c r="R55" s="423">
        <f>IF(D!$Z11&lt;&gt;'C'!$Z11,1,0)</f>
        <v>0</v>
      </c>
      <c r="S55" s="423">
        <f>IF(E!$Z11&lt;&gt;D!$Z11,1,0)</f>
        <v>0</v>
      </c>
      <c r="T55" s="423">
        <f>IF(F!$Z11&lt;&gt;E!$Z11,1,0)</f>
        <v>0</v>
      </c>
      <c r="U55" s="423">
        <f>IF(G!$Z11&lt;&gt;F!$Z11,1,0)</f>
        <v>0</v>
      </c>
      <c r="V55" s="423">
        <f>IF(H!$Z11&lt;&gt;G!$Z11,1,0)</f>
        <v>0</v>
      </c>
      <c r="W55" s="423">
        <f>IF(I!$Z11&lt;&gt;H!$Z11,1,0)</f>
        <v>0</v>
      </c>
      <c r="X55" s="423">
        <f>IF(J!$Z11&lt;&gt;I!$Z11,1,0)</f>
        <v>0</v>
      </c>
      <c r="Y55" s="423">
        <f>IF(K!$Z11&lt;&gt;J!$Z11,1,0)</f>
        <v>0</v>
      </c>
      <c r="Z55" s="424">
        <f>IF(L!$Z11&lt;&gt;K!$Z11,1,0)</f>
        <v>0</v>
      </c>
      <c r="AA55" s="86"/>
      <c r="AB55" s="86"/>
      <c r="AC55" s="86"/>
      <c r="AD55" s="86"/>
      <c r="AE55" s="86"/>
    </row>
    <row r="56" spans="1:31">
      <c r="A56" s="1296"/>
      <c r="B56" s="123" t="str">
        <f>'All Months Actuals'!B56</f>
        <v>Rent Assistance</v>
      </c>
      <c r="C56" s="350">
        <f>'Month A'!Z12</f>
        <v>0</v>
      </c>
      <c r="D56" s="351">
        <f ca="1">$P$67*B!Z12</f>
        <v>0</v>
      </c>
      <c r="E56" s="351">
        <f ca="1">$Q$67*'C'!Z12</f>
        <v>0</v>
      </c>
      <c r="F56" s="351">
        <f ca="1">$R$67*D!Z12</f>
        <v>0</v>
      </c>
      <c r="G56" s="351">
        <f ca="1">$S$67*E!Z12</f>
        <v>0</v>
      </c>
      <c r="H56" s="351">
        <f ca="1">$T$67*F!Z12</f>
        <v>0</v>
      </c>
      <c r="I56" s="351">
        <f ca="1">$U$67*G!Z12</f>
        <v>0</v>
      </c>
      <c r="J56" s="351">
        <f ca="1">$V$67*H!Z12</f>
        <v>0</v>
      </c>
      <c r="K56" s="351">
        <f ca="1">$W$67*I!Z12</f>
        <v>0</v>
      </c>
      <c r="L56" s="351">
        <f ca="1">$X$67*J!Z12</f>
        <v>0</v>
      </c>
      <c r="M56" s="351">
        <f ca="1">$Y$67*K!Z12</f>
        <v>0</v>
      </c>
      <c r="N56" s="352">
        <f ca="1">$Z$67*L!Z12</f>
        <v>0</v>
      </c>
      <c r="O56" s="86"/>
      <c r="P56" s="422">
        <f>IF(B!Z12&lt;&gt;'Month A'!Z12,1,0)</f>
        <v>0</v>
      </c>
      <c r="Q56" s="423">
        <f>IF('C'!$Z12&lt;&gt;B!$Z12,1,0)</f>
        <v>0</v>
      </c>
      <c r="R56" s="423">
        <f>IF(D!$Z12&lt;&gt;'C'!$Z12,1,0)</f>
        <v>0</v>
      </c>
      <c r="S56" s="423">
        <f>IF(E!$Z12&lt;&gt;D!$Z12,1,0)</f>
        <v>0</v>
      </c>
      <c r="T56" s="423">
        <f>IF(F!$Z12&lt;&gt;E!$Z12,1,0)</f>
        <v>0</v>
      </c>
      <c r="U56" s="423">
        <f>IF(G!$Z12&lt;&gt;F!$Z12,1,0)</f>
        <v>0</v>
      </c>
      <c r="V56" s="423">
        <f>IF(H!$Z12&lt;&gt;G!$Z12,1,0)</f>
        <v>0</v>
      </c>
      <c r="W56" s="423">
        <f>IF(I!$Z12&lt;&gt;H!$Z12,1,0)</f>
        <v>0</v>
      </c>
      <c r="X56" s="423">
        <f>IF(J!$Z12&lt;&gt;I!$Z12,1,0)</f>
        <v>0</v>
      </c>
      <c r="Y56" s="423">
        <f>IF(K!$Z12&lt;&gt;J!$Z12,1,0)</f>
        <v>0</v>
      </c>
      <c r="Z56" s="424">
        <f>IF(L!$Z12&lt;&gt;K!$Z12,1,0)</f>
        <v>0</v>
      </c>
      <c r="AA56" s="86"/>
      <c r="AB56" s="86"/>
      <c r="AC56" s="86"/>
      <c r="AD56" s="86"/>
      <c r="AE56" s="86"/>
    </row>
    <row r="57" spans="1:31">
      <c r="A57" s="1296"/>
      <c r="B57" s="123" t="str">
        <f>'All Months Actuals'!B57</f>
        <v>Food Packages</v>
      </c>
      <c r="C57" s="350">
        <f>'Month A'!Z13</f>
        <v>0</v>
      </c>
      <c r="D57" s="351">
        <f ca="1">$P$67*B!Z13</f>
        <v>0</v>
      </c>
      <c r="E57" s="351">
        <f ca="1">$Q$67*'C'!Z13</f>
        <v>0</v>
      </c>
      <c r="F57" s="351">
        <f ca="1">$R$67*D!Z13</f>
        <v>0</v>
      </c>
      <c r="G57" s="351">
        <f ca="1">$S$67*E!Z13</f>
        <v>0</v>
      </c>
      <c r="H57" s="351">
        <f ca="1">$T$67*F!Z13</f>
        <v>0</v>
      </c>
      <c r="I57" s="351">
        <f ca="1">$U$67*G!Z13</f>
        <v>0</v>
      </c>
      <c r="J57" s="351">
        <f ca="1">$V$67*H!Z13</f>
        <v>0</v>
      </c>
      <c r="K57" s="351">
        <f ca="1">$W$67*I!Z13</f>
        <v>0</v>
      </c>
      <c r="L57" s="351">
        <f ca="1">$X$67*J!Z13</f>
        <v>0</v>
      </c>
      <c r="M57" s="351">
        <f ca="1">$Y$67*K!Z13</f>
        <v>0</v>
      </c>
      <c r="N57" s="352">
        <f ca="1">$Z$67*L!Z13</f>
        <v>0</v>
      </c>
      <c r="O57" s="86"/>
      <c r="P57" s="422">
        <f>IF(B!Z13&lt;&gt;'Month A'!Z13,1,0)</f>
        <v>0</v>
      </c>
      <c r="Q57" s="423">
        <f>IF('C'!$Z13&lt;&gt;B!$Z13,1,0)</f>
        <v>0</v>
      </c>
      <c r="R57" s="423">
        <f>IF(D!$Z13&lt;&gt;'C'!$Z13,1,0)</f>
        <v>0</v>
      </c>
      <c r="S57" s="423">
        <f>IF(E!$Z13&lt;&gt;D!$Z13,1,0)</f>
        <v>0</v>
      </c>
      <c r="T57" s="423">
        <f>IF(F!$Z13&lt;&gt;E!$Z13,1,0)</f>
        <v>0</v>
      </c>
      <c r="U57" s="423">
        <f>IF(G!$Z13&lt;&gt;F!$Z13,1,0)</f>
        <v>0</v>
      </c>
      <c r="V57" s="423">
        <f>IF(H!$Z13&lt;&gt;G!$Z13,1,0)</f>
        <v>0</v>
      </c>
      <c r="W57" s="423">
        <f>IF(I!$Z13&lt;&gt;H!$Z13,1,0)</f>
        <v>0</v>
      </c>
      <c r="X57" s="423">
        <f>IF(J!$Z13&lt;&gt;I!$Z13,1,0)</f>
        <v>0</v>
      </c>
      <c r="Y57" s="423">
        <f>IF(K!$Z13&lt;&gt;J!$Z13,1,0)</f>
        <v>0</v>
      </c>
      <c r="Z57" s="424">
        <f>IF(L!$Z13&lt;&gt;K!$Z13,1,0)</f>
        <v>0</v>
      </c>
      <c r="AA57" s="86"/>
      <c r="AB57" s="86"/>
      <c r="AC57" s="86"/>
      <c r="AD57" s="86"/>
      <c r="AE57" s="86"/>
    </row>
    <row r="58" spans="1:31">
      <c r="A58" s="1296"/>
      <c r="B58" s="123" t="str">
        <f>'All Months Actuals'!B58</f>
        <v>Income from Property</v>
      </c>
      <c r="C58" s="350">
        <f>'Month A'!Z14</f>
        <v>0</v>
      </c>
      <c r="D58" s="351">
        <f ca="1">$P$67*B!Z14</f>
        <v>0</v>
      </c>
      <c r="E58" s="351">
        <f ca="1">$Q$67*'C'!Z14</f>
        <v>0</v>
      </c>
      <c r="F58" s="351">
        <f ca="1">$R$67*D!Z14</f>
        <v>0</v>
      </c>
      <c r="G58" s="351">
        <f ca="1">$S$67*E!Z14</f>
        <v>0</v>
      </c>
      <c r="H58" s="351">
        <f ca="1">$T$67*F!Z14</f>
        <v>0</v>
      </c>
      <c r="I58" s="351">
        <f ca="1">$U$67*G!Z14</f>
        <v>0</v>
      </c>
      <c r="J58" s="351">
        <f ca="1">$V$67*H!Z14</f>
        <v>0</v>
      </c>
      <c r="K58" s="351">
        <f ca="1">$W$67*I!Z14</f>
        <v>0</v>
      </c>
      <c r="L58" s="351">
        <f ca="1">$X$67*J!Z14</f>
        <v>0</v>
      </c>
      <c r="M58" s="351">
        <f ca="1">$Y$67*K!Z14</f>
        <v>0</v>
      </c>
      <c r="N58" s="352">
        <f ca="1">$Z$67*L!Z14</f>
        <v>0</v>
      </c>
      <c r="O58" s="86"/>
      <c r="P58" s="422">
        <f>IF(B!Z14&lt;&gt;'Month A'!Z14,1,0)</f>
        <v>0</v>
      </c>
      <c r="Q58" s="423">
        <f>IF('C'!$Z14&lt;&gt;B!$Z14,1,0)</f>
        <v>0</v>
      </c>
      <c r="R58" s="423">
        <f>IF(D!$Z14&lt;&gt;'C'!$Z14,1,0)</f>
        <v>0</v>
      </c>
      <c r="S58" s="423">
        <f>IF(E!$Z14&lt;&gt;D!$Z14,1,0)</f>
        <v>0</v>
      </c>
      <c r="T58" s="423">
        <f>IF(F!$Z14&lt;&gt;E!$Z14,1,0)</f>
        <v>0</v>
      </c>
      <c r="U58" s="423">
        <f>IF(G!$Z14&lt;&gt;F!$Z14,1,0)</f>
        <v>0</v>
      </c>
      <c r="V58" s="423">
        <f>IF(H!$Z14&lt;&gt;G!$Z14,1,0)</f>
        <v>0</v>
      </c>
      <c r="W58" s="423">
        <f>IF(I!$Z14&lt;&gt;H!$Z14,1,0)</f>
        <v>0</v>
      </c>
      <c r="X58" s="423">
        <f>IF(J!$Z14&lt;&gt;I!$Z14,1,0)</f>
        <v>0</v>
      </c>
      <c r="Y58" s="423">
        <f>IF(K!$Z14&lt;&gt;J!$Z14,1,0)</f>
        <v>0</v>
      </c>
      <c r="Z58" s="424">
        <f>IF(L!$Z14&lt;&gt;K!$Z14,1,0)</f>
        <v>0</v>
      </c>
      <c r="AA58" s="86"/>
      <c r="AB58" s="86"/>
      <c r="AC58" s="86"/>
      <c r="AD58" s="86"/>
      <c r="AE58" s="86"/>
    </row>
    <row r="59" spans="1:31">
      <c r="A59" s="1296"/>
      <c r="B59" s="123" t="str">
        <f>'All Months Actuals'!B59</f>
        <v>Help from parents</v>
      </c>
      <c r="C59" s="350">
        <f>'Month A'!Z15</f>
        <v>0</v>
      </c>
      <c r="D59" s="351">
        <f ca="1">$P$67*B!Z15</f>
        <v>0</v>
      </c>
      <c r="E59" s="351">
        <f ca="1">$Q$67*'C'!Z15</f>
        <v>0</v>
      </c>
      <c r="F59" s="351">
        <f ca="1">$R$67*D!Z15</f>
        <v>0</v>
      </c>
      <c r="G59" s="351">
        <f ca="1">$S$67*E!Z15</f>
        <v>0</v>
      </c>
      <c r="H59" s="351">
        <f ca="1">$T$67*F!Z15</f>
        <v>0</v>
      </c>
      <c r="I59" s="351">
        <f ca="1">$U$67*G!Z15</f>
        <v>0</v>
      </c>
      <c r="J59" s="351">
        <f ca="1">$V$67*H!Z15</f>
        <v>0</v>
      </c>
      <c r="K59" s="351">
        <f ca="1">$W$67*I!Z15</f>
        <v>0</v>
      </c>
      <c r="L59" s="351">
        <f ca="1">$X$67*J!Z15</f>
        <v>0</v>
      </c>
      <c r="M59" s="351">
        <f ca="1">$Y$67*K!Z15</f>
        <v>0</v>
      </c>
      <c r="N59" s="352">
        <f ca="1">$Z$67*L!Z15</f>
        <v>0</v>
      </c>
      <c r="O59" s="86"/>
      <c r="P59" s="422">
        <f>IF(B!Z15&lt;&gt;'Month A'!Z15,1,0)</f>
        <v>0</v>
      </c>
      <c r="Q59" s="423">
        <f>IF('C'!$Z15&lt;&gt;B!$Z15,1,0)</f>
        <v>0</v>
      </c>
      <c r="R59" s="423">
        <f>IF(D!$Z15&lt;&gt;'C'!$Z15,1,0)</f>
        <v>0</v>
      </c>
      <c r="S59" s="423">
        <f>IF(E!$Z15&lt;&gt;D!$Z15,1,0)</f>
        <v>0</v>
      </c>
      <c r="T59" s="423">
        <f>IF(F!$Z15&lt;&gt;E!$Z15,1,0)</f>
        <v>0</v>
      </c>
      <c r="U59" s="423">
        <f>IF(G!$Z15&lt;&gt;F!$Z15,1,0)</f>
        <v>0</v>
      </c>
      <c r="V59" s="423">
        <f>IF(H!$Z15&lt;&gt;G!$Z15,1,0)</f>
        <v>0</v>
      </c>
      <c r="W59" s="423">
        <f>IF(I!$Z15&lt;&gt;H!$Z15,1,0)</f>
        <v>0</v>
      </c>
      <c r="X59" s="423">
        <f>IF(J!$Z15&lt;&gt;I!$Z15,1,0)</f>
        <v>0</v>
      </c>
      <c r="Y59" s="423">
        <f>IF(K!$Z15&lt;&gt;J!$Z15,1,0)</f>
        <v>0</v>
      </c>
      <c r="Z59" s="424">
        <f>IF(L!$Z15&lt;&gt;K!$Z15,1,0)</f>
        <v>0</v>
      </c>
      <c r="AA59" s="86"/>
      <c r="AB59" s="86"/>
      <c r="AC59" s="86"/>
      <c r="AD59" s="86"/>
      <c r="AE59" s="86"/>
    </row>
    <row r="60" spans="1:31" ht="15" thickBot="1">
      <c r="A60" s="1297"/>
      <c r="B60" s="124" t="str">
        <f>'All Months Actuals'!B60</f>
        <v>Other Income</v>
      </c>
      <c r="C60" s="359">
        <f>'Month A'!Z16</f>
        <v>0</v>
      </c>
      <c r="D60" s="354">
        <f ca="1">$P$67*B!Z16</f>
        <v>0</v>
      </c>
      <c r="E60" s="354">
        <f ca="1">$Q$67*'C'!Z16</f>
        <v>0</v>
      </c>
      <c r="F60" s="354">
        <f ca="1">$R$67*D!Z16</f>
        <v>0</v>
      </c>
      <c r="G60" s="354">
        <f ca="1">$S$67*E!Z16</f>
        <v>0</v>
      </c>
      <c r="H60" s="354">
        <f ca="1">$T$67*F!Z16</f>
        <v>0</v>
      </c>
      <c r="I60" s="354">
        <f ca="1">$U$67*G!Z16</f>
        <v>0</v>
      </c>
      <c r="J60" s="354">
        <f ca="1">$V$67*H!Z16</f>
        <v>0</v>
      </c>
      <c r="K60" s="354">
        <f ca="1">$W$67*I!Z16</f>
        <v>0</v>
      </c>
      <c r="L60" s="354">
        <f ca="1">$X$67*J!Z16</f>
        <v>0</v>
      </c>
      <c r="M60" s="354">
        <f ca="1">$Y$67*K!Z16</f>
        <v>0</v>
      </c>
      <c r="N60" s="355">
        <f ca="1">$Z$67*L!Z16</f>
        <v>0</v>
      </c>
      <c r="O60" s="86"/>
      <c r="P60" s="422">
        <f>IF(B!Z16&lt;&gt;'Month A'!Z16,1,0)</f>
        <v>0</v>
      </c>
      <c r="Q60" s="423">
        <f>IF('C'!$Z16&lt;&gt;B!$Z16,1,0)</f>
        <v>0</v>
      </c>
      <c r="R60" s="423">
        <f>IF(D!$Z16&lt;&gt;'C'!$Z16,1,0)</f>
        <v>0</v>
      </c>
      <c r="S60" s="423">
        <f>IF(E!$Z16&lt;&gt;D!$Z16,1,0)</f>
        <v>0</v>
      </c>
      <c r="T60" s="423">
        <f>IF(F!$Z16&lt;&gt;E!$Z16,1,0)</f>
        <v>0</v>
      </c>
      <c r="U60" s="423">
        <f>IF(G!$Z16&lt;&gt;F!$Z16,1,0)</f>
        <v>0</v>
      </c>
      <c r="V60" s="423">
        <f>IF(H!$Z16&lt;&gt;G!$Z16,1,0)</f>
        <v>0</v>
      </c>
      <c r="W60" s="423">
        <f>IF(I!$Z16&lt;&gt;H!$Z16,1,0)</f>
        <v>0</v>
      </c>
      <c r="X60" s="423">
        <f>IF(J!$Z16&lt;&gt;I!$Z16,1,0)</f>
        <v>0</v>
      </c>
      <c r="Y60" s="423">
        <f>IF(K!$Z16&lt;&gt;J!$Z16,1,0)</f>
        <v>0</v>
      </c>
      <c r="Z60" s="424">
        <f>IF(L!$Z16&lt;&gt;K!$Z16,1,0)</f>
        <v>0</v>
      </c>
      <c r="AA60" s="86"/>
      <c r="AB60" s="86"/>
      <c r="AC60" s="86"/>
      <c r="AD60" s="86"/>
      <c r="AE60" s="86"/>
    </row>
    <row r="61" spans="1:31" ht="15.75" thickBot="1">
      <c r="A61" s="1281" t="s">
        <v>284</v>
      </c>
      <c r="B61" s="1282"/>
      <c r="C61" s="360">
        <f>SUM(C50:C60)</f>
        <v>0</v>
      </c>
      <c r="D61" s="361">
        <f t="shared" ref="D61:N61" ca="1" si="1">SUM(D50:D60)</f>
        <v>0</v>
      </c>
      <c r="E61" s="361">
        <f t="shared" ca="1" si="1"/>
        <v>0</v>
      </c>
      <c r="F61" s="361">
        <f t="shared" ca="1" si="1"/>
        <v>0</v>
      </c>
      <c r="G61" s="361">
        <f t="shared" ca="1" si="1"/>
        <v>0</v>
      </c>
      <c r="H61" s="361">
        <f t="shared" ca="1" si="1"/>
        <v>0</v>
      </c>
      <c r="I61" s="361">
        <f t="shared" ca="1" si="1"/>
        <v>0</v>
      </c>
      <c r="J61" s="361">
        <f t="shared" ca="1" si="1"/>
        <v>0</v>
      </c>
      <c r="K61" s="361">
        <f t="shared" ca="1" si="1"/>
        <v>0</v>
      </c>
      <c r="L61" s="361">
        <f t="shared" ca="1" si="1"/>
        <v>0</v>
      </c>
      <c r="M61" s="361">
        <f t="shared" ca="1" si="1"/>
        <v>0</v>
      </c>
      <c r="N61" s="362">
        <f t="shared" ca="1" si="1"/>
        <v>0</v>
      </c>
      <c r="O61" s="86"/>
      <c r="P61" s="422"/>
      <c r="Q61" s="423"/>
      <c r="R61" s="423"/>
      <c r="S61" s="423"/>
      <c r="T61" s="423"/>
      <c r="U61" s="423"/>
      <c r="V61" s="423"/>
      <c r="W61" s="423"/>
      <c r="X61" s="423"/>
      <c r="Y61" s="423"/>
      <c r="Z61" s="424"/>
      <c r="AA61" s="86"/>
      <c r="AB61" s="86"/>
      <c r="AC61" s="86"/>
      <c r="AD61" s="86"/>
      <c r="AE61" s="86"/>
    </row>
    <row r="62" spans="1:31" ht="6" customHeight="1" thickBot="1">
      <c r="A62" s="86"/>
      <c r="B62" s="86"/>
      <c r="C62" s="431"/>
      <c r="D62" s="431"/>
      <c r="E62" s="431"/>
      <c r="F62" s="431"/>
      <c r="G62" s="431"/>
      <c r="H62" s="431"/>
      <c r="I62" s="431"/>
      <c r="J62" s="431"/>
      <c r="K62" s="431"/>
      <c r="L62" s="431"/>
      <c r="M62" s="431"/>
      <c r="N62" s="431"/>
      <c r="O62" s="86"/>
      <c r="P62" s="422"/>
      <c r="Q62" s="423"/>
      <c r="R62" s="423"/>
      <c r="S62" s="423"/>
      <c r="T62" s="423"/>
      <c r="U62" s="423"/>
      <c r="V62" s="423"/>
      <c r="W62" s="423"/>
      <c r="X62" s="423"/>
      <c r="Y62" s="423"/>
      <c r="Z62" s="424"/>
      <c r="AA62" s="86"/>
      <c r="AB62" s="86"/>
      <c r="AC62" s="86"/>
      <c r="AD62" s="86"/>
      <c r="AE62" s="86"/>
    </row>
    <row r="63" spans="1:31" ht="15">
      <c r="A63" s="1298" t="s">
        <v>423</v>
      </c>
      <c r="B63" s="1299"/>
      <c r="C63" s="347">
        <f t="shared" ref="C63:N63" si="2">C61-C48</f>
        <v>0</v>
      </c>
      <c r="D63" s="348">
        <f t="shared" ca="1" si="2"/>
        <v>0</v>
      </c>
      <c r="E63" s="348">
        <f t="shared" ca="1" si="2"/>
        <v>0</v>
      </c>
      <c r="F63" s="348">
        <f t="shared" ca="1" si="2"/>
        <v>0</v>
      </c>
      <c r="G63" s="348">
        <f t="shared" ca="1" si="2"/>
        <v>0</v>
      </c>
      <c r="H63" s="348">
        <f t="shared" ca="1" si="2"/>
        <v>0</v>
      </c>
      <c r="I63" s="348">
        <f t="shared" ca="1" si="2"/>
        <v>0</v>
      </c>
      <c r="J63" s="348">
        <f t="shared" ca="1" si="2"/>
        <v>0</v>
      </c>
      <c r="K63" s="348">
        <f t="shared" ca="1" si="2"/>
        <v>0</v>
      </c>
      <c r="L63" s="348">
        <f t="shared" ca="1" si="2"/>
        <v>0</v>
      </c>
      <c r="M63" s="348">
        <f t="shared" ca="1" si="2"/>
        <v>0</v>
      </c>
      <c r="N63" s="349">
        <f t="shared" ca="1" si="2"/>
        <v>0</v>
      </c>
      <c r="O63" s="86"/>
      <c r="P63" s="422"/>
      <c r="Q63" s="423"/>
      <c r="R63" s="423"/>
      <c r="S63" s="423"/>
      <c r="T63" s="423"/>
      <c r="U63" s="423"/>
      <c r="V63" s="423"/>
      <c r="W63" s="423"/>
      <c r="X63" s="423"/>
      <c r="Y63" s="423"/>
      <c r="Z63" s="424"/>
      <c r="AA63" s="86"/>
      <c r="AB63" s="86"/>
      <c r="AC63" s="86"/>
      <c r="AD63" s="86"/>
      <c r="AE63" s="86"/>
    </row>
    <row r="64" spans="1:31" ht="15">
      <c r="A64" s="1276" t="s">
        <v>349</v>
      </c>
      <c r="B64" s="1277"/>
      <c r="C64" s="350">
        <f ca="1">'Month A'!Q55</f>
        <v>0</v>
      </c>
      <c r="D64" s="351">
        <f ca="1">$P$67*B!$Q55</f>
        <v>0</v>
      </c>
      <c r="E64" s="351">
        <f ca="1">$Q$67*'C'!$Q55</f>
        <v>0</v>
      </c>
      <c r="F64" s="351">
        <f ca="1">$R$67*D!$Q55</f>
        <v>0</v>
      </c>
      <c r="G64" s="351">
        <f ca="1">$S$67*E!$Q55</f>
        <v>0</v>
      </c>
      <c r="H64" s="351">
        <f ca="1">$T$67*F!$Q55</f>
        <v>0</v>
      </c>
      <c r="I64" s="351">
        <f ca="1">$U$67*G!$Q55</f>
        <v>0</v>
      </c>
      <c r="J64" s="351">
        <f ca="1">$V$67*H!$Q55</f>
        <v>0</v>
      </c>
      <c r="K64" s="351">
        <f ca="1">$W$67*I!$Q55</f>
        <v>0</v>
      </c>
      <c r="L64" s="351">
        <f ca="1">$X$67*J!$Q55</f>
        <v>0</v>
      </c>
      <c r="M64" s="351">
        <f ca="1">$Y$67*K!$Q55</f>
        <v>0</v>
      </c>
      <c r="N64" s="352">
        <f ca="1">$Z$67*L!$Q55</f>
        <v>0</v>
      </c>
      <c r="O64" s="86"/>
      <c r="P64" s="422">
        <f ca="1">IF(B!Q55&lt;&gt;'Month A'!Q55,1,0)</f>
        <v>0</v>
      </c>
      <c r="Q64" s="423">
        <f ca="1">IF('C'!$Q55&lt;&gt;B!$Q55,1,0)</f>
        <v>0</v>
      </c>
      <c r="R64" s="423">
        <f ca="1">IF(D!$Q55&lt;&gt;'C'!$Q55,1,0)</f>
        <v>0</v>
      </c>
      <c r="S64" s="423">
        <f ca="1">IF(E!$Q55&lt;&gt;D!$Q55,1,0)</f>
        <v>0</v>
      </c>
      <c r="T64" s="423">
        <f ca="1">IF(F!$Q55&lt;&gt;E!$Q55,1,0)</f>
        <v>0</v>
      </c>
      <c r="U64" s="423">
        <f ca="1">IF(G!$Q55&lt;&gt;F!$Q55,1,0)</f>
        <v>0</v>
      </c>
      <c r="V64" s="423">
        <f ca="1">IF(H!$Q55&lt;&gt;G!$Q55,1,0)</f>
        <v>0</v>
      </c>
      <c r="W64" s="423">
        <f ca="1">IF(I!$Q55&lt;&gt;H!$Q55,1,0)</f>
        <v>0</v>
      </c>
      <c r="X64" s="423">
        <f ca="1">IF(J!$Q55&lt;&gt;I!$Q55,1,0)</f>
        <v>0</v>
      </c>
      <c r="Y64" s="423">
        <f ca="1">IF(K!$Q55&lt;&gt;J!$Q55,1,0)</f>
        <v>0</v>
      </c>
      <c r="Z64" s="424">
        <f ca="1">IF(L!$Q55&lt;&gt;K!$Q55,1,0)</f>
        <v>0</v>
      </c>
      <c r="AA64" s="86"/>
      <c r="AB64" s="86"/>
      <c r="AC64" s="86"/>
      <c r="AD64" s="86"/>
      <c r="AE64" s="86"/>
    </row>
    <row r="65" spans="1:31" ht="15.75" thickBot="1">
      <c r="A65" s="1278" t="s">
        <v>420</v>
      </c>
      <c r="B65" s="1279"/>
      <c r="C65" s="353">
        <f t="shared" ref="C65:N65" ca="1" si="3">C63-C64</f>
        <v>0</v>
      </c>
      <c r="D65" s="354">
        <f t="shared" ca="1" si="3"/>
        <v>0</v>
      </c>
      <c r="E65" s="354">
        <f t="shared" ca="1" si="3"/>
        <v>0</v>
      </c>
      <c r="F65" s="354">
        <f t="shared" ca="1" si="3"/>
        <v>0</v>
      </c>
      <c r="G65" s="354">
        <f t="shared" ca="1" si="3"/>
        <v>0</v>
      </c>
      <c r="H65" s="354">
        <f t="shared" ca="1" si="3"/>
        <v>0</v>
      </c>
      <c r="I65" s="354">
        <f t="shared" ca="1" si="3"/>
        <v>0</v>
      </c>
      <c r="J65" s="354">
        <f t="shared" ca="1" si="3"/>
        <v>0</v>
      </c>
      <c r="K65" s="354">
        <f t="shared" ca="1" si="3"/>
        <v>0</v>
      </c>
      <c r="L65" s="354">
        <f t="shared" ca="1" si="3"/>
        <v>0</v>
      </c>
      <c r="M65" s="354">
        <f t="shared" ca="1" si="3"/>
        <v>0</v>
      </c>
      <c r="N65" s="355">
        <f t="shared" ca="1" si="3"/>
        <v>0</v>
      </c>
      <c r="O65" s="86"/>
      <c r="P65" s="425"/>
      <c r="Q65" s="426"/>
      <c r="R65" s="426"/>
      <c r="S65" s="426"/>
      <c r="T65" s="426"/>
      <c r="U65" s="426"/>
      <c r="V65" s="426"/>
      <c r="W65" s="426"/>
      <c r="X65" s="426"/>
      <c r="Y65" s="426"/>
      <c r="Z65" s="427"/>
      <c r="AA65" s="86"/>
      <c r="AB65" s="86"/>
      <c r="AC65" s="86"/>
      <c r="AD65" s="86"/>
      <c r="AE65" s="86"/>
    </row>
    <row r="66" spans="1:31" ht="15" thickBot="1">
      <c r="A66" s="86"/>
      <c r="B66" s="86"/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</row>
    <row r="67" spans="1:31" ht="15" thickBot="1">
      <c r="A67" s="86"/>
      <c r="B67" s="86"/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428">
        <f t="shared" ref="P67:Z67" ca="1" si="4">IF(SUM(P3:P65)&lt;&gt;0,1,0)</f>
        <v>0</v>
      </c>
      <c r="Q67" s="429">
        <f t="shared" ca="1" si="4"/>
        <v>0</v>
      </c>
      <c r="R67" s="429">
        <f t="shared" ca="1" si="4"/>
        <v>0</v>
      </c>
      <c r="S67" s="429">
        <f t="shared" ca="1" si="4"/>
        <v>0</v>
      </c>
      <c r="T67" s="429">
        <f t="shared" ca="1" si="4"/>
        <v>0</v>
      </c>
      <c r="U67" s="429">
        <f t="shared" ca="1" si="4"/>
        <v>0</v>
      </c>
      <c r="V67" s="429">
        <f t="shared" ca="1" si="4"/>
        <v>0</v>
      </c>
      <c r="W67" s="429">
        <f t="shared" ca="1" si="4"/>
        <v>0</v>
      </c>
      <c r="X67" s="429">
        <f t="shared" ca="1" si="4"/>
        <v>0</v>
      </c>
      <c r="Y67" s="429">
        <f t="shared" ca="1" si="4"/>
        <v>0</v>
      </c>
      <c r="Z67" s="430">
        <f t="shared" ca="1" si="4"/>
        <v>0</v>
      </c>
      <c r="AA67" s="86"/>
      <c r="AB67" s="86"/>
      <c r="AC67" s="86"/>
      <c r="AD67" s="86"/>
      <c r="AE67" s="86"/>
    </row>
    <row r="68" spans="1:31">
      <c r="A68" s="86"/>
      <c r="B68" s="86"/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</row>
    <row r="69" spans="1:31">
      <c r="A69" s="86"/>
      <c r="B69" s="86"/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</row>
    <row r="70" spans="1:31">
      <c r="A70" s="86"/>
      <c r="B70" s="86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</row>
  </sheetData>
  <sheetProtection password="D37A" sheet="1" formatCells="0" formatColumns="0" formatRows="0" insertColumns="0" insertRows="0" sort="0" autoFilter="0"/>
  <mergeCells count="13">
    <mergeCell ref="A64:B64"/>
    <mergeCell ref="A65:B65"/>
    <mergeCell ref="AB1:AC1"/>
    <mergeCell ref="AB2:AC2"/>
    <mergeCell ref="A48:B48"/>
    <mergeCell ref="C1:N1"/>
    <mergeCell ref="A2:B2"/>
    <mergeCell ref="A3:A13"/>
    <mergeCell ref="A36:A47"/>
    <mergeCell ref="A14:A35"/>
    <mergeCell ref="A61:B61"/>
    <mergeCell ref="A50:A60"/>
    <mergeCell ref="A63:B63"/>
  </mergeCells>
  <conditionalFormatting sqref="D3">
    <cfRule type="expression" dxfId="645" priority="1157" stopIfTrue="1">
      <formula>P3=1</formula>
    </cfRule>
  </conditionalFormatting>
  <conditionalFormatting sqref="C63:N63 C65:N65">
    <cfRule type="cellIs" dxfId="644" priority="640" stopIfTrue="1" operator="lessThan">
      <formula>0</formula>
    </cfRule>
  </conditionalFormatting>
  <conditionalFormatting sqref="D5">
    <cfRule type="expression" dxfId="643" priority="637" stopIfTrue="1">
      <formula>P5=1</formula>
    </cfRule>
  </conditionalFormatting>
  <conditionalFormatting sqref="D6">
    <cfRule type="expression" dxfId="642" priority="636" stopIfTrue="1">
      <formula>P6=1</formula>
    </cfRule>
  </conditionalFormatting>
  <conditionalFormatting sqref="D7">
    <cfRule type="expression" dxfId="641" priority="635" stopIfTrue="1">
      <formula>P7=1</formula>
    </cfRule>
  </conditionalFormatting>
  <conditionalFormatting sqref="D8">
    <cfRule type="expression" dxfId="640" priority="634" stopIfTrue="1">
      <formula>P8=1</formula>
    </cfRule>
  </conditionalFormatting>
  <conditionalFormatting sqref="D9">
    <cfRule type="expression" dxfId="639" priority="633" stopIfTrue="1">
      <formula>P9=1</formula>
    </cfRule>
  </conditionalFormatting>
  <conditionalFormatting sqref="D10">
    <cfRule type="expression" dxfId="638" priority="632" stopIfTrue="1">
      <formula>P10=1</formula>
    </cfRule>
  </conditionalFormatting>
  <conditionalFormatting sqref="D11">
    <cfRule type="expression" dxfId="637" priority="631" stopIfTrue="1">
      <formula>P11=1</formula>
    </cfRule>
  </conditionalFormatting>
  <conditionalFormatting sqref="D12">
    <cfRule type="expression" dxfId="636" priority="630" stopIfTrue="1">
      <formula>P12=1</formula>
    </cfRule>
  </conditionalFormatting>
  <conditionalFormatting sqref="D13">
    <cfRule type="expression" dxfId="635" priority="629" stopIfTrue="1">
      <formula>P13=1</formula>
    </cfRule>
  </conditionalFormatting>
  <conditionalFormatting sqref="D14">
    <cfRule type="expression" dxfId="634" priority="628" stopIfTrue="1">
      <formula>P14=1</formula>
    </cfRule>
  </conditionalFormatting>
  <conditionalFormatting sqref="D15">
    <cfRule type="expression" dxfId="633" priority="627" stopIfTrue="1">
      <formula>P15=1</formula>
    </cfRule>
  </conditionalFormatting>
  <conditionalFormatting sqref="D16">
    <cfRule type="expression" dxfId="632" priority="626" stopIfTrue="1">
      <formula>P16=1</formula>
    </cfRule>
  </conditionalFormatting>
  <conditionalFormatting sqref="D17">
    <cfRule type="expression" dxfId="631" priority="625" stopIfTrue="1">
      <formula>P17=1</formula>
    </cfRule>
  </conditionalFormatting>
  <conditionalFormatting sqref="D18">
    <cfRule type="expression" dxfId="630" priority="624" stopIfTrue="1">
      <formula>P18=1</formula>
    </cfRule>
  </conditionalFormatting>
  <conditionalFormatting sqref="D19">
    <cfRule type="expression" dxfId="629" priority="623" stopIfTrue="1">
      <formula>P19=1</formula>
    </cfRule>
  </conditionalFormatting>
  <conditionalFormatting sqref="D20">
    <cfRule type="expression" dxfId="628" priority="622" stopIfTrue="1">
      <formula>P20=1</formula>
    </cfRule>
  </conditionalFormatting>
  <conditionalFormatting sqref="D21">
    <cfRule type="expression" dxfId="627" priority="621" stopIfTrue="1">
      <formula>P21=1</formula>
    </cfRule>
  </conditionalFormatting>
  <conditionalFormatting sqref="D22">
    <cfRule type="expression" dxfId="626" priority="620" stopIfTrue="1">
      <formula>P22=1</formula>
    </cfRule>
  </conditionalFormatting>
  <conditionalFormatting sqref="D23">
    <cfRule type="expression" dxfId="625" priority="619" stopIfTrue="1">
      <formula>P23=1</formula>
    </cfRule>
  </conditionalFormatting>
  <conditionalFormatting sqref="D24">
    <cfRule type="expression" dxfId="624" priority="618" stopIfTrue="1">
      <formula>P24=1</formula>
    </cfRule>
  </conditionalFormatting>
  <conditionalFormatting sqref="D25">
    <cfRule type="expression" dxfId="623" priority="617" stopIfTrue="1">
      <formula>P25=1</formula>
    </cfRule>
  </conditionalFormatting>
  <conditionalFormatting sqref="D26">
    <cfRule type="expression" dxfId="622" priority="616" stopIfTrue="1">
      <formula>P26=1</formula>
    </cfRule>
  </conditionalFormatting>
  <conditionalFormatting sqref="D27">
    <cfRule type="expression" dxfId="621" priority="615" stopIfTrue="1">
      <formula>P27=1</formula>
    </cfRule>
  </conditionalFormatting>
  <conditionalFormatting sqref="D28">
    <cfRule type="expression" dxfId="620" priority="614" stopIfTrue="1">
      <formula>P28=1</formula>
    </cfRule>
  </conditionalFormatting>
  <conditionalFormatting sqref="D29">
    <cfRule type="expression" dxfId="619" priority="613" stopIfTrue="1">
      <formula>P29=1</formula>
    </cfRule>
  </conditionalFormatting>
  <conditionalFormatting sqref="D30">
    <cfRule type="expression" dxfId="618" priority="612" stopIfTrue="1">
      <formula>P30=1</formula>
    </cfRule>
  </conditionalFormatting>
  <conditionalFormatting sqref="D31">
    <cfRule type="expression" dxfId="617" priority="611" stopIfTrue="1">
      <formula>P31=1</formula>
    </cfRule>
  </conditionalFormatting>
  <conditionalFormatting sqref="D33">
    <cfRule type="expression" dxfId="616" priority="610" stopIfTrue="1">
      <formula>P33=1</formula>
    </cfRule>
  </conditionalFormatting>
  <conditionalFormatting sqref="D34">
    <cfRule type="expression" dxfId="615" priority="609" stopIfTrue="1">
      <formula>P34=1</formula>
    </cfRule>
  </conditionalFormatting>
  <conditionalFormatting sqref="D35">
    <cfRule type="expression" dxfId="614" priority="608" stopIfTrue="1">
      <formula>P35=1</formula>
    </cfRule>
  </conditionalFormatting>
  <conditionalFormatting sqref="D36">
    <cfRule type="expression" dxfId="613" priority="607" stopIfTrue="1">
      <formula>P36=1</formula>
    </cfRule>
  </conditionalFormatting>
  <conditionalFormatting sqref="D37">
    <cfRule type="expression" dxfId="612" priority="606" stopIfTrue="1">
      <formula>P37=1</formula>
    </cfRule>
  </conditionalFormatting>
  <conditionalFormatting sqref="D38">
    <cfRule type="expression" dxfId="611" priority="605" stopIfTrue="1">
      <formula>P38=1</formula>
    </cfRule>
  </conditionalFormatting>
  <conditionalFormatting sqref="D39">
    <cfRule type="expression" dxfId="610" priority="604" stopIfTrue="1">
      <formula>P39=1</formula>
    </cfRule>
  </conditionalFormatting>
  <conditionalFormatting sqref="D40">
    <cfRule type="expression" dxfId="609" priority="603" stopIfTrue="1">
      <formula>P40=1</formula>
    </cfRule>
  </conditionalFormatting>
  <conditionalFormatting sqref="D41">
    <cfRule type="expression" dxfId="608" priority="602" stopIfTrue="1">
      <formula>P41=1</formula>
    </cfRule>
  </conditionalFormatting>
  <conditionalFormatting sqref="D42">
    <cfRule type="expression" dxfId="607" priority="601" stopIfTrue="1">
      <formula>P42=1</formula>
    </cfRule>
  </conditionalFormatting>
  <conditionalFormatting sqref="D43">
    <cfRule type="expression" dxfId="606" priority="600" stopIfTrue="1">
      <formula>P43=1</formula>
    </cfRule>
  </conditionalFormatting>
  <conditionalFormatting sqref="D44">
    <cfRule type="expression" dxfId="605" priority="599" stopIfTrue="1">
      <formula>P44=1</formula>
    </cfRule>
  </conditionalFormatting>
  <conditionalFormatting sqref="D45">
    <cfRule type="expression" dxfId="604" priority="598" stopIfTrue="1">
      <formula>P45=1</formula>
    </cfRule>
  </conditionalFormatting>
  <conditionalFormatting sqref="D46">
    <cfRule type="expression" dxfId="603" priority="597" stopIfTrue="1">
      <formula>P46=1</formula>
    </cfRule>
  </conditionalFormatting>
  <conditionalFormatting sqref="D47">
    <cfRule type="expression" dxfId="602" priority="596" stopIfTrue="1">
      <formula>P47=1</formula>
    </cfRule>
  </conditionalFormatting>
  <conditionalFormatting sqref="D61">
    <cfRule type="expression" dxfId="601" priority="595" stopIfTrue="1">
      <formula>P61=1</formula>
    </cfRule>
  </conditionalFormatting>
  <conditionalFormatting sqref="D64">
    <cfRule type="expression" dxfId="600" priority="594" stopIfTrue="1">
      <formula>P64=1</formula>
    </cfRule>
  </conditionalFormatting>
  <conditionalFormatting sqref="E3">
    <cfRule type="expression" dxfId="599" priority="593" stopIfTrue="1">
      <formula>Q3=1</formula>
    </cfRule>
  </conditionalFormatting>
  <conditionalFormatting sqref="E4">
    <cfRule type="expression" dxfId="598" priority="592" stopIfTrue="1">
      <formula>Q4=1</formula>
    </cfRule>
  </conditionalFormatting>
  <conditionalFormatting sqref="E5">
    <cfRule type="expression" dxfId="597" priority="591" stopIfTrue="1">
      <formula>Q5=1</formula>
    </cfRule>
  </conditionalFormatting>
  <conditionalFormatting sqref="E6">
    <cfRule type="expression" dxfId="596" priority="590" stopIfTrue="1">
      <formula>Q6=1</formula>
    </cfRule>
  </conditionalFormatting>
  <conditionalFormatting sqref="E7">
    <cfRule type="expression" dxfId="595" priority="589" stopIfTrue="1">
      <formula>Q7=1</formula>
    </cfRule>
  </conditionalFormatting>
  <conditionalFormatting sqref="E8">
    <cfRule type="expression" dxfId="594" priority="588" stopIfTrue="1">
      <formula>Q8=1</formula>
    </cfRule>
  </conditionalFormatting>
  <conditionalFormatting sqref="E9">
    <cfRule type="expression" dxfId="593" priority="587" stopIfTrue="1">
      <formula>Q9=1</formula>
    </cfRule>
  </conditionalFormatting>
  <conditionalFormatting sqref="E10">
    <cfRule type="expression" dxfId="592" priority="586" stopIfTrue="1">
      <formula>Q10=1</formula>
    </cfRule>
  </conditionalFormatting>
  <conditionalFormatting sqref="E11">
    <cfRule type="expression" dxfId="591" priority="585" stopIfTrue="1">
      <formula>Q11=1</formula>
    </cfRule>
  </conditionalFormatting>
  <conditionalFormatting sqref="E12">
    <cfRule type="expression" dxfId="590" priority="584" stopIfTrue="1">
      <formula>Q12=1</formula>
    </cfRule>
  </conditionalFormatting>
  <conditionalFormatting sqref="E13">
    <cfRule type="expression" dxfId="589" priority="583" stopIfTrue="1">
      <formula>Q13=1</formula>
    </cfRule>
  </conditionalFormatting>
  <conditionalFormatting sqref="E14">
    <cfRule type="expression" dxfId="588" priority="582" stopIfTrue="1">
      <formula>Q14=1</formula>
    </cfRule>
  </conditionalFormatting>
  <conditionalFormatting sqref="E15">
    <cfRule type="expression" dxfId="587" priority="581" stopIfTrue="1">
      <formula>Q15=1</formula>
    </cfRule>
  </conditionalFormatting>
  <conditionalFormatting sqref="E16">
    <cfRule type="expression" dxfId="586" priority="580" stopIfTrue="1">
      <formula>Q16=1</formula>
    </cfRule>
  </conditionalFormatting>
  <conditionalFormatting sqref="E17">
    <cfRule type="expression" dxfId="585" priority="579" stopIfTrue="1">
      <formula>Q17=1</formula>
    </cfRule>
  </conditionalFormatting>
  <conditionalFormatting sqref="E18">
    <cfRule type="expression" dxfId="584" priority="578" stopIfTrue="1">
      <formula>Q18=1</formula>
    </cfRule>
  </conditionalFormatting>
  <conditionalFormatting sqref="E19">
    <cfRule type="expression" dxfId="583" priority="577" stopIfTrue="1">
      <formula>Q19=1</formula>
    </cfRule>
  </conditionalFormatting>
  <conditionalFormatting sqref="E20">
    <cfRule type="expression" dxfId="582" priority="576" stopIfTrue="1">
      <formula>Q20=1</formula>
    </cfRule>
  </conditionalFormatting>
  <conditionalFormatting sqref="E21">
    <cfRule type="expression" dxfId="581" priority="575" stopIfTrue="1">
      <formula>Q21=1</formula>
    </cfRule>
  </conditionalFormatting>
  <conditionalFormatting sqref="E22">
    <cfRule type="expression" dxfId="580" priority="574" stopIfTrue="1">
      <formula>Q22=1</formula>
    </cfRule>
  </conditionalFormatting>
  <conditionalFormatting sqref="E23">
    <cfRule type="expression" dxfId="579" priority="573" stopIfTrue="1">
      <formula>Q23=1</formula>
    </cfRule>
  </conditionalFormatting>
  <conditionalFormatting sqref="E24">
    <cfRule type="expression" dxfId="578" priority="572" stopIfTrue="1">
      <formula>Q24=1</formula>
    </cfRule>
  </conditionalFormatting>
  <conditionalFormatting sqref="E25">
    <cfRule type="expression" dxfId="577" priority="571" stopIfTrue="1">
      <formula>Q25=1</formula>
    </cfRule>
  </conditionalFormatting>
  <conditionalFormatting sqref="E26">
    <cfRule type="expression" dxfId="576" priority="570" stopIfTrue="1">
      <formula>Q26=1</formula>
    </cfRule>
  </conditionalFormatting>
  <conditionalFormatting sqref="E27">
    <cfRule type="expression" dxfId="575" priority="569" stopIfTrue="1">
      <formula>Q27=1</formula>
    </cfRule>
  </conditionalFormatting>
  <conditionalFormatting sqref="E28">
    <cfRule type="expression" dxfId="574" priority="568" stopIfTrue="1">
      <formula>Q28=1</formula>
    </cfRule>
  </conditionalFormatting>
  <conditionalFormatting sqref="E29">
    <cfRule type="expression" dxfId="573" priority="567" stopIfTrue="1">
      <formula>Q29=1</formula>
    </cfRule>
  </conditionalFormatting>
  <conditionalFormatting sqref="E30">
    <cfRule type="expression" dxfId="572" priority="566" stopIfTrue="1">
      <formula>Q30=1</formula>
    </cfRule>
  </conditionalFormatting>
  <conditionalFormatting sqref="E31">
    <cfRule type="expression" dxfId="571" priority="565" stopIfTrue="1">
      <formula>Q31=1</formula>
    </cfRule>
  </conditionalFormatting>
  <conditionalFormatting sqref="E33">
    <cfRule type="expression" dxfId="570" priority="564" stopIfTrue="1">
      <formula>Q33=1</formula>
    </cfRule>
  </conditionalFormatting>
  <conditionalFormatting sqref="E34">
    <cfRule type="expression" dxfId="569" priority="563" stopIfTrue="1">
      <formula>Q34=1</formula>
    </cfRule>
  </conditionalFormatting>
  <conditionalFormatting sqref="E35">
    <cfRule type="expression" dxfId="568" priority="562" stopIfTrue="1">
      <formula>Q35=1</formula>
    </cfRule>
  </conditionalFormatting>
  <conditionalFormatting sqref="E36">
    <cfRule type="expression" dxfId="567" priority="561" stopIfTrue="1">
      <formula>Q36=1</formula>
    </cfRule>
  </conditionalFormatting>
  <conditionalFormatting sqref="E37">
    <cfRule type="expression" dxfId="566" priority="560" stopIfTrue="1">
      <formula>Q37=1</formula>
    </cfRule>
  </conditionalFormatting>
  <conditionalFormatting sqref="E38">
    <cfRule type="expression" dxfId="565" priority="559" stopIfTrue="1">
      <formula>Q38=1</formula>
    </cfRule>
  </conditionalFormatting>
  <conditionalFormatting sqref="E39">
    <cfRule type="expression" dxfId="564" priority="558" stopIfTrue="1">
      <formula>Q39=1</formula>
    </cfRule>
  </conditionalFormatting>
  <conditionalFormatting sqref="E40">
    <cfRule type="expression" dxfId="563" priority="557" stopIfTrue="1">
      <formula>Q40=1</formula>
    </cfRule>
  </conditionalFormatting>
  <conditionalFormatting sqref="E41">
    <cfRule type="expression" dxfId="562" priority="556" stopIfTrue="1">
      <formula>Q41=1</formula>
    </cfRule>
  </conditionalFormatting>
  <conditionalFormatting sqref="E42">
    <cfRule type="expression" dxfId="561" priority="555" stopIfTrue="1">
      <formula>Q42=1</formula>
    </cfRule>
  </conditionalFormatting>
  <conditionalFormatting sqref="E43">
    <cfRule type="expression" dxfId="560" priority="554" stopIfTrue="1">
      <formula>Q43=1</formula>
    </cfRule>
  </conditionalFormatting>
  <conditionalFormatting sqref="E44">
    <cfRule type="expression" dxfId="559" priority="553" stopIfTrue="1">
      <formula>Q44=1</formula>
    </cfRule>
  </conditionalFormatting>
  <conditionalFormatting sqref="E45">
    <cfRule type="expression" dxfId="558" priority="552" stopIfTrue="1">
      <formula>Q45=1</formula>
    </cfRule>
  </conditionalFormatting>
  <conditionalFormatting sqref="E46">
    <cfRule type="expression" dxfId="557" priority="551" stopIfTrue="1">
      <formula>Q46=1</formula>
    </cfRule>
  </conditionalFormatting>
  <conditionalFormatting sqref="E47">
    <cfRule type="expression" dxfId="556" priority="550" stopIfTrue="1">
      <formula>Q47=1</formula>
    </cfRule>
  </conditionalFormatting>
  <conditionalFormatting sqref="F3">
    <cfRule type="expression" dxfId="555" priority="549" stopIfTrue="1">
      <formula>R3=1</formula>
    </cfRule>
  </conditionalFormatting>
  <conditionalFormatting sqref="F4">
    <cfRule type="expression" dxfId="554" priority="548" stopIfTrue="1">
      <formula>R4=1</formula>
    </cfRule>
  </conditionalFormatting>
  <conditionalFormatting sqref="F5">
    <cfRule type="expression" dxfId="553" priority="547" stopIfTrue="1">
      <formula>R5=1</formula>
    </cfRule>
  </conditionalFormatting>
  <conditionalFormatting sqref="F6">
    <cfRule type="expression" dxfId="552" priority="546" stopIfTrue="1">
      <formula>R6=1</formula>
    </cfRule>
  </conditionalFormatting>
  <conditionalFormatting sqref="F7">
    <cfRule type="expression" dxfId="551" priority="545" stopIfTrue="1">
      <formula>R7=1</formula>
    </cfRule>
  </conditionalFormatting>
  <conditionalFormatting sqref="F8">
    <cfRule type="expression" dxfId="550" priority="544" stopIfTrue="1">
      <formula>R8=1</formula>
    </cfRule>
  </conditionalFormatting>
  <conditionalFormatting sqref="F9">
    <cfRule type="expression" dxfId="549" priority="543" stopIfTrue="1">
      <formula>R9=1</formula>
    </cfRule>
  </conditionalFormatting>
  <conditionalFormatting sqref="F10">
    <cfRule type="expression" dxfId="548" priority="542" stopIfTrue="1">
      <formula>R10=1</formula>
    </cfRule>
  </conditionalFormatting>
  <conditionalFormatting sqref="F11">
    <cfRule type="expression" dxfId="547" priority="541" stopIfTrue="1">
      <formula>R11=1</formula>
    </cfRule>
  </conditionalFormatting>
  <conditionalFormatting sqref="F12">
    <cfRule type="expression" dxfId="546" priority="540" stopIfTrue="1">
      <formula>R12=1</formula>
    </cfRule>
  </conditionalFormatting>
  <conditionalFormatting sqref="F13">
    <cfRule type="expression" dxfId="545" priority="539" stopIfTrue="1">
      <formula>R13=1</formula>
    </cfRule>
  </conditionalFormatting>
  <conditionalFormatting sqref="F14">
    <cfRule type="expression" dxfId="544" priority="538" stopIfTrue="1">
      <formula>R14=1</formula>
    </cfRule>
  </conditionalFormatting>
  <conditionalFormatting sqref="F15">
    <cfRule type="expression" dxfId="543" priority="537" stopIfTrue="1">
      <formula>R15=1</formula>
    </cfRule>
  </conditionalFormatting>
  <conditionalFormatting sqref="F16">
    <cfRule type="expression" dxfId="542" priority="536" stopIfTrue="1">
      <formula>R16=1</formula>
    </cfRule>
  </conditionalFormatting>
  <conditionalFormatting sqref="F17">
    <cfRule type="expression" dxfId="541" priority="535" stopIfTrue="1">
      <formula>R17=1</formula>
    </cfRule>
  </conditionalFormatting>
  <conditionalFormatting sqref="F18">
    <cfRule type="expression" dxfId="540" priority="534" stopIfTrue="1">
      <formula>R18=1</formula>
    </cfRule>
  </conditionalFormatting>
  <conditionalFormatting sqref="F19">
    <cfRule type="expression" dxfId="539" priority="533" stopIfTrue="1">
      <formula>R19=1</formula>
    </cfRule>
  </conditionalFormatting>
  <conditionalFormatting sqref="F20">
    <cfRule type="expression" dxfId="538" priority="532" stopIfTrue="1">
      <formula>R20=1</formula>
    </cfRule>
  </conditionalFormatting>
  <conditionalFormatting sqref="F21">
    <cfRule type="expression" dxfId="537" priority="531" stopIfTrue="1">
      <formula>R21=1</formula>
    </cfRule>
  </conditionalFormatting>
  <conditionalFormatting sqref="F22">
    <cfRule type="expression" dxfId="536" priority="530" stopIfTrue="1">
      <formula>R22=1</formula>
    </cfRule>
  </conditionalFormatting>
  <conditionalFormatting sqref="F23">
    <cfRule type="expression" dxfId="535" priority="529" stopIfTrue="1">
      <formula>R23=1</formula>
    </cfRule>
  </conditionalFormatting>
  <conditionalFormatting sqref="F24">
    <cfRule type="expression" dxfId="534" priority="528" stopIfTrue="1">
      <formula>R24=1</formula>
    </cfRule>
  </conditionalFormatting>
  <conditionalFormatting sqref="F25">
    <cfRule type="expression" dxfId="533" priority="527" stopIfTrue="1">
      <formula>R25=1</formula>
    </cfRule>
  </conditionalFormatting>
  <conditionalFormatting sqref="F26">
    <cfRule type="expression" dxfId="532" priority="526" stopIfTrue="1">
      <formula>R26=1</formula>
    </cfRule>
  </conditionalFormatting>
  <conditionalFormatting sqref="F27">
    <cfRule type="expression" dxfId="531" priority="525" stopIfTrue="1">
      <formula>R27=1</formula>
    </cfRule>
  </conditionalFormatting>
  <conditionalFormatting sqref="F28">
    <cfRule type="expression" dxfId="530" priority="524" stopIfTrue="1">
      <formula>R28=1</formula>
    </cfRule>
  </conditionalFormatting>
  <conditionalFormatting sqref="F29">
    <cfRule type="expression" dxfId="529" priority="523" stopIfTrue="1">
      <formula>R29=1</formula>
    </cfRule>
  </conditionalFormatting>
  <conditionalFormatting sqref="F30">
    <cfRule type="expression" dxfId="528" priority="522" stopIfTrue="1">
      <formula>R30=1</formula>
    </cfRule>
  </conditionalFormatting>
  <conditionalFormatting sqref="F31">
    <cfRule type="expression" dxfId="527" priority="521" stopIfTrue="1">
      <formula>R31=1</formula>
    </cfRule>
  </conditionalFormatting>
  <conditionalFormatting sqref="F33">
    <cfRule type="expression" dxfId="526" priority="520" stopIfTrue="1">
      <formula>R33=1</formula>
    </cfRule>
  </conditionalFormatting>
  <conditionalFormatting sqref="F34">
    <cfRule type="expression" dxfId="525" priority="519" stopIfTrue="1">
      <formula>R34=1</formula>
    </cfRule>
  </conditionalFormatting>
  <conditionalFormatting sqref="F35">
    <cfRule type="expression" dxfId="524" priority="518" stopIfTrue="1">
      <formula>R35=1</formula>
    </cfRule>
  </conditionalFormatting>
  <conditionalFormatting sqref="F36">
    <cfRule type="expression" dxfId="523" priority="517" stopIfTrue="1">
      <formula>R36=1</formula>
    </cfRule>
  </conditionalFormatting>
  <conditionalFormatting sqref="F37">
    <cfRule type="expression" dxfId="522" priority="516" stopIfTrue="1">
      <formula>R37=1</formula>
    </cfRule>
  </conditionalFormatting>
  <conditionalFormatting sqref="F38">
    <cfRule type="expression" dxfId="521" priority="515" stopIfTrue="1">
      <formula>R38=1</formula>
    </cfRule>
  </conditionalFormatting>
  <conditionalFormatting sqref="F39">
    <cfRule type="expression" dxfId="520" priority="514" stopIfTrue="1">
      <formula>R39=1</formula>
    </cfRule>
  </conditionalFormatting>
  <conditionalFormatting sqref="F40">
    <cfRule type="expression" dxfId="519" priority="513" stopIfTrue="1">
      <formula>R40=1</formula>
    </cfRule>
  </conditionalFormatting>
  <conditionalFormatting sqref="F41">
    <cfRule type="expression" dxfId="518" priority="512" stopIfTrue="1">
      <formula>R41=1</formula>
    </cfRule>
  </conditionalFormatting>
  <conditionalFormatting sqref="F42">
    <cfRule type="expression" dxfId="517" priority="511" stopIfTrue="1">
      <formula>R42=1</formula>
    </cfRule>
  </conditionalFormatting>
  <conditionalFormatting sqref="F43">
    <cfRule type="expression" dxfId="516" priority="510" stopIfTrue="1">
      <formula>R43=1</formula>
    </cfRule>
  </conditionalFormatting>
  <conditionalFormatting sqref="F44">
    <cfRule type="expression" dxfId="515" priority="509" stopIfTrue="1">
      <formula>R44=1</formula>
    </cfRule>
  </conditionalFormatting>
  <conditionalFormatting sqref="F45">
    <cfRule type="expression" dxfId="514" priority="508" stopIfTrue="1">
      <formula>R45=1</formula>
    </cfRule>
  </conditionalFormatting>
  <conditionalFormatting sqref="F46">
    <cfRule type="expression" dxfId="513" priority="507" stopIfTrue="1">
      <formula>R46=1</formula>
    </cfRule>
  </conditionalFormatting>
  <conditionalFormatting sqref="F47">
    <cfRule type="expression" dxfId="512" priority="506" stopIfTrue="1">
      <formula>R47=1</formula>
    </cfRule>
  </conditionalFormatting>
  <conditionalFormatting sqref="G3">
    <cfRule type="expression" dxfId="511" priority="505" stopIfTrue="1">
      <formula>S3=1</formula>
    </cfRule>
  </conditionalFormatting>
  <conditionalFormatting sqref="G4">
    <cfRule type="expression" dxfId="510" priority="504" stopIfTrue="1">
      <formula>S4=1</formula>
    </cfRule>
  </conditionalFormatting>
  <conditionalFormatting sqref="G5">
    <cfRule type="expression" dxfId="509" priority="503" stopIfTrue="1">
      <formula>S5=1</formula>
    </cfRule>
  </conditionalFormatting>
  <conditionalFormatting sqref="G6">
    <cfRule type="expression" dxfId="508" priority="502" stopIfTrue="1">
      <formula>S6=1</formula>
    </cfRule>
  </conditionalFormatting>
  <conditionalFormatting sqref="G7">
    <cfRule type="expression" dxfId="507" priority="501" stopIfTrue="1">
      <formula>S7=1</formula>
    </cfRule>
  </conditionalFormatting>
  <conditionalFormatting sqref="G8">
    <cfRule type="expression" dxfId="506" priority="500" stopIfTrue="1">
      <formula>S8=1</formula>
    </cfRule>
  </conditionalFormatting>
  <conditionalFormatting sqref="G9">
    <cfRule type="expression" dxfId="505" priority="499" stopIfTrue="1">
      <formula>S9=1</formula>
    </cfRule>
  </conditionalFormatting>
  <conditionalFormatting sqref="G10">
    <cfRule type="expression" dxfId="504" priority="498" stopIfTrue="1">
      <formula>S10=1</formula>
    </cfRule>
  </conditionalFormatting>
  <conditionalFormatting sqref="G11">
    <cfRule type="expression" dxfId="503" priority="497" stopIfTrue="1">
      <formula>S11=1</formula>
    </cfRule>
  </conditionalFormatting>
  <conditionalFormatting sqref="G12">
    <cfRule type="expression" dxfId="502" priority="496" stopIfTrue="1">
      <formula>S12=1</formula>
    </cfRule>
  </conditionalFormatting>
  <conditionalFormatting sqref="G13">
    <cfRule type="expression" dxfId="501" priority="495" stopIfTrue="1">
      <formula>S13=1</formula>
    </cfRule>
  </conditionalFormatting>
  <conditionalFormatting sqref="G14">
    <cfRule type="expression" dxfId="500" priority="494" stopIfTrue="1">
      <formula>S14=1</formula>
    </cfRule>
  </conditionalFormatting>
  <conditionalFormatting sqref="G15">
    <cfRule type="expression" dxfId="499" priority="493" stopIfTrue="1">
      <formula>S15=1</formula>
    </cfRule>
  </conditionalFormatting>
  <conditionalFormatting sqref="G16">
    <cfRule type="expression" dxfId="498" priority="492" stopIfTrue="1">
      <formula>S16=1</formula>
    </cfRule>
  </conditionalFormatting>
  <conditionalFormatting sqref="G17">
    <cfRule type="expression" dxfId="497" priority="491" stopIfTrue="1">
      <formula>S17=1</formula>
    </cfRule>
  </conditionalFormatting>
  <conditionalFormatting sqref="G18">
    <cfRule type="expression" dxfId="496" priority="490" stopIfTrue="1">
      <formula>S18=1</formula>
    </cfRule>
  </conditionalFormatting>
  <conditionalFormatting sqref="G19">
    <cfRule type="expression" dxfId="495" priority="489" stopIfTrue="1">
      <formula>S19=1</formula>
    </cfRule>
  </conditionalFormatting>
  <conditionalFormatting sqref="G20">
    <cfRule type="expression" dxfId="494" priority="488" stopIfTrue="1">
      <formula>S20=1</formula>
    </cfRule>
  </conditionalFormatting>
  <conditionalFormatting sqref="G21">
    <cfRule type="expression" dxfId="493" priority="487" stopIfTrue="1">
      <formula>S21=1</formula>
    </cfRule>
  </conditionalFormatting>
  <conditionalFormatting sqref="G22">
    <cfRule type="expression" dxfId="492" priority="486" stopIfTrue="1">
      <formula>S22=1</formula>
    </cfRule>
  </conditionalFormatting>
  <conditionalFormatting sqref="G23">
    <cfRule type="expression" dxfId="491" priority="485" stopIfTrue="1">
      <formula>S23=1</formula>
    </cfRule>
  </conditionalFormatting>
  <conditionalFormatting sqref="G24">
    <cfRule type="expression" dxfId="490" priority="484" stopIfTrue="1">
      <formula>S24=1</formula>
    </cfRule>
  </conditionalFormatting>
  <conditionalFormatting sqref="G25">
    <cfRule type="expression" dxfId="489" priority="483" stopIfTrue="1">
      <formula>S25=1</formula>
    </cfRule>
  </conditionalFormatting>
  <conditionalFormatting sqref="G26">
    <cfRule type="expression" dxfId="488" priority="482" stopIfTrue="1">
      <formula>S26=1</formula>
    </cfRule>
  </conditionalFormatting>
  <conditionalFormatting sqref="G27">
    <cfRule type="expression" dxfId="487" priority="481" stopIfTrue="1">
      <formula>S27=1</formula>
    </cfRule>
  </conditionalFormatting>
  <conditionalFormatting sqref="G28">
    <cfRule type="expression" dxfId="486" priority="480" stopIfTrue="1">
      <formula>S28=1</formula>
    </cfRule>
  </conditionalFormatting>
  <conditionalFormatting sqref="G29">
    <cfRule type="expression" dxfId="485" priority="479" stopIfTrue="1">
      <formula>S29=1</formula>
    </cfRule>
  </conditionalFormatting>
  <conditionalFormatting sqref="G30">
    <cfRule type="expression" dxfId="484" priority="478" stopIfTrue="1">
      <formula>S30=1</formula>
    </cfRule>
  </conditionalFormatting>
  <conditionalFormatting sqref="G31">
    <cfRule type="expression" dxfId="483" priority="477" stopIfTrue="1">
      <formula>S31=1</formula>
    </cfRule>
  </conditionalFormatting>
  <conditionalFormatting sqref="G33">
    <cfRule type="expression" dxfId="482" priority="476" stopIfTrue="1">
      <formula>S33=1</formula>
    </cfRule>
  </conditionalFormatting>
  <conditionalFormatting sqref="G34">
    <cfRule type="expression" dxfId="481" priority="475" stopIfTrue="1">
      <formula>S34=1</formula>
    </cfRule>
  </conditionalFormatting>
  <conditionalFormatting sqref="G35">
    <cfRule type="expression" dxfId="480" priority="474" stopIfTrue="1">
      <formula>S35=1</formula>
    </cfRule>
  </conditionalFormatting>
  <conditionalFormatting sqref="G36">
    <cfRule type="expression" dxfId="479" priority="473" stopIfTrue="1">
      <formula>S36=1</formula>
    </cfRule>
  </conditionalFormatting>
  <conditionalFormatting sqref="G37">
    <cfRule type="expression" dxfId="478" priority="472" stopIfTrue="1">
      <formula>S37=1</formula>
    </cfRule>
  </conditionalFormatting>
  <conditionalFormatting sqref="G38">
    <cfRule type="expression" dxfId="477" priority="471" stopIfTrue="1">
      <formula>S38=1</formula>
    </cfRule>
  </conditionalFormatting>
  <conditionalFormatting sqref="G39">
    <cfRule type="expression" dxfId="476" priority="470" stopIfTrue="1">
      <formula>S39=1</formula>
    </cfRule>
  </conditionalFormatting>
  <conditionalFormatting sqref="G40">
    <cfRule type="expression" dxfId="475" priority="469" stopIfTrue="1">
      <formula>S40=1</formula>
    </cfRule>
  </conditionalFormatting>
  <conditionalFormatting sqref="G41">
    <cfRule type="expression" dxfId="474" priority="468" stopIfTrue="1">
      <formula>S41=1</formula>
    </cfRule>
  </conditionalFormatting>
  <conditionalFormatting sqref="G42">
    <cfRule type="expression" dxfId="473" priority="467" stopIfTrue="1">
      <formula>S42=1</formula>
    </cfRule>
  </conditionalFormatting>
  <conditionalFormatting sqref="G43">
    <cfRule type="expression" dxfId="472" priority="466" stopIfTrue="1">
      <formula>S43=1</formula>
    </cfRule>
  </conditionalFormatting>
  <conditionalFormatting sqref="G44">
    <cfRule type="expression" dxfId="471" priority="465" stopIfTrue="1">
      <formula>S44=1</formula>
    </cfRule>
  </conditionalFormatting>
  <conditionalFormatting sqref="G45">
    <cfRule type="expression" dxfId="470" priority="464" stopIfTrue="1">
      <formula>S45=1</formula>
    </cfRule>
  </conditionalFormatting>
  <conditionalFormatting sqref="G46">
    <cfRule type="expression" dxfId="469" priority="463" stopIfTrue="1">
      <formula>S46=1</formula>
    </cfRule>
  </conditionalFormatting>
  <conditionalFormatting sqref="G47">
    <cfRule type="expression" dxfId="468" priority="462" stopIfTrue="1">
      <formula>S47=1</formula>
    </cfRule>
  </conditionalFormatting>
  <conditionalFormatting sqref="H3">
    <cfRule type="expression" dxfId="467" priority="461" stopIfTrue="1">
      <formula>T3=1</formula>
    </cfRule>
  </conditionalFormatting>
  <conditionalFormatting sqref="H4">
    <cfRule type="expression" dxfId="466" priority="460" stopIfTrue="1">
      <formula>T4=1</formula>
    </cfRule>
  </conditionalFormatting>
  <conditionalFormatting sqref="H5">
    <cfRule type="expression" dxfId="465" priority="459" stopIfTrue="1">
      <formula>T5=1</formula>
    </cfRule>
  </conditionalFormatting>
  <conditionalFormatting sqref="H6">
    <cfRule type="expression" dxfId="464" priority="458" stopIfTrue="1">
      <formula>T6=1</formula>
    </cfRule>
  </conditionalFormatting>
  <conditionalFormatting sqref="H7">
    <cfRule type="expression" dxfId="463" priority="457" stopIfTrue="1">
      <formula>T7=1</formula>
    </cfRule>
  </conditionalFormatting>
  <conditionalFormatting sqref="H8">
    <cfRule type="expression" dxfId="462" priority="456" stopIfTrue="1">
      <formula>T8=1</formula>
    </cfRule>
  </conditionalFormatting>
  <conditionalFormatting sqref="H9">
    <cfRule type="expression" dxfId="461" priority="455" stopIfTrue="1">
      <formula>T9=1</formula>
    </cfRule>
  </conditionalFormatting>
  <conditionalFormatting sqref="H10">
    <cfRule type="expression" dxfId="460" priority="454" stopIfTrue="1">
      <formula>T10=1</formula>
    </cfRule>
  </conditionalFormatting>
  <conditionalFormatting sqref="H11">
    <cfRule type="expression" dxfId="459" priority="453" stopIfTrue="1">
      <formula>T11=1</formula>
    </cfRule>
  </conditionalFormatting>
  <conditionalFormatting sqref="H12">
    <cfRule type="expression" dxfId="458" priority="452" stopIfTrue="1">
      <formula>T12=1</formula>
    </cfRule>
  </conditionalFormatting>
  <conditionalFormatting sqref="H13">
    <cfRule type="expression" dxfId="457" priority="451" stopIfTrue="1">
      <formula>T13=1</formula>
    </cfRule>
  </conditionalFormatting>
  <conditionalFormatting sqref="H14">
    <cfRule type="expression" dxfId="456" priority="450" stopIfTrue="1">
      <formula>T14=1</formula>
    </cfRule>
  </conditionalFormatting>
  <conditionalFormatting sqref="H15">
    <cfRule type="expression" dxfId="455" priority="449" stopIfTrue="1">
      <formula>T15=1</formula>
    </cfRule>
  </conditionalFormatting>
  <conditionalFormatting sqref="H16">
    <cfRule type="expression" dxfId="454" priority="448" stopIfTrue="1">
      <formula>T16=1</formula>
    </cfRule>
  </conditionalFormatting>
  <conditionalFormatting sqref="H17">
    <cfRule type="expression" dxfId="453" priority="447" stopIfTrue="1">
      <formula>T17=1</formula>
    </cfRule>
  </conditionalFormatting>
  <conditionalFormatting sqref="H18">
    <cfRule type="expression" dxfId="452" priority="446" stopIfTrue="1">
      <formula>T18=1</formula>
    </cfRule>
  </conditionalFormatting>
  <conditionalFormatting sqref="H19">
    <cfRule type="expression" dxfId="451" priority="445" stopIfTrue="1">
      <formula>T19=1</formula>
    </cfRule>
  </conditionalFormatting>
  <conditionalFormatting sqref="H20">
    <cfRule type="expression" dxfId="450" priority="444" stopIfTrue="1">
      <formula>T20=1</formula>
    </cfRule>
  </conditionalFormatting>
  <conditionalFormatting sqref="H21">
    <cfRule type="expression" dxfId="449" priority="443" stopIfTrue="1">
      <formula>T21=1</formula>
    </cfRule>
  </conditionalFormatting>
  <conditionalFormatting sqref="H22">
    <cfRule type="expression" dxfId="448" priority="442" stopIfTrue="1">
      <formula>T22=1</formula>
    </cfRule>
  </conditionalFormatting>
  <conditionalFormatting sqref="H23">
    <cfRule type="expression" dxfId="447" priority="441" stopIfTrue="1">
      <formula>T23=1</formula>
    </cfRule>
  </conditionalFormatting>
  <conditionalFormatting sqref="H24">
    <cfRule type="expression" dxfId="446" priority="440" stopIfTrue="1">
      <formula>T24=1</formula>
    </cfRule>
  </conditionalFormatting>
  <conditionalFormatting sqref="H25">
    <cfRule type="expression" dxfId="445" priority="439" stopIfTrue="1">
      <formula>T25=1</formula>
    </cfRule>
  </conditionalFormatting>
  <conditionalFormatting sqref="H26">
    <cfRule type="expression" dxfId="444" priority="438" stopIfTrue="1">
      <formula>T26=1</formula>
    </cfRule>
  </conditionalFormatting>
  <conditionalFormatting sqref="H27">
    <cfRule type="expression" dxfId="443" priority="437" stopIfTrue="1">
      <formula>T27=1</formula>
    </cfRule>
  </conditionalFormatting>
  <conditionalFormatting sqref="H28">
    <cfRule type="expression" dxfId="442" priority="436" stopIfTrue="1">
      <formula>T28=1</formula>
    </cfRule>
  </conditionalFormatting>
  <conditionalFormatting sqref="H29">
    <cfRule type="expression" dxfId="441" priority="435" stopIfTrue="1">
      <formula>T29=1</formula>
    </cfRule>
  </conditionalFormatting>
  <conditionalFormatting sqref="H30">
    <cfRule type="expression" dxfId="440" priority="434" stopIfTrue="1">
      <formula>T30=1</formula>
    </cfRule>
  </conditionalFormatting>
  <conditionalFormatting sqref="H31">
    <cfRule type="expression" dxfId="439" priority="433" stopIfTrue="1">
      <formula>T31=1</formula>
    </cfRule>
  </conditionalFormatting>
  <conditionalFormatting sqref="H33">
    <cfRule type="expression" dxfId="438" priority="432" stopIfTrue="1">
      <formula>T33=1</formula>
    </cfRule>
  </conditionalFormatting>
  <conditionalFormatting sqref="H34">
    <cfRule type="expression" dxfId="437" priority="431" stopIfTrue="1">
      <formula>T34=1</formula>
    </cfRule>
  </conditionalFormatting>
  <conditionalFormatting sqref="H35">
    <cfRule type="expression" dxfId="436" priority="430" stopIfTrue="1">
      <formula>T35=1</formula>
    </cfRule>
  </conditionalFormatting>
  <conditionalFormatting sqref="H36">
    <cfRule type="expression" dxfId="435" priority="429" stopIfTrue="1">
      <formula>T36=1</formula>
    </cfRule>
  </conditionalFormatting>
  <conditionalFormatting sqref="H37">
    <cfRule type="expression" dxfId="434" priority="428" stopIfTrue="1">
      <formula>T37=1</formula>
    </cfRule>
  </conditionalFormatting>
  <conditionalFormatting sqref="H38">
    <cfRule type="expression" dxfId="433" priority="427" stopIfTrue="1">
      <formula>T38=1</formula>
    </cfRule>
  </conditionalFormatting>
  <conditionalFormatting sqref="H39">
    <cfRule type="expression" dxfId="432" priority="426" stopIfTrue="1">
      <formula>T39=1</formula>
    </cfRule>
  </conditionalFormatting>
  <conditionalFormatting sqref="H40">
    <cfRule type="expression" dxfId="431" priority="425" stopIfTrue="1">
      <formula>T40=1</formula>
    </cfRule>
  </conditionalFormatting>
  <conditionalFormatting sqref="H41">
    <cfRule type="expression" dxfId="430" priority="424" stopIfTrue="1">
      <formula>T41=1</formula>
    </cfRule>
  </conditionalFormatting>
  <conditionalFormatting sqref="H42">
    <cfRule type="expression" dxfId="429" priority="423" stopIfTrue="1">
      <formula>T42=1</formula>
    </cfRule>
  </conditionalFormatting>
  <conditionalFormatting sqref="H43">
    <cfRule type="expression" dxfId="428" priority="422" stopIfTrue="1">
      <formula>T43=1</formula>
    </cfRule>
  </conditionalFormatting>
  <conditionalFormatting sqref="H44">
    <cfRule type="expression" dxfId="427" priority="421" stopIfTrue="1">
      <formula>T44=1</formula>
    </cfRule>
  </conditionalFormatting>
  <conditionalFormatting sqref="H45">
    <cfRule type="expression" dxfId="426" priority="420" stopIfTrue="1">
      <formula>T45=1</formula>
    </cfRule>
  </conditionalFormatting>
  <conditionalFormatting sqref="H46">
    <cfRule type="expression" dxfId="425" priority="419" stopIfTrue="1">
      <formula>T46=1</formula>
    </cfRule>
  </conditionalFormatting>
  <conditionalFormatting sqref="H47">
    <cfRule type="expression" dxfId="424" priority="418" stopIfTrue="1">
      <formula>T47=1</formula>
    </cfRule>
  </conditionalFormatting>
  <conditionalFormatting sqref="I3">
    <cfRule type="expression" dxfId="423" priority="417" stopIfTrue="1">
      <formula>U3=1</formula>
    </cfRule>
  </conditionalFormatting>
  <conditionalFormatting sqref="I4">
    <cfRule type="expression" dxfId="422" priority="416" stopIfTrue="1">
      <formula>U4=1</formula>
    </cfRule>
  </conditionalFormatting>
  <conditionalFormatting sqref="I5">
    <cfRule type="expression" dxfId="421" priority="415" stopIfTrue="1">
      <formula>U5=1</formula>
    </cfRule>
  </conditionalFormatting>
  <conditionalFormatting sqref="I6">
    <cfRule type="expression" dxfId="420" priority="414" stopIfTrue="1">
      <formula>U6=1</formula>
    </cfRule>
  </conditionalFormatting>
  <conditionalFormatting sqref="I7">
    <cfRule type="expression" dxfId="419" priority="413" stopIfTrue="1">
      <formula>U7=1</formula>
    </cfRule>
  </conditionalFormatting>
  <conditionalFormatting sqref="I8">
    <cfRule type="expression" dxfId="418" priority="412" stopIfTrue="1">
      <formula>U8=1</formula>
    </cfRule>
  </conditionalFormatting>
  <conditionalFormatting sqref="I9">
    <cfRule type="expression" dxfId="417" priority="411" stopIfTrue="1">
      <formula>U9=1</formula>
    </cfRule>
  </conditionalFormatting>
  <conditionalFormatting sqref="I10">
    <cfRule type="expression" dxfId="416" priority="410" stopIfTrue="1">
      <formula>U10=1</formula>
    </cfRule>
  </conditionalFormatting>
  <conditionalFormatting sqref="I11">
    <cfRule type="expression" dxfId="415" priority="409" stopIfTrue="1">
      <formula>U11=1</formula>
    </cfRule>
  </conditionalFormatting>
  <conditionalFormatting sqref="I12">
    <cfRule type="expression" dxfId="414" priority="408" stopIfTrue="1">
      <formula>U12=1</formula>
    </cfRule>
  </conditionalFormatting>
  <conditionalFormatting sqref="I13">
    <cfRule type="expression" dxfId="413" priority="407" stopIfTrue="1">
      <formula>U13=1</formula>
    </cfRule>
  </conditionalFormatting>
  <conditionalFormatting sqref="I14">
    <cfRule type="expression" dxfId="412" priority="406" stopIfTrue="1">
      <formula>U14=1</formula>
    </cfRule>
  </conditionalFormatting>
  <conditionalFormatting sqref="I15">
    <cfRule type="expression" dxfId="411" priority="405" stopIfTrue="1">
      <formula>U15=1</formula>
    </cfRule>
  </conditionalFormatting>
  <conditionalFormatting sqref="I16">
    <cfRule type="expression" dxfId="410" priority="404" stopIfTrue="1">
      <formula>U16=1</formula>
    </cfRule>
  </conditionalFormatting>
  <conditionalFormatting sqref="I17">
    <cfRule type="expression" dxfId="409" priority="403" stopIfTrue="1">
      <formula>U17=1</formula>
    </cfRule>
  </conditionalFormatting>
  <conditionalFormatting sqref="I18">
    <cfRule type="expression" dxfId="408" priority="402" stopIfTrue="1">
      <formula>U18=1</formula>
    </cfRule>
  </conditionalFormatting>
  <conditionalFormatting sqref="I19">
    <cfRule type="expression" dxfId="407" priority="401" stopIfTrue="1">
      <formula>U19=1</formula>
    </cfRule>
  </conditionalFormatting>
  <conditionalFormatting sqref="I20">
    <cfRule type="expression" dxfId="406" priority="400" stopIfTrue="1">
      <formula>U20=1</formula>
    </cfRule>
  </conditionalFormatting>
  <conditionalFormatting sqref="I21">
    <cfRule type="expression" dxfId="405" priority="399" stopIfTrue="1">
      <formula>U21=1</formula>
    </cfRule>
  </conditionalFormatting>
  <conditionalFormatting sqref="I22">
    <cfRule type="expression" dxfId="404" priority="398" stopIfTrue="1">
      <formula>U22=1</formula>
    </cfRule>
  </conditionalFormatting>
  <conditionalFormatting sqref="I23">
    <cfRule type="expression" dxfId="403" priority="397" stopIfTrue="1">
      <formula>U23=1</formula>
    </cfRule>
  </conditionalFormatting>
  <conditionalFormatting sqref="I24">
    <cfRule type="expression" dxfId="402" priority="396" stopIfTrue="1">
      <formula>U24=1</formula>
    </cfRule>
  </conditionalFormatting>
  <conditionalFormatting sqref="I25">
    <cfRule type="expression" dxfId="401" priority="395" stopIfTrue="1">
      <formula>U25=1</formula>
    </cfRule>
  </conditionalFormatting>
  <conditionalFormatting sqref="I26">
    <cfRule type="expression" dxfId="400" priority="394" stopIfTrue="1">
      <formula>U26=1</formula>
    </cfRule>
  </conditionalFormatting>
  <conditionalFormatting sqref="I27">
    <cfRule type="expression" dxfId="399" priority="393" stopIfTrue="1">
      <formula>U27=1</formula>
    </cfRule>
  </conditionalFormatting>
  <conditionalFormatting sqref="I28">
    <cfRule type="expression" dxfId="398" priority="392" stopIfTrue="1">
      <formula>U28=1</formula>
    </cfRule>
  </conditionalFormatting>
  <conditionalFormatting sqref="I29">
    <cfRule type="expression" dxfId="397" priority="391" stopIfTrue="1">
      <formula>U29=1</formula>
    </cfRule>
  </conditionalFormatting>
  <conditionalFormatting sqref="I30">
    <cfRule type="expression" dxfId="396" priority="390" stopIfTrue="1">
      <formula>U30=1</formula>
    </cfRule>
  </conditionalFormatting>
  <conditionalFormatting sqref="I31">
    <cfRule type="expression" dxfId="395" priority="389" stopIfTrue="1">
      <formula>U31=1</formula>
    </cfRule>
  </conditionalFormatting>
  <conditionalFormatting sqref="I33">
    <cfRule type="expression" dxfId="394" priority="388" stopIfTrue="1">
      <formula>U33=1</formula>
    </cfRule>
  </conditionalFormatting>
  <conditionalFormatting sqref="I34">
    <cfRule type="expression" dxfId="393" priority="387" stopIfTrue="1">
      <formula>U34=1</formula>
    </cfRule>
  </conditionalFormatting>
  <conditionalFormatting sqref="I35">
    <cfRule type="expression" dxfId="392" priority="386" stopIfTrue="1">
      <formula>U35=1</formula>
    </cfRule>
  </conditionalFormatting>
  <conditionalFormatting sqref="I36">
    <cfRule type="expression" dxfId="391" priority="385" stopIfTrue="1">
      <formula>U36=1</formula>
    </cfRule>
  </conditionalFormatting>
  <conditionalFormatting sqref="I37">
    <cfRule type="expression" dxfId="390" priority="384" stopIfTrue="1">
      <formula>U37=1</formula>
    </cfRule>
  </conditionalFormatting>
  <conditionalFormatting sqref="I38">
    <cfRule type="expression" dxfId="389" priority="383" stopIfTrue="1">
      <formula>U38=1</formula>
    </cfRule>
  </conditionalFormatting>
  <conditionalFormatting sqref="I39">
    <cfRule type="expression" dxfId="388" priority="382" stopIfTrue="1">
      <formula>U39=1</formula>
    </cfRule>
  </conditionalFormatting>
  <conditionalFormatting sqref="I40">
    <cfRule type="expression" dxfId="387" priority="381" stopIfTrue="1">
      <formula>U40=1</formula>
    </cfRule>
  </conditionalFormatting>
  <conditionalFormatting sqref="I41">
    <cfRule type="expression" dxfId="386" priority="380" stopIfTrue="1">
      <formula>U41=1</formula>
    </cfRule>
  </conditionalFormatting>
  <conditionalFormatting sqref="I42">
    <cfRule type="expression" dxfId="385" priority="379" stopIfTrue="1">
      <formula>U42=1</formula>
    </cfRule>
  </conditionalFormatting>
  <conditionalFormatting sqref="I43">
    <cfRule type="expression" dxfId="384" priority="378" stopIfTrue="1">
      <formula>U43=1</formula>
    </cfRule>
  </conditionalFormatting>
  <conditionalFormatting sqref="I44">
    <cfRule type="expression" dxfId="383" priority="377" stopIfTrue="1">
      <formula>U44=1</formula>
    </cfRule>
  </conditionalFormatting>
  <conditionalFormatting sqref="I45">
    <cfRule type="expression" dxfId="382" priority="376" stopIfTrue="1">
      <formula>U45=1</formula>
    </cfRule>
  </conditionalFormatting>
  <conditionalFormatting sqref="I46">
    <cfRule type="expression" dxfId="381" priority="375" stopIfTrue="1">
      <formula>U46=1</formula>
    </cfRule>
  </conditionalFormatting>
  <conditionalFormatting sqref="I47">
    <cfRule type="expression" dxfId="380" priority="374" stopIfTrue="1">
      <formula>U47=1</formula>
    </cfRule>
  </conditionalFormatting>
  <conditionalFormatting sqref="J3">
    <cfRule type="expression" dxfId="379" priority="373" stopIfTrue="1">
      <formula>V3=1</formula>
    </cfRule>
  </conditionalFormatting>
  <conditionalFormatting sqref="J4">
    <cfRule type="expression" dxfId="378" priority="372" stopIfTrue="1">
      <formula>V4=1</formula>
    </cfRule>
  </conditionalFormatting>
  <conditionalFormatting sqref="J5">
    <cfRule type="expression" dxfId="377" priority="371" stopIfTrue="1">
      <formula>V5=1</formula>
    </cfRule>
  </conditionalFormatting>
  <conditionalFormatting sqref="J6">
    <cfRule type="expression" dxfId="376" priority="370" stopIfTrue="1">
      <formula>V6=1</formula>
    </cfRule>
  </conditionalFormatting>
  <conditionalFormatting sqref="J7">
    <cfRule type="expression" dxfId="375" priority="369" stopIfTrue="1">
      <formula>V7=1</formula>
    </cfRule>
  </conditionalFormatting>
  <conditionalFormatting sqref="J8">
    <cfRule type="expression" dxfId="374" priority="368" stopIfTrue="1">
      <formula>V8=1</formula>
    </cfRule>
  </conditionalFormatting>
  <conditionalFormatting sqref="J9">
    <cfRule type="expression" dxfId="373" priority="367" stopIfTrue="1">
      <formula>V9=1</formula>
    </cfRule>
  </conditionalFormatting>
  <conditionalFormatting sqref="J10">
    <cfRule type="expression" dxfId="372" priority="366" stopIfTrue="1">
      <formula>V10=1</formula>
    </cfRule>
  </conditionalFormatting>
  <conditionalFormatting sqref="J11">
    <cfRule type="expression" dxfId="371" priority="365" stopIfTrue="1">
      <formula>V11=1</formula>
    </cfRule>
  </conditionalFormatting>
  <conditionalFormatting sqref="J12">
    <cfRule type="expression" dxfId="370" priority="364" stopIfTrue="1">
      <formula>V12=1</formula>
    </cfRule>
  </conditionalFormatting>
  <conditionalFormatting sqref="J13">
    <cfRule type="expression" dxfId="369" priority="363" stopIfTrue="1">
      <formula>V13=1</formula>
    </cfRule>
  </conditionalFormatting>
  <conditionalFormatting sqref="J14">
    <cfRule type="expression" dxfId="368" priority="362" stopIfTrue="1">
      <formula>V14=1</formula>
    </cfRule>
  </conditionalFormatting>
  <conditionalFormatting sqref="J15">
    <cfRule type="expression" dxfId="367" priority="361" stopIfTrue="1">
      <formula>V15=1</formula>
    </cfRule>
  </conditionalFormatting>
  <conditionalFormatting sqref="J16">
    <cfRule type="expression" dxfId="366" priority="360" stopIfTrue="1">
      <formula>V16=1</formula>
    </cfRule>
  </conditionalFormatting>
  <conditionalFormatting sqref="J17">
    <cfRule type="expression" dxfId="365" priority="359" stopIfTrue="1">
      <formula>V17=1</formula>
    </cfRule>
  </conditionalFormatting>
  <conditionalFormatting sqref="J18">
    <cfRule type="expression" dxfId="364" priority="358" stopIfTrue="1">
      <formula>V18=1</formula>
    </cfRule>
  </conditionalFormatting>
  <conditionalFormatting sqref="J19">
    <cfRule type="expression" dxfId="363" priority="357" stopIfTrue="1">
      <formula>V19=1</formula>
    </cfRule>
  </conditionalFormatting>
  <conditionalFormatting sqref="J20">
    <cfRule type="expression" dxfId="362" priority="356" stopIfTrue="1">
      <formula>V20=1</formula>
    </cfRule>
  </conditionalFormatting>
  <conditionalFormatting sqref="J21">
    <cfRule type="expression" dxfId="361" priority="355" stopIfTrue="1">
      <formula>V21=1</formula>
    </cfRule>
  </conditionalFormatting>
  <conditionalFormatting sqref="J22">
    <cfRule type="expression" dxfId="360" priority="354" stopIfTrue="1">
      <formula>V22=1</formula>
    </cfRule>
  </conditionalFormatting>
  <conditionalFormatting sqref="J23">
    <cfRule type="expression" dxfId="359" priority="353" stopIfTrue="1">
      <formula>V23=1</formula>
    </cfRule>
  </conditionalFormatting>
  <conditionalFormatting sqref="J24">
    <cfRule type="expression" dxfId="358" priority="352" stopIfTrue="1">
      <formula>V24=1</formula>
    </cfRule>
  </conditionalFormatting>
  <conditionalFormatting sqref="J25">
    <cfRule type="expression" dxfId="357" priority="351" stopIfTrue="1">
      <formula>V25=1</formula>
    </cfRule>
  </conditionalFormatting>
  <conditionalFormatting sqref="J26">
    <cfRule type="expression" dxfId="356" priority="350" stopIfTrue="1">
      <formula>V26=1</formula>
    </cfRule>
  </conditionalFormatting>
  <conditionalFormatting sqref="J27">
    <cfRule type="expression" dxfId="355" priority="349" stopIfTrue="1">
      <formula>V27=1</formula>
    </cfRule>
  </conditionalFormatting>
  <conditionalFormatting sqref="J28">
    <cfRule type="expression" dxfId="354" priority="348" stopIfTrue="1">
      <formula>V28=1</formula>
    </cfRule>
  </conditionalFormatting>
  <conditionalFormatting sqref="J29">
    <cfRule type="expression" dxfId="353" priority="347" stopIfTrue="1">
      <formula>V29=1</formula>
    </cfRule>
  </conditionalFormatting>
  <conditionalFormatting sqref="J30">
    <cfRule type="expression" dxfId="352" priority="346" stopIfTrue="1">
      <formula>V30=1</formula>
    </cfRule>
  </conditionalFormatting>
  <conditionalFormatting sqref="J31">
    <cfRule type="expression" dxfId="351" priority="345" stopIfTrue="1">
      <formula>V31=1</formula>
    </cfRule>
  </conditionalFormatting>
  <conditionalFormatting sqref="J33">
    <cfRule type="expression" dxfId="350" priority="344" stopIfTrue="1">
      <formula>V33=1</formula>
    </cfRule>
  </conditionalFormatting>
  <conditionalFormatting sqref="J34">
    <cfRule type="expression" dxfId="349" priority="343" stopIfTrue="1">
      <formula>V34=1</formula>
    </cfRule>
  </conditionalFormatting>
  <conditionalFormatting sqref="J35">
    <cfRule type="expression" dxfId="348" priority="342" stopIfTrue="1">
      <formula>V35=1</formula>
    </cfRule>
  </conditionalFormatting>
  <conditionalFormatting sqref="J36">
    <cfRule type="expression" dxfId="347" priority="341" stopIfTrue="1">
      <formula>V36=1</formula>
    </cfRule>
  </conditionalFormatting>
  <conditionalFormatting sqref="J37">
    <cfRule type="expression" dxfId="346" priority="340" stopIfTrue="1">
      <formula>V37=1</formula>
    </cfRule>
  </conditionalFormatting>
  <conditionalFormatting sqref="J38">
    <cfRule type="expression" dxfId="345" priority="339" stopIfTrue="1">
      <formula>V38=1</formula>
    </cfRule>
  </conditionalFormatting>
  <conditionalFormatting sqref="J39">
    <cfRule type="expression" dxfId="344" priority="338" stopIfTrue="1">
      <formula>V39=1</formula>
    </cfRule>
  </conditionalFormatting>
  <conditionalFormatting sqref="J40">
    <cfRule type="expression" dxfId="343" priority="337" stopIfTrue="1">
      <formula>V40=1</formula>
    </cfRule>
  </conditionalFormatting>
  <conditionalFormatting sqref="J41">
    <cfRule type="expression" dxfId="342" priority="336" stopIfTrue="1">
      <formula>V41=1</formula>
    </cfRule>
  </conditionalFormatting>
  <conditionalFormatting sqref="J42">
    <cfRule type="expression" dxfId="341" priority="335" stopIfTrue="1">
      <formula>V42=1</formula>
    </cfRule>
  </conditionalFormatting>
  <conditionalFormatting sqref="J43">
    <cfRule type="expression" dxfId="340" priority="334" stopIfTrue="1">
      <formula>V43=1</formula>
    </cfRule>
  </conditionalFormatting>
  <conditionalFormatting sqref="J44">
    <cfRule type="expression" dxfId="339" priority="333" stopIfTrue="1">
      <formula>V44=1</formula>
    </cfRule>
  </conditionalFormatting>
  <conditionalFormatting sqref="J45">
    <cfRule type="expression" dxfId="338" priority="332" stopIfTrue="1">
      <formula>V45=1</formula>
    </cfRule>
  </conditionalFormatting>
  <conditionalFormatting sqref="J46">
    <cfRule type="expression" dxfId="337" priority="331" stopIfTrue="1">
      <formula>V46=1</formula>
    </cfRule>
  </conditionalFormatting>
  <conditionalFormatting sqref="J47">
    <cfRule type="expression" dxfId="336" priority="330" stopIfTrue="1">
      <formula>V47=1</formula>
    </cfRule>
  </conditionalFormatting>
  <conditionalFormatting sqref="K3">
    <cfRule type="expression" dxfId="335" priority="329" stopIfTrue="1">
      <formula>W3=1</formula>
    </cfRule>
  </conditionalFormatting>
  <conditionalFormatting sqref="K4">
    <cfRule type="expression" dxfId="334" priority="328" stopIfTrue="1">
      <formula>W4=1</formula>
    </cfRule>
  </conditionalFormatting>
  <conditionalFormatting sqref="K5">
    <cfRule type="expression" dxfId="333" priority="327" stopIfTrue="1">
      <formula>W5=1</formula>
    </cfRule>
  </conditionalFormatting>
  <conditionalFormatting sqref="K6">
    <cfRule type="expression" dxfId="332" priority="326" stopIfTrue="1">
      <formula>W6=1</formula>
    </cfRule>
  </conditionalFormatting>
  <conditionalFormatting sqref="K7">
    <cfRule type="expression" dxfId="331" priority="325" stopIfTrue="1">
      <formula>W7=1</formula>
    </cfRule>
  </conditionalFormatting>
  <conditionalFormatting sqref="K8">
    <cfRule type="expression" dxfId="330" priority="324" stopIfTrue="1">
      <formula>W8=1</formula>
    </cfRule>
  </conditionalFormatting>
  <conditionalFormatting sqref="K9">
    <cfRule type="expression" dxfId="329" priority="323" stopIfTrue="1">
      <formula>W9=1</formula>
    </cfRule>
  </conditionalFormatting>
  <conditionalFormatting sqref="K10">
    <cfRule type="expression" dxfId="328" priority="322" stopIfTrue="1">
      <formula>W10=1</formula>
    </cfRule>
  </conditionalFormatting>
  <conditionalFormatting sqref="K11">
    <cfRule type="expression" dxfId="327" priority="321" stopIfTrue="1">
      <formula>W11=1</formula>
    </cfRule>
  </conditionalFormatting>
  <conditionalFormatting sqref="K12">
    <cfRule type="expression" dxfId="326" priority="320" stopIfTrue="1">
      <formula>W12=1</formula>
    </cfRule>
  </conditionalFormatting>
  <conditionalFormatting sqref="K13">
    <cfRule type="expression" dxfId="325" priority="319" stopIfTrue="1">
      <formula>W13=1</formula>
    </cfRule>
  </conditionalFormatting>
  <conditionalFormatting sqref="K14">
    <cfRule type="expression" dxfId="324" priority="318" stopIfTrue="1">
      <formula>W14=1</formula>
    </cfRule>
  </conditionalFormatting>
  <conditionalFormatting sqref="K15">
    <cfRule type="expression" dxfId="323" priority="317" stopIfTrue="1">
      <formula>W15=1</formula>
    </cfRule>
  </conditionalFormatting>
  <conditionalFormatting sqref="K16">
    <cfRule type="expression" dxfId="322" priority="316" stopIfTrue="1">
      <formula>W16=1</formula>
    </cfRule>
  </conditionalFormatting>
  <conditionalFormatting sqref="K17">
    <cfRule type="expression" dxfId="321" priority="315" stopIfTrue="1">
      <formula>W17=1</formula>
    </cfRule>
  </conditionalFormatting>
  <conditionalFormatting sqref="K18">
    <cfRule type="expression" dxfId="320" priority="314" stopIfTrue="1">
      <formula>W18=1</formula>
    </cfRule>
  </conditionalFormatting>
  <conditionalFormatting sqref="K19">
    <cfRule type="expression" dxfId="319" priority="313" stopIfTrue="1">
      <formula>W19=1</formula>
    </cfRule>
  </conditionalFormatting>
  <conditionalFormatting sqref="K20">
    <cfRule type="expression" dxfId="318" priority="312" stopIfTrue="1">
      <formula>W20=1</formula>
    </cfRule>
  </conditionalFormatting>
  <conditionalFormatting sqref="K21">
    <cfRule type="expression" dxfId="317" priority="311" stopIfTrue="1">
      <formula>W21=1</formula>
    </cfRule>
  </conditionalFormatting>
  <conditionalFormatting sqref="K22">
    <cfRule type="expression" dxfId="316" priority="310" stopIfTrue="1">
      <formula>W22=1</formula>
    </cfRule>
  </conditionalFormatting>
  <conditionalFormatting sqref="K23">
    <cfRule type="expression" dxfId="315" priority="309" stopIfTrue="1">
      <formula>W23=1</formula>
    </cfRule>
  </conditionalFormatting>
  <conditionalFormatting sqref="K24">
    <cfRule type="expression" dxfId="314" priority="308" stopIfTrue="1">
      <formula>W24=1</formula>
    </cfRule>
  </conditionalFormatting>
  <conditionalFormatting sqref="K25">
    <cfRule type="expression" dxfId="313" priority="307" stopIfTrue="1">
      <formula>W25=1</formula>
    </cfRule>
  </conditionalFormatting>
  <conditionalFormatting sqref="K26">
    <cfRule type="expression" dxfId="312" priority="306" stopIfTrue="1">
      <formula>W26=1</formula>
    </cfRule>
  </conditionalFormatting>
  <conditionalFormatting sqref="K27">
    <cfRule type="expression" dxfId="311" priority="305" stopIfTrue="1">
      <formula>W27=1</formula>
    </cfRule>
  </conditionalFormatting>
  <conditionalFormatting sqref="K28">
    <cfRule type="expression" dxfId="310" priority="304" stopIfTrue="1">
      <formula>W28=1</formula>
    </cfRule>
  </conditionalFormatting>
  <conditionalFormatting sqref="K29">
    <cfRule type="expression" dxfId="309" priority="303" stopIfTrue="1">
      <formula>W29=1</formula>
    </cfRule>
  </conditionalFormatting>
  <conditionalFormatting sqref="K30">
    <cfRule type="expression" dxfId="308" priority="302" stopIfTrue="1">
      <formula>W30=1</formula>
    </cfRule>
  </conditionalFormatting>
  <conditionalFormatting sqref="K31">
    <cfRule type="expression" dxfId="307" priority="301" stopIfTrue="1">
      <formula>W31=1</formula>
    </cfRule>
  </conditionalFormatting>
  <conditionalFormatting sqref="K33">
    <cfRule type="expression" dxfId="306" priority="300" stopIfTrue="1">
      <formula>W33=1</formula>
    </cfRule>
  </conditionalFormatting>
  <conditionalFormatting sqref="K34">
    <cfRule type="expression" dxfId="305" priority="299" stopIfTrue="1">
      <formula>W34=1</formula>
    </cfRule>
  </conditionalFormatting>
  <conditionalFormatting sqref="K35">
    <cfRule type="expression" dxfId="304" priority="298" stopIfTrue="1">
      <formula>W35=1</formula>
    </cfRule>
  </conditionalFormatting>
  <conditionalFormatting sqref="K36">
    <cfRule type="expression" dxfId="303" priority="297" stopIfTrue="1">
      <formula>W36=1</formula>
    </cfRule>
  </conditionalFormatting>
  <conditionalFormatting sqref="K37">
    <cfRule type="expression" dxfId="302" priority="296" stopIfTrue="1">
      <formula>W37=1</formula>
    </cfRule>
  </conditionalFormatting>
  <conditionalFormatting sqref="K38">
    <cfRule type="expression" dxfId="301" priority="295" stopIfTrue="1">
      <formula>W38=1</formula>
    </cfRule>
  </conditionalFormatting>
  <conditionalFormatting sqref="K39">
    <cfRule type="expression" dxfId="300" priority="294" stopIfTrue="1">
      <formula>W39=1</formula>
    </cfRule>
  </conditionalFormatting>
  <conditionalFormatting sqref="K40">
    <cfRule type="expression" dxfId="299" priority="293" stopIfTrue="1">
      <formula>W40=1</formula>
    </cfRule>
  </conditionalFormatting>
  <conditionalFormatting sqref="K41">
    <cfRule type="expression" dxfId="298" priority="292" stopIfTrue="1">
      <formula>W41=1</formula>
    </cfRule>
  </conditionalFormatting>
  <conditionalFormatting sqref="K42">
    <cfRule type="expression" dxfId="297" priority="291" stopIfTrue="1">
      <formula>W42=1</formula>
    </cfRule>
  </conditionalFormatting>
  <conditionalFormatting sqref="K43">
    <cfRule type="expression" dxfId="296" priority="290" stopIfTrue="1">
      <formula>W43=1</formula>
    </cfRule>
  </conditionalFormatting>
  <conditionalFormatting sqref="K44">
    <cfRule type="expression" dxfId="295" priority="289" stopIfTrue="1">
      <formula>W44=1</formula>
    </cfRule>
  </conditionalFormatting>
  <conditionalFormatting sqref="K45">
    <cfRule type="expression" dxfId="294" priority="288" stopIfTrue="1">
      <formula>W45=1</formula>
    </cfRule>
  </conditionalFormatting>
  <conditionalFormatting sqref="K46">
    <cfRule type="expression" dxfId="293" priority="287" stopIfTrue="1">
      <formula>W46=1</formula>
    </cfRule>
  </conditionalFormatting>
  <conditionalFormatting sqref="K47">
    <cfRule type="expression" dxfId="292" priority="286" stopIfTrue="1">
      <formula>W47=1</formula>
    </cfRule>
  </conditionalFormatting>
  <conditionalFormatting sqref="L3">
    <cfRule type="expression" dxfId="291" priority="285" stopIfTrue="1">
      <formula>X3=1</formula>
    </cfRule>
  </conditionalFormatting>
  <conditionalFormatting sqref="L4">
    <cfRule type="expression" dxfId="290" priority="284" stopIfTrue="1">
      <formula>X4=1</formula>
    </cfRule>
  </conditionalFormatting>
  <conditionalFormatting sqref="L5">
    <cfRule type="expression" dxfId="289" priority="283" stopIfTrue="1">
      <formula>X5=1</formula>
    </cfRule>
  </conditionalFormatting>
  <conditionalFormatting sqref="L6">
    <cfRule type="expression" dxfId="288" priority="282" stopIfTrue="1">
      <formula>X6=1</formula>
    </cfRule>
  </conditionalFormatting>
  <conditionalFormatting sqref="L7">
    <cfRule type="expression" dxfId="287" priority="281" stopIfTrue="1">
      <formula>X7=1</formula>
    </cfRule>
  </conditionalFormatting>
  <conditionalFormatting sqref="L8">
    <cfRule type="expression" dxfId="286" priority="280" stopIfTrue="1">
      <formula>X8=1</formula>
    </cfRule>
  </conditionalFormatting>
  <conditionalFormatting sqref="L9">
    <cfRule type="expression" dxfId="285" priority="279" stopIfTrue="1">
      <formula>X9=1</formula>
    </cfRule>
  </conditionalFormatting>
  <conditionalFormatting sqref="L10">
    <cfRule type="expression" dxfId="284" priority="278" stopIfTrue="1">
      <formula>X10=1</formula>
    </cfRule>
  </conditionalFormatting>
  <conditionalFormatting sqref="L11">
    <cfRule type="expression" dxfId="283" priority="277" stopIfTrue="1">
      <formula>X11=1</formula>
    </cfRule>
  </conditionalFormatting>
  <conditionalFormatting sqref="L12">
    <cfRule type="expression" dxfId="282" priority="276" stopIfTrue="1">
      <formula>X12=1</formula>
    </cfRule>
  </conditionalFormatting>
  <conditionalFormatting sqref="L13">
    <cfRule type="expression" dxfId="281" priority="275" stopIfTrue="1">
      <formula>X13=1</formula>
    </cfRule>
  </conditionalFormatting>
  <conditionalFormatting sqref="L14">
    <cfRule type="expression" dxfId="280" priority="274" stopIfTrue="1">
      <formula>X14=1</formula>
    </cfRule>
  </conditionalFormatting>
  <conditionalFormatting sqref="L15">
    <cfRule type="expression" dxfId="279" priority="273" stopIfTrue="1">
      <formula>X15=1</formula>
    </cfRule>
  </conditionalFormatting>
  <conditionalFormatting sqref="L16">
    <cfRule type="expression" dxfId="278" priority="272" stopIfTrue="1">
      <formula>X16=1</formula>
    </cfRule>
  </conditionalFormatting>
  <conditionalFormatting sqref="L17">
    <cfRule type="expression" dxfId="277" priority="271" stopIfTrue="1">
      <formula>X17=1</formula>
    </cfRule>
  </conditionalFormatting>
  <conditionalFormatting sqref="L18">
    <cfRule type="expression" dxfId="276" priority="270" stopIfTrue="1">
      <formula>X18=1</formula>
    </cfRule>
  </conditionalFormatting>
  <conditionalFormatting sqref="L19">
    <cfRule type="expression" dxfId="275" priority="269" stopIfTrue="1">
      <formula>X19=1</formula>
    </cfRule>
  </conditionalFormatting>
  <conditionalFormatting sqref="L20">
    <cfRule type="expression" dxfId="274" priority="268" stopIfTrue="1">
      <formula>X20=1</formula>
    </cfRule>
  </conditionalFormatting>
  <conditionalFormatting sqref="L21">
    <cfRule type="expression" dxfId="273" priority="267" stopIfTrue="1">
      <formula>X21=1</formula>
    </cfRule>
  </conditionalFormatting>
  <conditionalFormatting sqref="L22">
    <cfRule type="expression" dxfId="272" priority="266" stopIfTrue="1">
      <formula>X22=1</formula>
    </cfRule>
  </conditionalFormatting>
  <conditionalFormatting sqref="L23">
    <cfRule type="expression" dxfId="271" priority="265" stopIfTrue="1">
      <formula>X23=1</formula>
    </cfRule>
  </conditionalFormatting>
  <conditionalFormatting sqref="L24">
    <cfRule type="expression" dxfId="270" priority="264" stopIfTrue="1">
      <formula>X24=1</formula>
    </cfRule>
  </conditionalFormatting>
  <conditionalFormatting sqref="L25">
    <cfRule type="expression" dxfId="269" priority="263" stopIfTrue="1">
      <formula>X25=1</formula>
    </cfRule>
  </conditionalFormatting>
  <conditionalFormatting sqref="L26">
    <cfRule type="expression" dxfId="268" priority="262" stopIfTrue="1">
      <formula>X26=1</formula>
    </cfRule>
  </conditionalFormatting>
  <conditionalFormatting sqref="L27">
    <cfRule type="expression" dxfId="267" priority="261" stopIfTrue="1">
      <formula>X27=1</formula>
    </cfRule>
  </conditionalFormatting>
  <conditionalFormatting sqref="L28">
    <cfRule type="expression" dxfId="266" priority="260" stopIfTrue="1">
      <formula>X28=1</formula>
    </cfRule>
  </conditionalFormatting>
  <conditionalFormatting sqref="L29">
    <cfRule type="expression" dxfId="265" priority="259" stopIfTrue="1">
      <formula>X29=1</formula>
    </cfRule>
  </conditionalFormatting>
  <conditionalFormatting sqref="L30">
    <cfRule type="expression" dxfId="264" priority="258" stopIfTrue="1">
      <formula>X30=1</formula>
    </cfRule>
  </conditionalFormatting>
  <conditionalFormatting sqref="L31">
    <cfRule type="expression" dxfId="263" priority="257" stopIfTrue="1">
      <formula>X31=1</formula>
    </cfRule>
  </conditionalFormatting>
  <conditionalFormatting sqref="L33">
    <cfRule type="expression" dxfId="262" priority="256" stopIfTrue="1">
      <formula>X33=1</formula>
    </cfRule>
  </conditionalFormatting>
  <conditionalFormatting sqref="L34">
    <cfRule type="expression" dxfId="261" priority="255" stopIfTrue="1">
      <formula>X34=1</formula>
    </cfRule>
  </conditionalFormatting>
  <conditionalFormatting sqref="L35">
    <cfRule type="expression" dxfId="260" priority="254" stopIfTrue="1">
      <formula>X35=1</formula>
    </cfRule>
  </conditionalFormatting>
  <conditionalFormatting sqref="L36">
    <cfRule type="expression" dxfId="259" priority="253" stopIfTrue="1">
      <formula>X36=1</formula>
    </cfRule>
  </conditionalFormatting>
  <conditionalFormatting sqref="L37">
    <cfRule type="expression" dxfId="258" priority="252" stopIfTrue="1">
      <formula>X37=1</formula>
    </cfRule>
  </conditionalFormatting>
  <conditionalFormatting sqref="L38">
    <cfRule type="expression" dxfId="257" priority="251" stopIfTrue="1">
      <formula>X38=1</formula>
    </cfRule>
  </conditionalFormatting>
  <conditionalFormatting sqref="L39">
    <cfRule type="expression" dxfId="256" priority="250" stopIfTrue="1">
      <formula>X39=1</formula>
    </cfRule>
  </conditionalFormatting>
  <conditionalFormatting sqref="L40">
    <cfRule type="expression" dxfId="255" priority="249" stopIfTrue="1">
      <formula>X40=1</formula>
    </cfRule>
  </conditionalFormatting>
  <conditionalFormatting sqref="L41">
    <cfRule type="expression" dxfId="254" priority="248" stopIfTrue="1">
      <formula>X41=1</formula>
    </cfRule>
  </conditionalFormatting>
  <conditionalFormatting sqref="L42">
    <cfRule type="expression" dxfId="253" priority="247" stopIfTrue="1">
      <formula>X42=1</formula>
    </cfRule>
  </conditionalFormatting>
  <conditionalFormatting sqref="L43">
    <cfRule type="expression" dxfId="252" priority="246" stopIfTrue="1">
      <formula>X43=1</formula>
    </cfRule>
  </conditionalFormatting>
  <conditionalFormatting sqref="L44">
    <cfRule type="expression" dxfId="251" priority="245" stopIfTrue="1">
      <formula>X44=1</formula>
    </cfRule>
  </conditionalFormatting>
  <conditionalFormatting sqref="L45">
    <cfRule type="expression" dxfId="250" priority="244" stopIfTrue="1">
      <formula>X45=1</formula>
    </cfRule>
  </conditionalFormatting>
  <conditionalFormatting sqref="L46">
    <cfRule type="expression" dxfId="249" priority="243" stopIfTrue="1">
      <formula>X46=1</formula>
    </cfRule>
  </conditionalFormatting>
  <conditionalFormatting sqref="L47">
    <cfRule type="expression" dxfId="248" priority="242" stopIfTrue="1">
      <formula>X47=1</formula>
    </cfRule>
  </conditionalFormatting>
  <conditionalFormatting sqref="M3">
    <cfRule type="expression" dxfId="247" priority="241" stopIfTrue="1">
      <formula>Y3=1</formula>
    </cfRule>
  </conditionalFormatting>
  <conditionalFormatting sqref="M4">
    <cfRule type="expression" dxfId="246" priority="240" stopIfTrue="1">
      <formula>Y4=1</formula>
    </cfRule>
  </conditionalFormatting>
  <conditionalFormatting sqref="M5">
    <cfRule type="expression" dxfId="245" priority="239" stopIfTrue="1">
      <formula>Y5=1</formula>
    </cfRule>
  </conditionalFormatting>
  <conditionalFormatting sqref="M6">
    <cfRule type="expression" dxfId="244" priority="238" stopIfTrue="1">
      <formula>Y6=1</formula>
    </cfRule>
  </conditionalFormatting>
  <conditionalFormatting sqref="M7">
    <cfRule type="expression" dxfId="243" priority="237" stopIfTrue="1">
      <formula>Y7=1</formula>
    </cfRule>
  </conditionalFormatting>
  <conditionalFormatting sqref="M8">
    <cfRule type="expression" dxfId="242" priority="236" stopIfTrue="1">
      <formula>Y8=1</formula>
    </cfRule>
  </conditionalFormatting>
  <conditionalFormatting sqref="M9">
    <cfRule type="expression" dxfId="241" priority="235" stopIfTrue="1">
      <formula>Y9=1</formula>
    </cfRule>
  </conditionalFormatting>
  <conditionalFormatting sqref="M10">
    <cfRule type="expression" dxfId="240" priority="234" stopIfTrue="1">
      <formula>Y10=1</formula>
    </cfRule>
  </conditionalFormatting>
  <conditionalFormatting sqref="M11">
    <cfRule type="expression" dxfId="239" priority="233" stopIfTrue="1">
      <formula>Y11=1</formula>
    </cfRule>
  </conditionalFormatting>
  <conditionalFormatting sqref="M12">
    <cfRule type="expression" dxfId="238" priority="232" stopIfTrue="1">
      <formula>Y12=1</formula>
    </cfRule>
  </conditionalFormatting>
  <conditionalFormatting sqref="M13">
    <cfRule type="expression" dxfId="237" priority="231" stopIfTrue="1">
      <formula>Y13=1</formula>
    </cfRule>
  </conditionalFormatting>
  <conditionalFormatting sqref="M14">
    <cfRule type="expression" dxfId="236" priority="230" stopIfTrue="1">
      <formula>Y14=1</formula>
    </cfRule>
  </conditionalFormatting>
  <conditionalFormatting sqref="M15">
    <cfRule type="expression" dxfId="235" priority="229" stopIfTrue="1">
      <formula>Y15=1</formula>
    </cfRule>
  </conditionalFormatting>
  <conditionalFormatting sqref="M16">
    <cfRule type="expression" dxfId="234" priority="228" stopIfTrue="1">
      <formula>Y16=1</formula>
    </cfRule>
  </conditionalFormatting>
  <conditionalFormatting sqref="M17">
    <cfRule type="expression" dxfId="233" priority="227" stopIfTrue="1">
      <formula>Y17=1</formula>
    </cfRule>
  </conditionalFormatting>
  <conditionalFormatting sqref="M18">
    <cfRule type="expression" dxfId="232" priority="226" stopIfTrue="1">
      <formula>Y18=1</formula>
    </cfRule>
  </conditionalFormatting>
  <conditionalFormatting sqref="M19">
    <cfRule type="expression" dxfId="231" priority="225" stopIfTrue="1">
      <formula>Y19=1</formula>
    </cfRule>
  </conditionalFormatting>
  <conditionalFormatting sqref="M20">
    <cfRule type="expression" dxfId="230" priority="224" stopIfTrue="1">
      <formula>Y20=1</formula>
    </cfRule>
  </conditionalFormatting>
  <conditionalFormatting sqref="M21">
    <cfRule type="expression" dxfId="229" priority="223" stopIfTrue="1">
      <formula>Y21=1</formula>
    </cfRule>
  </conditionalFormatting>
  <conditionalFormatting sqref="M22">
    <cfRule type="expression" dxfId="228" priority="222" stopIfTrue="1">
      <formula>Y22=1</formula>
    </cfRule>
  </conditionalFormatting>
  <conditionalFormatting sqref="M23">
    <cfRule type="expression" dxfId="227" priority="221" stopIfTrue="1">
      <formula>Y23=1</formula>
    </cfRule>
  </conditionalFormatting>
  <conditionalFormatting sqref="M24">
    <cfRule type="expression" dxfId="226" priority="220" stopIfTrue="1">
      <formula>Y24=1</formula>
    </cfRule>
  </conditionalFormatting>
  <conditionalFormatting sqref="M25">
    <cfRule type="expression" dxfId="225" priority="219" stopIfTrue="1">
      <formula>Y25=1</formula>
    </cfRule>
  </conditionalFormatting>
  <conditionalFormatting sqref="M26">
    <cfRule type="expression" dxfId="224" priority="218" stopIfTrue="1">
      <formula>Y26=1</formula>
    </cfRule>
  </conditionalFormatting>
  <conditionalFormatting sqref="M27">
    <cfRule type="expression" dxfId="223" priority="217" stopIfTrue="1">
      <formula>Y27=1</formula>
    </cfRule>
  </conditionalFormatting>
  <conditionalFormatting sqref="M28">
    <cfRule type="expression" dxfId="222" priority="216" stopIfTrue="1">
      <formula>Y28=1</formula>
    </cfRule>
  </conditionalFormatting>
  <conditionalFormatting sqref="M29">
    <cfRule type="expression" dxfId="221" priority="215" stopIfTrue="1">
      <formula>Y29=1</formula>
    </cfRule>
  </conditionalFormatting>
  <conditionalFormatting sqref="M30">
    <cfRule type="expression" dxfId="220" priority="214" stopIfTrue="1">
      <formula>Y30=1</formula>
    </cfRule>
  </conditionalFormatting>
  <conditionalFormatting sqref="M31">
    <cfRule type="expression" dxfId="219" priority="213" stopIfTrue="1">
      <formula>Y31=1</formula>
    </cfRule>
  </conditionalFormatting>
  <conditionalFormatting sqref="M33">
    <cfRule type="expression" dxfId="218" priority="212" stopIfTrue="1">
      <formula>Y33=1</formula>
    </cfRule>
  </conditionalFormatting>
  <conditionalFormatting sqref="M34">
    <cfRule type="expression" dxfId="217" priority="211" stopIfTrue="1">
      <formula>Y34=1</formula>
    </cfRule>
  </conditionalFormatting>
  <conditionalFormatting sqref="M35">
    <cfRule type="expression" dxfId="216" priority="210" stopIfTrue="1">
      <formula>Y35=1</formula>
    </cfRule>
  </conditionalFormatting>
  <conditionalFormatting sqref="M36">
    <cfRule type="expression" dxfId="215" priority="209" stopIfTrue="1">
      <formula>Y36=1</formula>
    </cfRule>
  </conditionalFormatting>
  <conditionalFormatting sqref="M37">
    <cfRule type="expression" dxfId="214" priority="208" stopIfTrue="1">
      <formula>Y37=1</formula>
    </cfRule>
  </conditionalFormatting>
  <conditionalFormatting sqref="M38">
    <cfRule type="expression" dxfId="213" priority="207" stopIfTrue="1">
      <formula>Y38=1</formula>
    </cfRule>
  </conditionalFormatting>
  <conditionalFormatting sqref="M39">
    <cfRule type="expression" dxfId="212" priority="206" stopIfTrue="1">
      <formula>Y39=1</formula>
    </cfRule>
  </conditionalFormatting>
  <conditionalFormatting sqref="M40">
    <cfRule type="expression" dxfId="211" priority="205" stopIfTrue="1">
      <formula>Y40=1</formula>
    </cfRule>
  </conditionalFormatting>
  <conditionalFormatting sqref="M41">
    <cfRule type="expression" dxfId="210" priority="204" stopIfTrue="1">
      <formula>Y41=1</formula>
    </cfRule>
  </conditionalFormatting>
  <conditionalFormatting sqref="M42">
    <cfRule type="expression" dxfId="209" priority="203" stopIfTrue="1">
      <formula>Y42=1</formula>
    </cfRule>
  </conditionalFormatting>
  <conditionalFormatting sqref="M43">
    <cfRule type="expression" dxfId="208" priority="202" stopIfTrue="1">
      <formula>Y43=1</formula>
    </cfRule>
  </conditionalFormatting>
  <conditionalFormatting sqref="M44">
    <cfRule type="expression" dxfId="207" priority="201" stopIfTrue="1">
      <formula>Y44=1</formula>
    </cfRule>
  </conditionalFormatting>
  <conditionalFormatting sqref="M45">
    <cfRule type="expression" dxfId="206" priority="200" stopIfTrue="1">
      <formula>Y45=1</formula>
    </cfRule>
  </conditionalFormatting>
  <conditionalFormatting sqref="M46">
    <cfRule type="expression" dxfId="205" priority="199" stopIfTrue="1">
      <formula>Y46=1</formula>
    </cfRule>
  </conditionalFormatting>
  <conditionalFormatting sqref="M47">
    <cfRule type="expression" dxfId="204" priority="198" stopIfTrue="1">
      <formula>Y47=1</formula>
    </cfRule>
  </conditionalFormatting>
  <conditionalFormatting sqref="N3">
    <cfRule type="expression" dxfId="203" priority="197" stopIfTrue="1">
      <formula>Z3=1</formula>
    </cfRule>
  </conditionalFormatting>
  <conditionalFormatting sqref="N4">
    <cfRule type="expression" dxfId="202" priority="196" stopIfTrue="1">
      <formula>Z4=1</formula>
    </cfRule>
  </conditionalFormatting>
  <conditionalFormatting sqref="N5">
    <cfRule type="expression" dxfId="201" priority="195" stopIfTrue="1">
      <formula>Z5=1</formula>
    </cfRule>
  </conditionalFormatting>
  <conditionalFormatting sqref="N6">
    <cfRule type="expression" dxfId="200" priority="194" stopIfTrue="1">
      <formula>Z6=1</formula>
    </cfRule>
  </conditionalFormatting>
  <conditionalFormatting sqref="N7">
    <cfRule type="expression" dxfId="199" priority="193" stopIfTrue="1">
      <formula>Z7=1</formula>
    </cfRule>
  </conditionalFormatting>
  <conditionalFormatting sqref="N8">
    <cfRule type="expression" dxfId="198" priority="192" stopIfTrue="1">
      <formula>Z8=1</formula>
    </cfRule>
  </conditionalFormatting>
  <conditionalFormatting sqref="N9">
    <cfRule type="expression" dxfId="197" priority="191" stopIfTrue="1">
      <formula>Z9=1</formula>
    </cfRule>
  </conditionalFormatting>
  <conditionalFormatting sqref="N10">
    <cfRule type="expression" dxfId="196" priority="190" stopIfTrue="1">
      <formula>Z10=1</formula>
    </cfRule>
  </conditionalFormatting>
  <conditionalFormatting sqref="N11">
    <cfRule type="expression" dxfId="195" priority="189" stopIfTrue="1">
      <formula>Z11=1</formula>
    </cfRule>
  </conditionalFormatting>
  <conditionalFormatting sqref="N12">
    <cfRule type="expression" dxfId="194" priority="188" stopIfTrue="1">
      <formula>Z12=1</formula>
    </cfRule>
  </conditionalFormatting>
  <conditionalFormatting sqref="N13">
    <cfRule type="expression" dxfId="193" priority="187" stopIfTrue="1">
      <formula>Z13=1</formula>
    </cfRule>
  </conditionalFormatting>
  <conditionalFormatting sqref="N14">
    <cfRule type="expression" dxfId="192" priority="186" stopIfTrue="1">
      <formula>Z14=1</formula>
    </cfRule>
  </conditionalFormatting>
  <conditionalFormatting sqref="N15">
    <cfRule type="expression" dxfId="191" priority="185" stopIfTrue="1">
      <formula>Z15=1</formula>
    </cfRule>
  </conditionalFormatting>
  <conditionalFormatting sqref="N16">
    <cfRule type="expression" dxfId="190" priority="184" stopIfTrue="1">
      <formula>Z16=1</formula>
    </cfRule>
  </conditionalFormatting>
  <conditionalFormatting sqref="N17">
    <cfRule type="expression" dxfId="189" priority="183" stopIfTrue="1">
      <formula>Z17=1</formula>
    </cfRule>
  </conditionalFormatting>
  <conditionalFormatting sqref="N18">
    <cfRule type="expression" dxfId="188" priority="182" stopIfTrue="1">
      <formula>Z18=1</formula>
    </cfRule>
  </conditionalFormatting>
  <conditionalFormatting sqref="N19">
    <cfRule type="expression" dxfId="187" priority="181" stopIfTrue="1">
      <formula>Z19=1</formula>
    </cfRule>
  </conditionalFormatting>
  <conditionalFormatting sqref="N20">
    <cfRule type="expression" dxfId="186" priority="180" stopIfTrue="1">
      <formula>Z20=1</formula>
    </cfRule>
  </conditionalFormatting>
  <conditionalFormatting sqref="N21">
    <cfRule type="expression" dxfId="185" priority="179" stopIfTrue="1">
      <formula>Z21=1</formula>
    </cfRule>
  </conditionalFormatting>
  <conditionalFormatting sqref="N22">
    <cfRule type="expression" dxfId="184" priority="178" stopIfTrue="1">
      <formula>Z22=1</formula>
    </cfRule>
  </conditionalFormatting>
  <conditionalFormatting sqref="N23">
    <cfRule type="expression" dxfId="183" priority="177" stopIfTrue="1">
      <formula>Z23=1</formula>
    </cfRule>
  </conditionalFormatting>
  <conditionalFormatting sqref="N24">
    <cfRule type="expression" dxfId="182" priority="176" stopIfTrue="1">
      <formula>Z24=1</formula>
    </cfRule>
  </conditionalFormatting>
  <conditionalFormatting sqref="N25">
    <cfRule type="expression" dxfId="181" priority="175" stopIfTrue="1">
      <formula>Z25=1</formula>
    </cfRule>
  </conditionalFormatting>
  <conditionalFormatting sqref="N26">
    <cfRule type="expression" dxfId="180" priority="174" stopIfTrue="1">
      <formula>Z26=1</formula>
    </cfRule>
  </conditionalFormatting>
  <conditionalFormatting sqref="N27">
    <cfRule type="expression" dxfId="179" priority="173" stopIfTrue="1">
      <formula>Z27=1</formula>
    </cfRule>
  </conditionalFormatting>
  <conditionalFormatting sqref="N28">
    <cfRule type="expression" dxfId="178" priority="172" stopIfTrue="1">
      <formula>Z28=1</formula>
    </cfRule>
  </conditionalFormatting>
  <conditionalFormatting sqref="N29">
    <cfRule type="expression" dxfId="177" priority="171" stopIfTrue="1">
      <formula>Z29=1</formula>
    </cfRule>
  </conditionalFormatting>
  <conditionalFormatting sqref="N30">
    <cfRule type="expression" dxfId="176" priority="170" stopIfTrue="1">
      <formula>Z30=1</formula>
    </cfRule>
  </conditionalFormatting>
  <conditionalFormatting sqref="N31">
    <cfRule type="expression" dxfId="175" priority="169" stopIfTrue="1">
      <formula>Z31=1</formula>
    </cfRule>
  </conditionalFormatting>
  <conditionalFormatting sqref="N33">
    <cfRule type="expression" dxfId="174" priority="168" stopIfTrue="1">
      <formula>Z33=1</formula>
    </cfRule>
  </conditionalFormatting>
  <conditionalFormatting sqref="N34">
    <cfRule type="expression" dxfId="173" priority="167" stopIfTrue="1">
      <formula>Z34=1</formula>
    </cfRule>
  </conditionalFormatting>
  <conditionalFormatting sqref="N35">
    <cfRule type="expression" dxfId="172" priority="166" stopIfTrue="1">
      <formula>Z35=1</formula>
    </cfRule>
  </conditionalFormatting>
  <conditionalFormatting sqref="N36">
    <cfRule type="expression" dxfId="171" priority="165" stopIfTrue="1">
      <formula>Z36=1</formula>
    </cfRule>
  </conditionalFormatting>
  <conditionalFormatting sqref="N37">
    <cfRule type="expression" dxfId="170" priority="164" stopIfTrue="1">
      <formula>Z37=1</formula>
    </cfRule>
  </conditionalFormatting>
  <conditionalFormatting sqref="N38">
    <cfRule type="expression" dxfId="169" priority="163" stopIfTrue="1">
      <formula>Z38=1</formula>
    </cfRule>
  </conditionalFormatting>
  <conditionalFormatting sqref="N39">
    <cfRule type="expression" dxfId="168" priority="162" stopIfTrue="1">
      <formula>Z39=1</formula>
    </cfRule>
  </conditionalFormatting>
  <conditionalFormatting sqref="N40">
    <cfRule type="expression" dxfId="167" priority="161" stopIfTrue="1">
      <formula>Z40=1</formula>
    </cfRule>
  </conditionalFormatting>
  <conditionalFormatting sqref="N41">
    <cfRule type="expression" dxfId="166" priority="160" stopIfTrue="1">
      <formula>Z41=1</formula>
    </cfRule>
  </conditionalFormatting>
  <conditionalFormatting sqref="N42">
    <cfRule type="expression" dxfId="165" priority="159" stopIfTrue="1">
      <formula>Z42=1</formula>
    </cfRule>
  </conditionalFormatting>
  <conditionalFormatting sqref="N43">
    <cfRule type="expression" dxfId="164" priority="158" stopIfTrue="1">
      <formula>Z43=1</formula>
    </cfRule>
  </conditionalFormatting>
  <conditionalFormatting sqref="N44">
    <cfRule type="expression" dxfId="163" priority="157" stopIfTrue="1">
      <formula>Z44=1</formula>
    </cfRule>
  </conditionalFormatting>
  <conditionalFormatting sqref="N45">
    <cfRule type="expression" dxfId="162" priority="156" stopIfTrue="1">
      <formula>Z45=1</formula>
    </cfRule>
  </conditionalFormatting>
  <conditionalFormatting sqref="N46">
    <cfRule type="expression" dxfId="161" priority="155" stopIfTrue="1">
      <formula>Z46=1</formula>
    </cfRule>
  </conditionalFormatting>
  <conditionalFormatting sqref="N47">
    <cfRule type="expression" dxfId="160" priority="154" stopIfTrue="1">
      <formula>Z47=1</formula>
    </cfRule>
  </conditionalFormatting>
  <conditionalFormatting sqref="E61">
    <cfRule type="expression" dxfId="159" priority="153" stopIfTrue="1">
      <formula>Q61=1</formula>
    </cfRule>
  </conditionalFormatting>
  <conditionalFormatting sqref="F61">
    <cfRule type="expression" dxfId="158" priority="152" stopIfTrue="1">
      <formula>R61=1</formula>
    </cfRule>
  </conditionalFormatting>
  <conditionalFormatting sqref="G61">
    <cfRule type="expression" dxfId="157" priority="151" stopIfTrue="1">
      <formula>S61=1</formula>
    </cfRule>
  </conditionalFormatting>
  <conditionalFormatting sqref="H61">
    <cfRule type="expression" dxfId="156" priority="150" stopIfTrue="1">
      <formula>T61=1</formula>
    </cfRule>
  </conditionalFormatting>
  <conditionalFormatting sqref="I61">
    <cfRule type="expression" dxfId="155" priority="149" stopIfTrue="1">
      <formula>U61=1</formula>
    </cfRule>
  </conditionalFormatting>
  <conditionalFormatting sqref="J61">
    <cfRule type="expression" dxfId="154" priority="148" stopIfTrue="1">
      <formula>V61=1</formula>
    </cfRule>
  </conditionalFormatting>
  <conditionalFormatting sqref="K61">
    <cfRule type="expression" dxfId="153" priority="147" stopIfTrue="1">
      <formula>W61=1</formula>
    </cfRule>
  </conditionalFormatting>
  <conditionalFormatting sqref="L61">
    <cfRule type="expression" dxfId="152" priority="146" stopIfTrue="1">
      <formula>X61=1</formula>
    </cfRule>
  </conditionalFormatting>
  <conditionalFormatting sqref="M61">
    <cfRule type="expression" dxfId="151" priority="145" stopIfTrue="1">
      <formula>Y61=1</formula>
    </cfRule>
  </conditionalFormatting>
  <conditionalFormatting sqref="N61">
    <cfRule type="expression" dxfId="150" priority="144" stopIfTrue="1">
      <formula>Z61=1</formula>
    </cfRule>
  </conditionalFormatting>
  <conditionalFormatting sqref="E64">
    <cfRule type="expression" dxfId="149" priority="143" stopIfTrue="1">
      <formula>Q64=1</formula>
    </cfRule>
  </conditionalFormatting>
  <conditionalFormatting sqref="F64">
    <cfRule type="expression" dxfId="148" priority="142" stopIfTrue="1">
      <formula>R64=1</formula>
    </cfRule>
  </conditionalFormatting>
  <conditionalFormatting sqref="G64">
    <cfRule type="expression" dxfId="147" priority="141" stopIfTrue="1">
      <formula>S64=1</formula>
    </cfRule>
  </conditionalFormatting>
  <conditionalFormatting sqref="H64">
    <cfRule type="expression" dxfId="146" priority="140" stopIfTrue="1">
      <formula>T64=1</formula>
    </cfRule>
  </conditionalFormatting>
  <conditionalFormatting sqref="I64">
    <cfRule type="expression" dxfId="145" priority="139" stopIfTrue="1">
      <formula>U64=1</formula>
    </cfRule>
  </conditionalFormatting>
  <conditionalFormatting sqref="J64">
    <cfRule type="expression" dxfId="144" priority="138" stopIfTrue="1">
      <formula>V64=1</formula>
    </cfRule>
  </conditionalFormatting>
  <conditionalFormatting sqref="K64">
    <cfRule type="expression" dxfId="143" priority="137" stopIfTrue="1">
      <formula>W64=1</formula>
    </cfRule>
  </conditionalFormatting>
  <conditionalFormatting sqref="L64">
    <cfRule type="expression" dxfId="142" priority="136" stopIfTrue="1">
      <formula>X64=1</formula>
    </cfRule>
  </conditionalFormatting>
  <conditionalFormatting sqref="M64">
    <cfRule type="expression" dxfId="141" priority="135" stopIfTrue="1">
      <formula>Y64=1</formula>
    </cfRule>
  </conditionalFormatting>
  <conditionalFormatting sqref="N64">
    <cfRule type="expression" dxfId="140" priority="134" stopIfTrue="1">
      <formula>Z64=1</formula>
    </cfRule>
  </conditionalFormatting>
  <conditionalFormatting sqref="D50">
    <cfRule type="expression" dxfId="139" priority="133" stopIfTrue="1">
      <formula>P50=1</formula>
    </cfRule>
  </conditionalFormatting>
  <conditionalFormatting sqref="D51">
    <cfRule type="expression" dxfId="138" priority="132" stopIfTrue="1">
      <formula>P51=1</formula>
    </cfRule>
  </conditionalFormatting>
  <conditionalFormatting sqref="D52">
    <cfRule type="expression" dxfId="137" priority="131" stopIfTrue="1">
      <formula>P52=1</formula>
    </cfRule>
  </conditionalFormatting>
  <conditionalFormatting sqref="D53">
    <cfRule type="expression" dxfId="136" priority="130" stopIfTrue="1">
      <formula>P53=1</formula>
    </cfRule>
  </conditionalFormatting>
  <conditionalFormatting sqref="D54">
    <cfRule type="expression" dxfId="135" priority="129" stopIfTrue="1">
      <formula>P54=1</formula>
    </cfRule>
  </conditionalFormatting>
  <conditionalFormatting sqref="D59">
    <cfRule type="expression" dxfId="134" priority="128" stopIfTrue="1">
      <formula>P59=1</formula>
    </cfRule>
  </conditionalFormatting>
  <conditionalFormatting sqref="D60">
    <cfRule type="expression" dxfId="133" priority="127" stopIfTrue="1">
      <formula>P60=1</formula>
    </cfRule>
  </conditionalFormatting>
  <conditionalFormatting sqref="E50">
    <cfRule type="expression" dxfId="132" priority="126" stopIfTrue="1">
      <formula>Q50=1</formula>
    </cfRule>
  </conditionalFormatting>
  <conditionalFormatting sqref="E51">
    <cfRule type="expression" dxfId="131" priority="125" stopIfTrue="1">
      <formula>Q51=1</formula>
    </cfRule>
  </conditionalFormatting>
  <conditionalFormatting sqref="E52">
    <cfRule type="expression" dxfId="130" priority="124" stopIfTrue="1">
      <formula>Q52=1</formula>
    </cfRule>
  </conditionalFormatting>
  <conditionalFormatting sqref="E53">
    <cfRule type="expression" dxfId="129" priority="123" stopIfTrue="1">
      <formula>Q53=1</formula>
    </cfRule>
  </conditionalFormatting>
  <conditionalFormatting sqref="E54">
    <cfRule type="expression" dxfId="128" priority="122" stopIfTrue="1">
      <formula>Q54=1</formula>
    </cfRule>
  </conditionalFormatting>
  <conditionalFormatting sqref="E59">
    <cfRule type="expression" dxfId="127" priority="121" stopIfTrue="1">
      <formula>Q59=1</formula>
    </cfRule>
  </conditionalFormatting>
  <conditionalFormatting sqref="E60">
    <cfRule type="expression" dxfId="126" priority="120" stopIfTrue="1">
      <formula>Q60=1</formula>
    </cfRule>
  </conditionalFormatting>
  <conditionalFormatting sqref="F50">
    <cfRule type="expression" dxfId="125" priority="119" stopIfTrue="1">
      <formula>R50=1</formula>
    </cfRule>
  </conditionalFormatting>
  <conditionalFormatting sqref="F51">
    <cfRule type="expression" dxfId="124" priority="118" stopIfTrue="1">
      <formula>R51=1</formula>
    </cfRule>
  </conditionalFormatting>
  <conditionalFormatting sqref="F52">
    <cfRule type="expression" dxfId="123" priority="117" stopIfTrue="1">
      <formula>R52=1</formula>
    </cfRule>
  </conditionalFormatting>
  <conditionalFormatting sqref="F53">
    <cfRule type="expression" dxfId="122" priority="116" stopIfTrue="1">
      <formula>R53=1</formula>
    </cfRule>
  </conditionalFormatting>
  <conditionalFormatting sqref="F54">
    <cfRule type="expression" dxfId="121" priority="115" stopIfTrue="1">
      <formula>R54=1</formula>
    </cfRule>
  </conditionalFormatting>
  <conditionalFormatting sqref="F59">
    <cfRule type="expression" dxfId="120" priority="114" stopIfTrue="1">
      <formula>R59=1</formula>
    </cfRule>
  </conditionalFormatting>
  <conditionalFormatting sqref="F60">
    <cfRule type="expression" dxfId="119" priority="113" stopIfTrue="1">
      <formula>R60=1</formula>
    </cfRule>
  </conditionalFormatting>
  <conditionalFormatting sqref="G50">
    <cfRule type="expression" dxfId="118" priority="112" stopIfTrue="1">
      <formula>S50=1</formula>
    </cfRule>
  </conditionalFormatting>
  <conditionalFormatting sqref="G51">
    <cfRule type="expression" dxfId="117" priority="111" stopIfTrue="1">
      <formula>S51=1</formula>
    </cfRule>
  </conditionalFormatting>
  <conditionalFormatting sqref="G52">
    <cfRule type="expression" dxfId="116" priority="110" stopIfTrue="1">
      <formula>S52=1</formula>
    </cfRule>
  </conditionalFormatting>
  <conditionalFormatting sqref="G53">
    <cfRule type="expression" dxfId="115" priority="109" stopIfTrue="1">
      <formula>S53=1</formula>
    </cfRule>
  </conditionalFormatting>
  <conditionalFormatting sqref="G54">
    <cfRule type="expression" dxfId="114" priority="108" stopIfTrue="1">
      <formula>S54=1</formula>
    </cfRule>
  </conditionalFormatting>
  <conditionalFormatting sqref="G59">
    <cfRule type="expression" dxfId="113" priority="107" stopIfTrue="1">
      <formula>S59=1</formula>
    </cfRule>
  </conditionalFormatting>
  <conditionalFormatting sqref="G60">
    <cfRule type="expression" dxfId="112" priority="106" stopIfTrue="1">
      <formula>S60=1</formula>
    </cfRule>
  </conditionalFormatting>
  <conditionalFormatting sqref="H50">
    <cfRule type="expression" dxfId="111" priority="105" stopIfTrue="1">
      <formula>T50=1</formula>
    </cfRule>
  </conditionalFormatting>
  <conditionalFormatting sqref="H51">
    <cfRule type="expression" dxfId="110" priority="104" stopIfTrue="1">
      <formula>T51=1</formula>
    </cfRule>
  </conditionalFormatting>
  <conditionalFormatting sqref="H52">
    <cfRule type="expression" dxfId="109" priority="103" stopIfTrue="1">
      <formula>T52=1</formula>
    </cfRule>
  </conditionalFormatting>
  <conditionalFormatting sqref="H53">
    <cfRule type="expression" dxfId="108" priority="102" stopIfTrue="1">
      <formula>T53=1</formula>
    </cfRule>
  </conditionalFormatting>
  <conditionalFormatting sqref="H54">
    <cfRule type="expression" dxfId="107" priority="101" stopIfTrue="1">
      <formula>T54=1</formula>
    </cfRule>
  </conditionalFormatting>
  <conditionalFormatting sqref="H59">
    <cfRule type="expression" dxfId="106" priority="100" stopIfTrue="1">
      <formula>T59=1</formula>
    </cfRule>
  </conditionalFormatting>
  <conditionalFormatting sqref="H60">
    <cfRule type="expression" dxfId="105" priority="99" stopIfTrue="1">
      <formula>T60=1</formula>
    </cfRule>
  </conditionalFormatting>
  <conditionalFormatting sqref="I50">
    <cfRule type="expression" dxfId="104" priority="98" stopIfTrue="1">
      <formula>U50=1</formula>
    </cfRule>
  </conditionalFormatting>
  <conditionalFormatting sqref="I51">
    <cfRule type="expression" dxfId="103" priority="97" stopIfTrue="1">
      <formula>U51=1</formula>
    </cfRule>
  </conditionalFormatting>
  <conditionalFormatting sqref="I52">
    <cfRule type="expression" dxfId="102" priority="96" stopIfTrue="1">
      <formula>U52=1</formula>
    </cfRule>
  </conditionalFormatting>
  <conditionalFormatting sqref="I53">
    <cfRule type="expression" dxfId="101" priority="95" stopIfTrue="1">
      <formula>U53=1</formula>
    </cfRule>
  </conditionalFormatting>
  <conditionalFormatting sqref="I54">
    <cfRule type="expression" dxfId="100" priority="94" stopIfTrue="1">
      <formula>U54=1</formula>
    </cfRule>
  </conditionalFormatting>
  <conditionalFormatting sqref="I59">
    <cfRule type="expression" dxfId="99" priority="93" stopIfTrue="1">
      <formula>U59=1</formula>
    </cfRule>
  </conditionalFormatting>
  <conditionalFormatting sqref="I60">
    <cfRule type="expression" dxfId="98" priority="92" stopIfTrue="1">
      <formula>U60=1</formula>
    </cfRule>
  </conditionalFormatting>
  <conditionalFormatting sqref="J50">
    <cfRule type="expression" dxfId="97" priority="91" stopIfTrue="1">
      <formula>V50=1</formula>
    </cfRule>
  </conditionalFormatting>
  <conditionalFormatting sqref="J51">
    <cfRule type="expression" dxfId="96" priority="90" stopIfTrue="1">
      <formula>V51=1</formula>
    </cfRule>
  </conditionalFormatting>
  <conditionalFormatting sqref="J52">
    <cfRule type="expression" dxfId="95" priority="89" stopIfTrue="1">
      <formula>V52=1</formula>
    </cfRule>
  </conditionalFormatting>
  <conditionalFormatting sqref="J53">
    <cfRule type="expression" dxfId="94" priority="88" stopIfTrue="1">
      <formula>V53=1</formula>
    </cfRule>
  </conditionalFormatting>
  <conditionalFormatting sqref="J54">
    <cfRule type="expression" dxfId="93" priority="87" stopIfTrue="1">
      <formula>V54=1</formula>
    </cfRule>
  </conditionalFormatting>
  <conditionalFormatting sqref="J59">
    <cfRule type="expression" dxfId="92" priority="86" stopIfTrue="1">
      <formula>V59=1</formula>
    </cfRule>
  </conditionalFormatting>
  <conditionalFormatting sqref="J60">
    <cfRule type="expression" dxfId="91" priority="85" stopIfTrue="1">
      <formula>V60=1</formula>
    </cfRule>
  </conditionalFormatting>
  <conditionalFormatting sqref="K50">
    <cfRule type="expression" dxfId="90" priority="84" stopIfTrue="1">
      <formula>W50=1</formula>
    </cfRule>
  </conditionalFormatting>
  <conditionalFormatting sqref="K51">
    <cfRule type="expression" dxfId="89" priority="83" stopIfTrue="1">
      <formula>W51=1</formula>
    </cfRule>
  </conditionalFormatting>
  <conditionalFormatting sqref="K52">
    <cfRule type="expression" dxfId="88" priority="82" stopIfTrue="1">
      <formula>W52=1</formula>
    </cfRule>
  </conditionalFormatting>
  <conditionalFormatting sqref="K53">
    <cfRule type="expression" dxfId="87" priority="81" stopIfTrue="1">
      <formula>W53=1</formula>
    </cfRule>
  </conditionalFormatting>
  <conditionalFormatting sqref="K54">
    <cfRule type="expression" dxfId="86" priority="80" stopIfTrue="1">
      <formula>W54=1</formula>
    </cfRule>
  </conditionalFormatting>
  <conditionalFormatting sqref="K59">
    <cfRule type="expression" dxfId="85" priority="79" stopIfTrue="1">
      <formula>W59=1</formula>
    </cfRule>
  </conditionalFormatting>
  <conditionalFormatting sqref="K60">
    <cfRule type="expression" dxfId="84" priority="78" stopIfTrue="1">
      <formula>W60=1</formula>
    </cfRule>
  </conditionalFormatting>
  <conditionalFormatting sqref="L50">
    <cfRule type="expression" dxfId="83" priority="77" stopIfTrue="1">
      <formula>X50=1</formula>
    </cfRule>
  </conditionalFormatting>
  <conditionalFormatting sqref="L51">
    <cfRule type="expression" dxfId="82" priority="76" stopIfTrue="1">
      <formula>X51=1</formula>
    </cfRule>
  </conditionalFormatting>
  <conditionalFormatting sqref="L52">
    <cfRule type="expression" dxfId="81" priority="75" stopIfTrue="1">
      <formula>X52=1</formula>
    </cfRule>
  </conditionalFormatting>
  <conditionalFormatting sqref="L53">
    <cfRule type="expression" dxfId="80" priority="74" stopIfTrue="1">
      <formula>X53=1</formula>
    </cfRule>
  </conditionalFormatting>
  <conditionalFormatting sqref="L54">
    <cfRule type="expression" dxfId="79" priority="73" stopIfTrue="1">
      <formula>X54=1</formula>
    </cfRule>
  </conditionalFormatting>
  <conditionalFormatting sqref="L59">
    <cfRule type="expression" dxfId="78" priority="72" stopIfTrue="1">
      <formula>X59=1</formula>
    </cfRule>
  </conditionalFormatting>
  <conditionalFormatting sqref="L60">
    <cfRule type="expression" dxfId="77" priority="71" stopIfTrue="1">
      <formula>X60=1</formula>
    </cfRule>
  </conditionalFormatting>
  <conditionalFormatting sqref="M50">
    <cfRule type="expression" dxfId="76" priority="70" stopIfTrue="1">
      <formula>Y50=1</formula>
    </cfRule>
  </conditionalFormatting>
  <conditionalFormatting sqref="M51">
    <cfRule type="expression" dxfId="75" priority="69" stopIfTrue="1">
      <formula>Y51=1</formula>
    </cfRule>
  </conditionalFormatting>
  <conditionalFormatting sqref="M52">
    <cfRule type="expression" dxfId="74" priority="68" stopIfTrue="1">
      <formula>Y52=1</formula>
    </cfRule>
  </conditionalFormatting>
  <conditionalFormatting sqref="M53">
    <cfRule type="expression" dxfId="73" priority="67" stopIfTrue="1">
      <formula>Y53=1</formula>
    </cfRule>
  </conditionalFormatting>
  <conditionalFormatting sqref="M54">
    <cfRule type="expression" dxfId="72" priority="66" stopIfTrue="1">
      <formula>Y54=1</formula>
    </cfRule>
  </conditionalFormatting>
  <conditionalFormatting sqref="M59">
    <cfRule type="expression" dxfId="71" priority="65" stopIfTrue="1">
      <formula>Y59=1</formula>
    </cfRule>
  </conditionalFormatting>
  <conditionalFormatting sqref="M60">
    <cfRule type="expression" dxfId="70" priority="64" stopIfTrue="1">
      <formula>Y60=1</formula>
    </cfRule>
  </conditionalFormatting>
  <conditionalFormatting sqref="N50">
    <cfRule type="expression" dxfId="69" priority="63" stopIfTrue="1">
      <formula>Z50=1</formula>
    </cfRule>
  </conditionalFormatting>
  <conditionalFormatting sqref="N51">
    <cfRule type="expression" dxfId="68" priority="62" stopIfTrue="1">
      <formula>Z51=1</formula>
    </cfRule>
  </conditionalFormatting>
  <conditionalFormatting sqref="N52">
    <cfRule type="expression" dxfId="67" priority="61" stopIfTrue="1">
      <formula>Z52=1</formula>
    </cfRule>
  </conditionalFormatting>
  <conditionalFormatting sqref="N53">
    <cfRule type="expression" dxfId="66" priority="60" stopIfTrue="1">
      <formula>Z53=1</formula>
    </cfRule>
  </conditionalFormatting>
  <conditionalFormatting sqref="N54">
    <cfRule type="expression" dxfId="65" priority="59" stopIfTrue="1">
      <formula>Z54=1</formula>
    </cfRule>
  </conditionalFormatting>
  <conditionalFormatting sqref="N59">
    <cfRule type="expression" dxfId="64" priority="58" stopIfTrue="1">
      <formula>Z59=1</formula>
    </cfRule>
  </conditionalFormatting>
  <conditionalFormatting sqref="N60">
    <cfRule type="expression" dxfId="63" priority="57" stopIfTrue="1">
      <formula>Z60=1</formula>
    </cfRule>
  </conditionalFormatting>
  <conditionalFormatting sqref="D32">
    <cfRule type="expression" dxfId="62" priority="56" stopIfTrue="1">
      <formula>P32=1</formula>
    </cfRule>
  </conditionalFormatting>
  <conditionalFormatting sqref="E32">
    <cfRule type="expression" dxfId="61" priority="55" stopIfTrue="1">
      <formula>Q32=1</formula>
    </cfRule>
  </conditionalFormatting>
  <conditionalFormatting sqref="F32">
    <cfRule type="expression" dxfId="60" priority="54" stopIfTrue="1">
      <formula>R32=1</formula>
    </cfRule>
  </conditionalFormatting>
  <conditionalFormatting sqref="G32">
    <cfRule type="expression" dxfId="59" priority="53" stopIfTrue="1">
      <formula>S32=1</formula>
    </cfRule>
  </conditionalFormatting>
  <conditionalFormatting sqref="H32">
    <cfRule type="expression" dxfId="58" priority="52" stopIfTrue="1">
      <formula>T32=1</formula>
    </cfRule>
  </conditionalFormatting>
  <conditionalFormatting sqref="I32">
    <cfRule type="expression" dxfId="57" priority="51" stopIfTrue="1">
      <formula>U32=1</formula>
    </cfRule>
  </conditionalFormatting>
  <conditionalFormatting sqref="J32">
    <cfRule type="expression" dxfId="56" priority="50" stopIfTrue="1">
      <formula>V32=1</formula>
    </cfRule>
  </conditionalFormatting>
  <conditionalFormatting sqref="K32">
    <cfRule type="expression" dxfId="55" priority="49" stopIfTrue="1">
      <formula>W32=1</formula>
    </cfRule>
  </conditionalFormatting>
  <conditionalFormatting sqref="L32">
    <cfRule type="expression" dxfId="54" priority="48" stopIfTrue="1">
      <formula>X32=1</formula>
    </cfRule>
  </conditionalFormatting>
  <conditionalFormatting sqref="M32">
    <cfRule type="expression" dxfId="53" priority="47" stopIfTrue="1">
      <formula>Y32=1</formula>
    </cfRule>
  </conditionalFormatting>
  <conditionalFormatting sqref="N32">
    <cfRule type="expression" dxfId="52" priority="46" stopIfTrue="1">
      <formula>Z32=1</formula>
    </cfRule>
  </conditionalFormatting>
  <conditionalFormatting sqref="D55">
    <cfRule type="expression" dxfId="51" priority="45" stopIfTrue="1">
      <formula>P55=1</formula>
    </cfRule>
  </conditionalFormatting>
  <conditionalFormatting sqref="E55">
    <cfRule type="expression" dxfId="50" priority="44" stopIfTrue="1">
      <formula>Q55=1</formula>
    </cfRule>
  </conditionalFormatting>
  <conditionalFormatting sqref="F55">
    <cfRule type="expression" dxfId="49" priority="43" stopIfTrue="1">
      <formula>R55=1</formula>
    </cfRule>
  </conditionalFormatting>
  <conditionalFormatting sqref="G55">
    <cfRule type="expression" dxfId="48" priority="42" stopIfTrue="1">
      <formula>S55=1</formula>
    </cfRule>
  </conditionalFormatting>
  <conditionalFormatting sqref="H55">
    <cfRule type="expression" dxfId="47" priority="41" stopIfTrue="1">
      <formula>T55=1</formula>
    </cfRule>
  </conditionalFormatting>
  <conditionalFormatting sqref="I55">
    <cfRule type="expression" dxfId="46" priority="40" stopIfTrue="1">
      <formula>U55=1</formula>
    </cfRule>
  </conditionalFormatting>
  <conditionalFormatting sqref="J55">
    <cfRule type="expression" dxfId="45" priority="39" stopIfTrue="1">
      <formula>V55=1</formula>
    </cfRule>
  </conditionalFormatting>
  <conditionalFormatting sqref="K55">
    <cfRule type="expression" dxfId="44" priority="38" stopIfTrue="1">
      <formula>W55=1</formula>
    </cfRule>
  </conditionalFormatting>
  <conditionalFormatting sqref="L55">
    <cfRule type="expression" dxfId="43" priority="37" stopIfTrue="1">
      <formula>X55=1</formula>
    </cfRule>
  </conditionalFormatting>
  <conditionalFormatting sqref="M55">
    <cfRule type="expression" dxfId="42" priority="36" stopIfTrue="1">
      <formula>Y55=1</formula>
    </cfRule>
  </conditionalFormatting>
  <conditionalFormatting sqref="N55">
    <cfRule type="expression" dxfId="41" priority="35" stopIfTrue="1">
      <formula>Z55=1</formula>
    </cfRule>
  </conditionalFormatting>
  <conditionalFormatting sqref="D56">
    <cfRule type="expression" dxfId="40" priority="34" stopIfTrue="1">
      <formula>P56=1</formula>
    </cfRule>
  </conditionalFormatting>
  <conditionalFormatting sqref="E56">
    <cfRule type="expression" dxfId="39" priority="33" stopIfTrue="1">
      <formula>Q56=1</formula>
    </cfRule>
  </conditionalFormatting>
  <conditionalFormatting sqref="F56">
    <cfRule type="expression" dxfId="38" priority="32" stopIfTrue="1">
      <formula>R56=1</formula>
    </cfRule>
  </conditionalFormatting>
  <conditionalFormatting sqref="G56">
    <cfRule type="expression" dxfId="37" priority="31" stopIfTrue="1">
      <formula>S56=1</formula>
    </cfRule>
  </conditionalFormatting>
  <conditionalFormatting sqref="H56">
    <cfRule type="expression" dxfId="36" priority="30" stopIfTrue="1">
      <formula>T56=1</formula>
    </cfRule>
  </conditionalFormatting>
  <conditionalFormatting sqref="I56">
    <cfRule type="expression" dxfId="35" priority="29" stopIfTrue="1">
      <formula>U56=1</formula>
    </cfRule>
  </conditionalFormatting>
  <conditionalFormatting sqref="J56">
    <cfRule type="expression" dxfId="34" priority="28" stopIfTrue="1">
      <formula>V56=1</formula>
    </cfRule>
  </conditionalFormatting>
  <conditionalFormatting sqref="K56">
    <cfRule type="expression" dxfId="33" priority="27" stopIfTrue="1">
      <formula>W56=1</formula>
    </cfRule>
  </conditionalFormatting>
  <conditionalFormatting sqref="L56">
    <cfRule type="expression" dxfId="32" priority="26" stopIfTrue="1">
      <formula>X56=1</formula>
    </cfRule>
  </conditionalFormatting>
  <conditionalFormatting sqref="M56">
    <cfRule type="expression" dxfId="31" priority="25" stopIfTrue="1">
      <formula>Y56=1</formula>
    </cfRule>
  </conditionalFormatting>
  <conditionalFormatting sqref="N56">
    <cfRule type="expression" dxfId="30" priority="24" stopIfTrue="1">
      <formula>Z56=1</formula>
    </cfRule>
  </conditionalFormatting>
  <conditionalFormatting sqref="D57">
    <cfRule type="expression" dxfId="29" priority="23" stopIfTrue="1">
      <formula>P57=1</formula>
    </cfRule>
  </conditionalFormatting>
  <conditionalFormatting sqref="E57">
    <cfRule type="expression" dxfId="28" priority="22" stopIfTrue="1">
      <formula>Q57=1</formula>
    </cfRule>
  </conditionalFormatting>
  <conditionalFormatting sqref="F57">
    <cfRule type="expression" dxfId="27" priority="21" stopIfTrue="1">
      <formula>R57=1</formula>
    </cfRule>
  </conditionalFormatting>
  <conditionalFormatting sqref="G57">
    <cfRule type="expression" dxfId="26" priority="20" stopIfTrue="1">
      <formula>S57=1</formula>
    </cfRule>
  </conditionalFormatting>
  <conditionalFormatting sqref="H57">
    <cfRule type="expression" dxfId="25" priority="19" stopIfTrue="1">
      <formula>T57=1</formula>
    </cfRule>
  </conditionalFormatting>
  <conditionalFormatting sqref="I57">
    <cfRule type="expression" dxfId="24" priority="18" stopIfTrue="1">
      <formula>U57=1</formula>
    </cfRule>
  </conditionalFormatting>
  <conditionalFormatting sqref="J57">
    <cfRule type="expression" dxfId="23" priority="17" stopIfTrue="1">
      <formula>V57=1</formula>
    </cfRule>
  </conditionalFormatting>
  <conditionalFormatting sqref="K57">
    <cfRule type="expression" dxfId="22" priority="16" stopIfTrue="1">
      <formula>W57=1</formula>
    </cfRule>
  </conditionalFormatting>
  <conditionalFormatting sqref="L57">
    <cfRule type="expression" dxfId="21" priority="15" stopIfTrue="1">
      <formula>X57=1</formula>
    </cfRule>
  </conditionalFormatting>
  <conditionalFormatting sqref="M57">
    <cfRule type="expression" dxfId="20" priority="14" stopIfTrue="1">
      <formula>Y57=1</formula>
    </cfRule>
  </conditionalFormatting>
  <conditionalFormatting sqref="N57">
    <cfRule type="expression" dxfId="19" priority="13" stopIfTrue="1">
      <formula>Z57=1</formula>
    </cfRule>
  </conditionalFormatting>
  <conditionalFormatting sqref="D58">
    <cfRule type="expression" dxfId="18" priority="12" stopIfTrue="1">
      <formula>P58=1</formula>
    </cfRule>
  </conditionalFormatting>
  <conditionalFormatting sqref="E58">
    <cfRule type="expression" dxfId="17" priority="11" stopIfTrue="1">
      <formula>Q58=1</formula>
    </cfRule>
  </conditionalFormatting>
  <conditionalFormatting sqref="F58">
    <cfRule type="expression" dxfId="16" priority="10" stopIfTrue="1">
      <formula>R58=1</formula>
    </cfRule>
  </conditionalFormatting>
  <conditionalFormatting sqref="G58">
    <cfRule type="expression" dxfId="15" priority="9" stopIfTrue="1">
      <formula>S58=1</formula>
    </cfRule>
  </conditionalFormatting>
  <conditionalFormatting sqref="H58">
    <cfRule type="expression" dxfId="14" priority="8" stopIfTrue="1">
      <formula>T58=1</formula>
    </cfRule>
  </conditionalFormatting>
  <conditionalFormatting sqref="I58">
    <cfRule type="expression" dxfId="13" priority="7" stopIfTrue="1">
      <formula>U58=1</formula>
    </cfRule>
  </conditionalFormatting>
  <conditionalFormatting sqref="J58">
    <cfRule type="expression" dxfId="12" priority="6" stopIfTrue="1">
      <formula>V58=1</formula>
    </cfRule>
  </conditionalFormatting>
  <conditionalFormatting sqref="K58">
    <cfRule type="expression" dxfId="11" priority="5" stopIfTrue="1">
      <formula>W58=1</formula>
    </cfRule>
  </conditionalFormatting>
  <conditionalFormatting sqref="L58">
    <cfRule type="expression" dxfId="10" priority="4" stopIfTrue="1">
      <formula>X58=1</formula>
    </cfRule>
  </conditionalFormatting>
  <conditionalFormatting sqref="M58">
    <cfRule type="expression" dxfId="9" priority="3" stopIfTrue="1">
      <formula>Y58=1</formula>
    </cfRule>
  </conditionalFormatting>
  <conditionalFormatting sqref="N58">
    <cfRule type="expression" dxfId="8" priority="2" stopIfTrue="1">
      <formula>Z58=1</formula>
    </cfRule>
  </conditionalFormatting>
  <conditionalFormatting sqref="B3:B47 B50:B60">
    <cfRule type="cellIs" dxfId="7" priority="1" stopIfTrue="1" operator="equal">
      <formula>$AE$1</formula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8" tint="0.79998168889431442"/>
  </sheetPr>
  <dimension ref="A1:CB70"/>
  <sheetViews>
    <sheetView showZeros="0" zoomScaleNormal="100" workbookViewId="0">
      <pane xSplit="2" ySplit="2" topLeftCell="C3" activePane="bottomRight" state="frozen"/>
      <selection pane="topRight"/>
      <selection pane="bottomLeft"/>
      <selection pane="bottomRight"/>
    </sheetView>
  </sheetViews>
  <sheetFormatPr defaultColWidth="9.125" defaultRowHeight="14.25"/>
  <cols>
    <col min="1" max="1" width="3.75" style="52" bestFit="1" customWidth="1"/>
    <col min="2" max="2" width="31.625" style="52" bestFit="1" customWidth="1"/>
    <col min="3" max="14" width="7.375" style="52" customWidth="1"/>
    <col min="15" max="15" width="12.75" style="52" customWidth="1"/>
    <col min="16" max="16" width="7.375" style="463" customWidth="1"/>
    <col min="17" max="17" width="10.75" style="52" customWidth="1"/>
    <col min="18" max="18" width="4.375" style="52" customWidth="1"/>
    <col min="19" max="19" width="12.375" style="52" customWidth="1"/>
    <col min="20" max="20" width="17.375" style="52" customWidth="1"/>
    <col min="21" max="25" width="9.125" style="52"/>
    <col min="26" max="26" width="9.125" style="52" customWidth="1"/>
    <col min="27" max="29" width="9.125" style="52" hidden="1" customWidth="1"/>
    <col min="30" max="32" width="9.125" style="52" customWidth="1"/>
    <col min="33" max="79" width="9.125" style="52"/>
    <col min="80" max="80" width="9.125" style="52" hidden="1" customWidth="1"/>
    <col min="81" max="16384" width="9.125" style="52"/>
  </cols>
  <sheetData>
    <row r="1" spans="1:80" ht="16.5" customHeight="1" thickBot="1">
      <c r="A1" s="417"/>
      <c r="B1" s="418"/>
      <c r="C1" s="432"/>
      <c r="D1" s="432"/>
      <c r="E1" s="432"/>
      <c r="F1" s="432"/>
      <c r="G1" s="432"/>
      <c r="H1" s="432"/>
      <c r="I1" s="432"/>
      <c r="J1" s="432"/>
      <c r="K1" s="432"/>
      <c r="L1" s="432"/>
      <c r="M1" s="432"/>
      <c r="N1" s="432"/>
      <c r="O1" s="822" t="s">
        <v>444</v>
      </c>
      <c r="P1" s="464" t="s">
        <v>432</v>
      </c>
      <c r="R1" s="460"/>
      <c r="S1" s="1302"/>
      <c r="T1" s="1302"/>
      <c r="U1" s="86"/>
      <c r="V1" s="86"/>
      <c r="AB1" s="52" t="s">
        <v>44</v>
      </c>
      <c r="AC1" s="52" t="s">
        <v>45</v>
      </c>
    </row>
    <row r="2" spans="1:80" ht="21" customHeight="1" thickBot="1">
      <c r="A2" s="1284" t="s">
        <v>471</v>
      </c>
      <c r="B2" s="1311"/>
      <c r="C2" s="146" t="str">
        <f>'Month A'!M2</f>
        <v>Month</v>
      </c>
      <c r="D2" s="147" t="str">
        <f>B!M2</f>
        <v/>
      </c>
      <c r="E2" s="147" t="str">
        <f>'C'!M2</f>
        <v/>
      </c>
      <c r="F2" s="147" t="str">
        <f>D!M2</f>
        <v/>
      </c>
      <c r="G2" s="147" t="str">
        <f>E!M2</f>
        <v/>
      </c>
      <c r="H2" s="147" t="str">
        <f>F!M2</f>
        <v/>
      </c>
      <c r="I2" s="147" t="str">
        <f>G!M2</f>
        <v/>
      </c>
      <c r="J2" s="147" t="str">
        <f>H!M2</f>
        <v/>
      </c>
      <c r="K2" s="147" t="str">
        <f>I!M2</f>
        <v/>
      </c>
      <c r="L2" s="147" t="str">
        <f>J!M2</f>
        <v/>
      </c>
      <c r="M2" s="147" t="str">
        <f>K!M2</f>
        <v/>
      </c>
      <c r="N2" s="461" t="str">
        <f>L!M2</f>
        <v/>
      </c>
      <c r="O2" s="896" t="s">
        <v>445</v>
      </c>
      <c r="P2" s="465" t="s">
        <v>443</v>
      </c>
      <c r="R2" s="460"/>
      <c r="S2" s="1300"/>
      <c r="T2" s="1301"/>
      <c r="U2" s="86"/>
      <c r="V2" s="86"/>
      <c r="AB2" s="52" t="s">
        <v>42</v>
      </c>
      <c r="CB2" s="25" t="s">
        <v>432</v>
      </c>
    </row>
    <row r="3" spans="1:80">
      <c r="A3" s="1305" t="s">
        <v>151</v>
      </c>
      <c r="B3" s="115" t="str">
        <f>IF(AC3=$AB$1,IF(AB3=$AB$1,L!B7,$AB$2),$AB$2)</f>
        <v>Mortgage Payments</v>
      </c>
      <c r="C3" s="53">
        <f>'Month A'!D7</f>
        <v>0</v>
      </c>
      <c r="D3" s="53">
        <f>B!$D7</f>
        <v>0</v>
      </c>
      <c r="E3" s="53">
        <f>'C'!$D7</f>
        <v>0</v>
      </c>
      <c r="F3" s="53">
        <f>D!$D7</f>
        <v>0</v>
      </c>
      <c r="G3" s="53">
        <f>E!$D7</f>
        <v>0</v>
      </c>
      <c r="H3" s="53">
        <f>F!$D7</f>
        <v>0</v>
      </c>
      <c r="I3" s="53">
        <f>G!$D7</f>
        <v>0</v>
      </c>
      <c r="J3" s="53">
        <f>H!$D7</f>
        <v>0</v>
      </c>
      <c r="K3" s="53">
        <f>I!$D7</f>
        <v>0</v>
      </c>
      <c r="L3" s="53">
        <f>J!$D7</f>
        <v>0</v>
      </c>
      <c r="M3" s="53">
        <f>K!$D7</f>
        <v>0</v>
      </c>
      <c r="N3" s="54">
        <f>L!$D7</f>
        <v>0</v>
      </c>
      <c r="O3" s="422"/>
      <c r="P3" s="466" t="e">
        <f>AVERAGE(INDEX($C$2:$N$67,AA3,MATCH($P$1,$C$2:$N$2,0)):INDEX($C$2:$N$67,AA3,MATCH($P$2,$C$2:$N$2,0)))</f>
        <v>#N/A</v>
      </c>
      <c r="Q3" s="86"/>
      <c r="R3" s="86"/>
      <c r="S3" s="86"/>
      <c r="T3" s="86"/>
      <c r="U3" s="86"/>
      <c r="V3" s="86"/>
      <c r="AA3" s="52">
        <v>2</v>
      </c>
      <c r="AB3" s="52" t="str">
        <f>IF('Month A'!B7=B!B7,IF(B!B7='C'!B7,IF('C'!B7=D!B7,IF(D!B7=E!B7,IF(E!B7=F!B7,$AB$1,$AC$1),$AC$1),$AC$1),$AC$1),$AC$1)</f>
        <v>זהה</v>
      </c>
      <c r="AC3" s="52" t="str">
        <f>IF(F!B7=G!B7,IF(G!B7=H!B7,IF(H!B7=I!B7,IF(I!B7=J!B7,IF(J!B7=K!B7,IF(K!B7=L!B7,$AB$1,$AC$1),$AC$1),$AC$1),$AC$1),$AC$1),$AC$1)</f>
        <v>זהה</v>
      </c>
      <c r="CB3" s="25" t="s">
        <v>433</v>
      </c>
    </row>
    <row r="4" spans="1:80">
      <c r="A4" s="1306"/>
      <c r="B4" s="116" t="str">
        <f>IF(AC4=$AB$1,IF(AB4=$AB$1,L!B8,$AB$2),$AB$2)</f>
        <v>Mortgage Insurance</v>
      </c>
      <c r="C4" s="55">
        <f>'Month A'!D8</f>
        <v>0</v>
      </c>
      <c r="D4" s="55">
        <f>B!$D8</f>
        <v>0</v>
      </c>
      <c r="E4" s="55">
        <f>'C'!$D8</f>
        <v>0</v>
      </c>
      <c r="F4" s="55">
        <f>D!$D8</f>
        <v>0</v>
      </c>
      <c r="G4" s="55">
        <f>E!$D8</f>
        <v>0</v>
      </c>
      <c r="H4" s="55">
        <f>F!$D8</f>
        <v>0</v>
      </c>
      <c r="I4" s="55">
        <f>G!$D8</f>
        <v>0</v>
      </c>
      <c r="J4" s="55">
        <f>H!$D8</f>
        <v>0</v>
      </c>
      <c r="K4" s="55">
        <f>I!$D8</f>
        <v>0</v>
      </c>
      <c r="L4" s="55">
        <f>J!$D8</f>
        <v>0</v>
      </c>
      <c r="M4" s="55">
        <f>K!$D8</f>
        <v>0</v>
      </c>
      <c r="N4" s="56">
        <f>L!$D8</f>
        <v>0</v>
      </c>
      <c r="O4" s="86"/>
      <c r="P4" s="466" t="e">
        <f>AVERAGE(INDEX($C$2:$N$67,AA4,MATCH($P$1,$C$2:$N$2,0)):INDEX($C$2:$N$67,AA4,MATCH($P$2,$C$2:$N$2,0)))</f>
        <v>#N/A</v>
      </c>
      <c r="Q4" s="86"/>
      <c r="R4" s="86"/>
      <c r="S4" s="86"/>
      <c r="T4" s="86"/>
      <c r="U4" s="86"/>
      <c r="V4" s="86"/>
      <c r="AA4" s="52">
        <f>AA3+1</f>
        <v>3</v>
      </c>
      <c r="AB4" s="52" t="str">
        <f>IF('Month A'!B8=B!B8,IF(B!B8='C'!B8,IF('C'!B8=D!B8,IF(D!B8=E!B8,IF(E!B8=F!B8,$AB$1,$AC$1),$AC$1),$AC$1),$AC$1),$AC$1)</f>
        <v>זהה</v>
      </c>
      <c r="AC4" s="52" t="str">
        <f>IF(F!B8=G!B8,IF(G!B8=H!B8,IF(H!B8=I!B8,IF(I!B8=J!B8,IF(J!B8=K!B8,IF(K!B8=L!B8,$AB$1,$AC$1),$AC$1),$AC$1),$AC$1),$AC$1),$AC$1)</f>
        <v>זהה</v>
      </c>
      <c r="CB4" s="25" t="s">
        <v>434</v>
      </c>
    </row>
    <row r="5" spans="1:80">
      <c r="A5" s="1306"/>
      <c r="B5" s="116" t="str">
        <f>IF(AC5=$AB$1,IF(AB5=$AB$1,L!B9,$AB$2),$AB$2)</f>
        <v>Rent</v>
      </c>
      <c r="C5" s="55">
        <f>'Month A'!D9</f>
        <v>0</v>
      </c>
      <c r="D5" s="55">
        <f>B!$D9</f>
        <v>0</v>
      </c>
      <c r="E5" s="55">
        <f>'C'!$D9</f>
        <v>0</v>
      </c>
      <c r="F5" s="55">
        <f>D!$D9</f>
        <v>0</v>
      </c>
      <c r="G5" s="55">
        <f>E!$D9</f>
        <v>0</v>
      </c>
      <c r="H5" s="55">
        <f>F!$D9</f>
        <v>0</v>
      </c>
      <c r="I5" s="55">
        <f>G!$D9</f>
        <v>0</v>
      </c>
      <c r="J5" s="55">
        <f>H!$D9</f>
        <v>0</v>
      </c>
      <c r="K5" s="55">
        <f>I!$D9</f>
        <v>0</v>
      </c>
      <c r="L5" s="55">
        <f>J!$D9</f>
        <v>0</v>
      </c>
      <c r="M5" s="55">
        <f>K!$D9</f>
        <v>0</v>
      </c>
      <c r="N5" s="56">
        <f>L!$D9</f>
        <v>0</v>
      </c>
      <c r="O5" s="86"/>
      <c r="P5" s="466" t="e">
        <f>AVERAGE(INDEX($C$2:$N$67,AA5,MATCH($P$1,$C$2:$N$2,0)):INDEX($C$2:$N$67,AA5,MATCH($P$2,$C$2:$N$2,0)))</f>
        <v>#N/A</v>
      </c>
      <c r="Q5" s="86"/>
      <c r="R5" s="86"/>
      <c r="S5" s="86"/>
      <c r="T5" s="86"/>
      <c r="U5" s="86"/>
      <c r="V5" s="86"/>
      <c r="AA5" s="52">
        <f t="shared" ref="AA5:AA67" si="0">AA4+1</f>
        <v>4</v>
      </c>
      <c r="AB5" s="52" t="str">
        <f>IF('Month A'!B9=B!B9,IF(B!B9='C'!B9,IF('C'!B9=D!B9,IF(D!B9=E!B9,IF(E!B9=F!B9,$AB$1,$AC$1),$AC$1),$AC$1),$AC$1),$AC$1)</f>
        <v>זהה</v>
      </c>
      <c r="AC5" s="52" t="str">
        <f>IF(F!B9=G!B9,IF(G!B9=H!B9,IF(H!B9=I!B9,IF(I!B9=J!B9,IF(J!B9=K!B9,IF(K!B9=L!B9,$AB$1,$AC$1),$AC$1),$AC$1),$AC$1),$AC$1),$AC$1)</f>
        <v>זהה</v>
      </c>
      <c r="CB5" s="25" t="s">
        <v>435</v>
      </c>
    </row>
    <row r="6" spans="1:80">
      <c r="A6" s="1306"/>
      <c r="B6" s="116" t="str">
        <f>IF(AC6=$AB$1,IF(AB6=$AB$1,L!B10,$AB$2),$AB$2)</f>
        <v>Town Taxes / Maintenance Fees</v>
      </c>
      <c r="C6" s="55">
        <f>'Month A'!D10</f>
        <v>0</v>
      </c>
      <c r="D6" s="55">
        <f>B!$D10</f>
        <v>0</v>
      </c>
      <c r="E6" s="55">
        <f>'C'!$D10</f>
        <v>0</v>
      </c>
      <c r="F6" s="55">
        <f>D!$D10</f>
        <v>0</v>
      </c>
      <c r="G6" s="55">
        <f>E!$D10</f>
        <v>0</v>
      </c>
      <c r="H6" s="55">
        <f>F!$D10</f>
        <v>0</v>
      </c>
      <c r="I6" s="55">
        <f>G!$D10</f>
        <v>0</v>
      </c>
      <c r="J6" s="55">
        <f>H!$D10</f>
        <v>0</v>
      </c>
      <c r="K6" s="55">
        <f>I!$D10</f>
        <v>0</v>
      </c>
      <c r="L6" s="55">
        <f>J!$D10</f>
        <v>0</v>
      </c>
      <c r="M6" s="55">
        <f>K!$D10</f>
        <v>0</v>
      </c>
      <c r="N6" s="56">
        <f>L!$D10</f>
        <v>0</v>
      </c>
      <c r="O6" s="86"/>
      <c r="P6" s="466" t="e">
        <f>AVERAGE(INDEX($C$2:$N$67,AA6,MATCH($P$1,$C$2:$N$2,0)):INDEX($C$2:$N$67,AA6,MATCH($P$2,$C$2:$N$2,0)))</f>
        <v>#N/A</v>
      </c>
      <c r="Q6" s="86"/>
      <c r="R6" s="86"/>
      <c r="S6" s="86"/>
      <c r="T6" s="86"/>
      <c r="U6" s="86"/>
      <c r="V6" s="86"/>
      <c r="AA6" s="52">
        <f t="shared" si="0"/>
        <v>5</v>
      </c>
      <c r="AB6" s="52" t="str">
        <f>IF('Month A'!B10=B!B10,IF(B!B10='C'!B10,IF('C'!B10=D!B10,IF(D!B10=E!B10,IF(E!B10=F!B10,$AB$1,$AC$1),$AC$1),$AC$1),$AC$1),$AC$1)</f>
        <v>זהה</v>
      </c>
      <c r="AC6" s="52" t="str">
        <f>IF(F!B10=G!B10,IF(G!B10=H!B10,IF(H!B10=I!B10,IF(I!B10=J!B10,IF(J!B10=K!B10,IF(K!B10=L!B10,$AB$1,$AC$1),$AC$1),$AC$1),$AC$1),$AC$1),$AC$1)</f>
        <v>זהה</v>
      </c>
      <c r="CB6" s="25" t="s">
        <v>436</v>
      </c>
    </row>
    <row r="7" spans="1:80">
      <c r="A7" s="1306"/>
      <c r="B7" s="116" t="str">
        <f>IF(AC7=$AB$1,IF(AB7=$AB$1,L!B11,$AB$2),$AB$2)</f>
        <v xml:space="preserve">Insurance (excl. car) </v>
      </c>
      <c r="C7" s="55">
        <f>'Month A'!D11</f>
        <v>0</v>
      </c>
      <c r="D7" s="55">
        <f>B!$D11</f>
        <v>0</v>
      </c>
      <c r="E7" s="55">
        <f>'C'!$D11</f>
        <v>0</v>
      </c>
      <c r="F7" s="55">
        <f>D!$D11</f>
        <v>0</v>
      </c>
      <c r="G7" s="55">
        <f>E!$D11</f>
        <v>0</v>
      </c>
      <c r="H7" s="55">
        <f>F!$D11</f>
        <v>0</v>
      </c>
      <c r="I7" s="55">
        <f>G!$D11</f>
        <v>0</v>
      </c>
      <c r="J7" s="55">
        <f>H!$D11</f>
        <v>0</v>
      </c>
      <c r="K7" s="55">
        <f>I!$D11</f>
        <v>0</v>
      </c>
      <c r="L7" s="55">
        <f>J!$D11</f>
        <v>0</v>
      </c>
      <c r="M7" s="55">
        <f>K!$D11</f>
        <v>0</v>
      </c>
      <c r="N7" s="56">
        <f>L!$D11</f>
        <v>0</v>
      </c>
      <c r="O7" s="86"/>
      <c r="P7" s="466" t="e">
        <f>AVERAGE(INDEX($C$2:$N$67,AA7,MATCH($P$1,$C$2:$N$2,0)):INDEX($C$2:$N$67,AA7,MATCH($P$2,$C$2:$N$2,0)))</f>
        <v>#N/A</v>
      </c>
      <c r="Q7" s="86"/>
      <c r="R7" s="86"/>
      <c r="S7" s="86"/>
      <c r="T7" s="86"/>
      <c r="U7" s="86"/>
      <c r="V7" s="86"/>
      <c r="AA7" s="52">
        <f t="shared" si="0"/>
        <v>6</v>
      </c>
      <c r="AB7" s="52" t="str">
        <f>IF('Month A'!B11=B!B11,IF(B!B11='C'!B11,IF('C'!B11=D!B11,IF(D!B11=E!B11,IF(E!B11=F!B11,$AB$1,$AC$1),$AC$1),$AC$1),$AC$1),$AC$1)</f>
        <v>זהה</v>
      </c>
      <c r="AC7" s="52" t="str">
        <f>IF(F!B11=G!B11,IF(G!B11=H!B11,IF(H!B11=I!B11,IF(I!B11=J!B11,IF(J!B11=K!B11,IF(K!B11=L!B11,$AB$1,$AC$1),$AC$1),$AC$1),$AC$1),$AC$1),$AC$1)</f>
        <v>זהה</v>
      </c>
      <c r="CB7" s="25" t="s">
        <v>437</v>
      </c>
    </row>
    <row r="8" spans="1:80">
      <c r="A8" s="1306"/>
      <c r="B8" s="116" t="str">
        <f>IF(AC8=$AB$1,IF(AB8=$AB$1,L!B12,$AB$2),$AB$2)</f>
        <v>Bank Savings Program</v>
      </c>
      <c r="C8" s="55">
        <f>'Month A'!D12</f>
        <v>0</v>
      </c>
      <c r="D8" s="55">
        <f>B!$D12</f>
        <v>0</v>
      </c>
      <c r="E8" s="55">
        <f>'C'!$D12</f>
        <v>0</v>
      </c>
      <c r="F8" s="55">
        <f>D!$D12</f>
        <v>0</v>
      </c>
      <c r="G8" s="55">
        <f>E!$D12</f>
        <v>0</v>
      </c>
      <c r="H8" s="55">
        <f>F!$D12</f>
        <v>0</v>
      </c>
      <c r="I8" s="55">
        <f>G!$D12</f>
        <v>0</v>
      </c>
      <c r="J8" s="55">
        <f>H!$D12</f>
        <v>0</v>
      </c>
      <c r="K8" s="55">
        <f>I!$D12</f>
        <v>0</v>
      </c>
      <c r="L8" s="55">
        <f>J!$D12</f>
        <v>0</v>
      </c>
      <c r="M8" s="55">
        <f>K!$D12</f>
        <v>0</v>
      </c>
      <c r="N8" s="56">
        <f>L!$D12</f>
        <v>0</v>
      </c>
      <c r="O8" s="86"/>
      <c r="P8" s="466" t="e">
        <f>AVERAGE(INDEX($C$2:$N$67,AA8,MATCH($P$1,$C$2:$N$2,0)):INDEX($C$2:$N$67,AA8,MATCH($P$2,$C$2:$N$2,0)))</f>
        <v>#N/A</v>
      </c>
      <c r="Q8" s="86"/>
      <c r="R8" s="86"/>
      <c r="S8" s="86"/>
      <c r="T8" s="86"/>
      <c r="U8" s="86"/>
      <c r="V8" s="86"/>
      <c r="AA8" s="52">
        <f t="shared" si="0"/>
        <v>7</v>
      </c>
      <c r="AB8" s="52" t="str">
        <f>IF('Month A'!B12=B!B12,IF(B!B12='C'!B12,IF('C'!B12=D!B12,IF(D!B12=E!B12,IF(E!B12=F!B12,$AB$1,$AC$1),$AC$1),$AC$1),$AC$1),$AC$1)</f>
        <v>זהה</v>
      </c>
      <c r="AC8" s="52" t="str">
        <f>IF(F!B12=G!B12,IF(G!B12=H!B12,IF(H!B12=I!B12,IF(I!B12=J!B12,IF(J!B12=K!B12,IF(K!B12=L!B12,$AB$1,$AC$1),$AC$1),$AC$1),$AC$1),$AC$1),$AC$1)</f>
        <v>זהה</v>
      </c>
      <c r="CB8" s="25" t="s">
        <v>438</v>
      </c>
    </row>
    <row r="9" spans="1:80">
      <c r="A9" s="1306"/>
      <c r="B9" s="116" t="str">
        <f>IF(AC9=$AB$1,IF(AB9=$AB$1,L!B13,$AB$2),$AB$2)</f>
        <v>Subscriptions</v>
      </c>
      <c r="C9" s="55">
        <f>'Month A'!D13</f>
        <v>0</v>
      </c>
      <c r="D9" s="55">
        <f>B!$D13</f>
        <v>0</v>
      </c>
      <c r="E9" s="55">
        <f>'C'!$D13</f>
        <v>0</v>
      </c>
      <c r="F9" s="55">
        <f>D!$D13</f>
        <v>0</v>
      </c>
      <c r="G9" s="55">
        <f>E!$D13</f>
        <v>0</v>
      </c>
      <c r="H9" s="55">
        <f>F!$D13</f>
        <v>0</v>
      </c>
      <c r="I9" s="55">
        <f>G!$D13</f>
        <v>0</v>
      </c>
      <c r="J9" s="55">
        <f>H!$D13</f>
        <v>0</v>
      </c>
      <c r="K9" s="55">
        <f>I!$D13</f>
        <v>0</v>
      </c>
      <c r="L9" s="55">
        <f>J!$D13</f>
        <v>0</v>
      </c>
      <c r="M9" s="55">
        <f>K!$D13</f>
        <v>0</v>
      </c>
      <c r="N9" s="56">
        <f>L!$D13</f>
        <v>0</v>
      </c>
      <c r="O9" s="86"/>
      <c r="P9" s="466" t="e">
        <f>AVERAGE(INDEX($C$2:$N$67,AA9,MATCH($P$1,$C$2:$N$2,0)):INDEX($C$2:$N$67,AA9,MATCH($P$2,$C$2:$N$2,0)))</f>
        <v>#N/A</v>
      </c>
      <c r="Q9" s="86"/>
      <c r="R9" s="86"/>
      <c r="S9" s="86"/>
      <c r="T9" s="86"/>
      <c r="U9" s="86"/>
      <c r="V9" s="86"/>
      <c r="AA9" s="52">
        <f t="shared" si="0"/>
        <v>8</v>
      </c>
      <c r="AB9" s="52" t="str">
        <f>IF('Month A'!B13=B!B13,IF(B!B13='C'!B13,IF('C'!B13=D!B13,IF(D!B13=E!B13,IF(E!B13=F!B13,$AB$1,$AC$1),$AC$1),$AC$1),$AC$1),$AC$1)</f>
        <v>זהה</v>
      </c>
      <c r="AC9" s="52" t="str">
        <f>IF(F!B13=G!B13,IF(G!B13=H!B13,IF(H!B13=I!B13,IF(I!B13=J!B13,IF(J!B13=K!B13,IF(K!B13=L!B13,$AB$1,$AC$1),$AC$1),$AC$1),$AC$1),$AC$1),$AC$1)</f>
        <v>זהה</v>
      </c>
      <c r="CB9" s="25" t="s">
        <v>439</v>
      </c>
    </row>
    <row r="10" spans="1:80">
      <c r="A10" s="1306"/>
      <c r="B10" s="116" t="str">
        <f>IF(AC10=$AB$1,IF(AB10=$AB$1,L!B14,$AB$2),$AB$2)</f>
        <v>Donations</v>
      </c>
      <c r="C10" s="55">
        <f>'Month A'!D14</f>
        <v>0</v>
      </c>
      <c r="D10" s="55">
        <f>B!$D14</f>
        <v>0</v>
      </c>
      <c r="E10" s="55">
        <f>'C'!$D14</f>
        <v>0</v>
      </c>
      <c r="F10" s="55">
        <f>D!$D14</f>
        <v>0</v>
      </c>
      <c r="G10" s="55">
        <f>E!$D14</f>
        <v>0</v>
      </c>
      <c r="H10" s="55">
        <f>F!$D14</f>
        <v>0</v>
      </c>
      <c r="I10" s="55">
        <f>G!$D14</f>
        <v>0</v>
      </c>
      <c r="J10" s="55">
        <f>H!$D14</f>
        <v>0</v>
      </c>
      <c r="K10" s="55">
        <f>I!$D14</f>
        <v>0</v>
      </c>
      <c r="L10" s="55">
        <f>J!$D14</f>
        <v>0</v>
      </c>
      <c r="M10" s="55">
        <f>K!$D14</f>
        <v>0</v>
      </c>
      <c r="N10" s="56">
        <f>L!$D14</f>
        <v>0</v>
      </c>
      <c r="O10" s="86"/>
      <c r="P10" s="466" t="e">
        <f>AVERAGE(INDEX($C$2:$N$67,AA10,MATCH($P$1,$C$2:$N$2,0)):INDEX($C$2:$N$67,AA10,MATCH($P$2,$C$2:$N$2,0)))</f>
        <v>#N/A</v>
      </c>
      <c r="Q10" s="86"/>
      <c r="R10" s="86"/>
      <c r="S10" s="86"/>
      <c r="T10" s="86"/>
      <c r="U10" s="86"/>
      <c r="V10" s="86"/>
      <c r="AA10" s="52">
        <f t="shared" si="0"/>
        <v>9</v>
      </c>
      <c r="AB10" s="52" t="str">
        <f>IF('Month A'!B14=B!B14,IF(B!B14='C'!B14,IF('C'!B14=D!B14,IF(D!B14=E!B14,IF(E!B14=F!B14,$AB$1,$AC$1),$AC$1),$AC$1),$AC$1),$AC$1)</f>
        <v>זהה</v>
      </c>
      <c r="AC10" s="52" t="str">
        <f>IF(F!B14=G!B14,IF(G!B14=H!B14,IF(H!B14=I!B14,IF(I!B14=J!B14,IF(J!B14=K!B14,IF(K!B14=L!B14,$AB$1,$AC$1),$AC$1),$AC$1),$AC$1),$AC$1),$AC$1)</f>
        <v>זהה</v>
      </c>
      <c r="CB10" s="25" t="s">
        <v>440</v>
      </c>
    </row>
    <row r="11" spans="1:80">
      <c r="A11" s="1306"/>
      <c r="B11" s="116">
        <f>IF(AC11=$AB$1,IF(AB11=$AB$1,L!B15,$AB$2),$AB$2)</f>
        <v>0</v>
      </c>
      <c r="C11" s="55">
        <f>'Month A'!D15</f>
        <v>0</v>
      </c>
      <c r="D11" s="55">
        <f>B!$D15</f>
        <v>0</v>
      </c>
      <c r="E11" s="55">
        <f>'C'!$D15</f>
        <v>0</v>
      </c>
      <c r="F11" s="55">
        <f>D!$D15</f>
        <v>0</v>
      </c>
      <c r="G11" s="55">
        <f>E!$D15</f>
        <v>0</v>
      </c>
      <c r="H11" s="55">
        <f>F!$D15</f>
        <v>0</v>
      </c>
      <c r="I11" s="55">
        <f>G!$D15</f>
        <v>0</v>
      </c>
      <c r="J11" s="55">
        <f>H!$D15</f>
        <v>0</v>
      </c>
      <c r="K11" s="55">
        <f>I!$D15</f>
        <v>0</v>
      </c>
      <c r="L11" s="55">
        <f>J!$D15</f>
        <v>0</v>
      </c>
      <c r="M11" s="55">
        <f>K!$D15</f>
        <v>0</v>
      </c>
      <c r="N11" s="56">
        <f>L!$D15</f>
        <v>0</v>
      </c>
      <c r="O11" s="86"/>
      <c r="P11" s="466" t="e">
        <f>AVERAGE(INDEX($C$2:$N$67,AA11,MATCH($P$1,$C$2:$N$2,0)):INDEX($C$2:$N$67,AA11,MATCH($P$2,$C$2:$N$2,0)))</f>
        <v>#N/A</v>
      </c>
      <c r="Q11" s="86"/>
      <c r="R11" s="86"/>
      <c r="S11" s="86"/>
      <c r="T11" s="86"/>
      <c r="U11" s="86"/>
      <c r="V11" s="86"/>
      <c r="AA11" s="52">
        <f t="shared" si="0"/>
        <v>10</v>
      </c>
      <c r="AB11" s="52" t="str">
        <f>IF('Month A'!B15=B!B15,IF(B!B15='C'!B15,IF('C'!B15=D!B15,IF(D!B15=E!B15,IF(E!B15=F!B15,$AB$1,$AC$1),$AC$1),$AC$1),$AC$1),$AC$1)</f>
        <v>זהה</v>
      </c>
      <c r="AC11" s="52" t="str">
        <f>IF(F!B15=G!B15,IF(G!B15=H!B15,IF(H!B15=I!B15,IF(I!B15=J!B15,IF(J!B15=K!B15,IF(K!B15=L!B15,$AB$1,$AC$1),$AC$1),$AC$1),$AC$1),$AC$1),$AC$1)</f>
        <v>זהה</v>
      </c>
      <c r="CB11" s="25" t="s">
        <v>441</v>
      </c>
    </row>
    <row r="12" spans="1:80">
      <c r="A12" s="1306"/>
      <c r="B12" s="116">
        <f>IF(AC12=$AB$1,IF(AB12=$AB$1,L!B16,$AB$2),$AB$2)</f>
        <v>0</v>
      </c>
      <c r="C12" s="55">
        <f>'Month A'!D16</f>
        <v>0</v>
      </c>
      <c r="D12" s="55">
        <f>B!$D16</f>
        <v>0</v>
      </c>
      <c r="E12" s="55">
        <f>'C'!$D16</f>
        <v>0</v>
      </c>
      <c r="F12" s="55">
        <f>D!$D16</f>
        <v>0</v>
      </c>
      <c r="G12" s="55">
        <f>E!$D16</f>
        <v>0</v>
      </c>
      <c r="H12" s="55">
        <f>F!$D16</f>
        <v>0</v>
      </c>
      <c r="I12" s="55">
        <f>G!$D16</f>
        <v>0</v>
      </c>
      <c r="J12" s="55">
        <f>H!$D16</f>
        <v>0</v>
      </c>
      <c r="K12" s="55">
        <f>I!$D16</f>
        <v>0</v>
      </c>
      <c r="L12" s="55">
        <f>J!$D16</f>
        <v>0</v>
      </c>
      <c r="M12" s="55">
        <f>K!$D16</f>
        <v>0</v>
      </c>
      <c r="N12" s="56">
        <f>L!$D16</f>
        <v>0</v>
      </c>
      <c r="O12" s="86"/>
      <c r="P12" s="466" t="e">
        <f>AVERAGE(INDEX($C$2:$N$67,AA12,MATCH($P$1,$C$2:$N$2,0)):INDEX($C$2:$N$67,AA12,MATCH($P$2,$C$2:$N$2,0)))</f>
        <v>#N/A</v>
      </c>
      <c r="Q12" s="86"/>
      <c r="R12" s="86"/>
      <c r="S12" s="86"/>
      <c r="T12" s="86"/>
      <c r="U12" s="86"/>
      <c r="V12" s="86"/>
      <c r="AA12" s="52">
        <f t="shared" si="0"/>
        <v>11</v>
      </c>
      <c r="AB12" s="52" t="str">
        <f>IF('Month A'!B16=B!B16,IF(B!B16='C'!B16,IF('C'!B16=D!B16,IF(D!B16=E!B16,IF(E!B16=F!B16,$AB$1,$AC$1),$AC$1),$AC$1),$AC$1),$AC$1)</f>
        <v>זהה</v>
      </c>
      <c r="AC12" s="52" t="str">
        <f>IF(F!B16=G!B16,IF(G!B16=H!B16,IF(H!B16=I!B16,IF(I!B16=J!B16,IF(J!B16=K!B16,IF(K!B16=L!B16,$AB$1,$AC$1),$AC$1),$AC$1),$AC$1),$AC$1),$AC$1)</f>
        <v>זהה</v>
      </c>
      <c r="CB12" s="25" t="s">
        <v>442</v>
      </c>
    </row>
    <row r="13" spans="1:80" ht="15" thickBot="1">
      <c r="A13" s="1307"/>
      <c r="B13" s="117">
        <f>IF(AC13=$AB$1,IF(AB13=$AB$1,L!B17,$AB$2),$AB$2)</f>
        <v>0</v>
      </c>
      <c r="C13" s="57">
        <f>'Month A'!D17</f>
        <v>0</v>
      </c>
      <c r="D13" s="57">
        <f>B!$D17</f>
        <v>0</v>
      </c>
      <c r="E13" s="57">
        <f>'C'!$D17</f>
        <v>0</v>
      </c>
      <c r="F13" s="57">
        <f>D!$D17</f>
        <v>0</v>
      </c>
      <c r="G13" s="57">
        <f>E!$D17</f>
        <v>0</v>
      </c>
      <c r="H13" s="57">
        <f>F!$D17</f>
        <v>0</v>
      </c>
      <c r="I13" s="57">
        <f>G!$D17</f>
        <v>0</v>
      </c>
      <c r="J13" s="57">
        <f>H!$D17</f>
        <v>0</v>
      </c>
      <c r="K13" s="57">
        <f>I!$D17</f>
        <v>0</v>
      </c>
      <c r="L13" s="57">
        <f>J!$D17</f>
        <v>0</v>
      </c>
      <c r="M13" s="57">
        <f>K!$D17</f>
        <v>0</v>
      </c>
      <c r="N13" s="58">
        <f>L!$D17</f>
        <v>0</v>
      </c>
      <c r="O13" s="86"/>
      <c r="P13" s="467" t="e">
        <f>AVERAGE(INDEX($C$2:$N$67,AA13,MATCH($P$1,$C$2:$N$2,0)):INDEX($C$2:$N$67,AA13,MATCH($P$2,$C$2:$N$2,0)))</f>
        <v>#N/A</v>
      </c>
      <c r="Q13" s="86"/>
      <c r="R13" s="86"/>
      <c r="S13" s="86"/>
      <c r="T13" s="86"/>
      <c r="U13" s="86"/>
      <c r="V13" s="86"/>
      <c r="AA13" s="52">
        <f t="shared" si="0"/>
        <v>12</v>
      </c>
      <c r="AB13" s="52" t="str">
        <f>IF('Month A'!B17=B!B17,IF(B!B17='C'!B17,IF('C'!B17=D!B17,IF(D!B17=E!B17,IF(E!B17=F!B17,$AB$1,$AC$1),$AC$1),$AC$1),$AC$1),$AC$1)</f>
        <v>זהה</v>
      </c>
      <c r="AC13" s="52" t="str">
        <f>IF(F!B17=G!B17,IF(G!B17=H!B17,IF(H!B17=I!B17,IF(I!B17=J!B17,IF(J!B17=K!B17,IF(K!B17=L!B17,$AB$1,$AC$1),$AC$1),$AC$1),$AC$1),$AC$1),$AC$1)</f>
        <v>זהה</v>
      </c>
      <c r="CB13" s="25" t="s">
        <v>443</v>
      </c>
    </row>
    <row r="14" spans="1:80" ht="15" customHeight="1">
      <c r="A14" s="1312" t="s">
        <v>422</v>
      </c>
      <c r="B14" s="141" t="str">
        <f>IF(AC14=$AB$1,IF(AB14=$AB$1,L!Y23,$AB$2),$AB$2)</f>
        <v>Municipal Taxes</v>
      </c>
      <c r="C14" s="53">
        <f>'Month A'!AA23</f>
        <v>0</v>
      </c>
      <c r="D14" s="53">
        <f>B!$AA23</f>
        <v>0</v>
      </c>
      <c r="E14" s="53">
        <f>'C'!$AA23</f>
        <v>0</v>
      </c>
      <c r="F14" s="53">
        <f>D!$AA23</f>
        <v>0</v>
      </c>
      <c r="G14" s="53">
        <f>E!$AA23</f>
        <v>0</v>
      </c>
      <c r="H14" s="53">
        <f>F!$AA23</f>
        <v>0</v>
      </c>
      <c r="I14" s="53">
        <f>G!$AA23</f>
        <v>0</v>
      </c>
      <c r="J14" s="53">
        <f>H!$AA23</f>
        <v>0</v>
      </c>
      <c r="K14" s="53">
        <f>I!$AA23</f>
        <v>0</v>
      </c>
      <c r="L14" s="53">
        <f>J!$AA23</f>
        <v>0</v>
      </c>
      <c r="M14" s="53">
        <f>K!$AA23</f>
        <v>0</v>
      </c>
      <c r="N14" s="54">
        <f>L!$AA23</f>
        <v>0</v>
      </c>
      <c r="O14" s="86"/>
      <c r="P14" s="468" t="e">
        <f>AVERAGE(INDEX($C$2:$N$67,AA14,MATCH($P$1,$C$2:$N$2,0)):INDEX($C$2:$N$67,AA14,MATCH($P$2,$C$2:$N$2,0)))</f>
        <v>#N/A</v>
      </c>
      <c r="Q14" s="86"/>
      <c r="R14" s="86"/>
      <c r="S14" s="86"/>
      <c r="T14" s="86"/>
      <c r="U14" s="86"/>
      <c r="V14" s="86"/>
      <c r="AA14" s="52">
        <f t="shared" si="0"/>
        <v>13</v>
      </c>
      <c r="AB14" s="52" t="str">
        <f>IF('Month A'!Y23=B!Y23,IF(B!Y23='C'!Y23,IF('C'!Y23=D!Y23,IF(D!Y23=E!Y23,IF(E!Y23=F!Y23,$AB$1,$AC$1),$AC$1),$AC$1),$AC$1),$AC$1)</f>
        <v>זהה</v>
      </c>
      <c r="AC14" s="52" t="str">
        <f>IF(F!Y23=G!Y23,IF(G!Y23=H!Y23,IF(H!Y23=I!Y23,IF(I!Y23=J!Y23,IF(J!Y23=K!Y23,IF(K!Y23=L!Y23,$AB$1,$AC$1),$AC$1),$AC$1),$AC$1),$AC$1),$AC$1)</f>
        <v>זהה</v>
      </c>
    </row>
    <row r="15" spans="1:80">
      <c r="A15" s="1293"/>
      <c r="B15" s="142" t="str">
        <f>IF(AC15=$AB$1,IF(AB15=$AB$1,L!Y24,$AB$2),$AB$2)</f>
        <v>Water and Sewage</v>
      </c>
      <c r="C15" s="55">
        <f>'Month A'!AA24</f>
        <v>0</v>
      </c>
      <c r="D15" s="55">
        <f>B!$AA24</f>
        <v>0</v>
      </c>
      <c r="E15" s="55">
        <f>'C'!$AA24</f>
        <v>0</v>
      </c>
      <c r="F15" s="55">
        <f>D!$AA24</f>
        <v>0</v>
      </c>
      <c r="G15" s="55">
        <f>E!$AA24</f>
        <v>0</v>
      </c>
      <c r="H15" s="55">
        <f>F!$AA24</f>
        <v>0</v>
      </c>
      <c r="I15" s="55">
        <f>G!$AA24</f>
        <v>0</v>
      </c>
      <c r="J15" s="55">
        <f>H!$AA24</f>
        <v>0</v>
      </c>
      <c r="K15" s="55">
        <f>I!$AA24</f>
        <v>0</v>
      </c>
      <c r="L15" s="55">
        <f>J!$AA24</f>
        <v>0</v>
      </c>
      <c r="M15" s="55">
        <f>K!$AA24</f>
        <v>0</v>
      </c>
      <c r="N15" s="56">
        <f>L!$AA24</f>
        <v>0</v>
      </c>
      <c r="O15" s="86"/>
      <c r="P15" s="466" t="e">
        <f>AVERAGE(INDEX($C$2:$N$67,AA15,MATCH($P$1,$C$2:$N$2,0)):INDEX($C$2:$N$67,AA15,MATCH($P$2,$C$2:$N$2,0)))</f>
        <v>#N/A</v>
      </c>
      <c r="Q15" s="86"/>
      <c r="R15" s="86"/>
      <c r="S15" s="86"/>
      <c r="T15" s="86"/>
      <c r="U15" s="86"/>
      <c r="V15" s="86"/>
      <c r="AA15" s="52">
        <f t="shared" si="0"/>
        <v>14</v>
      </c>
      <c r="AB15" s="52" t="str">
        <f>IF('Month A'!Y24=B!Y24,IF(B!Y24='C'!Y24,IF('C'!Y24=D!Y24,IF(D!Y24=E!Y24,IF(E!Y24=F!Y24,$AB$1,$AC$1),$AC$1),$AC$1),$AC$1),$AC$1)</f>
        <v>זהה</v>
      </c>
      <c r="AC15" s="52" t="str">
        <f>IF(F!Y24=G!Y24,IF(G!Y24=H!Y24,IF(H!Y24=I!Y24,IF(I!Y24=J!Y24,IF(J!Y24=K!Y24,IF(K!Y24=L!Y24,$AB$1,$AC$1),$AC$1),$AC$1),$AC$1),$AC$1),$AC$1)</f>
        <v>זהה</v>
      </c>
    </row>
    <row r="16" spans="1:80">
      <c r="A16" s="1293"/>
      <c r="B16" s="142" t="str">
        <f>IF(AC16=$AB$1,IF(AB16=$AB$1,L!Y25,$AB$2),$AB$2)</f>
        <v>Electricity</v>
      </c>
      <c r="C16" s="55">
        <f>'Month A'!AA25</f>
        <v>0</v>
      </c>
      <c r="D16" s="55">
        <f>B!$AA25</f>
        <v>0</v>
      </c>
      <c r="E16" s="55">
        <f>'C'!$AA25</f>
        <v>0</v>
      </c>
      <c r="F16" s="55">
        <f>D!$AA25</f>
        <v>0</v>
      </c>
      <c r="G16" s="55">
        <f>E!$AA25</f>
        <v>0</v>
      </c>
      <c r="H16" s="55">
        <f>F!$AA25</f>
        <v>0</v>
      </c>
      <c r="I16" s="55">
        <f>G!$AA25</f>
        <v>0</v>
      </c>
      <c r="J16" s="55">
        <f>H!$AA25</f>
        <v>0</v>
      </c>
      <c r="K16" s="55">
        <f>I!$AA25</f>
        <v>0</v>
      </c>
      <c r="L16" s="55">
        <f>J!$AA25</f>
        <v>0</v>
      </c>
      <c r="M16" s="55">
        <f>K!$AA25</f>
        <v>0</v>
      </c>
      <c r="N16" s="56">
        <f>L!$AA25</f>
        <v>0</v>
      </c>
      <c r="O16" s="86"/>
      <c r="P16" s="466" t="e">
        <f>AVERAGE(INDEX($C$2:$N$67,AA16,MATCH($P$1,$C$2:$N$2,0)):INDEX($C$2:$N$67,AA16,MATCH($P$2,$C$2:$N$2,0)))</f>
        <v>#N/A</v>
      </c>
      <c r="Q16" s="86"/>
      <c r="R16" s="86"/>
      <c r="S16" s="86"/>
      <c r="T16" s="86"/>
      <c r="U16" s="86"/>
      <c r="V16" s="86"/>
      <c r="AA16" s="52">
        <f t="shared" si="0"/>
        <v>15</v>
      </c>
      <c r="AB16" s="52" t="str">
        <f>IF('Month A'!Y25=B!Y25,IF(B!Y25='C'!Y25,IF('C'!Y25=D!Y25,IF(D!Y25=E!Y25,IF(E!Y25=F!Y25,$AB$1,$AC$1),$AC$1),$AC$1),$AC$1),$AC$1)</f>
        <v>זהה</v>
      </c>
      <c r="AC16" s="52" t="str">
        <f>IF(F!Y25=G!Y25,IF(G!Y25=H!Y25,IF(H!Y25=I!Y25,IF(I!Y25=J!Y25,IF(J!Y25=K!Y25,IF(K!Y25=L!Y25,$AB$1,$AC$1),$AC$1),$AC$1),$AC$1),$AC$1),$AC$1)</f>
        <v>זהה</v>
      </c>
    </row>
    <row r="17" spans="1:29">
      <c r="A17" s="1293"/>
      <c r="B17" s="142" t="str">
        <f>IF(AC17=$AB$1,IF(AB17=$AB$1,L!Y26,$AB$2),$AB$2)</f>
        <v>Gas</v>
      </c>
      <c r="C17" s="55">
        <f>'Month A'!AA26</f>
        <v>0</v>
      </c>
      <c r="D17" s="55">
        <f>B!$AA26</f>
        <v>0</v>
      </c>
      <c r="E17" s="55">
        <f>'C'!$AA26</f>
        <v>0</v>
      </c>
      <c r="F17" s="55">
        <f>D!$AA26</f>
        <v>0</v>
      </c>
      <c r="G17" s="55">
        <f>E!$AA26</f>
        <v>0</v>
      </c>
      <c r="H17" s="55">
        <f>F!$AA26</f>
        <v>0</v>
      </c>
      <c r="I17" s="55">
        <f>G!$AA26</f>
        <v>0</v>
      </c>
      <c r="J17" s="55">
        <f>H!$AA26</f>
        <v>0</v>
      </c>
      <c r="K17" s="55">
        <f>I!$AA26</f>
        <v>0</v>
      </c>
      <c r="L17" s="55">
        <f>J!$AA26</f>
        <v>0</v>
      </c>
      <c r="M17" s="55">
        <f>K!$AA26</f>
        <v>0</v>
      </c>
      <c r="N17" s="56">
        <f>L!$AA26</f>
        <v>0</v>
      </c>
      <c r="O17" s="86"/>
      <c r="P17" s="466" t="e">
        <f>AVERAGE(INDEX($C$2:$N$67,AA17,MATCH($P$1,$C$2:$N$2,0)):INDEX($C$2:$N$67,AA17,MATCH($P$2,$C$2:$N$2,0)))</f>
        <v>#N/A</v>
      </c>
      <c r="Q17" s="86"/>
      <c r="R17" s="86"/>
      <c r="S17" s="86"/>
      <c r="T17" s="86"/>
      <c r="U17" s="86"/>
      <c r="V17" s="86"/>
      <c r="AA17" s="52">
        <f t="shared" si="0"/>
        <v>16</v>
      </c>
      <c r="AB17" s="52" t="str">
        <f>IF('Month A'!Y26=B!Y26,IF(B!Y26='C'!Y26,IF('C'!Y26=D!Y26,IF(D!Y26=E!Y26,IF(E!Y26=F!Y26,$AB$1,$AC$1),$AC$1),$AC$1),$AC$1),$AC$1)</f>
        <v>זהה</v>
      </c>
      <c r="AC17" s="52" t="str">
        <f>IF(F!Y26=G!Y26,IF(G!Y26=H!Y26,IF(H!Y26=I!Y26,IF(I!Y26=J!Y26,IF(J!Y26=K!Y26,IF(K!Y26=L!Y26,$AB$1,$AC$1),$AC$1),$AC$1),$AC$1),$AC$1),$AC$1)</f>
        <v>זהה</v>
      </c>
    </row>
    <row r="18" spans="1:29">
      <c r="A18" s="1293"/>
      <c r="B18" s="142" t="str">
        <f>IF(AC18=$AB$1,IF(AB18=$AB$1,L!Y27,$AB$2),$AB$2)</f>
        <v>Heating</v>
      </c>
      <c r="C18" s="55">
        <f>'Month A'!AA27</f>
        <v>0</v>
      </c>
      <c r="D18" s="55">
        <f>B!$AA27</f>
        <v>0</v>
      </c>
      <c r="E18" s="55">
        <f>'C'!$AA27</f>
        <v>0</v>
      </c>
      <c r="F18" s="55">
        <f>D!$AA27</f>
        <v>0</v>
      </c>
      <c r="G18" s="55">
        <f>E!$AA27</f>
        <v>0</v>
      </c>
      <c r="H18" s="55">
        <f>F!$AA27</f>
        <v>0</v>
      </c>
      <c r="I18" s="55">
        <f>G!$AA27</f>
        <v>0</v>
      </c>
      <c r="J18" s="55">
        <f>H!$AA27</f>
        <v>0</v>
      </c>
      <c r="K18" s="55">
        <f>I!$AA27</f>
        <v>0</v>
      </c>
      <c r="L18" s="55">
        <f>J!$AA27</f>
        <v>0</v>
      </c>
      <c r="M18" s="55">
        <f>K!$AA27</f>
        <v>0</v>
      </c>
      <c r="N18" s="56">
        <f>L!$AA27</f>
        <v>0</v>
      </c>
      <c r="O18" s="86"/>
      <c r="P18" s="466" t="e">
        <f>AVERAGE(INDEX($C$2:$N$67,AA18,MATCH($P$1,$C$2:$N$2,0)):INDEX($C$2:$N$67,AA18,MATCH($P$2,$C$2:$N$2,0)))</f>
        <v>#N/A</v>
      </c>
      <c r="Q18" s="86"/>
      <c r="R18" s="86"/>
      <c r="S18" s="86"/>
      <c r="T18" s="86"/>
      <c r="U18" s="86"/>
      <c r="V18" s="86"/>
      <c r="AA18" s="52">
        <f t="shared" si="0"/>
        <v>17</v>
      </c>
      <c r="AB18" s="52" t="str">
        <f>IF('Month A'!Y27=B!Y27,IF(B!Y27='C'!Y27,IF('C'!Y27=D!Y27,IF(D!Y27=E!Y27,IF(E!Y27=F!Y27,$AB$1,$AC$1),$AC$1),$AC$1),$AC$1),$AC$1)</f>
        <v>זהה</v>
      </c>
      <c r="AC18" s="52" t="str">
        <f>IF(F!Y27=G!Y27,IF(G!Y27=H!Y27,IF(H!Y27=I!Y27,IF(I!Y27=J!Y27,IF(J!Y27=K!Y27,IF(K!Y27=L!Y27,$AB$1,$AC$1),$AC$1),$AC$1),$AC$1),$AC$1),$AC$1)</f>
        <v>זהה</v>
      </c>
    </row>
    <row r="19" spans="1:29">
      <c r="A19" s="1293"/>
      <c r="B19" s="142" t="str">
        <f>IF(AC19=$AB$1,IF(AB19=$AB$1,L!Y28,$AB$2),$AB$2)</f>
        <v>Education/Schoolbooks</v>
      </c>
      <c r="C19" s="55">
        <f>'Month A'!AA28</f>
        <v>0</v>
      </c>
      <c r="D19" s="55">
        <f>B!$AA28</f>
        <v>0</v>
      </c>
      <c r="E19" s="55">
        <f>'C'!$AA28</f>
        <v>0</v>
      </c>
      <c r="F19" s="55">
        <f>D!$AA28</f>
        <v>0</v>
      </c>
      <c r="G19" s="55">
        <f>E!$AA28</f>
        <v>0</v>
      </c>
      <c r="H19" s="55">
        <f>F!$AA28</f>
        <v>0</v>
      </c>
      <c r="I19" s="55">
        <f>G!$AA28</f>
        <v>0</v>
      </c>
      <c r="J19" s="55">
        <f>H!$AA28</f>
        <v>0</v>
      </c>
      <c r="K19" s="55">
        <f>I!$AA28</f>
        <v>0</v>
      </c>
      <c r="L19" s="55">
        <f>J!$AA28</f>
        <v>0</v>
      </c>
      <c r="M19" s="55">
        <f>K!$AA28</f>
        <v>0</v>
      </c>
      <c r="N19" s="56">
        <f>L!$AA28</f>
        <v>0</v>
      </c>
      <c r="O19" s="86"/>
      <c r="P19" s="466" t="e">
        <f>AVERAGE(INDEX($C$2:$N$67,AA19,MATCH($P$1,$C$2:$N$2,0)):INDEX($C$2:$N$67,AA19,MATCH($P$2,$C$2:$N$2,0)))</f>
        <v>#N/A</v>
      </c>
      <c r="Q19" s="86"/>
      <c r="R19" s="86"/>
      <c r="S19" s="86"/>
      <c r="T19" s="86"/>
      <c r="U19" s="86"/>
      <c r="V19" s="86"/>
      <c r="AA19" s="52">
        <f t="shared" si="0"/>
        <v>18</v>
      </c>
      <c r="AB19" s="52" t="str">
        <f>IF('Month A'!Y28=B!Y28,IF(B!Y28='C'!Y28,IF('C'!Y28=D!Y28,IF(D!Y28=E!Y28,IF(E!Y28=F!Y28,$AB$1,$AC$1),$AC$1),$AC$1),$AC$1),$AC$1)</f>
        <v>זהה</v>
      </c>
      <c r="AC19" s="52" t="str">
        <f>IF(F!Y28=G!Y28,IF(G!Y28=H!Y28,IF(H!Y28=I!Y28,IF(I!Y28=J!Y28,IF(J!Y28=K!Y28,IF(K!Y28=L!Y28,$AB$1,$AC$1),$AC$1),$AC$1),$AC$1),$AC$1),$AC$1)</f>
        <v>זהה</v>
      </c>
    </row>
    <row r="20" spans="1:29">
      <c r="A20" s="1293"/>
      <c r="B20" s="142" t="str">
        <f>IF(AC20=$AB$1,IF(AB20=$AB$1,L!Y29,$AB$2),$AB$2)</f>
        <v>Extracurricular Activities/Camps/Pool</v>
      </c>
      <c r="C20" s="55">
        <f>'Month A'!AA29</f>
        <v>0</v>
      </c>
      <c r="D20" s="55">
        <f>B!$AA29</f>
        <v>0</v>
      </c>
      <c r="E20" s="55">
        <f>'C'!$AA29</f>
        <v>0</v>
      </c>
      <c r="F20" s="55">
        <f>D!$AA29</f>
        <v>0</v>
      </c>
      <c r="G20" s="55">
        <f>E!$AA29</f>
        <v>0</v>
      </c>
      <c r="H20" s="55">
        <f>F!$AA29</f>
        <v>0</v>
      </c>
      <c r="I20" s="55">
        <f>G!$AA29</f>
        <v>0</v>
      </c>
      <c r="J20" s="55">
        <f>H!$AA29</f>
        <v>0</v>
      </c>
      <c r="K20" s="55">
        <f>I!$AA29</f>
        <v>0</v>
      </c>
      <c r="L20" s="55">
        <f>J!$AA29</f>
        <v>0</v>
      </c>
      <c r="M20" s="55">
        <f>K!$AA29</f>
        <v>0</v>
      </c>
      <c r="N20" s="56">
        <f>L!$AA29</f>
        <v>0</v>
      </c>
      <c r="O20" s="86"/>
      <c r="P20" s="466" t="e">
        <f>AVERAGE(INDEX($C$2:$N$67,AA20,MATCH($P$1,$C$2:$N$2,0)):INDEX($C$2:$N$67,AA20,MATCH($P$2,$C$2:$N$2,0)))</f>
        <v>#N/A</v>
      </c>
      <c r="Q20" s="86"/>
      <c r="R20" s="86"/>
      <c r="S20" s="86"/>
      <c r="T20" s="86"/>
      <c r="U20" s="86"/>
      <c r="V20" s="86"/>
      <c r="AA20" s="52">
        <f t="shared" si="0"/>
        <v>19</v>
      </c>
      <c r="AB20" s="52" t="str">
        <f>IF('Month A'!Y29=B!Y29,IF(B!Y29='C'!Y29,IF('C'!Y29=D!Y29,IF(D!Y29=E!Y29,IF(E!Y29=F!Y29,$AB$1,$AC$1),$AC$1),$AC$1),$AC$1),$AC$1)</f>
        <v>זהה</v>
      </c>
      <c r="AC20" s="52" t="str">
        <f>IF(F!Y29=G!Y29,IF(G!Y29=H!Y29,IF(H!Y29=I!Y29,IF(I!Y29=J!Y29,IF(J!Y29=K!Y29,IF(K!Y29=L!Y29,$AB$1,$AC$1),$AC$1),$AC$1),$AC$1),$AC$1),$AC$1)</f>
        <v>זהה</v>
      </c>
    </row>
    <row r="21" spans="1:29">
      <c r="A21" s="1293"/>
      <c r="B21" s="142" t="str">
        <f>IF(AC21=$AB$1,IF(AB21=$AB$1,L!Y30,$AB$2),$AB$2)</f>
        <v xml:space="preserve">  Car Insurance and Licensing</v>
      </c>
      <c r="C21" s="55">
        <f>'Month A'!AA30</f>
        <v>0</v>
      </c>
      <c r="D21" s="55">
        <f>B!$AA30</f>
        <v>0</v>
      </c>
      <c r="E21" s="55">
        <f>'C'!$AA30</f>
        <v>0</v>
      </c>
      <c r="F21" s="55">
        <f>D!$AA30</f>
        <v>0</v>
      </c>
      <c r="G21" s="55">
        <f>E!$AA30</f>
        <v>0</v>
      </c>
      <c r="H21" s="55">
        <f>F!$AA30</f>
        <v>0</v>
      </c>
      <c r="I21" s="55">
        <f>G!$AA30</f>
        <v>0</v>
      </c>
      <c r="J21" s="55">
        <f>H!$AA30</f>
        <v>0</v>
      </c>
      <c r="K21" s="55">
        <f>I!$AA30</f>
        <v>0</v>
      </c>
      <c r="L21" s="55">
        <f>J!$AA30</f>
        <v>0</v>
      </c>
      <c r="M21" s="55">
        <f>K!$AA30</f>
        <v>0</v>
      </c>
      <c r="N21" s="56">
        <f>L!$AA30</f>
        <v>0</v>
      </c>
      <c r="O21" s="86"/>
      <c r="P21" s="466" t="e">
        <f>AVERAGE(INDEX($C$2:$N$67,AA21,MATCH($P$1,$C$2:$N$2,0)):INDEX($C$2:$N$67,AA21,MATCH($P$2,$C$2:$N$2,0)))</f>
        <v>#N/A</v>
      </c>
      <c r="Q21" s="86"/>
      <c r="R21" s="86"/>
      <c r="S21" s="86"/>
      <c r="T21" s="86"/>
      <c r="U21" s="86"/>
      <c r="V21" s="86"/>
      <c r="AA21" s="52">
        <f t="shared" si="0"/>
        <v>20</v>
      </c>
      <c r="AB21" s="52" t="str">
        <f>IF('Month A'!Y30=B!Y30,IF(B!Y30='C'!Y30,IF('C'!Y30=D!Y30,IF(D!Y30=E!Y30,IF(E!Y30=F!Y30,$AB$1,$AC$1),$AC$1),$AC$1),$AC$1),$AC$1)</f>
        <v>זהה</v>
      </c>
      <c r="AC21" s="52" t="str">
        <f>IF(F!Y30=G!Y30,IF(G!Y30=H!Y30,IF(H!Y30=I!Y30,IF(I!Y30=J!Y30,IF(J!Y30=K!Y30,IF(K!Y30=L!Y30,$AB$1,$AC$1),$AC$1),$AC$1),$AC$1),$AC$1),$AC$1)</f>
        <v>זהה</v>
      </c>
    </row>
    <row r="22" spans="1:29">
      <c r="A22" s="1293"/>
      <c r="B22" s="142" t="str">
        <f>IF(AC22=$AB$1,IF(AB22=$AB$1,L!Y31,$AB$2),$AB$2)</f>
        <v>Car Maintenance</v>
      </c>
      <c r="C22" s="55">
        <f>'Month A'!AA31</f>
        <v>0</v>
      </c>
      <c r="D22" s="55">
        <f>B!$AA31</f>
        <v>0</v>
      </c>
      <c r="E22" s="55">
        <f>'C'!$AA31</f>
        <v>0</v>
      </c>
      <c r="F22" s="55">
        <f>D!$AA31</f>
        <v>0</v>
      </c>
      <c r="G22" s="55">
        <f>E!$AA31</f>
        <v>0</v>
      </c>
      <c r="H22" s="55">
        <f>F!$AA31</f>
        <v>0</v>
      </c>
      <c r="I22" s="55">
        <f>G!$AA31</f>
        <v>0</v>
      </c>
      <c r="J22" s="55">
        <f>H!$AA31</f>
        <v>0</v>
      </c>
      <c r="K22" s="55">
        <f>I!$AA31</f>
        <v>0</v>
      </c>
      <c r="L22" s="55">
        <f>J!$AA31</f>
        <v>0</v>
      </c>
      <c r="M22" s="55">
        <f>K!$AA31</f>
        <v>0</v>
      </c>
      <c r="N22" s="56">
        <f>L!$AA31</f>
        <v>0</v>
      </c>
      <c r="O22" s="86"/>
      <c r="P22" s="466" t="e">
        <f>AVERAGE(INDEX($C$2:$N$67,AA22,MATCH($P$1,$C$2:$N$2,0)):INDEX($C$2:$N$67,AA22,MATCH($P$2,$C$2:$N$2,0)))</f>
        <v>#N/A</v>
      </c>
      <c r="Q22" s="86"/>
      <c r="R22" s="86"/>
      <c r="S22" s="86"/>
      <c r="T22" s="86"/>
      <c r="U22" s="86"/>
      <c r="V22" s="86"/>
      <c r="AA22" s="52">
        <f t="shared" si="0"/>
        <v>21</v>
      </c>
      <c r="AB22" s="52" t="str">
        <f>IF('Month A'!Y31=B!Y31,IF(B!Y31='C'!Y31,IF('C'!Y31=D!Y31,IF(D!Y31=E!Y31,IF(E!Y31=F!Y31,$AB$1,$AC$1),$AC$1),$AC$1),$AC$1),$AC$1)</f>
        <v>זהה</v>
      </c>
      <c r="AC22" s="52" t="str">
        <f>IF(F!Y31=G!Y31,IF(G!Y31=H!Y31,IF(H!Y31=I!Y31,IF(I!Y31=J!Y31,IF(J!Y31=K!Y31,IF(K!Y31=L!Y31,$AB$1,$AC$1),$AC$1),$AC$1),$AC$1),$AC$1),$AC$1)</f>
        <v>זהה</v>
      </c>
    </row>
    <row r="23" spans="1:29">
      <c r="A23" s="1293"/>
      <c r="B23" s="142" t="str">
        <f>IF(AC23=$AB$1,IF(AB23=$AB$1,L!Y32,$AB$2),$AB$2)</f>
        <v>Clothing and Shoes</v>
      </c>
      <c r="C23" s="55">
        <f>'Month A'!AA32</f>
        <v>0</v>
      </c>
      <c r="D23" s="55">
        <f>B!$AA32</f>
        <v>0</v>
      </c>
      <c r="E23" s="55">
        <f>'C'!$AA32</f>
        <v>0</v>
      </c>
      <c r="F23" s="55">
        <f>D!$AA32</f>
        <v>0</v>
      </c>
      <c r="G23" s="55">
        <f>E!$AA32</f>
        <v>0</v>
      </c>
      <c r="H23" s="55">
        <f>F!$AA32</f>
        <v>0</v>
      </c>
      <c r="I23" s="55">
        <f>G!$AA32</f>
        <v>0</v>
      </c>
      <c r="J23" s="55">
        <f>H!$AA32</f>
        <v>0</v>
      </c>
      <c r="K23" s="55">
        <f>I!$AA32</f>
        <v>0</v>
      </c>
      <c r="L23" s="55">
        <f>J!$AA32</f>
        <v>0</v>
      </c>
      <c r="M23" s="55">
        <f>K!$AA32</f>
        <v>0</v>
      </c>
      <c r="N23" s="56">
        <f>L!$AA32</f>
        <v>0</v>
      </c>
      <c r="O23" s="86"/>
      <c r="P23" s="466" t="e">
        <f>AVERAGE(INDEX($C$2:$N$67,AA23,MATCH($P$1,$C$2:$N$2,0)):INDEX($C$2:$N$67,AA23,MATCH($P$2,$C$2:$N$2,0)))</f>
        <v>#N/A</v>
      </c>
      <c r="Q23" s="86"/>
      <c r="R23" s="86"/>
      <c r="S23" s="86"/>
      <c r="T23" s="86"/>
      <c r="U23" s="86"/>
      <c r="V23" s="86"/>
      <c r="AA23" s="52">
        <f t="shared" si="0"/>
        <v>22</v>
      </c>
      <c r="AB23" s="52" t="str">
        <f>IF('Month A'!Y32=B!Y32,IF(B!Y32='C'!Y32,IF('C'!Y32=D!Y32,IF(D!Y32=E!Y32,IF(E!Y32=F!Y32,$AB$1,$AC$1),$AC$1),$AC$1),$AC$1),$AC$1)</f>
        <v>זהה</v>
      </c>
      <c r="AC23" s="52" t="str">
        <f>IF(F!Y32=G!Y32,IF(G!Y32=H!Y32,IF(H!Y32=I!Y32,IF(I!Y32=J!Y32,IF(J!Y32=K!Y32,IF(K!Y32=L!Y32,$AB$1,$AC$1),$AC$1),$AC$1),$AC$1),$AC$1),$AC$1)</f>
        <v>זהה</v>
      </c>
    </row>
    <row r="24" spans="1:29">
      <c r="A24" s="1293"/>
      <c r="B24" s="142" t="str">
        <f>IF(AC24=$AB$1,IF(AB24=$AB$1,L!Y33,$AB$2),$AB$2)</f>
        <v>Medicine/Treatment</v>
      </c>
      <c r="C24" s="55">
        <f>'Month A'!AA33</f>
        <v>0</v>
      </c>
      <c r="D24" s="55">
        <f>B!$AA33</f>
        <v>0</v>
      </c>
      <c r="E24" s="55">
        <f>'C'!$AA33</f>
        <v>0</v>
      </c>
      <c r="F24" s="55">
        <f>D!$AA33</f>
        <v>0</v>
      </c>
      <c r="G24" s="55">
        <f>E!$AA33</f>
        <v>0</v>
      </c>
      <c r="H24" s="55">
        <f>F!$AA33</f>
        <v>0</v>
      </c>
      <c r="I24" s="55">
        <f>G!$AA33</f>
        <v>0</v>
      </c>
      <c r="J24" s="55">
        <f>H!$AA33</f>
        <v>0</v>
      </c>
      <c r="K24" s="55">
        <f>I!$AA33</f>
        <v>0</v>
      </c>
      <c r="L24" s="55">
        <f>J!$AA33</f>
        <v>0</v>
      </c>
      <c r="M24" s="55">
        <f>K!$AA33</f>
        <v>0</v>
      </c>
      <c r="N24" s="56">
        <f>L!$AA33</f>
        <v>0</v>
      </c>
      <c r="O24" s="86"/>
      <c r="P24" s="466" t="e">
        <f>AVERAGE(INDEX($C$2:$N$67,AA24,MATCH($P$1,$C$2:$N$2,0)):INDEX($C$2:$N$67,AA24,MATCH($P$2,$C$2:$N$2,0)))</f>
        <v>#N/A</v>
      </c>
      <c r="Q24" s="86"/>
      <c r="R24" s="86"/>
      <c r="S24" s="86"/>
      <c r="T24" s="86"/>
      <c r="U24" s="86"/>
      <c r="V24" s="86"/>
      <c r="AA24" s="52">
        <f t="shared" si="0"/>
        <v>23</v>
      </c>
      <c r="AB24" s="52" t="str">
        <f>IF('Month A'!Y33=B!Y33,IF(B!Y33='C'!Y33,IF('C'!Y33=D!Y33,IF(D!Y33=E!Y33,IF(E!Y33=F!Y33,$AB$1,$AC$1),$AC$1),$AC$1),$AC$1),$AC$1)</f>
        <v>זהה</v>
      </c>
      <c r="AC24" s="52" t="str">
        <f>IF(F!Y33=G!Y33,IF(G!Y33=H!Y33,IF(H!Y33=I!Y33,IF(I!Y33=J!Y33,IF(J!Y33=K!Y33,IF(K!Y33=L!Y33,$AB$1,$AC$1),$AC$1),$AC$1),$AC$1),$AC$1),$AC$1)</f>
        <v>זהה</v>
      </c>
    </row>
    <row r="25" spans="1:29">
      <c r="A25" s="1293"/>
      <c r="B25" s="142" t="str">
        <f>IF(AC25=$AB$1,IF(AB25=$AB$1,L!Y34,$AB$2),$AB$2)</f>
        <v>Bank Interest and Fees</v>
      </c>
      <c r="C25" s="55">
        <f>'Month A'!AA34</f>
        <v>0</v>
      </c>
      <c r="D25" s="55">
        <f>B!$AA34</f>
        <v>0</v>
      </c>
      <c r="E25" s="55">
        <f>'C'!$AA34</f>
        <v>0</v>
      </c>
      <c r="F25" s="55">
        <f>D!$AA34</f>
        <v>0</v>
      </c>
      <c r="G25" s="55">
        <f>E!$AA34</f>
        <v>0</v>
      </c>
      <c r="H25" s="55">
        <f>F!$AA34</f>
        <v>0</v>
      </c>
      <c r="I25" s="55">
        <f>G!$AA34</f>
        <v>0</v>
      </c>
      <c r="J25" s="55">
        <f>H!$AA34</f>
        <v>0</v>
      </c>
      <c r="K25" s="55">
        <f>I!$AA34</f>
        <v>0</v>
      </c>
      <c r="L25" s="55">
        <f>J!$AA34</f>
        <v>0</v>
      </c>
      <c r="M25" s="55">
        <f>K!$AA34</f>
        <v>0</v>
      </c>
      <c r="N25" s="56">
        <f>L!$AA34</f>
        <v>0</v>
      </c>
      <c r="O25" s="86"/>
      <c r="P25" s="466" t="e">
        <f>AVERAGE(INDEX($C$2:$N$67,AA25,MATCH($P$1,$C$2:$N$2,0)):INDEX($C$2:$N$67,AA25,MATCH($P$2,$C$2:$N$2,0)))</f>
        <v>#N/A</v>
      </c>
      <c r="Q25" s="86"/>
      <c r="R25" s="86"/>
      <c r="S25" s="86"/>
      <c r="T25" s="86"/>
      <c r="U25" s="86"/>
      <c r="V25" s="86"/>
      <c r="AA25" s="52">
        <f t="shared" si="0"/>
        <v>24</v>
      </c>
      <c r="AB25" s="52" t="str">
        <f>IF('Month A'!Y34=B!Y34,IF(B!Y34='C'!Y34,IF('C'!Y34=D!Y34,IF(D!Y34=E!Y34,IF(E!Y34=F!Y34,$AB$1,$AC$1),$AC$1),$AC$1),$AC$1),$AC$1)</f>
        <v>זהה</v>
      </c>
      <c r="AC25" s="52" t="str">
        <f>IF(F!Y34=G!Y34,IF(G!Y34=H!Y34,IF(H!Y34=I!Y34,IF(I!Y34=J!Y34,IF(J!Y34=K!Y34,IF(K!Y34=L!Y34,$AB$1,$AC$1),$AC$1),$AC$1),$AC$1),$AC$1),$AC$1)</f>
        <v>זהה</v>
      </c>
    </row>
    <row r="26" spans="1:29">
      <c r="A26" s="1293"/>
      <c r="B26" s="142" t="str">
        <f>IF(AC26=$AB$1,IF(AB26=$AB$1,L!Y35,$AB$2),$AB$2)</f>
        <v>Dental treatments</v>
      </c>
      <c r="C26" s="55">
        <f>'Month A'!AA35</f>
        <v>0</v>
      </c>
      <c r="D26" s="55">
        <f>B!$AA35</f>
        <v>0</v>
      </c>
      <c r="E26" s="55">
        <f>'C'!$AA35</f>
        <v>0</v>
      </c>
      <c r="F26" s="55">
        <f>D!$AA35</f>
        <v>0</v>
      </c>
      <c r="G26" s="55">
        <f>E!$AA35</f>
        <v>0</v>
      </c>
      <c r="H26" s="55">
        <f>F!$AA35</f>
        <v>0</v>
      </c>
      <c r="I26" s="55">
        <f>G!$AA35</f>
        <v>0</v>
      </c>
      <c r="J26" s="55">
        <f>H!$AA35</f>
        <v>0</v>
      </c>
      <c r="K26" s="55">
        <f>I!$AA35</f>
        <v>0</v>
      </c>
      <c r="L26" s="55">
        <f>J!$AA35</f>
        <v>0</v>
      </c>
      <c r="M26" s="55">
        <f>K!$AA35</f>
        <v>0</v>
      </c>
      <c r="N26" s="56">
        <f>L!$AA35</f>
        <v>0</v>
      </c>
      <c r="O26" s="86"/>
      <c r="P26" s="466" t="e">
        <f>AVERAGE(INDEX($C$2:$N$67,AA26,MATCH($P$1,$C$2:$N$2,0)):INDEX($C$2:$N$67,AA26,MATCH($P$2,$C$2:$N$2,0)))</f>
        <v>#N/A</v>
      </c>
      <c r="Q26" s="86"/>
      <c r="R26" s="86"/>
      <c r="S26" s="86"/>
      <c r="T26" s="86"/>
      <c r="U26" s="86"/>
      <c r="V26" s="86"/>
      <c r="AA26" s="52">
        <f t="shared" si="0"/>
        <v>25</v>
      </c>
      <c r="AB26" s="52" t="str">
        <f>IF('Month A'!Y35=B!Y35,IF(B!Y35='C'!Y35,IF('C'!Y35=D!Y35,IF(D!Y35=E!Y35,IF(E!Y35=F!Y35,$AB$1,$AC$1),$AC$1),$AC$1),$AC$1),$AC$1)</f>
        <v>זהה</v>
      </c>
      <c r="AC26" s="52" t="str">
        <f>IF(F!Y35=G!Y35,IF(G!Y35=H!Y35,IF(H!Y35=I!Y35,IF(I!Y35=J!Y35,IF(J!Y35=K!Y35,IF(K!Y35=L!Y35,$AB$1,$AC$1),$AC$1),$AC$1),$AC$1),$AC$1),$AC$1)</f>
        <v>זהה</v>
      </c>
    </row>
    <row r="27" spans="1:29">
      <c r="A27" s="1293"/>
      <c r="B27" s="142" t="str">
        <f>IF(AC27=$AB$1,IF(AB27=$AB$1,L!Y36,$AB$2),$AB$2)</f>
        <v>Eyeglasses/Contact Lens</v>
      </c>
      <c r="C27" s="55">
        <f>'Month A'!AA36</f>
        <v>0</v>
      </c>
      <c r="D27" s="55">
        <f>B!$AA36</f>
        <v>0</v>
      </c>
      <c r="E27" s="55">
        <f>'C'!$AA36</f>
        <v>0</v>
      </c>
      <c r="F27" s="55">
        <f>D!$AA36</f>
        <v>0</v>
      </c>
      <c r="G27" s="55">
        <f>E!$AA36</f>
        <v>0</v>
      </c>
      <c r="H27" s="55">
        <f>F!$AA36</f>
        <v>0</v>
      </c>
      <c r="I27" s="55">
        <f>G!$AA36</f>
        <v>0</v>
      </c>
      <c r="J27" s="55">
        <f>H!$AA36</f>
        <v>0</v>
      </c>
      <c r="K27" s="55">
        <f>I!$AA36</f>
        <v>0</v>
      </c>
      <c r="L27" s="55">
        <f>J!$AA36</f>
        <v>0</v>
      </c>
      <c r="M27" s="55">
        <f>K!$AA36</f>
        <v>0</v>
      </c>
      <c r="N27" s="56">
        <f>L!$AA36</f>
        <v>0</v>
      </c>
      <c r="O27" s="86"/>
      <c r="P27" s="466" t="e">
        <f>AVERAGE(INDEX($C$2:$N$67,AA27,MATCH($P$1,$C$2:$N$2,0)):INDEX($C$2:$N$67,AA27,MATCH($P$2,$C$2:$N$2,0)))</f>
        <v>#N/A</v>
      </c>
      <c r="Q27" s="86"/>
      <c r="R27" s="86"/>
      <c r="S27" s="86"/>
      <c r="T27" s="86"/>
      <c r="U27" s="86"/>
      <c r="V27" s="86"/>
      <c r="AA27" s="52">
        <f t="shared" si="0"/>
        <v>26</v>
      </c>
      <c r="AB27" s="52" t="str">
        <f>IF('Month A'!Y36=B!Y36,IF(B!Y36='C'!Y36,IF('C'!Y36=D!Y36,IF(D!Y36=E!Y36,IF(E!Y36=F!Y36,$AB$1,$AC$1),$AC$1),$AC$1),$AC$1),$AC$1)</f>
        <v>זהה</v>
      </c>
      <c r="AC27" s="52" t="str">
        <f>IF(F!Y36=G!Y36,IF(G!Y36=H!Y36,IF(H!Y36=I!Y36,IF(I!Y36=J!Y36,IF(J!Y36=K!Y36,IF(K!Y36=L!Y36,$AB$1,$AC$1),$AC$1),$AC$1),$AC$1),$AC$1),$AC$1)</f>
        <v>זהה</v>
      </c>
    </row>
    <row r="28" spans="1:29">
      <c r="A28" s="1293"/>
      <c r="B28" s="142" t="str">
        <f>IF(AC28=$AB$1,IF(AB28=$AB$1,L!Y37,$AB$2),$AB$2)</f>
        <v>Vacations</v>
      </c>
      <c r="C28" s="55">
        <f>'Month A'!AA37</f>
        <v>0</v>
      </c>
      <c r="D28" s="55">
        <f>B!$AA37</f>
        <v>0</v>
      </c>
      <c r="E28" s="55">
        <f>'C'!$AA37</f>
        <v>0</v>
      </c>
      <c r="F28" s="55">
        <f>D!$AA37</f>
        <v>0</v>
      </c>
      <c r="G28" s="55">
        <f>E!$AA37</f>
        <v>0</v>
      </c>
      <c r="H28" s="55">
        <f>F!$AA37</f>
        <v>0</v>
      </c>
      <c r="I28" s="55">
        <f>G!$AA37</f>
        <v>0</v>
      </c>
      <c r="J28" s="55">
        <f>H!$AA37</f>
        <v>0</v>
      </c>
      <c r="K28" s="55">
        <f>I!$AA37</f>
        <v>0</v>
      </c>
      <c r="L28" s="55">
        <f>J!$AA37</f>
        <v>0</v>
      </c>
      <c r="M28" s="55">
        <f>K!$AA37</f>
        <v>0</v>
      </c>
      <c r="N28" s="56">
        <f>L!$AA37</f>
        <v>0</v>
      </c>
      <c r="O28" s="86"/>
      <c r="P28" s="466" t="e">
        <f>AVERAGE(INDEX($C$2:$N$67,AA28,MATCH($P$1,$C$2:$N$2,0)):INDEX($C$2:$N$67,AA28,MATCH($P$2,$C$2:$N$2,0)))</f>
        <v>#N/A</v>
      </c>
      <c r="Q28" s="86"/>
      <c r="R28" s="86"/>
      <c r="S28" s="86"/>
      <c r="T28" s="86"/>
      <c r="U28" s="86"/>
      <c r="V28" s="86"/>
      <c r="AA28" s="52">
        <f t="shared" si="0"/>
        <v>27</v>
      </c>
      <c r="AB28" s="52" t="str">
        <f>IF('Month A'!Y37=B!Y37,IF(B!Y37='C'!Y37,IF('C'!Y37=D!Y37,IF(D!Y37=E!Y37,IF(E!Y37=F!Y37,$AB$1,$AC$1),$AC$1),$AC$1),$AC$1),$AC$1)</f>
        <v>זהה</v>
      </c>
      <c r="AC28" s="52" t="str">
        <f>IF(F!Y37=G!Y37,IF(G!Y37=H!Y37,IF(H!Y37=I!Y37,IF(I!Y37=J!Y37,IF(J!Y37=K!Y37,IF(K!Y37=L!Y37,$AB$1,$AC$1),$AC$1),$AC$1),$AC$1),$AC$1),$AC$1)</f>
        <v>זהה</v>
      </c>
    </row>
    <row r="29" spans="1:29">
      <c r="A29" s="1293"/>
      <c r="B29" s="142" t="str">
        <f>IF(AC29=$AB$1,IF(AB29=$AB$1,L!Y38,$AB$2),$AB$2)</f>
        <v>Religious expenses</v>
      </c>
      <c r="C29" s="55">
        <f>'Month A'!AA38</f>
        <v>0</v>
      </c>
      <c r="D29" s="55">
        <f>B!$AA38</f>
        <v>0</v>
      </c>
      <c r="E29" s="55">
        <f>'C'!$AA38</f>
        <v>0</v>
      </c>
      <c r="F29" s="55">
        <f>D!$AA38</f>
        <v>0</v>
      </c>
      <c r="G29" s="55">
        <f>E!$AA38</f>
        <v>0</v>
      </c>
      <c r="H29" s="55">
        <f>F!$AA38</f>
        <v>0</v>
      </c>
      <c r="I29" s="55">
        <f>G!$AA38</f>
        <v>0</v>
      </c>
      <c r="J29" s="55">
        <f>H!$AA38</f>
        <v>0</v>
      </c>
      <c r="K29" s="55">
        <f>I!$AA38</f>
        <v>0</v>
      </c>
      <c r="L29" s="55">
        <f>J!$AA38</f>
        <v>0</v>
      </c>
      <c r="M29" s="55">
        <f>K!$AA38</f>
        <v>0</v>
      </c>
      <c r="N29" s="56">
        <f>L!$AA38</f>
        <v>0</v>
      </c>
      <c r="O29" s="86"/>
      <c r="P29" s="466" t="e">
        <f>AVERAGE(INDEX($C$2:$N$67,AA29,MATCH($P$1,$C$2:$N$2,0)):INDEX($C$2:$N$67,AA29,MATCH($P$2,$C$2:$N$2,0)))</f>
        <v>#N/A</v>
      </c>
      <c r="Q29" s="86"/>
      <c r="R29" s="86"/>
      <c r="S29" s="86"/>
      <c r="T29" s="86"/>
      <c r="U29" s="86"/>
      <c r="V29" s="86"/>
      <c r="AA29" s="52">
        <f t="shared" si="0"/>
        <v>28</v>
      </c>
      <c r="AB29" s="52" t="str">
        <f>IF('Month A'!Y38=B!Y38,IF(B!Y38='C'!Y38,IF('C'!Y38=D!Y38,IF(D!Y38=E!Y38,IF(E!Y38=F!Y38,$AB$1,$AC$1),$AC$1),$AC$1),$AC$1),$AC$1)</f>
        <v>זהה</v>
      </c>
      <c r="AC29" s="52" t="str">
        <f>IF(F!Y38=G!Y38,IF(G!Y38=H!Y38,IF(H!Y38=I!Y38,IF(I!Y38=J!Y38,IF(J!Y38=K!Y38,IF(K!Y38=L!Y38,$AB$1,$AC$1),$AC$1),$AC$1),$AC$1),$AC$1),$AC$1)</f>
        <v>זהה</v>
      </c>
    </row>
    <row r="30" spans="1:29">
      <c r="A30" s="1293"/>
      <c r="B30" s="142" t="str">
        <f>IF(AC30=$AB$1,IF(AB30=$AB$1,L!Y39,$AB$2),$AB$2)</f>
        <v>Gifts</v>
      </c>
      <c r="C30" s="55">
        <f>'Month A'!AA39</f>
        <v>0</v>
      </c>
      <c r="D30" s="55">
        <f>B!$AA39</f>
        <v>0</v>
      </c>
      <c r="E30" s="55">
        <f>'C'!$AA39</f>
        <v>0</v>
      </c>
      <c r="F30" s="55">
        <f>D!$AA39</f>
        <v>0</v>
      </c>
      <c r="G30" s="55">
        <f>E!$AA39</f>
        <v>0</v>
      </c>
      <c r="H30" s="55">
        <f>F!$AA39</f>
        <v>0</v>
      </c>
      <c r="I30" s="55">
        <f>G!$AA39</f>
        <v>0</v>
      </c>
      <c r="J30" s="55">
        <f>H!$AA39</f>
        <v>0</v>
      </c>
      <c r="K30" s="55">
        <f>I!$AA39</f>
        <v>0</v>
      </c>
      <c r="L30" s="55">
        <f>J!$AA39</f>
        <v>0</v>
      </c>
      <c r="M30" s="55">
        <f>K!$AA39</f>
        <v>0</v>
      </c>
      <c r="N30" s="56">
        <f>L!$AA39</f>
        <v>0</v>
      </c>
      <c r="O30" s="86"/>
      <c r="P30" s="466" t="e">
        <f>AVERAGE(INDEX($C$2:$N$67,AA30,MATCH($P$1,$C$2:$N$2,0)):INDEX($C$2:$N$67,AA30,MATCH($P$2,$C$2:$N$2,0)))</f>
        <v>#N/A</v>
      </c>
      <c r="Q30" s="86"/>
      <c r="R30" s="86"/>
      <c r="S30" s="86"/>
      <c r="T30" s="86"/>
      <c r="U30" s="86"/>
      <c r="V30" s="86"/>
      <c r="AA30" s="52">
        <f t="shared" si="0"/>
        <v>29</v>
      </c>
      <c r="AB30" s="52" t="str">
        <f>IF('Month A'!Y39=B!Y39,IF(B!Y39='C'!Y39,IF('C'!Y39=D!Y39,IF(D!Y39=E!Y39,IF(E!Y39=F!Y39,$AB$1,$AC$1),$AC$1),$AC$1),$AC$1),$AC$1)</f>
        <v>זהה</v>
      </c>
      <c r="AC30" s="52" t="str">
        <f>IF(F!Y39=G!Y39,IF(G!Y39=H!Y39,IF(H!Y39=I!Y39,IF(I!Y39=J!Y39,IF(J!Y39=K!Y39,IF(K!Y39=L!Y39,$AB$1,$AC$1),$AC$1),$AC$1),$AC$1),$AC$1),$AC$1)</f>
        <v>זהה</v>
      </c>
    </row>
    <row r="31" spans="1:29">
      <c r="A31" s="1293"/>
      <c r="B31" s="142" t="str">
        <f>IF(AC31=$AB$1,IF(AB31=$AB$1,L!Y40,$AB$2),$AB$2)</f>
        <v>Small Purchases</v>
      </c>
      <c r="C31" s="55">
        <f>'Month A'!AA40</f>
        <v>0</v>
      </c>
      <c r="D31" s="55">
        <f>B!$AA40</f>
        <v>0</v>
      </c>
      <c r="E31" s="55">
        <f>'C'!$AA40</f>
        <v>0</v>
      </c>
      <c r="F31" s="55">
        <f>D!$AA40</f>
        <v>0</v>
      </c>
      <c r="G31" s="55">
        <f>E!$AA40</f>
        <v>0</v>
      </c>
      <c r="H31" s="55">
        <f>F!$AA40</f>
        <v>0</v>
      </c>
      <c r="I31" s="55">
        <f>G!$AA40</f>
        <v>0</v>
      </c>
      <c r="J31" s="55">
        <f>H!$AA40</f>
        <v>0</v>
      </c>
      <c r="K31" s="55">
        <f>I!$AA40</f>
        <v>0</v>
      </c>
      <c r="L31" s="55">
        <f>J!$AA40</f>
        <v>0</v>
      </c>
      <c r="M31" s="55">
        <f>K!$AA40</f>
        <v>0</v>
      </c>
      <c r="N31" s="56">
        <f>L!$AA40</f>
        <v>0</v>
      </c>
      <c r="O31" s="86"/>
      <c r="P31" s="466" t="e">
        <f>AVERAGE(INDEX($C$2:$N$67,AA31,MATCH($P$1,$C$2:$N$2,0)):INDEX($C$2:$N$67,AA31,MATCH($P$2,$C$2:$N$2,0)))</f>
        <v>#N/A</v>
      </c>
      <c r="Q31" s="86"/>
      <c r="R31" s="86"/>
      <c r="S31" s="86"/>
      <c r="T31" s="86"/>
      <c r="U31" s="86"/>
      <c r="V31" s="86"/>
      <c r="AA31" s="52">
        <f t="shared" si="0"/>
        <v>30</v>
      </c>
      <c r="AB31" s="52" t="str">
        <f>IF('Month A'!Y40=B!Y40,IF(B!Y40='C'!Y40,IF('C'!Y40=D!Y40,IF(D!Y40=E!Y40,IF(E!Y40=F!Y40,$AB$1,$AC$1),$AC$1),$AC$1),$AC$1),$AC$1)</f>
        <v>זהה</v>
      </c>
      <c r="AC31" s="52" t="str">
        <f>IF(F!Y40=G!Y40,IF(G!Y40=H!Y40,IF(H!Y40=I!Y40,IF(I!Y40=J!Y40,IF(J!Y40=K!Y40,IF(K!Y40=L!Y40,$AB$1,$AC$1),$AC$1),$AC$1),$AC$1),$AC$1),$AC$1)</f>
        <v>זהה</v>
      </c>
    </row>
    <row r="32" spans="1:29">
      <c r="A32" s="1293"/>
      <c r="B32" s="142" t="str">
        <f>IF(AC32=$AB$1,IF(AB32=$AB$1,L!Y41,$AB$2),$AB$2)</f>
        <v>Haircuts / Cosmetics Treatments</v>
      </c>
      <c r="C32" s="55">
        <f>'Month A'!AA41</f>
        <v>0</v>
      </c>
      <c r="D32" s="55">
        <f>B!$AA41</f>
        <v>0</v>
      </c>
      <c r="E32" s="55">
        <f>'C'!$AA41</f>
        <v>0</v>
      </c>
      <c r="F32" s="55">
        <f>D!$AA41</f>
        <v>0</v>
      </c>
      <c r="G32" s="55">
        <f>E!$AA41</f>
        <v>0</v>
      </c>
      <c r="H32" s="55">
        <f>F!$AA41</f>
        <v>0</v>
      </c>
      <c r="I32" s="55">
        <f>G!$AA41</f>
        <v>0</v>
      </c>
      <c r="J32" s="55">
        <f>H!$AA41</f>
        <v>0</v>
      </c>
      <c r="K32" s="55">
        <f>I!$AA41</f>
        <v>0</v>
      </c>
      <c r="L32" s="55">
        <f>J!$AA41</f>
        <v>0</v>
      </c>
      <c r="M32" s="55">
        <f>K!$AA41</f>
        <v>0</v>
      </c>
      <c r="N32" s="56">
        <f>L!$AA41</f>
        <v>0</v>
      </c>
      <c r="O32" s="86"/>
      <c r="P32" s="466" t="e">
        <f>AVERAGE(INDEX($C$2:$N$67,AA32,MATCH($P$1,$C$2:$N$2,0)):INDEX($C$2:$N$67,AA32,MATCH($P$2,$C$2:$N$2,0)))</f>
        <v>#N/A</v>
      </c>
      <c r="Q32" s="86"/>
      <c r="R32" s="86"/>
      <c r="S32" s="86"/>
      <c r="T32" s="86"/>
      <c r="U32" s="86"/>
      <c r="V32" s="86"/>
      <c r="AA32" s="52">
        <f t="shared" si="0"/>
        <v>31</v>
      </c>
      <c r="AB32" s="52" t="str">
        <f>IF('Month A'!Y41=B!Y41,IF(B!Y41='C'!Y41,IF('C'!Y41=D!Y41,IF(D!Y41=E!Y41,IF(E!Y41=F!Y41,$AB$1,$AC$1),$AC$1),$AC$1),$AC$1),$AC$1)</f>
        <v>זהה</v>
      </c>
      <c r="AC32" s="52" t="str">
        <f>IF(F!Y41=G!Y41,IF(G!Y41=H!Y41,IF(H!Y41=I!Y41,IF(I!Y41=J!Y41,IF(J!Y41=K!Y41,IF(K!Y41=L!Y41,$AB$1,$AC$1),$AC$1),$AC$1),$AC$1),$AC$1),$AC$1)</f>
        <v>זהה</v>
      </c>
    </row>
    <row r="33" spans="1:29">
      <c r="A33" s="1293"/>
      <c r="B33" s="142" t="str">
        <f>IF(AC33=$AB$1,IF(AB33=$AB$1,L!Y42,$AB$2),$AB$2)</f>
        <v>National Insurance</v>
      </c>
      <c r="C33" s="55">
        <f>'Month A'!AA42</f>
        <v>0</v>
      </c>
      <c r="D33" s="55">
        <f>B!$AA42</f>
        <v>0</v>
      </c>
      <c r="E33" s="55">
        <f>'C'!$AA42</f>
        <v>0</v>
      </c>
      <c r="F33" s="55">
        <f>D!$AA42</f>
        <v>0</v>
      </c>
      <c r="G33" s="55">
        <f>E!$AA42</f>
        <v>0</v>
      </c>
      <c r="H33" s="55">
        <f>F!$AA42</f>
        <v>0</v>
      </c>
      <c r="I33" s="55">
        <f>G!$AA42</f>
        <v>0</v>
      </c>
      <c r="J33" s="55">
        <f>H!$AA42</f>
        <v>0</v>
      </c>
      <c r="K33" s="55">
        <f>I!$AA42</f>
        <v>0</v>
      </c>
      <c r="L33" s="55">
        <f>J!$AA42</f>
        <v>0</v>
      </c>
      <c r="M33" s="55">
        <f>K!$AA42</f>
        <v>0</v>
      </c>
      <c r="N33" s="56">
        <f>L!$AA42</f>
        <v>0</v>
      </c>
      <c r="O33" s="86"/>
      <c r="P33" s="466" t="e">
        <f>AVERAGE(INDEX($C$2:$N$67,AA33,MATCH($P$1,$C$2:$N$2,0)):INDEX($C$2:$N$67,AA33,MATCH($P$2,$C$2:$N$2,0)))</f>
        <v>#N/A</v>
      </c>
      <c r="Q33" s="86"/>
      <c r="R33" s="86"/>
      <c r="S33" s="86"/>
      <c r="T33" s="86"/>
      <c r="U33" s="86"/>
      <c r="V33" s="86"/>
      <c r="AA33" s="52">
        <f t="shared" si="0"/>
        <v>32</v>
      </c>
      <c r="AB33" s="52" t="str">
        <f>IF('Month A'!Y42=B!Y42,IF(B!Y42='C'!Y42,IF('C'!Y42=D!Y42,IF(D!Y42=E!Y42,IF(E!Y42=F!Y42,$AB$1,$AC$1),$AC$1),$AC$1),$AC$1),$AC$1)</f>
        <v>זהה</v>
      </c>
      <c r="AC33" s="52" t="str">
        <f>IF(F!Y42=G!Y42,IF(G!Y42=H!Y42,IF(H!Y42=I!Y42,IF(I!Y42=J!Y42,IF(J!Y42=K!Y42,IF(K!Y42=L!Y42,$AB$1,$AC$1),$AC$1),$AC$1),$AC$1),$AC$1),$AC$1)</f>
        <v>זהה</v>
      </c>
    </row>
    <row r="34" spans="1:29">
      <c r="A34" s="1293"/>
      <c r="B34" s="142">
        <f>IF(AC34=$AB$1,IF(AB34=$AB$1,L!Y43,$AB$2),$AB$2)</f>
        <v>0</v>
      </c>
      <c r="C34" s="55">
        <f>'Month A'!AA43</f>
        <v>0</v>
      </c>
      <c r="D34" s="55">
        <f>B!$AA43</f>
        <v>0</v>
      </c>
      <c r="E34" s="55">
        <f>'C'!$AA43</f>
        <v>0</v>
      </c>
      <c r="F34" s="55">
        <f>D!$AA43</f>
        <v>0</v>
      </c>
      <c r="G34" s="55">
        <f>E!$AA43</f>
        <v>0</v>
      </c>
      <c r="H34" s="55">
        <f>F!$AA43</f>
        <v>0</v>
      </c>
      <c r="I34" s="55">
        <f>G!$AA43</f>
        <v>0</v>
      </c>
      <c r="J34" s="55">
        <f>H!$AA43</f>
        <v>0</v>
      </c>
      <c r="K34" s="55">
        <f>I!$AA43</f>
        <v>0</v>
      </c>
      <c r="L34" s="55">
        <f>J!$AA43</f>
        <v>0</v>
      </c>
      <c r="M34" s="55">
        <f>K!$AA43</f>
        <v>0</v>
      </c>
      <c r="N34" s="56">
        <f>L!$AA43</f>
        <v>0</v>
      </c>
      <c r="O34" s="86"/>
      <c r="P34" s="466" t="e">
        <f>AVERAGE(INDEX($C$2:$N$67,AA34,MATCH($P$1,$C$2:$N$2,0)):INDEX($C$2:$N$67,AA34,MATCH($P$2,$C$2:$N$2,0)))</f>
        <v>#N/A</v>
      </c>
      <c r="Q34" s="86"/>
      <c r="R34" s="86"/>
      <c r="S34" s="86"/>
      <c r="T34" s="86"/>
      <c r="U34" s="86"/>
      <c r="V34" s="86"/>
      <c r="AA34" s="52">
        <f t="shared" si="0"/>
        <v>33</v>
      </c>
      <c r="AB34" s="52" t="str">
        <f>IF('Month A'!Y43=B!Y43,IF(B!Y43='C'!Y43,IF('C'!Y43=D!Y43,IF(D!Y43=E!Y43,IF(E!Y43=F!Y43,$AB$1,$AC$1),$AC$1),$AC$1),$AC$1),$AC$1)</f>
        <v>זהה</v>
      </c>
      <c r="AC34" s="52" t="str">
        <f>IF(F!Y43=G!Y43,IF(G!Y43=H!Y43,IF(H!Y43=I!Y43,IF(I!Y43=J!Y43,IF(J!Y43=K!Y43,IF(K!Y43=L!Y43,$AB$1,$AC$1),$AC$1),$AC$1),$AC$1),$AC$1),$AC$1)</f>
        <v>זהה</v>
      </c>
    </row>
    <row r="35" spans="1:29" ht="15" thickBot="1">
      <c r="A35" s="1294"/>
      <c r="B35" s="143">
        <f>IF(AC35=$AB$1,IF(AB35=$AB$1,L!Y44,$AB$2),$AB$2)</f>
        <v>0</v>
      </c>
      <c r="C35" s="57">
        <f>'Month A'!AA44</f>
        <v>0</v>
      </c>
      <c r="D35" s="57">
        <f>B!$AA44</f>
        <v>0</v>
      </c>
      <c r="E35" s="57">
        <f>'C'!$AA44</f>
        <v>0</v>
      </c>
      <c r="F35" s="57">
        <f>D!$AA44</f>
        <v>0</v>
      </c>
      <c r="G35" s="57">
        <f>E!$AA44</f>
        <v>0</v>
      </c>
      <c r="H35" s="57">
        <f>F!$AA44</f>
        <v>0</v>
      </c>
      <c r="I35" s="57">
        <f>G!$AA44</f>
        <v>0</v>
      </c>
      <c r="J35" s="57">
        <f>H!$AA44</f>
        <v>0</v>
      </c>
      <c r="K35" s="57">
        <f>I!$AA44</f>
        <v>0</v>
      </c>
      <c r="L35" s="57">
        <f>J!$AA44</f>
        <v>0</v>
      </c>
      <c r="M35" s="57">
        <f>K!$AA44</f>
        <v>0</v>
      </c>
      <c r="N35" s="58">
        <f>L!$AA44</f>
        <v>0</v>
      </c>
      <c r="O35" s="86"/>
      <c r="P35" s="467" t="e">
        <f>AVERAGE(INDEX($C$2:$N$67,AA35,MATCH($P$1,$C$2:$N$2,0)):INDEX($C$2:$N$67,AA35,MATCH($P$2,$C$2:$N$2,0)))</f>
        <v>#N/A</v>
      </c>
      <c r="Q35" s="86"/>
      <c r="R35" s="86"/>
      <c r="S35" s="86"/>
      <c r="T35" s="86"/>
      <c r="U35" s="86"/>
      <c r="V35" s="86"/>
      <c r="AA35" s="52">
        <f t="shared" si="0"/>
        <v>34</v>
      </c>
      <c r="AB35" s="52" t="str">
        <f>IF('Month A'!Y44=B!Y44,IF(B!Y44='C'!Y44,IF('C'!Y44=D!Y44,IF(D!Y44=E!Y44,IF(E!Y44=F!Y44,$AB$1,$AC$1),$AC$1),$AC$1),$AC$1),$AC$1)</f>
        <v>זהה</v>
      </c>
      <c r="AC35" s="52" t="str">
        <f>IF(F!Y44=G!Y44,IF(G!Y44=H!Y44,IF(H!Y44=I!Y44,IF(I!Y44=J!Y44,IF(J!Y44=K!Y44,IF(K!Y44=L!Y44,$AB$1,$AC$1),$AC$1),$AC$1),$AC$1),$AC$1),$AC$1)</f>
        <v>זהה</v>
      </c>
    </row>
    <row r="36" spans="1:29">
      <c r="A36" s="1308" t="s">
        <v>397</v>
      </c>
      <c r="B36" s="118" t="str">
        <f>IF(AC36=$AB$1,IF(AB36=$AB$1,L!B45,$AB$2),$AB$2)</f>
        <v>Food</v>
      </c>
      <c r="C36" s="53">
        <f>'Month A'!D45</f>
        <v>0</v>
      </c>
      <c r="D36" s="53">
        <f>B!$D45</f>
        <v>0</v>
      </c>
      <c r="E36" s="53">
        <f>'C'!$D45</f>
        <v>0</v>
      </c>
      <c r="F36" s="53">
        <f>D!$D45</f>
        <v>0</v>
      </c>
      <c r="G36" s="53">
        <f>E!$D45</f>
        <v>0</v>
      </c>
      <c r="H36" s="53">
        <f>F!$D45</f>
        <v>0</v>
      </c>
      <c r="I36" s="53">
        <f>G!$D45</f>
        <v>0</v>
      </c>
      <c r="J36" s="53">
        <f>H!$D45</f>
        <v>0</v>
      </c>
      <c r="K36" s="53">
        <f>I!$D45</f>
        <v>0</v>
      </c>
      <c r="L36" s="53">
        <f>J!$D45</f>
        <v>0</v>
      </c>
      <c r="M36" s="53">
        <f>K!$D45</f>
        <v>0</v>
      </c>
      <c r="N36" s="54">
        <f>L!$D45</f>
        <v>0</v>
      </c>
      <c r="O36" s="86"/>
      <c r="P36" s="468" t="e">
        <f>AVERAGE(INDEX($C$2:$N$67,AA36,MATCH($P$1,$C$2:$N$2,0)):INDEX($C$2:$N$67,AA36,MATCH($P$2,$C$2:$N$2,0)))</f>
        <v>#N/A</v>
      </c>
      <c r="Q36" s="86"/>
      <c r="R36" s="86"/>
      <c r="S36" s="86"/>
      <c r="T36" s="86"/>
      <c r="U36" s="86"/>
      <c r="V36" s="86"/>
      <c r="AA36" s="52">
        <f t="shared" si="0"/>
        <v>35</v>
      </c>
      <c r="AB36" s="52" t="str">
        <f>IF('Month A'!B45=B!B45,IF(B!B45='C'!B45,IF('C'!B45=D!B45,IF(D!B45=E!B45,IF(E!B45=F!B45,$AB$1,$AC$1),$AC$1),$AC$1),$AC$1),$AC$1)</f>
        <v>זהה</v>
      </c>
      <c r="AC36" s="52" t="str">
        <f>IF(F!B45=G!B45,IF(G!B45=H!B45,IF(H!B45=I!B45,IF(I!B45=J!B45,IF(J!B45=K!B45,IF(K!B45=L!B45,$AB$1,$AC$1),$AC$1),$AC$1),$AC$1),$AC$1),$AC$1)</f>
        <v>זהה</v>
      </c>
    </row>
    <row r="37" spans="1:29">
      <c r="A37" s="1309"/>
      <c r="B37" s="119" t="str">
        <f>IF(AC37=$AB$1,IF(AB37=$AB$1,L!B46,$AB$2),$AB$2)</f>
        <v>Public Transportation</v>
      </c>
      <c r="C37" s="55">
        <f>'Month A'!D46</f>
        <v>0</v>
      </c>
      <c r="D37" s="55">
        <f>B!$D46</f>
        <v>0</v>
      </c>
      <c r="E37" s="55">
        <f>'C'!$D46</f>
        <v>0</v>
      </c>
      <c r="F37" s="55">
        <f>D!$D46</f>
        <v>0</v>
      </c>
      <c r="G37" s="55">
        <f>E!$D46</f>
        <v>0</v>
      </c>
      <c r="H37" s="55">
        <f>F!$D46</f>
        <v>0</v>
      </c>
      <c r="I37" s="55">
        <f>G!$D46</f>
        <v>0</v>
      </c>
      <c r="J37" s="55">
        <f>H!$D46</f>
        <v>0</v>
      </c>
      <c r="K37" s="55">
        <f>I!$D46</f>
        <v>0</v>
      </c>
      <c r="L37" s="55">
        <f>J!$D46</f>
        <v>0</v>
      </c>
      <c r="M37" s="55">
        <f>K!$D46</f>
        <v>0</v>
      </c>
      <c r="N37" s="56">
        <f>L!$D46</f>
        <v>0</v>
      </c>
      <c r="O37" s="86"/>
      <c r="P37" s="466" t="e">
        <f>AVERAGE(INDEX($C$2:$N$67,AA37,MATCH($P$1,$C$2:$N$2,0)):INDEX($C$2:$N$67,AA37,MATCH($P$2,$C$2:$N$2,0)))</f>
        <v>#N/A</v>
      </c>
      <c r="Q37" s="86"/>
      <c r="R37" s="86"/>
      <c r="S37" s="86"/>
      <c r="T37" s="86"/>
      <c r="U37" s="86"/>
      <c r="V37" s="86"/>
      <c r="AA37" s="52">
        <f t="shared" si="0"/>
        <v>36</v>
      </c>
      <c r="AB37" s="52" t="str">
        <f>IF('Month A'!B46=B!B46,IF(B!B46='C'!B46,IF('C'!B46=D!B46,IF(D!B46=E!B46,IF(E!B46=F!B46,$AB$1,$AC$1),$AC$1),$AC$1),$AC$1),$AC$1)</f>
        <v>זהה</v>
      </c>
      <c r="AC37" s="52" t="str">
        <f>IF(F!B46=G!B46,IF(G!B46=H!B46,IF(H!B46=I!B46,IF(I!B46=J!B46,IF(J!B46=K!B46,IF(K!B46=L!B46,$AB$1,$AC$1),$AC$1),$AC$1),$AC$1),$AC$1),$AC$1)</f>
        <v>זהה</v>
      </c>
    </row>
    <row r="38" spans="1:29">
      <c r="A38" s="1309"/>
      <c r="B38" s="119" t="str">
        <f>IF(AC38=$AB$1,IF(AB38=$AB$1,L!B47,$AB$2),$AB$2)</f>
        <v>Gas and Parking</v>
      </c>
      <c r="C38" s="55">
        <f>'Month A'!D47</f>
        <v>0</v>
      </c>
      <c r="D38" s="55">
        <f>B!$D47</f>
        <v>0</v>
      </c>
      <c r="E38" s="55">
        <f>'C'!$D47</f>
        <v>0</v>
      </c>
      <c r="F38" s="55">
        <f>D!$D47</f>
        <v>0</v>
      </c>
      <c r="G38" s="55">
        <f>E!$D47</f>
        <v>0</v>
      </c>
      <c r="H38" s="55">
        <f>F!$D47</f>
        <v>0</v>
      </c>
      <c r="I38" s="55">
        <f>G!$D47</f>
        <v>0</v>
      </c>
      <c r="J38" s="55">
        <f>H!$D47</f>
        <v>0</v>
      </c>
      <c r="K38" s="55">
        <f>I!$D47</f>
        <v>0</v>
      </c>
      <c r="L38" s="55">
        <f>J!$D47</f>
        <v>0</v>
      </c>
      <c r="M38" s="55">
        <f>K!$D47</f>
        <v>0</v>
      </c>
      <c r="N38" s="56">
        <f>L!$D47</f>
        <v>0</v>
      </c>
      <c r="O38" s="86"/>
      <c r="P38" s="466" t="e">
        <f>AVERAGE(INDEX($C$2:$N$67,AA38,MATCH($P$1,$C$2:$N$2,0)):INDEX($C$2:$N$67,AA38,MATCH($P$2,$C$2:$N$2,0)))</f>
        <v>#N/A</v>
      </c>
      <c r="Q38" s="86"/>
      <c r="R38" s="86"/>
      <c r="S38" s="86"/>
      <c r="T38" s="86"/>
      <c r="U38" s="86"/>
      <c r="V38" s="86"/>
      <c r="AA38" s="52">
        <f t="shared" si="0"/>
        <v>37</v>
      </c>
      <c r="AB38" s="52" t="str">
        <f>IF('Month A'!B47=B!B47,IF(B!B47='C'!B47,IF('C'!B47=D!B47,IF(D!B47=E!B47,IF(E!B47=F!B47,$AB$1,$AC$1),$AC$1),$AC$1),$AC$1),$AC$1)</f>
        <v>זהה</v>
      </c>
      <c r="AC38" s="52" t="str">
        <f>IF(F!B47=G!B47,IF(G!B47=H!B47,IF(H!B47=I!B47,IF(I!B47=J!B47,IF(J!B47=K!B47,IF(K!B47=L!B47,$AB$1,$AC$1),$AC$1),$AC$1),$AC$1),$AC$1),$AC$1)</f>
        <v>זהה</v>
      </c>
    </row>
    <row r="39" spans="1:29">
      <c r="A39" s="1309"/>
      <c r="B39" s="119" t="str">
        <f>IF(AC39=$AB$1,IF(AB39=$AB$1,L!B48,$AB$2),$AB$2)</f>
        <v>Telephone-Landline/Long Distance</v>
      </c>
      <c r="C39" s="55">
        <f>'Month A'!D48</f>
        <v>0</v>
      </c>
      <c r="D39" s="55">
        <f>B!$D48</f>
        <v>0</v>
      </c>
      <c r="E39" s="55">
        <f>'C'!$D48</f>
        <v>0</v>
      </c>
      <c r="F39" s="55">
        <f>D!$D48</f>
        <v>0</v>
      </c>
      <c r="G39" s="55">
        <f>E!$D48</f>
        <v>0</v>
      </c>
      <c r="H39" s="55">
        <f>F!$D48</f>
        <v>0</v>
      </c>
      <c r="I39" s="55">
        <f>G!$D48</f>
        <v>0</v>
      </c>
      <c r="J39" s="55">
        <f>H!$D48</f>
        <v>0</v>
      </c>
      <c r="K39" s="55">
        <f>I!$D48</f>
        <v>0</v>
      </c>
      <c r="L39" s="55">
        <f>J!$D48</f>
        <v>0</v>
      </c>
      <c r="M39" s="55">
        <f>K!$D48</f>
        <v>0</v>
      </c>
      <c r="N39" s="56">
        <f>L!$D48</f>
        <v>0</v>
      </c>
      <c r="O39" s="86"/>
      <c r="P39" s="466" t="e">
        <f>AVERAGE(INDEX($C$2:$N$67,AA39,MATCH($P$1,$C$2:$N$2,0)):INDEX($C$2:$N$67,AA39,MATCH($P$2,$C$2:$N$2,0)))</f>
        <v>#N/A</v>
      </c>
      <c r="Q39" s="86"/>
      <c r="R39" s="86"/>
      <c r="S39" s="86"/>
      <c r="T39" s="86"/>
      <c r="U39" s="86"/>
      <c r="V39" s="86"/>
      <c r="AA39" s="52">
        <f t="shared" si="0"/>
        <v>38</v>
      </c>
      <c r="AB39" s="52" t="str">
        <f>IF('Month A'!B48=B!B48,IF(B!B48='C'!B48,IF('C'!B48=D!B48,IF(D!B48=E!B48,IF(E!B48=F!B48,$AB$1,$AC$1),$AC$1),$AC$1),$AC$1),$AC$1)</f>
        <v>זהה</v>
      </c>
      <c r="AC39" s="52" t="str">
        <f>IF(F!B48=G!B48,IF(G!B48=H!B48,IF(H!B48=I!B48,IF(I!B48=J!B48,IF(J!B48=K!B48,IF(K!B48=L!B48,$AB$1,$AC$1),$AC$1),$AC$1),$AC$1),$AC$1),$AC$1)</f>
        <v>זהה</v>
      </c>
    </row>
    <row r="40" spans="1:29">
      <c r="A40" s="1309"/>
      <c r="B40" s="119" t="str">
        <f>IF(AC40=$AB$1,IF(AB40=$AB$1,L!B49,$AB$2),$AB$2)</f>
        <v>Cell Phones</v>
      </c>
      <c r="C40" s="55">
        <f>'Month A'!D49</f>
        <v>0</v>
      </c>
      <c r="D40" s="55">
        <f>B!$D49</f>
        <v>0</v>
      </c>
      <c r="E40" s="55">
        <f>'C'!$D49</f>
        <v>0</v>
      </c>
      <c r="F40" s="55">
        <f>D!$D49</f>
        <v>0</v>
      </c>
      <c r="G40" s="55">
        <f>E!$D49</f>
        <v>0</v>
      </c>
      <c r="H40" s="55">
        <f>F!$D49</f>
        <v>0</v>
      </c>
      <c r="I40" s="55">
        <f>G!$D49</f>
        <v>0</v>
      </c>
      <c r="J40" s="55">
        <f>H!$D49</f>
        <v>0</v>
      </c>
      <c r="K40" s="55">
        <f>I!$D49</f>
        <v>0</v>
      </c>
      <c r="L40" s="55">
        <f>J!$D49</f>
        <v>0</v>
      </c>
      <c r="M40" s="55">
        <f>K!$D49</f>
        <v>0</v>
      </c>
      <c r="N40" s="56">
        <f>L!$D49</f>
        <v>0</v>
      </c>
      <c r="O40" s="86"/>
      <c r="P40" s="466" t="e">
        <f>AVERAGE(INDEX($C$2:$N$67,AA40,MATCH($P$1,$C$2:$N$2,0)):INDEX($C$2:$N$67,AA40,MATCH($P$2,$C$2:$N$2,0)))</f>
        <v>#N/A</v>
      </c>
      <c r="Q40" s="86"/>
      <c r="R40" s="86"/>
      <c r="S40" s="86"/>
      <c r="T40" s="86"/>
      <c r="U40" s="86"/>
      <c r="V40" s="86"/>
      <c r="AA40" s="52">
        <f t="shared" si="0"/>
        <v>39</v>
      </c>
      <c r="AB40" s="52" t="str">
        <f>IF('Month A'!B49=B!B49,IF(B!B49='C'!B49,IF('C'!B49=D!B49,IF(D!B49=E!B49,IF(E!B49=F!B49,$AB$1,$AC$1),$AC$1),$AC$1),$AC$1),$AC$1)</f>
        <v>זהה</v>
      </c>
      <c r="AC40" s="52" t="str">
        <f>IF(F!B49=G!B49,IF(G!B49=H!B49,IF(H!B49=I!B49,IF(I!B49=J!B49,IF(J!B49=K!B49,IF(K!B49=L!B49,$AB$1,$AC$1),$AC$1),$AC$1),$AC$1),$AC$1),$AC$1)</f>
        <v>זהה</v>
      </c>
    </row>
    <row r="41" spans="1:29">
      <c r="A41" s="1309"/>
      <c r="B41" s="119" t="str">
        <f>IF(AC41=$AB$1,IF(AB41=$AB$1,L!B50,$AB$2),$AB$2)</f>
        <v>Home</v>
      </c>
      <c r="C41" s="55">
        <f>'Month A'!D50</f>
        <v>0</v>
      </c>
      <c r="D41" s="55">
        <f>B!$D50</f>
        <v>0</v>
      </c>
      <c r="E41" s="55">
        <f>'C'!$D50</f>
        <v>0</v>
      </c>
      <c r="F41" s="55">
        <f>D!$D50</f>
        <v>0</v>
      </c>
      <c r="G41" s="55">
        <f>E!$D50</f>
        <v>0</v>
      </c>
      <c r="H41" s="55">
        <f>F!$D50</f>
        <v>0</v>
      </c>
      <c r="I41" s="55">
        <f>G!$D50</f>
        <v>0</v>
      </c>
      <c r="J41" s="55">
        <f>H!$D50</f>
        <v>0</v>
      </c>
      <c r="K41" s="55">
        <f>I!$D50</f>
        <v>0</v>
      </c>
      <c r="L41" s="55">
        <f>J!$D50</f>
        <v>0</v>
      </c>
      <c r="M41" s="55">
        <f>K!$D50</f>
        <v>0</v>
      </c>
      <c r="N41" s="56">
        <f>L!$D50</f>
        <v>0</v>
      </c>
      <c r="O41" s="86"/>
      <c r="P41" s="466" t="e">
        <f>AVERAGE(INDEX($C$2:$N$67,AA41,MATCH($P$1,$C$2:$N$2,0)):INDEX($C$2:$N$67,AA41,MATCH($P$2,$C$2:$N$2,0)))</f>
        <v>#N/A</v>
      </c>
      <c r="Q41" s="86"/>
      <c r="R41" s="86"/>
      <c r="S41" s="86"/>
      <c r="T41" s="86"/>
      <c r="U41" s="86"/>
      <c r="V41" s="86"/>
      <c r="AA41" s="52">
        <f t="shared" si="0"/>
        <v>40</v>
      </c>
      <c r="AB41" s="52" t="str">
        <f>IF('Month A'!B50=B!B50,IF(B!B50='C'!B50,IF('C'!B50=D!B50,IF(D!B50=E!B50,IF(E!B50=F!B50,$AB$1,$AC$1),$AC$1),$AC$1),$AC$1),$AC$1)</f>
        <v>זהה</v>
      </c>
      <c r="AC41" s="52" t="str">
        <f>IF(F!B50=G!B50,IF(G!B50=H!B50,IF(H!B50=I!B50,IF(I!B50=J!B50,IF(J!B50=K!B50,IF(K!B50=L!B50,$AB$1,$AC$1),$AC$1),$AC$1),$AC$1),$AC$1),$AC$1)</f>
        <v>זהה</v>
      </c>
    </row>
    <row r="42" spans="1:29">
      <c r="A42" s="1309"/>
      <c r="B42" s="119" t="str">
        <f>IF(AC42=$AB$1,IF(AB42=$AB$1,L!B51,$AB$2),$AB$2)</f>
        <v>Cleaning help / Babysitter</v>
      </c>
      <c r="C42" s="55">
        <f>'Month A'!D51</f>
        <v>0</v>
      </c>
      <c r="D42" s="55">
        <f>B!$D51</f>
        <v>0</v>
      </c>
      <c r="E42" s="55">
        <f>'C'!$D51</f>
        <v>0</v>
      </c>
      <c r="F42" s="55">
        <f>D!$D51</f>
        <v>0</v>
      </c>
      <c r="G42" s="55">
        <f>E!$D51</f>
        <v>0</v>
      </c>
      <c r="H42" s="55">
        <f>F!$D51</f>
        <v>0</v>
      </c>
      <c r="I42" s="55">
        <f>G!$D51</f>
        <v>0</v>
      </c>
      <c r="J42" s="55">
        <f>H!$D51</f>
        <v>0</v>
      </c>
      <c r="K42" s="55">
        <f>I!$D51</f>
        <v>0</v>
      </c>
      <c r="L42" s="55">
        <f>J!$D51</f>
        <v>0</v>
      </c>
      <c r="M42" s="55">
        <f>K!$D51</f>
        <v>0</v>
      </c>
      <c r="N42" s="56">
        <f>L!$D51</f>
        <v>0</v>
      </c>
      <c r="O42" s="86"/>
      <c r="P42" s="466" t="e">
        <f>AVERAGE(INDEX($C$2:$N$67,AA42,MATCH($P$1,$C$2:$N$2,0)):INDEX($C$2:$N$67,AA42,MATCH($P$2,$C$2:$N$2,0)))</f>
        <v>#N/A</v>
      </c>
      <c r="Q42" s="86"/>
      <c r="R42" s="86"/>
      <c r="S42" s="86"/>
      <c r="T42" s="86"/>
      <c r="U42" s="86"/>
      <c r="V42" s="86"/>
      <c r="AA42" s="52">
        <f t="shared" si="0"/>
        <v>41</v>
      </c>
      <c r="AB42" s="52" t="str">
        <f>IF('Month A'!B51=B!B51,IF(B!B51='C'!B51,IF('C'!B51=D!B51,IF(D!B51=E!B51,IF(E!B51=F!B51,$AB$1,$AC$1),$AC$1),$AC$1),$AC$1),$AC$1)</f>
        <v>זהה</v>
      </c>
      <c r="AC42" s="52" t="str">
        <f>IF(F!B51=G!B51,IF(G!B51=H!B51,IF(H!B51=I!B51,IF(I!B51=J!B51,IF(J!B51=K!B51,IF(K!B51=L!B51,$AB$1,$AC$1),$AC$1),$AC$1),$AC$1),$AC$1),$AC$1)</f>
        <v>זהה</v>
      </c>
    </row>
    <row r="43" spans="1:29">
      <c r="A43" s="1309"/>
      <c r="B43" s="119" t="str">
        <f>IF(AC43=$AB$1,IF(AB43=$AB$1,L!B52,$AB$2),$AB$2)</f>
        <v>Cigarettes</v>
      </c>
      <c r="C43" s="55">
        <f>'Month A'!D52</f>
        <v>0</v>
      </c>
      <c r="D43" s="55">
        <f>B!$D52</f>
        <v>0</v>
      </c>
      <c r="E43" s="55">
        <f>'C'!$D52</f>
        <v>0</v>
      </c>
      <c r="F43" s="55">
        <f>D!$D52</f>
        <v>0</v>
      </c>
      <c r="G43" s="55">
        <f>E!$D52</f>
        <v>0</v>
      </c>
      <c r="H43" s="55">
        <f>F!$D52</f>
        <v>0</v>
      </c>
      <c r="I43" s="55">
        <f>G!$D52</f>
        <v>0</v>
      </c>
      <c r="J43" s="55">
        <f>H!$D52</f>
        <v>0</v>
      </c>
      <c r="K43" s="55">
        <f>I!$D52</f>
        <v>0</v>
      </c>
      <c r="L43" s="55">
        <f>J!$D52</f>
        <v>0</v>
      </c>
      <c r="M43" s="55">
        <f>K!$D52</f>
        <v>0</v>
      </c>
      <c r="N43" s="56">
        <f>L!$D52</f>
        <v>0</v>
      </c>
      <c r="O43" s="86"/>
      <c r="P43" s="466" t="e">
        <f>AVERAGE(INDEX($C$2:$N$67,AA43,MATCH($P$1,$C$2:$N$2,0)):INDEX($C$2:$N$67,AA43,MATCH($P$2,$C$2:$N$2,0)))</f>
        <v>#N/A</v>
      </c>
      <c r="Q43" s="86"/>
      <c r="R43" s="86"/>
      <c r="S43" s="86"/>
      <c r="T43" s="86"/>
      <c r="U43" s="86"/>
      <c r="V43" s="86"/>
      <c r="AA43" s="52">
        <f t="shared" si="0"/>
        <v>42</v>
      </c>
      <c r="AB43" s="52" t="str">
        <f>IF('Month A'!B52=B!B52,IF(B!B52='C'!B52,IF('C'!B52=D!B52,IF(D!B52=E!B52,IF(E!B52=F!B52,$AB$1,$AC$1),$AC$1),$AC$1),$AC$1),$AC$1)</f>
        <v>זהה</v>
      </c>
      <c r="AC43" s="52" t="str">
        <f>IF(F!B52=G!B52,IF(G!B52=H!B52,IF(H!B52=I!B52,IF(I!B52=J!B52,IF(J!B52=K!B52,IF(K!B52=L!B52,$AB$1,$AC$1),$AC$1),$AC$1),$AC$1),$AC$1),$AC$1)</f>
        <v>זהה</v>
      </c>
    </row>
    <row r="44" spans="1:29">
      <c r="A44" s="1309"/>
      <c r="B44" s="119" t="str">
        <f>IF(AC44=$AB$1,IF(AB44=$AB$1,L!B53,$AB$2),$AB$2)</f>
        <v>Other</v>
      </c>
      <c r="C44" s="55">
        <f>'Month A'!D53</f>
        <v>0</v>
      </c>
      <c r="D44" s="55">
        <f>B!$D53</f>
        <v>0</v>
      </c>
      <c r="E44" s="55">
        <f>'C'!$D53</f>
        <v>0</v>
      </c>
      <c r="F44" s="55">
        <f>D!$D53</f>
        <v>0</v>
      </c>
      <c r="G44" s="55">
        <f>E!$D53</f>
        <v>0</v>
      </c>
      <c r="H44" s="55">
        <f>F!$D53</f>
        <v>0</v>
      </c>
      <c r="I44" s="55">
        <f>G!$D53</f>
        <v>0</v>
      </c>
      <c r="J44" s="55">
        <f>H!$D53</f>
        <v>0</v>
      </c>
      <c r="K44" s="55">
        <f>I!$D53</f>
        <v>0</v>
      </c>
      <c r="L44" s="55">
        <f>J!$D53</f>
        <v>0</v>
      </c>
      <c r="M44" s="55">
        <f>K!$D53</f>
        <v>0</v>
      </c>
      <c r="N44" s="56">
        <f>L!$D53</f>
        <v>0</v>
      </c>
      <c r="O44" s="86"/>
      <c r="P44" s="466" t="e">
        <f>AVERAGE(INDEX($C$2:$N$67,AA44,MATCH($P$1,$C$2:$N$2,0)):INDEX($C$2:$N$67,AA44,MATCH($P$2,$C$2:$N$2,0)))</f>
        <v>#N/A</v>
      </c>
      <c r="Q44" s="86"/>
      <c r="R44" s="86"/>
      <c r="S44" s="86"/>
      <c r="T44" s="86"/>
      <c r="U44" s="86"/>
      <c r="V44" s="86"/>
      <c r="AA44" s="52">
        <f t="shared" si="0"/>
        <v>43</v>
      </c>
      <c r="AB44" s="52" t="str">
        <f>IF('Month A'!B53=B!B53,IF(B!B53='C'!B53,IF('C'!B53=D!B53,IF(D!B53=E!B53,IF(E!B53=F!B53,$AB$1,$AC$1),$AC$1),$AC$1),$AC$1),$AC$1)</f>
        <v>זהה</v>
      </c>
      <c r="AC44" s="52" t="str">
        <f>IF(F!B53=G!B53,IF(G!B53=H!B53,IF(H!B53=I!B53,IF(I!B53=J!B53,IF(J!B53=K!B53,IF(K!B53=L!B53,$AB$1,$AC$1),$AC$1),$AC$1),$AC$1),$AC$1),$AC$1)</f>
        <v>זהה</v>
      </c>
    </row>
    <row r="45" spans="1:29">
      <c r="A45" s="1309"/>
      <c r="B45" s="119">
        <f>IF(AC45=$AB$1,IF(AB45=$AB$1,L!B54,$AB$2),$AB$2)</f>
        <v>0</v>
      </c>
      <c r="C45" s="55">
        <f>'Month A'!D54</f>
        <v>0</v>
      </c>
      <c r="D45" s="55">
        <f>B!$D54</f>
        <v>0</v>
      </c>
      <c r="E45" s="55">
        <f>'C'!$D54</f>
        <v>0</v>
      </c>
      <c r="F45" s="55">
        <f>D!$D54</f>
        <v>0</v>
      </c>
      <c r="G45" s="55">
        <f>E!$D54</f>
        <v>0</v>
      </c>
      <c r="H45" s="55">
        <f>F!$D54</f>
        <v>0</v>
      </c>
      <c r="I45" s="55">
        <f>G!$D54</f>
        <v>0</v>
      </c>
      <c r="J45" s="55">
        <f>H!$D54</f>
        <v>0</v>
      </c>
      <c r="K45" s="55">
        <f>I!$D54</f>
        <v>0</v>
      </c>
      <c r="L45" s="55">
        <f>J!$D54</f>
        <v>0</v>
      </c>
      <c r="M45" s="55">
        <f>K!$D54</f>
        <v>0</v>
      </c>
      <c r="N45" s="56">
        <f>L!$D54</f>
        <v>0</v>
      </c>
      <c r="O45" s="86"/>
      <c r="P45" s="466" t="e">
        <f>AVERAGE(INDEX($C$2:$N$67,AA45,MATCH($P$1,$C$2:$N$2,0)):INDEX($C$2:$N$67,AA45,MATCH($P$2,$C$2:$N$2,0)))</f>
        <v>#N/A</v>
      </c>
      <c r="Q45" s="86"/>
      <c r="R45" s="86"/>
      <c r="S45" s="86"/>
      <c r="T45" s="86"/>
      <c r="U45" s="86"/>
      <c r="V45" s="86"/>
      <c r="AA45" s="52">
        <f t="shared" si="0"/>
        <v>44</v>
      </c>
      <c r="AB45" s="52" t="str">
        <f>IF('Month A'!B54=B!B54,IF(B!B54='C'!B54,IF('C'!B54=D!B54,IF(D!B54=E!B54,IF(E!B54=F!B54,$AB$1,$AC$1),$AC$1),$AC$1),$AC$1),$AC$1)</f>
        <v>זהה</v>
      </c>
      <c r="AC45" s="52" t="str">
        <f>IF(F!B54=G!B54,IF(G!B54=H!B54,IF(H!B54=I!B54,IF(I!B54=J!B54,IF(J!B54=K!B54,IF(K!B54=L!B54,$AB$1,$AC$1),$AC$1),$AC$1),$AC$1),$AC$1),$AC$1)</f>
        <v>זהה</v>
      </c>
    </row>
    <row r="46" spans="1:29">
      <c r="A46" s="1309"/>
      <c r="B46" s="119">
        <f>IF(AC46=$AB$1,IF(AB46=$AB$1,L!B55,$AB$2),$AB$2)</f>
        <v>0</v>
      </c>
      <c r="C46" s="55">
        <f>'Month A'!D55</f>
        <v>0</v>
      </c>
      <c r="D46" s="55">
        <f>B!$D55</f>
        <v>0</v>
      </c>
      <c r="E46" s="55">
        <f>'C'!$D55</f>
        <v>0</v>
      </c>
      <c r="F46" s="55">
        <f>D!$D55</f>
        <v>0</v>
      </c>
      <c r="G46" s="55">
        <f>E!$D55</f>
        <v>0</v>
      </c>
      <c r="H46" s="55">
        <f>F!$D55</f>
        <v>0</v>
      </c>
      <c r="I46" s="55">
        <f>G!$D55</f>
        <v>0</v>
      </c>
      <c r="J46" s="55">
        <f>H!$D55</f>
        <v>0</v>
      </c>
      <c r="K46" s="55">
        <f>I!$D55</f>
        <v>0</v>
      </c>
      <c r="L46" s="55">
        <f>J!$D55</f>
        <v>0</v>
      </c>
      <c r="M46" s="55">
        <f>K!$D55</f>
        <v>0</v>
      </c>
      <c r="N46" s="56">
        <f>L!$D55</f>
        <v>0</v>
      </c>
      <c r="O46" s="86"/>
      <c r="P46" s="466" t="e">
        <f>AVERAGE(INDEX($C$2:$N$67,AA46,MATCH($P$1,$C$2:$N$2,0)):INDEX($C$2:$N$67,AA46,MATCH($P$2,$C$2:$N$2,0)))</f>
        <v>#N/A</v>
      </c>
      <c r="Q46" s="86"/>
      <c r="R46" s="86"/>
      <c r="S46" s="86"/>
      <c r="T46" s="86"/>
      <c r="U46" s="86"/>
      <c r="V46" s="86"/>
      <c r="AA46" s="52">
        <f t="shared" si="0"/>
        <v>45</v>
      </c>
      <c r="AB46" s="52" t="str">
        <f>IF('Month A'!B55=B!B55,IF(B!B55='C'!B55,IF('C'!B55=D!B55,IF(D!B55=E!B55,IF(E!B55=F!B55,$AB$1,$AC$1),$AC$1),$AC$1),$AC$1),$AC$1)</f>
        <v>זהה</v>
      </c>
      <c r="AC46" s="52" t="str">
        <f>IF(F!B55=G!B55,IF(G!B55=H!B55,IF(H!B55=I!B55,IF(I!B55=J!B55,IF(J!B55=K!B55,IF(K!B55=L!B55,$AB$1,$AC$1),$AC$1),$AC$1),$AC$1),$AC$1),$AC$1)</f>
        <v>זהה</v>
      </c>
    </row>
    <row r="47" spans="1:29" ht="15.75" customHeight="1" thickBot="1">
      <c r="A47" s="1310"/>
      <c r="B47" s="120">
        <f>IF(AC47=$AB$1,IF(AB47=$AB$1,L!B56,$AB$2),$AB$2)</f>
        <v>0</v>
      </c>
      <c r="C47" s="57">
        <f>'Month A'!D56</f>
        <v>0</v>
      </c>
      <c r="D47" s="57">
        <f>B!$D56</f>
        <v>0</v>
      </c>
      <c r="E47" s="57">
        <f>'C'!$D56</f>
        <v>0</v>
      </c>
      <c r="F47" s="57">
        <f>D!$D56</f>
        <v>0</v>
      </c>
      <c r="G47" s="57">
        <f>E!$D56</f>
        <v>0</v>
      </c>
      <c r="H47" s="57">
        <f>F!$D56</f>
        <v>0</v>
      </c>
      <c r="I47" s="57">
        <f>G!$D56</f>
        <v>0</v>
      </c>
      <c r="J47" s="57">
        <f>H!$D56</f>
        <v>0</v>
      </c>
      <c r="K47" s="57">
        <f>I!$D56</f>
        <v>0</v>
      </c>
      <c r="L47" s="57">
        <f>J!$D56</f>
        <v>0</v>
      </c>
      <c r="M47" s="57">
        <f>K!$D56</f>
        <v>0</v>
      </c>
      <c r="N47" s="58">
        <f>L!$D56</f>
        <v>0</v>
      </c>
      <c r="O47" s="86"/>
      <c r="P47" s="467" t="e">
        <f>AVERAGE(INDEX($C$2:$N$67,AA47,MATCH($P$1,$C$2:$N$2,0)):INDEX($C$2:$N$67,AA47,MATCH($P$2,$C$2:$N$2,0)))</f>
        <v>#N/A</v>
      </c>
      <c r="Q47" s="86"/>
      <c r="R47" s="86"/>
      <c r="S47" s="86"/>
      <c r="T47" s="86"/>
      <c r="U47" s="86"/>
      <c r="V47" s="86"/>
      <c r="AA47" s="52">
        <f t="shared" si="0"/>
        <v>46</v>
      </c>
      <c r="AB47" s="52" t="str">
        <f>IF('Month A'!B56=B!B56,IF(B!B56='C'!B56,IF('C'!B56=D!B56,IF(D!B56=E!B56,IF(E!B56=F!B56,$AB$1,$AC$1),$AC$1),$AC$1),$AC$1),$AC$1)</f>
        <v>זהה</v>
      </c>
      <c r="AC47" s="52" t="str">
        <f>IF(F!B56=G!B56,IF(G!B56=H!B56,IF(H!B56=I!B56,IF(I!B56=J!B56,IF(J!B56=K!B56,IF(K!B56=L!B56,$AB$1,$AC$1),$AC$1),$AC$1),$AC$1),$AC$1),$AC$1)</f>
        <v>זהה</v>
      </c>
    </row>
    <row r="48" spans="1:29" ht="15.75" customHeight="1" thickBot="1">
      <c r="A48" s="1314" t="s">
        <v>308</v>
      </c>
      <c r="B48" s="1315"/>
      <c r="C48" s="59">
        <f t="shared" ref="C48:N48" si="1">SUM(C3:C47)</f>
        <v>0</v>
      </c>
      <c r="D48" s="59">
        <f t="shared" si="1"/>
        <v>0</v>
      </c>
      <c r="E48" s="59">
        <f t="shared" si="1"/>
        <v>0</v>
      </c>
      <c r="F48" s="59">
        <f t="shared" si="1"/>
        <v>0</v>
      </c>
      <c r="G48" s="59">
        <f t="shared" si="1"/>
        <v>0</v>
      </c>
      <c r="H48" s="59">
        <f t="shared" si="1"/>
        <v>0</v>
      </c>
      <c r="I48" s="59">
        <f t="shared" si="1"/>
        <v>0</v>
      </c>
      <c r="J48" s="59">
        <f t="shared" si="1"/>
        <v>0</v>
      </c>
      <c r="K48" s="59">
        <f t="shared" si="1"/>
        <v>0</v>
      </c>
      <c r="L48" s="59">
        <f t="shared" si="1"/>
        <v>0</v>
      </c>
      <c r="M48" s="59">
        <f t="shared" si="1"/>
        <v>0</v>
      </c>
      <c r="N48" s="60">
        <f t="shared" si="1"/>
        <v>0</v>
      </c>
      <c r="O48" s="86"/>
      <c r="P48" s="469" t="e">
        <f>AVERAGE(INDEX($C$2:$N$67,AA48,MATCH($P$1,$C$2:$N$2,0)):INDEX($C$2:$N$67,AA48,MATCH($P$2,$C$2:$N$2,0)))</f>
        <v>#N/A</v>
      </c>
      <c r="Q48" s="86"/>
      <c r="R48" s="86"/>
      <c r="S48" s="86"/>
      <c r="T48" s="86"/>
      <c r="U48" s="86"/>
      <c r="V48" s="86"/>
      <c r="AA48" s="52">
        <f t="shared" si="0"/>
        <v>47</v>
      </c>
    </row>
    <row r="49" spans="1:29" ht="6" customHeight="1" thickBot="1">
      <c r="A49" s="86"/>
      <c r="B49" s="86"/>
      <c r="C49" s="433"/>
      <c r="D49" s="433"/>
      <c r="E49" s="433"/>
      <c r="F49" s="433"/>
      <c r="G49" s="433"/>
      <c r="H49" s="433"/>
      <c r="I49" s="433"/>
      <c r="J49" s="433"/>
      <c r="K49" s="433"/>
      <c r="L49" s="433"/>
      <c r="M49" s="433"/>
      <c r="N49" s="433"/>
      <c r="O49" s="86"/>
      <c r="P49" s="470"/>
      <c r="Q49" s="86"/>
      <c r="R49" s="86"/>
      <c r="S49" s="86"/>
      <c r="T49" s="86"/>
      <c r="U49" s="86"/>
      <c r="V49" s="86"/>
      <c r="AA49" s="52">
        <f t="shared" si="0"/>
        <v>48</v>
      </c>
    </row>
    <row r="50" spans="1:29" ht="15" customHeight="1">
      <c r="A50" s="1316" t="s">
        <v>296</v>
      </c>
      <c r="B50" s="71" t="str">
        <f>IF(AC50=$AB$1,IF(AB50=$AB$1,L!Y6,$AB$2),$AB$2)</f>
        <v>Husband job 1</v>
      </c>
      <c r="C50" s="53">
        <f>'Month A'!AA6</f>
        <v>0</v>
      </c>
      <c r="D50" s="53">
        <f>B!$AA6</f>
        <v>0</v>
      </c>
      <c r="E50" s="53">
        <f>'C'!$AA6</f>
        <v>0</v>
      </c>
      <c r="F50" s="53">
        <f>D!$AA6</f>
        <v>0</v>
      </c>
      <c r="G50" s="53">
        <f>E!$AA6</f>
        <v>0</v>
      </c>
      <c r="H50" s="53">
        <f>F!$AA6</f>
        <v>0</v>
      </c>
      <c r="I50" s="53">
        <f>G!$AA6</f>
        <v>0</v>
      </c>
      <c r="J50" s="53">
        <f>H!$AA6</f>
        <v>0</v>
      </c>
      <c r="K50" s="53">
        <f>I!$AA6</f>
        <v>0</v>
      </c>
      <c r="L50" s="53">
        <f>J!$AA6</f>
        <v>0</v>
      </c>
      <c r="M50" s="53">
        <f>K!$AA6</f>
        <v>0</v>
      </c>
      <c r="N50" s="54">
        <f>L!$AA6</f>
        <v>0</v>
      </c>
      <c r="O50" s="86"/>
      <c r="P50" s="468" t="e">
        <f>AVERAGE(INDEX($C$2:$N$67,AA50,MATCH($P$1,$C$2:$N$2,0)):INDEX($C$2:$N$67,AA50,MATCH($P$2,$C$2:$N$2,0)))</f>
        <v>#N/A</v>
      </c>
      <c r="Q50" s="86"/>
      <c r="R50" s="86"/>
      <c r="S50" s="86"/>
      <c r="T50" s="86"/>
      <c r="U50" s="86"/>
      <c r="V50" s="86"/>
      <c r="AA50" s="52">
        <f t="shared" si="0"/>
        <v>49</v>
      </c>
      <c r="AB50" s="52" t="str">
        <f>IF('Month A'!Y6=B!Y6,IF(B!Y6='C'!Y6,IF('C'!Y6=D!Y6,IF(D!Y6=E!Y6,IF(E!Y6=F!Y6,$AB$1,$AC$1),$AC$1),$AC$1),$AC$1),$AC$1)</f>
        <v>זהה</v>
      </c>
      <c r="AC50" s="52" t="str">
        <f>IF(F!Y6=G!Y6,IF(G!Y6=H!Y6,IF(H!Y6=I!Y6,IF(I!Y6=J!Y6,IF(J!Y6=K!Y6,IF(K!Y6=L!Y6,$AB$1,$AC$1),$AC$1),$AC$1),$AC$1),$AC$1),$AC$1)</f>
        <v>זהה</v>
      </c>
    </row>
    <row r="51" spans="1:29">
      <c r="A51" s="1317"/>
      <c r="B51" s="72" t="str">
        <f>IF(AC51=$AB$1,IF(AB51=$AB$1,L!Y7,$AB$2),$AB$2)</f>
        <v>Husband job 2</v>
      </c>
      <c r="C51" s="55">
        <f>'Month A'!AA7</f>
        <v>0</v>
      </c>
      <c r="D51" s="55">
        <f>B!$AA7</f>
        <v>0</v>
      </c>
      <c r="E51" s="55">
        <f>'C'!$AA7</f>
        <v>0</v>
      </c>
      <c r="F51" s="55">
        <f>D!$AA7</f>
        <v>0</v>
      </c>
      <c r="G51" s="55">
        <f>E!$AA7</f>
        <v>0</v>
      </c>
      <c r="H51" s="55">
        <f>F!$AA7</f>
        <v>0</v>
      </c>
      <c r="I51" s="55">
        <f>G!$AA7</f>
        <v>0</v>
      </c>
      <c r="J51" s="55">
        <f>H!$AA7</f>
        <v>0</v>
      </c>
      <c r="K51" s="55">
        <f>I!$AA7</f>
        <v>0</v>
      </c>
      <c r="L51" s="55">
        <f>J!$AA7</f>
        <v>0</v>
      </c>
      <c r="M51" s="55">
        <f>K!$AA7</f>
        <v>0</v>
      </c>
      <c r="N51" s="56">
        <f>L!$AA7</f>
        <v>0</v>
      </c>
      <c r="O51" s="86"/>
      <c r="P51" s="466" t="e">
        <f>AVERAGE(INDEX($C$2:$N$67,AA51,MATCH($P$1,$C$2:$N$2,0)):INDEX($C$2:$N$67,AA51,MATCH($P$2,$C$2:$N$2,0)))</f>
        <v>#N/A</v>
      </c>
      <c r="Q51" s="86"/>
      <c r="R51" s="86"/>
      <c r="S51" s="86"/>
      <c r="T51" s="86"/>
      <c r="U51" s="86"/>
      <c r="V51" s="86"/>
      <c r="AA51" s="52">
        <f t="shared" si="0"/>
        <v>50</v>
      </c>
      <c r="AB51" s="52" t="str">
        <f>IF('Month A'!Y7=B!Y7,IF(B!Y7='C'!Y7,IF('C'!Y7=D!Y7,IF(D!Y7=E!Y7,IF(E!Y7=F!Y7,$AB$1,$AC$1),$AC$1),$AC$1),$AC$1),$AC$1)</f>
        <v>זהה</v>
      </c>
      <c r="AC51" s="52" t="str">
        <f>IF(F!Y7=G!Y7,IF(G!Y7=H!Y7,IF(H!Y7=I!Y7,IF(I!Y7=J!Y7,IF(J!Y7=K!Y7,IF(K!Y7=L!Y7,$AB$1,$AC$1),$AC$1),$AC$1),$AC$1),$AC$1),$AC$1)</f>
        <v>זהה</v>
      </c>
    </row>
    <row r="52" spans="1:29">
      <c r="A52" s="1317"/>
      <c r="B52" s="72" t="str">
        <f>IF(AC52=$AB$1,IF(AB52=$AB$1,L!Y8,$AB$2),$AB$2)</f>
        <v>Wife job 1</v>
      </c>
      <c r="C52" s="55">
        <f>'Month A'!AA8</f>
        <v>0</v>
      </c>
      <c r="D52" s="55">
        <f>B!$AA8</f>
        <v>0</v>
      </c>
      <c r="E52" s="55">
        <f>'C'!$AA8</f>
        <v>0</v>
      </c>
      <c r="F52" s="55">
        <f>D!$AA8</f>
        <v>0</v>
      </c>
      <c r="G52" s="55">
        <f>E!$AA8</f>
        <v>0</v>
      </c>
      <c r="H52" s="55">
        <f>F!$AA8</f>
        <v>0</v>
      </c>
      <c r="I52" s="55">
        <f>G!$AA8</f>
        <v>0</v>
      </c>
      <c r="J52" s="55">
        <f>H!$AA8</f>
        <v>0</v>
      </c>
      <c r="K52" s="55">
        <f>I!$AA8</f>
        <v>0</v>
      </c>
      <c r="L52" s="55">
        <f>J!$AA8</f>
        <v>0</v>
      </c>
      <c r="M52" s="55">
        <f>K!$AA8</f>
        <v>0</v>
      </c>
      <c r="N52" s="56">
        <f>L!$AA8</f>
        <v>0</v>
      </c>
      <c r="O52" s="86"/>
      <c r="P52" s="466" t="e">
        <f>AVERAGE(INDEX($C$2:$N$67,AA52,MATCH($P$1,$C$2:$N$2,0)):INDEX($C$2:$N$67,AA52,MATCH($P$2,$C$2:$N$2,0)))</f>
        <v>#N/A</v>
      </c>
      <c r="Q52" s="86"/>
      <c r="R52" s="86"/>
      <c r="S52" s="86"/>
      <c r="T52" s="86"/>
      <c r="U52" s="86"/>
      <c r="V52" s="86"/>
      <c r="AA52" s="52">
        <f t="shared" si="0"/>
        <v>51</v>
      </c>
      <c r="AB52" s="52" t="str">
        <f>IF('Month A'!Y8=B!Y8,IF(B!Y8='C'!Y8,IF('C'!Y8=D!Y8,IF(D!Y8=E!Y8,IF(E!Y8=F!Y8,$AB$1,$AC$1),$AC$1),$AC$1),$AC$1),$AC$1)</f>
        <v>זהה</v>
      </c>
      <c r="AC52" s="52" t="str">
        <f>IF(F!Y8=G!Y8,IF(G!Y8=H!Y8,IF(H!Y8=I!Y8,IF(I!Y8=J!Y8,IF(J!Y8=K!Y8,IF(K!Y8=L!Y8,$AB$1,$AC$1),$AC$1),$AC$1),$AC$1),$AC$1),$AC$1)</f>
        <v>זהה</v>
      </c>
    </row>
    <row r="53" spans="1:29">
      <c r="A53" s="1317"/>
      <c r="B53" s="72" t="str">
        <f>IF(AC53=$AB$1,IF(AB53=$AB$1,L!Y9,$AB$2),$AB$2)</f>
        <v>Wife job 2</v>
      </c>
      <c r="C53" s="55">
        <f>'Month A'!AA9</f>
        <v>0</v>
      </c>
      <c r="D53" s="55">
        <f>B!$AA9</f>
        <v>0</v>
      </c>
      <c r="E53" s="55">
        <f>'C'!$AA9</f>
        <v>0</v>
      </c>
      <c r="F53" s="55">
        <f>D!$AA9</f>
        <v>0</v>
      </c>
      <c r="G53" s="55">
        <f>E!$AA9</f>
        <v>0</v>
      </c>
      <c r="H53" s="55">
        <f>F!$AA9</f>
        <v>0</v>
      </c>
      <c r="I53" s="55">
        <f>G!$AA9</f>
        <v>0</v>
      </c>
      <c r="J53" s="55">
        <f>H!$AA9</f>
        <v>0</v>
      </c>
      <c r="K53" s="55">
        <f>I!$AA9</f>
        <v>0</v>
      </c>
      <c r="L53" s="55">
        <f>J!$AA9</f>
        <v>0</v>
      </c>
      <c r="M53" s="55">
        <f>K!$AA9</f>
        <v>0</v>
      </c>
      <c r="N53" s="56">
        <f>L!$AA9</f>
        <v>0</v>
      </c>
      <c r="O53" s="86"/>
      <c r="P53" s="466" t="e">
        <f>AVERAGE(INDEX($C$2:$N$67,AA53,MATCH($P$1,$C$2:$N$2,0)):INDEX($C$2:$N$67,AA53,MATCH($P$2,$C$2:$N$2,0)))</f>
        <v>#N/A</v>
      </c>
      <c r="Q53" s="86"/>
      <c r="R53" s="86"/>
      <c r="S53" s="86"/>
      <c r="T53" s="86"/>
      <c r="U53" s="86"/>
      <c r="V53" s="86"/>
      <c r="AA53" s="52">
        <f t="shared" si="0"/>
        <v>52</v>
      </c>
      <c r="AB53" s="52" t="str">
        <f>IF('Month A'!Y9=B!Y9,IF(B!Y9='C'!Y9,IF('C'!Y9=D!Y9,IF(D!Y9=E!Y9,IF(E!Y9=F!Y9,$AB$1,$AC$1),$AC$1),$AC$1),$AC$1),$AC$1)</f>
        <v>זהה</v>
      </c>
      <c r="AC53" s="52" t="str">
        <f>IF(F!Y9=G!Y9,IF(G!Y9=H!Y9,IF(H!Y9=I!Y9,IF(I!Y9=J!Y9,IF(J!Y9=K!Y9,IF(K!Y9=L!Y9,$AB$1,$AC$1),$AC$1),$AC$1),$AC$1),$AC$1),$AC$1)</f>
        <v>זהה</v>
      </c>
    </row>
    <row r="54" spans="1:29">
      <c r="A54" s="1317"/>
      <c r="B54" s="72" t="str">
        <f>IF(AC54=$AB$1,IF(AB54=$AB$1,L!Y10,$AB$2),$AB$2)</f>
        <v>National Social Security for Children</v>
      </c>
      <c r="C54" s="55">
        <f>'Month A'!AA10</f>
        <v>0</v>
      </c>
      <c r="D54" s="55">
        <f>B!$AA10</f>
        <v>0</v>
      </c>
      <c r="E54" s="55">
        <f>'C'!$AA10</f>
        <v>0</v>
      </c>
      <c r="F54" s="55">
        <f>D!$AA10</f>
        <v>0</v>
      </c>
      <c r="G54" s="55">
        <f>E!$AA10</f>
        <v>0</v>
      </c>
      <c r="H54" s="55">
        <f>F!$AA10</f>
        <v>0</v>
      </c>
      <c r="I54" s="55">
        <f>G!$AA10</f>
        <v>0</v>
      </c>
      <c r="J54" s="55">
        <f>H!$AA10</f>
        <v>0</v>
      </c>
      <c r="K54" s="55">
        <f>I!$AA10</f>
        <v>0</v>
      </c>
      <c r="L54" s="55">
        <f>J!$AA10</f>
        <v>0</v>
      </c>
      <c r="M54" s="55">
        <f>K!$AA10</f>
        <v>0</v>
      </c>
      <c r="N54" s="56">
        <f>L!$AA10</f>
        <v>0</v>
      </c>
      <c r="O54" s="86"/>
      <c r="P54" s="466" t="e">
        <f>AVERAGE(INDEX($C$2:$N$67,AA54,MATCH($P$1,$C$2:$N$2,0)):INDEX($C$2:$N$67,AA54,MATCH($P$2,$C$2:$N$2,0)))</f>
        <v>#N/A</v>
      </c>
      <c r="Q54" s="86"/>
      <c r="R54" s="86"/>
      <c r="S54" s="86"/>
      <c r="T54" s="86"/>
      <c r="U54" s="86"/>
      <c r="V54" s="86"/>
      <c r="AA54" s="52">
        <f t="shared" si="0"/>
        <v>53</v>
      </c>
      <c r="AB54" s="52" t="str">
        <f>IF('Month A'!Y10=B!Y10,IF(B!Y10='C'!Y10,IF('C'!Y10=D!Y10,IF(D!Y10=E!Y10,IF(E!Y10=F!Y10,$AB$1,$AC$1),$AC$1),$AC$1),$AC$1),$AC$1)</f>
        <v>זהה</v>
      </c>
      <c r="AC54" s="52" t="str">
        <f>IF(F!Y10=G!Y10,IF(G!Y10=H!Y10,IF(H!Y10=I!Y10,IF(I!Y10=J!Y10,IF(J!Y10=K!Y10,IF(K!Y10=L!Y10,$AB$1,$AC$1),$AC$1),$AC$1),$AC$1),$AC$1),$AC$1)</f>
        <v>זהה</v>
      </c>
    </row>
    <row r="55" spans="1:29">
      <c r="A55" s="1317"/>
      <c r="B55" s="72" t="str">
        <f>IF(AC55=$AB$1,IF(AB55=$AB$1,L!Y11,$AB$2),$AB$2)</f>
        <v>other Allowances</v>
      </c>
      <c r="C55" s="55">
        <f>'Month A'!AA11</f>
        <v>0</v>
      </c>
      <c r="D55" s="55">
        <f>B!$AA11</f>
        <v>0</v>
      </c>
      <c r="E55" s="55">
        <f>'C'!$AA11</f>
        <v>0</v>
      </c>
      <c r="F55" s="55">
        <f>D!$AA11</f>
        <v>0</v>
      </c>
      <c r="G55" s="55">
        <f>E!$AA11</f>
        <v>0</v>
      </c>
      <c r="H55" s="55">
        <f>F!$AA11</f>
        <v>0</v>
      </c>
      <c r="I55" s="55">
        <f>G!$AA11</f>
        <v>0</v>
      </c>
      <c r="J55" s="55">
        <f>H!$AA11</f>
        <v>0</v>
      </c>
      <c r="K55" s="55">
        <f>I!$AA11</f>
        <v>0</v>
      </c>
      <c r="L55" s="55">
        <f>J!$AA11</f>
        <v>0</v>
      </c>
      <c r="M55" s="55">
        <f>K!$AA11</f>
        <v>0</v>
      </c>
      <c r="N55" s="56">
        <f>L!$AA11</f>
        <v>0</v>
      </c>
      <c r="O55" s="86"/>
      <c r="P55" s="466" t="e">
        <f>AVERAGE(INDEX($C$2:$N$67,AA55,MATCH($P$1,$C$2:$N$2,0)):INDEX($C$2:$N$67,AA55,MATCH($P$2,$C$2:$N$2,0)))</f>
        <v>#N/A</v>
      </c>
      <c r="Q55" s="86"/>
      <c r="R55" s="86"/>
      <c r="S55" s="86"/>
      <c r="T55" s="86"/>
      <c r="U55" s="86"/>
      <c r="V55" s="86"/>
      <c r="AA55" s="52">
        <f t="shared" si="0"/>
        <v>54</v>
      </c>
      <c r="AB55" s="52" t="str">
        <f>IF('Month A'!Y11=B!Y11,IF(B!Y11='C'!Y11,IF('C'!Y11=D!Y11,IF(D!Y11=E!Y11,IF(E!Y11=F!Y11,$AB$1,$AC$1),$AC$1),$AC$1),$AC$1),$AC$1)</f>
        <v>זהה</v>
      </c>
      <c r="AC55" s="52" t="str">
        <f>IF(F!Y11=G!Y11,IF(G!Y11=H!Y11,IF(H!Y11=I!Y11,IF(I!Y11=J!Y11,IF(J!Y11=K!Y11,IF(K!Y11=L!Y11,$AB$1,$AC$1),$AC$1),$AC$1),$AC$1),$AC$1),$AC$1)</f>
        <v>זהה</v>
      </c>
    </row>
    <row r="56" spans="1:29">
      <c r="A56" s="1317"/>
      <c r="B56" s="72" t="str">
        <f>IF(AC56=$AB$1,IF(AB56=$AB$1,L!Y12,$AB$2),$AB$2)</f>
        <v>Rent Assistance</v>
      </c>
      <c r="C56" s="55">
        <f>'Month A'!AA12</f>
        <v>0</v>
      </c>
      <c r="D56" s="55">
        <f>B!$AA12</f>
        <v>0</v>
      </c>
      <c r="E56" s="55">
        <f>'C'!$AA12</f>
        <v>0</v>
      </c>
      <c r="F56" s="55">
        <f>D!$AA12</f>
        <v>0</v>
      </c>
      <c r="G56" s="55">
        <f>E!$AA12</f>
        <v>0</v>
      </c>
      <c r="H56" s="55">
        <f>F!$AA12</f>
        <v>0</v>
      </c>
      <c r="I56" s="55">
        <f>G!$AA12</f>
        <v>0</v>
      </c>
      <c r="J56" s="55">
        <f>H!$AA12</f>
        <v>0</v>
      </c>
      <c r="K56" s="55">
        <f>I!$AA12</f>
        <v>0</v>
      </c>
      <c r="L56" s="55">
        <f>J!$AA12</f>
        <v>0</v>
      </c>
      <c r="M56" s="55">
        <f>K!$AA12</f>
        <v>0</v>
      </c>
      <c r="N56" s="56">
        <f>L!$AA12</f>
        <v>0</v>
      </c>
      <c r="O56" s="86"/>
      <c r="P56" s="466" t="e">
        <f>AVERAGE(INDEX($C$2:$N$67,AA56,MATCH($P$1,$C$2:$N$2,0)):INDEX($C$2:$N$67,AA56,MATCH($P$2,$C$2:$N$2,0)))</f>
        <v>#N/A</v>
      </c>
      <c r="Q56" s="86"/>
      <c r="R56" s="86"/>
      <c r="S56" s="86"/>
      <c r="T56" s="86"/>
      <c r="U56" s="86"/>
      <c r="V56" s="86"/>
      <c r="AA56" s="52">
        <f t="shared" si="0"/>
        <v>55</v>
      </c>
      <c r="AB56" s="52" t="str">
        <f>IF('Month A'!Y12=B!Y12,IF(B!Y12='C'!Y12,IF('C'!Y12=D!Y12,IF(D!Y12=E!Y12,IF(E!Y12=F!Y12,$AB$1,$AC$1),$AC$1),$AC$1),$AC$1),$AC$1)</f>
        <v>זהה</v>
      </c>
      <c r="AC56" s="52" t="str">
        <f>IF(F!Y12=G!Y12,IF(G!Y12=H!Y12,IF(H!Y12=I!Y12,IF(I!Y12=J!Y12,IF(J!Y12=K!Y12,IF(K!Y12=L!Y12,$AB$1,$AC$1),$AC$1),$AC$1),$AC$1),$AC$1),$AC$1)</f>
        <v>זהה</v>
      </c>
    </row>
    <row r="57" spans="1:29" ht="15.75" customHeight="1">
      <c r="A57" s="1317"/>
      <c r="B57" s="72" t="str">
        <f>IF(AC57=$AB$1,IF(AB57=$AB$1,L!Y13,$AB$2),$AB$2)</f>
        <v>Food Packages</v>
      </c>
      <c r="C57" s="55">
        <f>'Month A'!AA13</f>
        <v>0</v>
      </c>
      <c r="D57" s="55">
        <f>B!$AA13</f>
        <v>0</v>
      </c>
      <c r="E57" s="55">
        <f>'C'!$AA13</f>
        <v>0</v>
      </c>
      <c r="F57" s="55">
        <f>D!$AA13</f>
        <v>0</v>
      </c>
      <c r="G57" s="55">
        <f>E!$AA13</f>
        <v>0</v>
      </c>
      <c r="H57" s="55">
        <f>F!$AA13</f>
        <v>0</v>
      </c>
      <c r="I57" s="55">
        <f>G!$AA13</f>
        <v>0</v>
      </c>
      <c r="J57" s="55">
        <f>H!$AA13</f>
        <v>0</v>
      </c>
      <c r="K57" s="55">
        <f>I!$AA13</f>
        <v>0</v>
      </c>
      <c r="L57" s="55">
        <f>J!$AA13</f>
        <v>0</v>
      </c>
      <c r="M57" s="55">
        <f>K!$AA13</f>
        <v>0</v>
      </c>
      <c r="N57" s="56">
        <f>L!$AA13</f>
        <v>0</v>
      </c>
      <c r="O57" s="86"/>
      <c r="P57" s="466" t="e">
        <f>AVERAGE(INDEX($C$2:$N$67,AA57,MATCH($P$1,$C$2:$N$2,0)):INDEX($C$2:$N$67,AA57,MATCH($P$2,$C$2:$N$2,0)))</f>
        <v>#N/A</v>
      </c>
      <c r="Q57" s="86"/>
      <c r="R57" s="86"/>
      <c r="S57" s="86"/>
      <c r="T57" s="86"/>
      <c r="U57" s="86"/>
      <c r="V57" s="86"/>
      <c r="AA57" s="52">
        <f t="shared" si="0"/>
        <v>56</v>
      </c>
      <c r="AB57" s="52" t="str">
        <f>IF('Month A'!Y13=B!Y13,IF(B!Y13='C'!Y13,IF('C'!Y13=D!Y13,IF(D!Y13=E!Y13,IF(E!Y13=F!Y13,$AB$1,$AC$1),$AC$1),$AC$1),$AC$1),$AC$1)</f>
        <v>זהה</v>
      </c>
      <c r="AC57" s="52" t="str">
        <f>IF(F!Y13=G!Y13,IF(G!Y13=H!Y13,IF(H!Y13=I!Y13,IF(I!Y13=J!Y13,IF(J!Y13=K!Y13,IF(K!Y13=L!Y13,$AB$1,$AC$1),$AC$1),$AC$1),$AC$1),$AC$1),$AC$1)</f>
        <v>זהה</v>
      </c>
    </row>
    <row r="58" spans="1:29">
      <c r="A58" s="1317"/>
      <c r="B58" s="72" t="str">
        <f>IF(AC58=$AB$1,IF(AB58=$AB$1,L!Y14,$AB$2),$AB$2)</f>
        <v>Income from Property</v>
      </c>
      <c r="C58" s="55">
        <f>'Month A'!AA14</f>
        <v>0</v>
      </c>
      <c r="D58" s="55">
        <f>B!$AA14</f>
        <v>0</v>
      </c>
      <c r="E58" s="55">
        <f>'C'!$AA14</f>
        <v>0</v>
      </c>
      <c r="F58" s="55">
        <f>D!$AA14</f>
        <v>0</v>
      </c>
      <c r="G58" s="55">
        <f>E!$AA14</f>
        <v>0</v>
      </c>
      <c r="H58" s="55">
        <f>F!$AA14</f>
        <v>0</v>
      </c>
      <c r="I58" s="55">
        <f>G!$AA14</f>
        <v>0</v>
      </c>
      <c r="J58" s="55">
        <f>H!$AA14</f>
        <v>0</v>
      </c>
      <c r="K58" s="55">
        <f>I!$AA14</f>
        <v>0</v>
      </c>
      <c r="L58" s="55">
        <f>J!$AA14</f>
        <v>0</v>
      </c>
      <c r="M58" s="55">
        <f>K!$AA14</f>
        <v>0</v>
      </c>
      <c r="N58" s="56">
        <f>L!$AA14</f>
        <v>0</v>
      </c>
      <c r="O58" s="86"/>
      <c r="P58" s="466" t="e">
        <f>AVERAGE(INDEX($C$2:$N$67,AA58,MATCH($P$1,$C$2:$N$2,0)):INDEX($C$2:$N$67,AA58,MATCH($P$2,$C$2:$N$2,0)))</f>
        <v>#N/A</v>
      </c>
      <c r="Q58" s="86"/>
      <c r="R58" s="86"/>
      <c r="S58" s="86"/>
      <c r="T58" s="86"/>
      <c r="U58" s="86"/>
      <c r="V58" s="86"/>
      <c r="AA58" s="52">
        <f t="shared" si="0"/>
        <v>57</v>
      </c>
      <c r="AB58" s="52" t="str">
        <f>IF('Month A'!Y14=B!Y14,IF(B!Y14='C'!Y14,IF('C'!Y14=D!Y14,IF(D!Y14=E!Y14,IF(E!Y14=F!Y14,$AB$1,$AC$1),$AC$1),$AC$1),$AC$1),$AC$1)</f>
        <v>זהה</v>
      </c>
      <c r="AC58" s="52" t="str">
        <f>IF(F!Y14=G!Y14,IF(G!Y14=H!Y14,IF(H!Y14=I!Y14,IF(I!Y14=J!Y14,IF(J!Y14=K!Y14,IF(K!Y14=L!Y14,$AB$1,$AC$1),$AC$1),$AC$1),$AC$1),$AC$1),$AC$1)</f>
        <v>זהה</v>
      </c>
    </row>
    <row r="59" spans="1:29">
      <c r="A59" s="1317"/>
      <c r="B59" s="72" t="str">
        <f>IF(AC59=$AB$1,IF(AB59=$AB$1,L!Y15,$AB$2),$AB$2)</f>
        <v>Help from parents</v>
      </c>
      <c r="C59" s="55">
        <f>'Month A'!AA15</f>
        <v>0</v>
      </c>
      <c r="D59" s="55">
        <f>B!$AA15</f>
        <v>0</v>
      </c>
      <c r="E59" s="55">
        <f>'C'!$AA15</f>
        <v>0</v>
      </c>
      <c r="F59" s="55">
        <f>D!$AA15</f>
        <v>0</v>
      </c>
      <c r="G59" s="55">
        <f>E!$AA15</f>
        <v>0</v>
      </c>
      <c r="H59" s="55">
        <f>F!$AA15</f>
        <v>0</v>
      </c>
      <c r="I59" s="55">
        <f>G!$AA15</f>
        <v>0</v>
      </c>
      <c r="J59" s="55">
        <f>H!$AA15</f>
        <v>0</v>
      </c>
      <c r="K59" s="55">
        <f>I!$AA15</f>
        <v>0</v>
      </c>
      <c r="L59" s="55">
        <f>J!$AA15</f>
        <v>0</v>
      </c>
      <c r="M59" s="55">
        <f>K!$AA15</f>
        <v>0</v>
      </c>
      <c r="N59" s="56">
        <f>L!$AA15</f>
        <v>0</v>
      </c>
      <c r="O59" s="86"/>
      <c r="P59" s="466" t="e">
        <f>AVERAGE(INDEX($C$2:$N$67,AA59,MATCH($P$1,$C$2:$N$2,0)):INDEX($C$2:$N$67,AA59,MATCH($P$2,$C$2:$N$2,0)))</f>
        <v>#N/A</v>
      </c>
      <c r="Q59" s="86"/>
      <c r="R59" s="86"/>
      <c r="S59" s="86"/>
      <c r="T59" s="86"/>
      <c r="U59" s="86"/>
      <c r="V59" s="86"/>
      <c r="AA59" s="52">
        <f t="shared" si="0"/>
        <v>58</v>
      </c>
      <c r="AB59" s="52" t="str">
        <f>IF('Month A'!Y15=B!Y15,IF(B!Y15='C'!Y15,IF('C'!Y15=D!Y15,IF(D!Y15=E!Y15,IF(E!Y15=F!Y15,$AB$1,$AC$1),$AC$1),$AC$1),$AC$1),$AC$1)</f>
        <v>זהה</v>
      </c>
      <c r="AC59" s="52" t="str">
        <f>IF(F!Y15=G!Y15,IF(G!Y15=H!Y15,IF(H!Y15=I!Y15,IF(I!Y15=J!Y15,IF(J!Y15=K!Y15,IF(K!Y15=L!Y15,$AB$1,$AC$1),$AC$1),$AC$1),$AC$1),$AC$1),$AC$1)</f>
        <v>זהה</v>
      </c>
    </row>
    <row r="60" spans="1:29" ht="15" thickBot="1">
      <c r="A60" s="1318"/>
      <c r="B60" s="73" t="str">
        <f>IF(AC60=$AB$1,IF(AB60=$AB$1,L!Y16,$AB$2),$AB$2)</f>
        <v>Other Income</v>
      </c>
      <c r="C60" s="57">
        <f>'Month A'!AA16</f>
        <v>0</v>
      </c>
      <c r="D60" s="57">
        <f>B!$AA16</f>
        <v>0</v>
      </c>
      <c r="E60" s="57">
        <f>'C'!$AA16</f>
        <v>0</v>
      </c>
      <c r="F60" s="57">
        <f>D!$AA16</f>
        <v>0</v>
      </c>
      <c r="G60" s="57">
        <f>E!$AA16</f>
        <v>0</v>
      </c>
      <c r="H60" s="57">
        <f>F!$AA16</f>
        <v>0</v>
      </c>
      <c r="I60" s="57">
        <f>G!$AA16</f>
        <v>0</v>
      </c>
      <c r="J60" s="57">
        <f>H!$AA16</f>
        <v>0</v>
      </c>
      <c r="K60" s="57">
        <f>I!$AA16</f>
        <v>0</v>
      </c>
      <c r="L60" s="57">
        <f>J!$AA16</f>
        <v>0</v>
      </c>
      <c r="M60" s="57">
        <f>K!$AA16</f>
        <v>0</v>
      </c>
      <c r="N60" s="58">
        <f>L!$AA16</f>
        <v>0</v>
      </c>
      <c r="O60" s="86"/>
      <c r="P60" s="471" t="e">
        <f>AVERAGE(INDEX($C$2:$N$67,AA60,MATCH($P$1,$C$2:$N$2,0)):INDEX($C$2:$N$67,AA60,MATCH($P$2,$C$2:$N$2,0)))</f>
        <v>#N/A</v>
      </c>
      <c r="Q60" s="86"/>
      <c r="R60" s="86"/>
      <c r="S60" s="86"/>
      <c r="T60" s="86"/>
      <c r="U60" s="86"/>
      <c r="V60" s="86"/>
      <c r="AA60" s="52">
        <f t="shared" si="0"/>
        <v>59</v>
      </c>
      <c r="AB60" s="52" t="str">
        <f>IF('Month A'!Y16=B!Y16,IF(B!Y16='C'!Y16,IF('C'!Y16=D!Y16,IF(D!Y16=E!Y16,IF(E!Y16=F!Y16,$AB$1,$AC$1),$AC$1),$AC$1),$AC$1),$AC$1)</f>
        <v>זהה</v>
      </c>
      <c r="AC60" s="52" t="str">
        <f>IF(F!Y16=G!Y16,IF(G!Y16=H!Y16,IF(H!Y16=I!Y16,IF(I!Y16=J!Y16,IF(J!Y16=K!Y16,IF(K!Y16=L!Y16,$AB$1,$AC$1),$AC$1),$AC$1),$AC$1),$AC$1),$AC$1)</f>
        <v>זהה</v>
      </c>
    </row>
    <row r="61" spans="1:29" ht="15.75" thickBot="1">
      <c r="A61" s="1314" t="s">
        <v>284</v>
      </c>
      <c r="B61" s="1315"/>
      <c r="C61" s="59">
        <f t="shared" ref="C61:N61" si="2">SUM(C50:C60)</f>
        <v>0</v>
      </c>
      <c r="D61" s="59">
        <f t="shared" si="2"/>
        <v>0</v>
      </c>
      <c r="E61" s="59">
        <f t="shared" si="2"/>
        <v>0</v>
      </c>
      <c r="F61" s="59">
        <f t="shared" si="2"/>
        <v>0</v>
      </c>
      <c r="G61" s="59">
        <f t="shared" si="2"/>
        <v>0</v>
      </c>
      <c r="H61" s="59">
        <f t="shared" si="2"/>
        <v>0</v>
      </c>
      <c r="I61" s="59">
        <f t="shared" si="2"/>
        <v>0</v>
      </c>
      <c r="J61" s="59">
        <f t="shared" si="2"/>
        <v>0</v>
      </c>
      <c r="K61" s="59">
        <f t="shared" si="2"/>
        <v>0</v>
      </c>
      <c r="L61" s="59">
        <f t="shared" si="2"/>
        <v>0</v>
      </c>
      <c r="M61" s="59">
        <f t="shared" si="2"/>
        <v>0</v>
      </c>
      <c r="N61" s="60">
        <f t="shared" si="2"/>
        <v>0</v>
      </c>
      <c r="O61" s="86"/>
      <c r="P61" s="472" t="e">
        <f>AVERAGE(INDEX($C$2:$N$67,AA61,MATCH($P$1,$C$2:$N$2,0)):INDEX($C$2:$N$67,AA61,MATCH($P$2,$C$2:$N$2,0)))</f>
        <v>#N/A</v>
      </c>
      <c r="Q61" s="86"/>
      <c r="R61" s="86"/>
      <c r="S61" s="86"/>
      <c r="T61" s="86"/>
      <c r="U61" s="86"/>
      <c r="V61" s="86"/>
      <c r="AA61" s="52">
        <f t="shared" si="0"/>
        <v>60</v>
      </c>
    </row>
    <row r="62" spans="1:29" ht="6" customHeight="1" thickBot="1">
      <c r="A62" s="86"/>
      <c r="B62" s="86"/>
      <c r="C62" s="433"/>
      <c r="D62" s="433"/>
      <c r="E62" s="433"/>
      <c r="F62" s="433"/>
      <c r="G62" s="433"/>
      <c r="H62" s="433"/>
      <c r="I62" s="433"/>
      <c r="J62" s="433"/>
      <c r="K62" s="433"/>
      <c r="L62" s="433"/>
      <c r="M62" s="433"/>
      <c r="N62" s="433"/>
      <c r="O62" s="86"/>
      <c r="P62" s="462"/>
      <c r="Q62" s="86"/>
      <c r="R62" s="86"/>
      <c r="S62" s="86"/>
      <c r="T62" s="86"/>
      <c r="U62" s="86"/>
      <c r="V62" s="86"/>
      <c r="AA62" s="52">
        <f t="shared" si="0"/>
        <v>61</v>
      </c>
    </row>
    <row r="63" spans="1:29" ht="15">
      <c r="A63" s="1298" t="s">
        <v>423</v>
      </c>
      <c r="B63" s="1319"/>
      <c r="C63" s="61">
        <f t="shared" ref="C63:N63" si="3">C61-C48</f>
        <v>0</v>
      </c>
      <c r="D63" s="61">
        <f t="shared" si="3"/>
        <v>0</v>
      </c>
      <c r="E63" s="61">
        <f t="shared" si="3"/>
        <v>0</v>
      </c>
      <c r="F63" s="61">
        <f t="shared" si="3"/>
        <v>0</v>
      </c>
      <c r="G63" s="61">
        <f t="shared" si="3"/>
        <v>0</v>
      </c>
      <c r="H63" s="61">
        <f t="shared" si="3"/>
        <v>0</v>
      </c>
      <c r="I63" s="61">
        <f t="shared" si="3"/>
        <v>0</v>
      </c>
      <c r="J63" s="61">
        <f t="shared" si="3"/>
        <v>0</v>
      </c>
      <c r="K63" s="61">
        <f t="shared" si="3"/>
        <v>0</v>
      </c>
      <c r="L63" s="61">
        <f t="shared" si="3"/>
        <v>0</v>
      </c>
      <c r="M63" s="61">
        <f t="shared" si="3"/>
        <v>0</v>
      </c>
      <c r="N63" s="62">
        <f t="shared" si="3"/>
        <v>0</v>
      </c>
      <c r="O63" s="86"/>
      <c r="P63" s="468" t="e">
        <f>AVERAGE(INDEX($C$2:$N$67,AA63,MATCH($P$1,$C$2:$N$2,0)):INDEX($C$2:$N$67,AA63,MATCH($P$2,$C$2:$N$2,0)))</f>
        <v>#N/A</v>
      </c>
      <c r="Q63" s="86"/>
      <c r="R63" s="86"/>
      <c r="S63" s="86"/>
      <c r="T63" s="86"/>
      <c r="U63" s="86"/>
      <c r="V63" s="86"/>
      <c r="AA63" s="52">
        <f t="shared" si="0"/>
        <v>62</v>
      </c>
    </row>
    <row r="64" spans="1:29" ht="15">
      <c r="A64" s="1276" t="s">
        <v>349</v>
      </c>
      <c r="B64" s="1320"/>
      <c r="C64" s="63">
        <f>'Month A'!R55</f>
        <v>0</v>
      </c>
      <c r="D64" s="63">
        <f>B!$R55</f>
        <v>0</v>
      </c>
      <c r="E64" s="63">
        <f>'C'!$R55</f>
        <v>0</v>
      </c>
      <c r="F64" s="63">
        <f>D!$R55</f>
        <v>0</v>
      </c>
      <c r="G64" s="63">
        <f>E!$R55</f>
        <v>0</v>
      </c>
      <c r="H64" s="63">
        <f>F!$R55</f>
        <v>0</v>
      </c>
      <c r="I64" s="63">
        <f>G!$R55</f>
        <v>0</v>
      </c>
      <c r="J64" s="63">
        <f>H!$R55</f>
        <v>0</v>
      </c>
      <c r="K64" s="63">
        <f>I!$R55</f>
        <v>0</v>
      </c>
      <c r="L64" s="63">
        <f>J!$R55</f>
        <v>0</v>
      </c>
      <c r="M64" s="63">
        <f>K!$R55</f>
        <v>0</v>
      </c>
      <c r="N64" s="64">
        <f>L!$R55</f>
        <v>0</v>
      </c>
      <c r="O64" s="86"/>
      <c r="P64" s="466" t="e">
        <f>AVERAGE(INDEX($C$2:$N$67,AA64,MATCH($P$1,$C$2:$N$2,0)):INDEX($C$2:$N$67,AA64,MATCH($P$2,$C$2:$N$2,0)))</f>
        <v>#N/A</v>
      </c>
      <c r="Q64" s="86"/>
      <c r="R64" s="86"/>
      <c r="S64" s="86"/>
      <c r="T64" s="86"/>
      <c r="U64" s="86"/>
      <c r="V64" s="86"/>
      <c r="AA64" s="52">
        <f t="shared" si="0"/>
        <v>63</v>
      </c>
    </row>
    <row r="65" spans="1:27" ht="15.75" thickBot="1">
      <c r="A65" s="1278" t="s">
        <v>420</v>
      </c>
      <c r="B65" s="1313"/>
      <c r="C65" s="65">
        <f>C63-C64</f>
        <v>0</v>
      </c>
      <c r="D65" s="65">
        <f t="shared" ref="D65:N65" si="4">D63-D64</f>
        <v>0</v>
      </c>
      <c r="E65" s="65">
        <f t="shared" si="4"/>
        <v>0</v>
      </c>
      <c r="F65" s="65">
        <f t="shared" si="4"/>
        <v>0</v>
      </c>
      <c r="G65" s="65">
        <f t="shared" si="4"/>
        <v>0</v>
      </c>
      <c r="H65" s="65">
        <f t="shared" si="4"/>
        <v>0</v>
      </c>
      <c r="I65" s="65">
        <f t="shared" si="4"/>
        <v>0</v>
      </c>
      <c r="J65" s="65">
        <f t="shared" si="4"/>
        <v>0</v>
      </c>
      <c r="K65" s="65">
        <f t="shared" si="4"/>
        <v>0</v>
      </c>
      <c r="L65" s="65">
        <f t="shared" si="4"/>
        <v>0</v>
      </c>
      <c r="M65" s="65">
        <f t="shared" si="4"/>
        <v>0</v>
      </c>
      <c r="N65" s="66">
        <f t="shared" si="4"/>
        <v>0</v>
      </c>
      <c r="O65" s="86"/>
      <c r="P65" s="471" t="e">
        <f>AVERAGE(INDEX($C$2:$N$67,AA65,MATCH($P$1,$C$2:$N$2,0)):INDEX($C$2:$N$67,AA65,MATCH($P$2,$C$2:$N$2,0)))</f>
        <v>#N/A</v>
      </c>
      <c r="Q65" s="86"/>
      <c r="R65" s="86"/>
      <c r="S65" s="86"/>
      <c r="T65" s="86"/>
      <c r="U65" s="86"/>
      <c r="V65" s="86"/>
      <c r="AA65" s="52">
        <f t="shared" si="0"/>
        <v>64</v>
      </c>
    </row>
    <row r="66" spans="1:27" ht="15" thickBot="1">
      <c r="A66" s="86"/>
      <c r="B66" s="86"/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462"/>
      <c r="Q66" s="86"/>
      <c r="R66" s="86"/>
      <c r="S66" s="86"/>
      <c r="T66" s="86"/>
      <c r="U66" s="86"/>
      <c r="V66" s="86"/>
      <c r="AA66" s="52">
        <f t="shared" si="0"/>
        <v>65</v>
      </c>
    </row>
    <row r="67" spans="1:27" ht="15.75" thickBot="1">
      <c r="A67" s="1303" t="s">
        <v>470</v>
      </c>
      <c r="B67" s="1304"/>
      <c r="C67" s="434">
        <f>'Month A'!R59</f>
        <v>0</v>
      </c>
      <c r="D67" s="434">
        <f>B!R59</f>
        <v>0</v>
      </c>
      <c r="E67" s="434">
        <f>'C'!R59</f>
        <v>0</v>
      </c>
      <c r="F67" s="434">
        <f>D!R59</f>
        <v>0</v>
      </c>
      <c r="G67" s="434">
        <f>E!R59</f>
        <v>0</v>
      </c>
      <c r="H67" s="434">
        <f>F!R59</f>
        <v>0</v>
      </c>
      <c r="I67" s="434">
        <f>G!R59</f>
        <v>0</v>
      </c>
      <c r="J67" s="434">
        <f>H!R59</f>
        <v>0</v>
      </c>
      <c r="K67" s="434">
        <f>I!R59</f>
        <v>0</v>
      </c>
      <c r="L67" s="434">
        <f>J!R59</f>
        <v>0</v>
      </c>
      <c r="M67" s="434">
        <f>K!R59</f>
        <v>0</v>
      </c>
      <c r="N67" s="435">
        <f>L!R59</f>
        <v>0</v>
      </c>
      <c r="O67" s="86"/>
      <c r="P67" s="473" t="e">
        <f>AVERAGE(INDEX($C$2:$N$67,AA67,MATCH($P$1,$C$2:$N$2,0)):INDEX($C$2:$N$67,AA67,MATCH($P$2,$C$2:$N$2,0)))</f>
        <v>#N/A</v>
      </c>
      <c r="Q67" s="86"/>
      <c r="R67" s="86"/>
      <c r="S67" s="86"/>
      <c r="T67" s="86"/>
      <c r="U67" s="86"/>
      <c r="V67" s="86"/>
      <c r="AA67" s="52">
        <f t="shared" si="0"/>
        <v>66</v>
      </c>
    </row>
    <row r="68" spans="1:27">
      <c r="A68" s="86"/>
      <c r="B68" s="86"/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474"/>
      <c r="Q68" s="86"/>
      <c r="R68" s="86"/>
      <c r="S68" s="86"/>
      <c r="T68" s="86"/>
      <c r="U68" s="86"/>
      <c r="V68" s="86"/>
    </row>
    <row r="69" spans="1:27">
      <c r="A69" s="86"/>
      <c r="B69" s="86"/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433"/>
      <c r="Q69" s="86"/>
      <c r="R69" s="86"/>
      <c r="S69" s="86"/>
      <c r="T69" s="86"/>
      <c r="U69" s="86"/>
      <c r="V69" s="86"/>
    </row>
    <row r="70" spans="1:27">
      <c r="A70" s="86"/>
      <c r="B70" s="86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433"/>
      <c r="Q70" s="86"/>
      <c r="R70" s="86"/>
      <c r="S70" s="86"/>
      <c r="T70" s="86"/>
      <c r="U70" s="86"/>
      <c r="V70" s="86"/>
    </row>
  </sheetData>
  <sheetProtection password="D37A" sheet="1" objects="1" scenarios="1" formatCells="0" formatColumns="0" formatRows="0" insertColumns="0" insertRows="0" sort="0" autoFilter="0"/>
  <mergeCells count="13">
    <mergeCell ref="S2:T2"/>
    <mergeCell ref="S1:T1"/>
    <mergeCell ref="A67:B67"/>
    <mergeCell ref="A3:A13"/>
    <mergeCell ref="A36:A47"/>
    <mergeCell ref="A2:B2"/>
    <mergeCell ref="A14:A35"/>
    <mergeCell ref="A65:B65"/>
    <mergeCell ref="A48:B48"/>
    <mergeCell ref="A50:A60"/>
    <mergeCell ref="A61:B61"/>
    <mergeCell ref="A63:B63"/>
    <mergeCell ref="A64:B64"/>
  </mergeCells>
  <conditionalFormatting sqref="C63:N63 C65:N65">
    <cfRule type="cellIs" dxfId="6" priority="527" stopIfTrue="1" operator="lessThan">
      <formula>0</formula>
    </cfRule>
  </conditionalFormatting>
  <conditionalFormatting sqref="B3:B47 B50:B60">
    <cfRule type="cellIs" dxfId="5" priority="530" stopIfTrue="1" operator="equal">
      <formula>$AB$2</formula>
    </cfRule>
  </conditionalFormatting>
  <dataValidations count="1">
    <dataValidation type="list" allowBlank="1" showInputMessage="1" showErrorMessage="1" error="יש לבחור מהתפריט הנפתח" sqref="P1:P2">
      <formula1>$CB$2:$CB$13</formula1>
    </dataValidation>
  </dataValidation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CZ100"/>
  <sheetViews>
    <sheetView showZeros="0" zoomScaleNormal="100" workbookViewId="0">
      <pane ySplit="3" topLeftCell="A4" activePane="bottomLeft" state="frozen"/>
      <selection pane="bottomLeft" activeCell="D2" sqref="D2"/>
    </sheetView>
  </sheetViews>
  <sheetFormatPr defaultColWidth="9.125" defaultRowHeight="14.25"/>
  <cols>
    <col min="1" max="1" width="4.125" style="730" customWidth="1"/>
    <col min="2" max="3" width="9.125" style="730"/>
    <col min="4" max="4" width="6.375" style="730" customWidth="1"/>
    <col min="5" max="5" width="10.875" style="730" customWidth="1"/>
    <col min="6" max="6" width="23" style="731" customWidth="1"/>
    <col min="7" max="7" width="11" style="730" customWidth="1"/>
    <col min="8" max="8" width="4.625" style="730" customWidth="1"/>
    <col min="9" max="9" width="6.875" style="730" customWidth="1"/>
    <col min="10" max="13" width="9.125" style="730" customWidth="1"/>
    <col min="14" max="14" width="7.375" style="730" customWidth="1"/>
    <col min="15" max="15" width="21.75" style="744" customWidth="1"/>
    <col min="16" max="16" width="1.875" style="730" customWidth="1"/>
    <col min="17" max="23" width="9.125" style="730" customWidth="1"/>
    <col min="24" max="27" width="9.125" style="730" hidden="1" customWidth="1"/>
    <col min="28" max="28" width="11" style="730" hidden="1" customWidth="1"/>
    <col min="29" max="29" width="10.625" style="730" hidden="1" customWidth="1"/>
    <col min="30" max="30" width="5.625" style="730" hidden="1" customWidth="1"/>
    <col min="31" max="31" width="8.625" style="730" hidden="1" customWidth="1"/>
    <col min="32" max="36" width="9.125" style="730" hidden="1" customWidth="1"/>
    <col min="37" max="37" width="13.75" style="730" hidden="1" customWidth="1"/>
    <col min="38" max="39" width="9.125" style="730" hidden="1" customWidth="1"/>
    <col min="40" max="40" width="29" style="732" hidden="1" customWidth="1"/>
    <col min="41" max="41" width="9.125" style="730" hidden="1" customWidth="1"/>
    <col min="42" max="42" width="13.25" style="730" hidden="1" customWidth="1"/>
    <col min="43" max="81" width="9.125" style="730" hidden="1" customWidth="1"/>
    <col min="82" max="82" width="9.125" style="730" customWidth="1"/>
    <col min="83" max="100" width="9.125" style="730"/>
    <col min="101" max="101" width="9.125" style="730" customWidth="1"/>
    <col min="102" max="102" width="13.625" style="730" hidden="1" customWidth="1"/>
    <col min="103" max="103" width="9.125" style="730" hidden="1" customWidth="1"/>
    <col min="104" max="104" width="36.25" style="730" hidden="1" customWidth="1"/>
    <col min="105" max="16384" width="9.125" style="730"/>
  </cols>
  <sheetData>
    <row r="1" spans="1:104" ht="18" customHeight="1" thickBot="1">
      <c r="A1" s="86"/>
      <c r="B1" s="86"/>
      <c r="C1" s="86"/>
      <c r="D1" s="86"/>
      <c r="E1" s="86"/>
      <c r="F1" s="820">
        <f>IF(D2&lt;&gt;AI2,IF(F2="","Select month from list",),)</f>
        <v>0</v>
      </c>
      <c r="G1" s="1321" t="str">
        <f>IF(I1="Import Ready","Save this file before importing into the software",)</f>
        <v>Save this file before importing into the software</v>
      </c>
      <c r="H1" s="1321"/>
      <c r="I1" s="1324" t="str">
        <f>IF(SUM(AG4:AG63)&lt;&gt;0,"                   Names do NOT fully match. DON'T import!                   Scroll down to complete names mapping.","Import Ready")</f>
        <v>Import Ready</v>
      </c>
      <c r="J1" s="1324"/>
      <c r="K1" s="1324"/>
      <c r="L1" s="1324"/>
      <c r="M1" s="1324"/>
      <c r="N1" s="1324"/>
      <c r="O1" s="1324"/>
      <c r="P1" s="1324"/>
      <c r="Q1" s="86"/>
      <c r="R1" s="86"/>
      <c r="S1" s="86"/>
      <c r="T1" s="86"/>
      <c r="U1" s="86"/>
      <c r="V1" s="86"/>
      <c r="W1" s="86"/>
      <c r="Z1" s="730" t="s">
        <v>69</v>
      </c>
      <c r="AN1" s="732" t="s">
        <v>63</v>
      </c>
      <c r="AP1" s="1322" t="s">
        <v>46</v>
      </c>
      <c r="AQ1" s="1322"/>
      <c r="AR1" s="1322"/>
      <c r="AS1" s="1322"/>
      <c r="AT1" s="1322"/>
      <c r="AU1" s="1322"/>
      <c r="AV1" s="1322"/>
      <c r="AW1" s="1322"/>
      <c r="AX1" s="1322"/>
      <c r="AY1" s="1322"/>
      <c r="AZ1" s="1322"/>
      <c r="BA1" s="1322"/>
      <c r="BB1" s="1322"/>
      <c r="BD1" s="1322" t="s">
        <v>47</v>
      </c>
      <c r="BE1" s="1322"/>
      <c r="BF1" s="1322"/>
      <c r="BG1" s="1322"/>
      <c r="BH1" s="1322"/>
      <c r="BI1" s="1322"/>
      <c r="BJ1" s="1322"/>
      <c r="BK1" s="1322"/>
      <c r="BL1" s="1322"/>
      <c r="BM1" s="1322"/>
      <c r="BN1" s="1322"/>
      <c r="BO1" s="1322"/>
      <c r="BP1" s="1322"/>
      <c r="BR1" s="1322" t="s">
        <v>48</v>
      </c>
      <c r="BS1" s="1322"/>
      <c r="BT1" s="1322"/>
      <c r="BU1" s="1322"/>
      <c r="BV1" s="1322"/>
      <c r="BW1" s="1322"/>
      <c r="BX1" s="1322"/>
      <c r="BY1" s="1322"/>
      <c r="BZ1" s="1322"/>
      <c r="CA1" s="1322"/>
      <c r="CB1" s="1322"/>
      <c r="CC1" s="1322"/>
      <c r="CD1" s="733"/>
      <c r="CX1" s="783" t="str">
        <f>IF(D2=AI2,"",F2)</f>
        <v/>
      </c>
      <c r="CY1" s="784" t="str">
        <f>IF(D2=AI2,"shikuf",IF(D2=AI3,"balance","budget"))</f>
        <v>shikuf</v>
      </c>
      <c r="CZ1" s="785" t="str">
        <f>IF(ISERROR(I1),"import_error",IF(I1="Import Ready","import_ok","import_error"))</f>
        <v>import_ok</v>
      </c>
    </row>
    <row r="2" spans="1:104" ht="16.5" customHeight="1" thickBot="1">
      <c r="A2" s="86"/>
      <c r="B2" s="86"/>
      <c r="C2" s="897" t="s">
        <v>459</v>
      </c>
      <c r="D2" s="754" t="s">
        <v>424</v>
      </c>
      <c r="E2" s="753" t="str">
        <f>IF(D2&lt;&gt;AI2,"לחודש: ","")</f>
        <v/>
      </c>
      <c r="F2" s="745"/>
      <c r="G2" s="1321"/>
      <c r="H2" s="1321"/>
      <c r="I2" s="1324"/>
      <c r="J2" s="1324"/>
      <c r="K2" s="1324"/>
      <c r="L2" s="1324"/>
      <c r="M2" s="1324"/>
      <c r="N2" s="1324"/>
      <c r="O2" s="1324"/>
      <c r="P2" s="1324"/>
      <c r="Q2" s="86"/>
      <c r="R2" s="86"/>
      <c r="S2" s="86"/>
      <c r="T2" s="86"/>
      <c r="U2" s="86"/>
      <c r="V2" s="86"/>
      <c r="W2" s="86"/>
      <c r="Z2" s="730" t="s">
        <v>61</v>
      </c>
      <c r="AG2" s="775"/>
      <c r="AH2" s="765"/>
      <c r="AI2" s="779" t="s">
        <v>424</v>
      </c>
      <c r="AJ2" s="778" t="e">
        <f>VLOOKUP('Month A'!$M$2,$AJ$17:$AK$28,2,FALSE)</f>
        <v>#N/A</v>
      </c>
      <c r="AK2" s="771" t="e">
        <f>CONCATENATE(AJ2,'Month A'!N2)</f>
        <v>#N/A</v>
      </c>
      <c r="AL2" s="734" t="s">
        <v>49</v>
      </c>
      <c r="AO2" s="735"/>
      <c r="AP2" s="730" t="s">
        <v>424</v>
      </c>
      <c r="AQ2" s="730" t="s">
        <v>49</v>
      </c>
      <c r="AR2" s="730" t="s">
        <v>50</v>
      </c>
      <c r="AS2" s="730" t="s">
        <v>51</v>
      </c>
      <c r="AT2" s="730" t="s">
        <v>52</v>
      </c>
      <c r="AU2" s="730" t="s">
        <v>53</v>
      </c>
      <c r="AV2" s="730" t="s">
        <v>54</v>
      </c>
      <c r="AW2" s="730" t="s">
        <v>55</v>
      </c>
      <c r="AX2" s="730" t="s">
        <v>56</v>
      </c>
      <c r="AY2" s="730" t="s">
        <v>57</v>
      </c>
      <c r="AZ2" s="730" t="s">
        <v>58</v>
      </c>
      <c r="BA2" s="730" t="s">
        <v>59</v>
      </c>
      <c r="BB2" s="730" t="s">
        <v>60</v>
      </c>
      <c r="BD2" s="730" t="s">
        <v>424</v>
      </c>
      <c r="BE2" s="730" t="s">
        <v>49</v>
      </c>
      <c r="BF2" s="730" t="s">
        <v>50</v>
      </c>
      <c r="BG2" s="730" t="s">
        <v>51</v>
      </c>
      <c r="BH2" s="730" t="s">
        <v>52</v>
      </c>
      <c r="BI2" s="730" t="s">
        <v>53</v>
      </c>
      <c r="BJ2" s="730" t="s">
        <v>54</v>
      </c>
      <c r="BK2" s="730" t="s">
        <v>55</v>
      </c>
      <c r="BL2" s="730" t="s">
        <v>56</v>
      </c>
      <c r="BM2" s="730" t="s">
        <v>57</v>
      </c>
      <c r="BN2" s="730" t="s">
        <v>58</v>
      </c>
      <c r="BO2" s="730" t="s">
        <v>59</v>
      </c>
      <c r="BP2" s="730" t="s">
        <v>60</v>
      </c>
      <c r="BR2" s="730" t="s">
        <v>49</v>
      </c>
      <c r="BS2" s="730" t="s">
        <v>50</v>
      </c>
      <c r="BT2" s="730" t="s">
        <v>51</v>
      </c>
      <c r="BU2" s="730" t="s">
        <v>52</v>
      </c>
      <c r="BV2" s="730" t="s">
        <v>53</v>
      </c>
      <c r="BW2" s="730" t="s">
        <v>54</v>
      </c>
      <c r="BX2" s="730" t="s">
        <v>55</v>
      </c>
      <c r="BY2" s="730" t="s">
        <v>56</v>
      </c>
      <c r="BZ2" s="730" t="s">
        <v>57</v>
      </c>
      <c r="CA2" s="730" t="s">
        <v>58</v>
      </c>
      <c r="CB2" s="730" t="s">
        <v>59</v>
      </c>
      <c r="CC2" s="730" t="s">
        <v>60</v>
      </c>
      <c r="CX2" s="765"/>
      <c r="CY2" s="765"/>
      <c r="CZ2" s="765" t="s">
        <v>142</v>
      </c>
    </row>
    <row r="3" spans="1:104" ht="16.5" thickBot="1">
      <c r="A3" s="86"/>
      <c r="B3" s="86"/>
      <c r="C3" s="86"/>
      <c r="D3" s="86"/>
      <c r="E3" s="86"/>
      <c r="F3" s="752"/>
      <c r="G3" s="86"/>
      <c r="H3" s="86"/>
      <c r="I3" s="1323" t="s">
        <v>426</v>
      </c>
      <c r="J3" s="1323"/>
      <c r="K3" s="1323"/>
      <c r="L3" s="1323"/>
      <c r="M3" s="1323"/>
      <c r="N3" s="1323"/>
      <c r="O3" s="1323"/>
      <c r="P3" s="1323"/>
      <c r="Q3" s="86"/>
      <c r="R3" s="86"/>
      <c r="S3" s="86"/>
      <c r="T3" s="86"/>
      <c r="U3" s="86"/>
      <c r="V3" s="86"/>
      <c r="W3" s="86"/>
      <c r="Z3" s="730" t="s">
        <v>70</v>
      </c>
      <c r="AA3" s="1322" t="s">
        <v>64</v>
      </c>
      <c r="AB3" s="1322"/>
      <c r="AC3" s="730" t="s">
        <v>65</v>
      </c>
      <c r="AE3" s="730" t="s">
        <v>68</v>
      </c>
      <c r="AG3" s="776"/>
      <c r="AH3" s="765"/>
      <c r="AI3" s="780" t="s">
        <v>398</v>
      </c>
      <c r="AJ3" s="778" t="e">
        <f>VLOOKUP(B!$M$2,$AJ$17:$AK$28,2,FALSE)</f>
        <v>#N/A</v>
      </c>
      <c r="AK3" s="765" t="e">
        <f>CONCATENATE(AJ3,B!$N$2)</f>
        <v>#N/A</v>
      </c>
      <c r="AL3" s="736" t="s">
        <v>50</v>
      </c>
      <c r="AN3" s="737" t="s">
        <v>144</v>
      </c>
      <c r="AO3" s="735"/>
      <c r="AP3" s="730" t="str">
        <f>'Current Status (''Shikuf'')'!D5</f>
        <v>Mortgage Payments</v>
      </c>
      <c r="AQ3" s="730" t="str">
        <f>'Month A'!B7</f>
        <v>Mortgage Payments</v>
      </c>
      <c r="AR3" s="730" t="str">
        <f>B!$B7</f>
        <v>Mortgage Payments</v>
      </c>
      <c r="AS3" s="730" t="str">
        <f>'C'!$B7</f>
        <v>Mortgage Payments</v>
      </c>
      <c r="AT3" s="730" t="str">
        <f>D!$B7</f>
        <v>Mortgage Payments</v>
      </c>
      <c r="AU3" s="730" t="str">
        <f>E!$B7</f>
        <v>Mortgage Payments</v>
      </c>
      <c r="AV3" s="730" t="str">
        <f>F!$B7</f>
        <v>Mortgage Payments</v>
      </c>
      <c r="AW3" s="730" t="str">
        <f>G!$B7</f>
        <v>Mortgage Payments</v>
      </c>
      <c r="AX3" s="730" t="str">
        <f>H!$B7</f>
        <v>Mortgage Payments</v>
      </c>
      <c r="AY3" s="730" t="str">
        <f>I!$B7</f>
        <v>Mortgage Payments</v>
      </c>
      <c r="AZ3" s="730" t="str">
        <f>J!$B7</f>
        <v>Mortgage Payments</v>
      </c>
      <c r="BA3" s="730" t="str">
        <f>K!$B7</f>
        <v>Mortgage Payments</v>
      </c>
      <c r="BB3" s="730" t="str">
        <f>L!$B7</f>
        <v>Mortgage Payments</v>
      </c>
      <c r="BD3" s="738">
        <f>'Current Status (''Shikuf'')'!F5</f>
        <v>0</v>
      </c>
      <c r="BE3" s="730">
        <f>'Month A'!$D7</f>
        <v>0</v>
      </c>
      <c r="BF3" s="730">
        <f>B!$D7</f>
        <v>0</v>
      </c>
      <c r="BG3" s="730">
        <f>'C'!$D7</f>
        <v>0</v>
      </c>
      <c r="BH3" s="730">
        <f>D!$D7</f>
        <v>0</v>
      </c>
      <c r="BI3" s="730">
        <f>E!$D7</f>
        <v>0</v>
      </c>
      <c r="BJ3" s="730">
        <f>F!$D7</f>
        <v>0</v>
      </c>
      <c r="BK3" s="730">
        <f>G!$D7</f>
        <v>0</v>
      </c>
      <c r="BL3" s="730">
        <f>H!$D7</f>
        <v>0</v>
      </c>
      <c r="BM3" s="730">
        <f>I!$D7</f>
        <v>0</v>
      </c>
      <c r="BN3" s="730">
        <f>J!$D7</f>
        <v>0</v>
      </c>
      <c r="BO3" s="730">
        <f>K!$D7</f>
        <v>0</v>
      </c>
      <c r="BP3" s="730">
        <f>L!$D7</f>
        <v>0</v>
      </c>
      <c r="BR3" s="730">
        <f>'Month A'!$C7</f>
        <v>0</v>
      </c>
      <c r="BS3" s="730">
        <f>B!$C7</f>
        <v>0</v>
      </c>
      <c r="BT3" s="730">
        <f>'C'!$C7</f>
        <v>0</v>
      </c>
      <c r="BU3" s="730">
        <f>D!$C7</f>
        <v>0</v>
      </c>
      <c r="BV3" s="730">
        <f>E!$C7</f>
        <v>0</v>
      </c>
      <c r="BW3" s="730">
        <f>F!$C7</f>
        <v>0</v>
      </c>
      <c r="BX3" s="730">
        <f>G!$C7</f>
        <v>0</v>
      </c>
      <c r="BY3" s="730">
        <f>H!$C7</f>
        <v>0</v>
      </c>
      <c r="BZ3" s="730">
        <f>I!$C7</f>
        <v>0</v>
      </c>
      <c r="CA3" s="730">
        <f>J!$C7</f>
        <v>0</v>
      </c>
      <c r="CB3" s="730">
        <f>K!$C7</f>
        <v>0</v>
      </c>
      <c r="CC3" s="730">
        <f>L!$C7</f>
        <v>0</v>
      </c>
      <c r="CY3" s="766" t="s">
        <v>129</v>
      </c>
      <c r="CZ3" s="766" t="s">
        <v>128</v>
      </c>
    </row>
    <row r="4" spans="1:104" ht="16.5" thickBot="1">
      <c r="A4" s="86"/>
      <c r="B4" s="86"/>
      <c r="C4" s="86"/>
      <c r="D4" s="86"/>
      <c r="E4" s="86"/>
      <c r="F4" s="757" t="s">
        <v>144</v>
      </c>
      <c r="G4" s="758">
        <f t="shared" ref="G4:G35" si="0">SUMIF($Z$5:$Z$63,AN3,$AB$5:$AB$63)</f>
        <v>0</v>
      </c>
      <c r="H4" s="86"/>
      <c r="I4" s="907"/>
      <c r="J4" s="908"/>
      <c r="K4" s="746"/>
      <c r="L4" s="746"/>
      <c r="M4" s="746"/>
      <c r="N4" s="746"/>
      <c r="O4" s="760"/>
      <c r="P4" s="747"/>
      <c r="Q4" s="86"/>
      <c r="R4" s="86"/>
      <c r="S4" s="86"/>
      <c r="T4" s="86"/>
      <c r="U4" s="86"/>
      <c r="V4" s="86"/>
      <c r="W4" s="86"/>
      <c r="AA4" s="730" t="s">
        <v>66</v>
      </c>
      <c r="AB4" s="730" t="s">
        <v>67</v>
      </c>
      <c r="AF4" s="739">
        <v>4</v>
      </c>
      <c r="AG4" s="777">
        <f t="shared" ref="AG4:AG13" si="1">IF(I4&lt;&gt;0,IF(O4="",1,0),0)</f>
        <v>0</v>
      </c>
      <c r="AH4" s="765"/>
      <c r="AI4" s="781" t="s">
        <v>354</v>
      </c>
      <c r="AJ4" s="778" t="e">
        <f>VLOOKUP('C'!$M$2,$AJ$17:$AK$28,2,FALSE)</f>
        <v>#N/A</v>
      </c>
      <c r="AK4" s="765" t="e">
        <f>CONCATENATE(AJ4,'C'!$N$2)</f>
        <v>#N/A</v>
      </c>
      <c r="AL4" s="736" t="s">
        <v>51</v>
      </c>
      <c r="AN4" s="737" t="s">
        <v>149</v>
      </c>
      <c r="AO4" s="735"/>
      <c r="AP4" s="730" t="str">
        <f>'Current Status (''Shikuf'')'!D6</f>
        <v>Mortgage Insurance</v>
      </c>
      <c r="AQ4" s="730" t="str">
        <f>'Month A'!B8</f>
        <v>Mortgage Insurance</v>
      </c>
      <c r="AR4" s="730" t="str">
        <f>B!$B8</f>
        <v>Mortgage Insurance</v>
      </c>
      <c r="AS4" s="730" t="str">
        <f>'C'!$B8</f>
        <v>Mortgage Insurance</v>
      </c>
      <c r="AT4" s="730" t="str">
        <f>D!$B8</f>
        <v>Mortgage Insurance</v>
      </c>
      <c r="AU4" s="730" t="str">
        <f>E!$B8</f>
        <v>Mortgage Insurance</v>
      </c>
      <c r="AV4" s="730" t="str">
        <f>F!$B8</f>
        <v>Mortgage Insurance</v>
      </c>
      <c r="AW4" s="730" t="str">
        <f>G!$B8</f>
        <v>Mortgage Insurance</v>
      </c>
      <c r="AX4" s="730" t="str">
        <f>H!$B8</f>
        <v>Mortgage Insurance</v>
      </c>
      <c r="AY4" s="730" t="str">
        <f>I!$B8</f>
        <v>Mortgage Insurance</v>
      </c>
      <c r="AZ4" s="730" t="str">
        <f>J!$B8</f>
        <v>Mortgage Insurance</v>
      </c>
      <c r="BA4" s="730" t="str">
        <f>K!$B8</f>
        <v>Mortgage Insurance</v>
      </c>
      <c r="BB4" s="730" t="str">
        <f>L!$B8</f>
        <v>Mortgage Insurance</v>
      </c>
      <c r="BD4" s="738">
        <f>'Current Status (''Shikuf'')'!F6</f>
        <v>0</v>
      </c>
      <c r="BE4" s="730">
        <f>'Month A'!$D8</f>
        <v>0</v>
      </c>
      <c r="BF4" s="730">
        <f>B!$D8</f>
        <v>0</v>
      </c>
      <c r="BG4" s="730">
        <f>'C'!$D8</f>
        <v>0</v>
      </c>
      <c r="BH4" s="730">
        <f>D!$D8</f>
        <v>0</v>
      </c>
      <c r="BI4" s="730">
        <f>E!$D8</f>
        <v>0</v>
      </c>
      <c r="BJ4" s="730">
        <f>F!$D8</f>
        <v>0</v>
      </c>
      <c r="BK4" s="730">
        <f>G!$D8</f>
        <v>0</v>
      </c>
      <c r="BL4" s="730">
        <f>H!$D8</f>
        <v>0</v>
      </c>
      <c r="BM4" s="730">
        <f>I!$D8</f>
        <v>0</v>
      </c>
      <c r="BN4" s="730">
        <f>J!$D8</f>
        <v>0</v>
      </c>
      <c r="BO4" s="730">
        <f>K!$D8</f>
        <v>0</v>
      </c>
      <c r="BP4" s="730">
        <f>L!$D8</f>
        <v>0</v>
      </c>
      <c r="BR4" s="730">
        <f>'Month A'!$C8</f>
        <v>0</v>
      </c>
      <c r="BS4" s="730">
        <f>B!$C8</f>
        <v>0</v>
      </c>
      <c r="BT4" s="730">
        <f>'C'!$C8</f>
        <v>0</v>
      </c>
      <c r="BU4" s="730">
        <f>D!$C8</f>
        <v>0</v>
      </c>
      <c r="BV4" s="730">
        <f>E!$C8</f>
        <v>0</v>
      </c>
      <c r="BW4" s="730">
        <f>F!$C8</f>
        <v>0</v>
      </c>
      <c r="BX4" s="730">
        <f>G!$C8</f>
        <v>0</v>
      </c>
      <c r="BY4" s="730">
        <f>H!$C8</f>
        <v>0</v>
      </c>
      <c r="BZ4" s="730">
        <f>I!$C8</f>
        <v>0</v>
      </c>
      <c r="CA4" s="730">
        <f>J!$C8</f>
        <v>0</v>
      </c>
      <c r="CB4" s="730">
        <f>K!$C8</f>
        <v>0</v>
      </c>
      <c r="CC4" s="730">
        <f>L!$C8</f>
        <v>0</v>
      </c>
      <c r="CX4" s="765"/>
      <c r="CY4" s="782">
        <f>G4</f>
        <v>0</v>
      </c>
      <c r="CZ4" s="772" t="s">
        <v>71</v>
      </c>
    </row>
    <row r="5" spans="1:104" ht="16.5" thickBot="1">
      <c r="A5" s="86"/>
      <c r="B5" s="86"/>
      <c r="C5" s="86"/>
      <c r="D5" s="86"/>
      <c r="E5" s="86"/>
      <c r="F5" s="757" t="s">
        <v>149</v>
      </c>
      <c r="G5" s="758">
        <f t="shared" si="0"/>
        <v>0</v>
      </c>
      <c r="H5" s="86"/>
      <c r="I5" s="909">
        <f t="shared" ref="I5:I36" si="2">IF(AE5=0,,CONCATENATE("The name '",AA5,"' doesn't exists in the software. Map to: "))</f>
        <v>0</v>
      </c>
      <c r="J5" s="910"/>
      <c r="K5" s="748"/>
      <c r="L5" s="748"/>
      <c r="M5" s="748"/>
      <c r="N5" s="748"/>
      <c r="O5" s="761"/>
      <c r="P5" s="749"/>
      <c r="Q5" s="86"/>
      <c r="R5" s="86"/>
      <c r="S5" s="86"/>
      <c r="T5" s="86"/>
      <c r="U5" s="86"/>
      <c r="V5" s="86"/>
      <c r="W5" s="86"/>
      <c r="Z5" s="730" t="str">
        <f>IF(AE5=0,AA5,O5)</f>
        <v>Mortgage Payments</v>
      </c>
      <c r="AA5" s="730" t="str">
        <f>HLOOKUP($AL$15,$AP$2:$BB$61,AC5,FALSE)</f>
        <v>Mortgage Payments</v>
      </c>
      <c r="AB5" s="730">
        <f>IF($D$2=$AI$4,HLOOKUP($AL$15,$BR$2:$CC$61,AC5,FALSE),HLOOKUP($AL$15,$BD$2:$BP$61,AC5,FALSE))</f>
        <v>0</v>
      </c>
      <c r="AC5" s="730">
        <v>2</v>
      </c>
      <c r="AD5" s="730">
        <f>MATCH(AA5,$AN$3:$AN$59,0)</f>
        <v>1</v>
      </c>
      <c r="AE5" s="730">
        <f t="shared" ref="AE5:AE12" si="3">IF(ISERROR(AD5),IF(AB5&lt;&gt;0,"להתאים",),)</f>
        <v>0</v>
      </c>
      <c r="AF5" s="730" t="e">
        <f ca="1">ROW(INDEX(INDIRECT("AE"&amp;AF4+1 &amp;":AE62"),MATCH(TRUE,INDEX((INDIRECT("AE"&amp;AF4+1 &amp;":AE62")&lt;&gt;0),0),0)))</f>
        <v>#N/A</v>
      </c>
      <c r="AG5" s="777">
        <f t="shared" si="1"/>
        <v>0</v>
      </c>
      <c r="AH5" s="765"/>
      <c r="AJ5" s="768" t="e">
        <f>VLOOKUP(D!$M$2,$AJ$17:$AK$28,2,FALSE)</f>
        <v>#N/A</v>
      </c>
      <c r="AK5" s="765" t="e">
        <f>CONCATENATE(AJ5,D!$N$2)</f>
        <v>#N/A</v>
      </c>
      <c r="AL5" s="736" t="s">
        <v>52</v>
      </c>
      <c r="AN5" s="737" t="s">
        <v>150</v>
      </c>
      <c r="AO5" s="735"/>
      <c r="AP5" s="730" t="str">
        <f>'Current Status (''Shikuf'')'!D7</f>
        <v>Rent</v>
      </c>
      <c r="AQ5" s="730" t="str">
        <f>'Month A'!B9</f>
        <v>Rent</v>
      </c>
      <c r="AR5" s="730" t="str">
        <f>B!$B9</f>
        <v>Rent</v>
      </c>
      <c r="AS5" s="730" t="str">
        <f>'C'!$B9</f>
        <v>Rent</v>
      </c>
      <c r="AT5" s="730" t="str">
        <f>D!$B9</f>
        <v>Rent</v>
      </c>
      <c r="AU5" s="730" t="str">
        <f>E!$B9</f>
        <v>Rent</v>
      </c>
      <c r="AV5" s="730" t="str">
        <f>F!$B9</f>
        <v>Rent</v>
      </c>
      <c r="AW5" s="730" t="str">
        <f>G!$B9</f>
        <v>Rent</v>
      </c>
      <c r="AX5" s="730" t="str">
        <f>H!$B9</f>
        <v>Rent</v>
      </c>
      <c r="AY5" s="730" t="str">
        <f>I!$B9</f>
        <v>Rent</v>
      </c>
      <c r="AZ5" s="730" t="str">
        <f>J!$B9</f>
        <v>Rent</v>
      </c>
      <c r="BA5" s="730" t="str">
        <f>K!$B9</f>
        <v>Rent</v>
      </c>
      <c r="BB5" s="730" t="str">
        <f>L!$B9</f>
        <v>Rent</v>
      </c>
      <c r="BD5" s="738">
        <f>'Current Status (''Shikuf'')'!F7</f>
        <v>0</v>
      </c>
      <c r="BE5" s="730">
        <f>'Month A'!$D9</f>
        <v>0</v>
      </c>
      <c r="BF5" s="730">
        <f>B!$D9</f>
        <v>0</v>
      </c>
      <c r="BG5" s="730">
        <f>'C'!$D9</f>
        <v>0</v>
      </c>
      <c r="BH5" s="730">
        <f>D!$D9</f>
        <v>0</v>
      </c>
      <c r="BI5" s="730">
        <f>E!$D9</f>
        <v>0</v>
      </c>
      <c r="BJ5" s="730">
        <f>F!$D9</f>
        <v>0</v>
      </c>
      <c r="BK5" s="730">
        <f>G!$D9</f>
        <v>0</v>
      </c>
      <c r="BL5" s="730">
        <f>H!$D9</f>
        <v>0</v>
      </c>
      <c r="BM5" s="730">
        <f>I!$D9</f>
        <v>0</v>
      </c>
      <c r="BN5" s="730">
        <f>J!$D9</f>
        <v>0</v>
      </c>
      <c r="BO5" s="730">
        <f>K!$D9</f>
        <v>0</v>
      </c>
      <c r="BP5" s="730">
        <f>L!$D9</f>
        <v>0</v>
      </c>
      <c r="BR5" s="730">
        <f>'Month A'!$C9</f>
        <v>0</v>
      </c>
      <c r="BS5" s="730">
        <f>B!$C9</f>
        <v>0</v>
      </c>
      <c r="BT5" s="730">
        <f>'C'!$C9</f>
        <v>0</v>
      </c>
      <c r="BU5" s="730">
        <f>D!$C9</f>
        <v>0</v>
      </c>
      <c r="BV5" s="730">
        <f>E!$C9</f>
        <v>0</v>
      </c>
      <c r="BW5" s="730">
        <f>F!$C9</f>
        <v>0</v>
      </c>
      <c r="BX5" s="730">
        <f>G!$C9</f>
        <v>0</v>
      </c>
      <c r="BY5" s="730">
        <f>H!$C9</f>
        <v>0</v>
      </c>
      <c r="BZ5" s="730">
        <f>I!$C9</f>
        <v>0</v>
      </c>
      <c r="CA5" s="730">
        <f>J!$C9</f>
        <v>0</v>
      </c>
      <c r="CB5" s="730">
        <f>K!$C9</f>
        <v>0</v>
      </c>
      <c r="CC5" s="730">
        <f>L!$C9</f>
        <v>0</v>
      </c>
      <c r="CX5" s="765"/>
      <c r="CY5" s="763">
        <f t="shared" ref="CY5:CY60" si="4">G5</f>
        <v>0</v>
      </c>
      <c r="CZ5" s="773" t="s">
        <v>72</v>
      </c>
    </row>
    <row r="6" spans="1:104" ht="16.5" thickBot="1">
      <c r="A6" s="86"/>
      <c r="B6" s="86"/>
      <c r="C6" s="86"/>
      <c r="D6" s="86"/>
      <c r="E6" s="86"/>
      <c r="F6" s="757" t="s">
        <v>150</v>
      </c>
      <c r="G6" s="758">
        <f t="shared" si="0"/>
        <v>0</v>
      </c>
      <c r="H6" s="86"/>
      <c r="I6" s="909">
        <f t="shared" si="2"/>
        <v>0</v>
      </c>
      <c r="J6" s="910"/>
      <c r="K6" s="748"/>
      <c r="L6" s="748"/>
      <c r="M6" s="748"/>
      <c r="N6" s="748"/>
      <c r="O6" s="761"/>
      <c r="P6" s="749"/>
      <c r="Q6" s="86"/>
      <c r="R6" s="86"/>
      <c r="S6" s="86"/>
      <c r="T6" s="86"/>
      <c r="U6" s="86"/>
      <c r="V6" s="86"/>
      <c r="W6" s="86"/>
      <c r="Z6" s="730" t="str">
        <f t="shared" ref="Z6:Z63" si="5">IF(AE6=0,AA6,O6)</f>
        <v>Mortgage Insurance</v>
      </c>
      <c r="AA6" s="730" t="str">
        <f>HLOOKUP($AL$15,$AP$2:$BB$61,AC6,FALSE)</f>
        <v>Mortgage Insurance</v>
      </c>
      <c r="AB6" s="730">
        <f>IF($D$2=$AI$4,HLOOKUP($AL$15,$BR$2:$CC$61,AC6,FALSE),HLOOKUP($AL$15,$BD$2:$BP$61,AC6,FALSE))</f>
        <v>0</v>
      </c>
      <c r="AC6" s="730">
        <f>AC5+1</f>
        <v>3</v>
      </c>
      <c r="AD6" s="730">
        <f t="shared" ref="AD6:AD63" si="6">MATCH(AA6,$AN$3:$AN$59,0)</f>
        <v>2</v>
      </c>
      <c r="AE6" s="730">
        <f t="shared" si="3"/>
        <v>0</v>
      </c>
      <c r="AF6" s="730" t="e">
        <f ca="1">ROW(INDEX(INDIRECT("AE"&amp;AF5+1 &amp;":AE62"),MATCH(TRUE,INDEX((INDIRECT("AE"&amp;AF5+1 &amp;":AE62")&lt;&gt;0),0),0)))</f>
        <v>#N/A</v>
      </c>
      <c r="AG6" s="777">
        <f t="shared" si="1"/>
        <v>0</v>
      </c>
      <c r="AH6" s="765"/>
      <c r="AJ6" s="768" t="e">
        <f>VLOOKUP(E!$M$2,$AJ$17:$AK$28,2,FALSE)</f>
        <v>#N/A</v>
      </c>
      <c r="AK6" s="765" t="e">
        <f>CONCATENATE(AJ6,E!$N$2)</f>
        <v>#N/A</v>
      </c>
      <c r="AL6" s="736" t="s">
        <v>53</v>
      </c>
      <c r="AN6" s="737" t="s">
        <v>152</v>
      </c>
      <c r="AO6" s="735"/>
      <c r="AP6" s="730" t="str">
        <f>'Current Status (''Shikuf'')'!D8</f>
        <v>Town Taxes / Maintenance Fees</v>
      </c>
      <c r="AQ6" s="730" t="str">
        <f>'Month A'!B10</f>
        <v>Town Taxes / Maintenance Fees</v>
      </c>
      <c r="AR6" s="730" t="str">
        <f>B!$B10</f>
        <v>Town Taxes / Maintenance Fees</v>
      </c>
      <c r="AS6" s="730" t="str">
        <f>'C'!$B10</f>
        <v>Town Taxes / Maintenance Fees</v>
      </c>
      <c r="AT6" s="730" t="str">
        <f>D!$B10</f>
        <v>Town Taxes / Maintenance Fees</v>
      </c>
      <c r="AU6" s="730" t="str">
        <f>E!$B10</f>
        <v>Town Taxes / Maintenance Fees</v>
      </c>
      <c r="AV6" s="730" t="str">
        <f>F!$B10</f>
        <v>Town Taxes / Maintenance Fees</v>
      </c>
      <c r="AW6" s="730" t="str">
        <f>G!$B10</f>
        <v>Town Taxes / Maintenance Fees</v>
      </c>
      <c r="AX6" s="730" t="str">
        <f>H!$B10</f>
        <v>Town Taxes / Maintenance Fees</v>
      </c>
      <c r="AY6" s="730" t="str">
        <f>I!$B10</f>
        <v>Town Taxes / Maintenance Fees</v>
      </c>
      <c r="AZ6" s="730" t="str">
        <f>J!$B10</f>
        <v>Town Taxes / Maintenance Fees</v>
      </c>
      <c r="BA6" s="730" t="str">
        <f>K!$B10</f>
        <v>Town Taxes / Maintenance Fees</v>
      </c>
      <c r="BB6" s="730" t="str">
        <f>L!$B10</f>
        <v>Town Taxes / Maintenance Fees</v>
      </c>
      <c r="BD6" s="738">
        <f>'Current Status (''Shikuf'')'!F8</f>
        <v>0</v>
      </c>
      <c r="BE6" s="730">
        <f>'Month A'!$D10</f>
        <v>0</v>
      </c>
      <c r="BF6" s="730">
        <f>B!$D10</f>
        <v>0</v>
      </c>
      <c r="BG6" s="730">
        <f>'C'!$D10</f>
        <v>0</v>
      </c>
      <c r="BH6" s="730">
        <f>D!$D10</f>
        <v>0</v>
      </c>
      <c r="BI6" s="730">
        <f>E!$D10</f>
        <v>0</v>
      </c>
      <c r="BJ6" s="730">
        <f>F!$D10</f>
        <v>0</v>
      </c>
      <c r="BK6" s="730">
        <f>G!$D10</f>
        <v>0</v>
      </c>
      <c r="BL6" s="730">
        <f>H!$D10</f>
        <v>0</v>
      </c>
      <c r="BM6" s="730">
        <f>I!$D10</f>
        <v>0</v>
      </c>
      <c r="BN6" s="730">
        <f>J!$D10</f>
        <v>0</v>
      </c>
      <c r="BO6" s="730">
        <f>K!$D10</f>
        <v>0</v>
      </c>
      <c r="BP6" s="730">
        <f>L!$D10</f>
        <v>0</v>
      </c>
      <c r="BR6" s="730">
        <f>'Month A'!$C10</f>
        <v>0</v>
      </c>
      <c r="BS6" s="730">
        <f>B!$C10</f>
        <v>0</v>
      </c>
      <c r="BT6" s="730">
        <f>'C'!$C10</f>
        <v>0</v>
      </c>
      <c r="BU6" s="730">
        <f>D!$C10</f>
        <v>0</v>
      </c>
      <c r="BV6" s="730">
        <f>E!$C10</f>
        <v>0</v>
      </c>
      <c r="BW6" s="730">
        <f>F!$C10</f>
        <v>0</v>
      </c>
      <c r="BX6" s="730">
        <f>G!$C10</f>
        <v>0</v>
      </c>
      <c r="BY6" s="730">
        <f>H!$C10</f>
        <v>0</v>
      </c>
      <c r="BZ6" s="730">
        <f>I!$C10</f>
        <v>0</v>
      </c>
      <c r="CA6" s="730">
        <f>J!$C10</f>
        <v>0</v>
      </c>
      <c r="CB6" s="730">
        <f>K!$C10</f>
        <v>0</v>
      </c>
      <c r="CC6" s="730">
        <f>L!$C10</f>
        <v>0</v>
      </c>
      <c r="CX6" s="765"/>
      <c r="CY6" s="763">
        <f t="shared" si="4"/>
        <v>0</v>
      </c>
      <c r="CZ6" s="773" t="s">
        <v>73</v>
      </c>
    </row>
    <row r="7" spans="1:104" ht="30.75" thickBot="1">
      <c r="A7" s="86"/>
      <c r="B7" s="86"/>
      <c r="C7" s="86"/>
      <c r="D7" s="86"/>
      <c r="E7" s="86"/>
      <c r="F7" s="757" t="s">
        <v>152</v>
      </c>
      <c r="G7" s="758">
        <f t="shared" si="0"/>
        <v>0</v>
      </c>
      <c r="H7" s="86"/>
      <c r="I7" s="909">
        <f t="shared" si="2"/>
        <v>0</v>
      </c>
      <c r="J7" s="910"/>
      <c r="K7" s="748"/>
      <c r="L7" s="748"/>
      <c r="M7" s="748"/>
      <c r="N7" s="748"/>
      <c r="O7" s="761"/>
      <c r="P7" s="749"/>
      <c r="Q7" s="86"/>
      <c r="R7" s="86"/>
      <c r="S7" s="86"/>
      <c r="T7" s="86"/>
      <c r="U7" s="86"/>
      <c r="V7" s="86"/>
      <c r="W7" s="86"/>
      <c r="Z7" s="730" t="str">
        <f t="shared" si="5"/>
        <v>Rent</v>
      </c>
      <c r="AA7" s="730" t="str">
        <f t="shared" ref="AA7:AA63" si="7">HLOOKUP($AL$15,$AP$2:$BB$61,AC7,FALSE)</f>
        <v>Rent</v>
      </c>
      <c r="AB7" s="730">
        <f t="shared" ref="AB7:AB63" si="8">IF($D$2=$AI$4,HLOOKUP($AL$15,$BR$2:$CC$61,AC7,FALSE),HLOOKUP($AL$15,$BD$2:$BP$61,AC7,FALSE))</f>
        <v>0</v>
      </c>
      <c r="AC7" s="730">
        <f t="shared" ref="AC7:AC63" si="9">AC6+1</f>
        <v>4</v>
      </c>
      <c r="AD7" s="730">
        <f t="shared" si="6"/>
        <v>3</v>
      </c>
      <c r="AE7" s="730">
        <f t="shared" si="3"/>
        <v>0</v>
      </c>
      <c r="AF7" s="730" t="e">
        <f t="shared" ref="AF7:AF63" ca="1" si="10">ROW(INDEX(INDIRECT("AE"&amp;AF6+1 &amp;":AE62"),MATCH(TRUE,INDEX((INDIRECT("AE"&amp;AF6+1 &amp;":AE62")&lt;&gt;0),0),0)))</f>
        <v>#N/A</v>
      </c>
      <c r="AG7" s="777">
        <f t="shared" si="1"/>
        <v>0</v>
      </c>
      <c r="AH7" s="765"/>
      <c r="AJ7" s="768" t="e">
        <f>VLOOKUP(F!$M$2,$AJ$17:$AK$28,2,FALSE)</f>
        <v>#N/A</v>
      </c>
      <c r="AK7" s="765" t="e">
        <f>CONCATENATE(AJ7,F!$N$2)</f>
        <v>#N/A</v>
      </c>
      <c r="AL7" s="736" t="s">
        <v>54</v>
      </c>
      <c r="AN7" s="740" t="s">
        <v>153</v>
      </c>
      <c r="AO7" s="735"/>
      <c r="AP7" s="730" t="str">
        <f>'Current Status (''Shikuf'')'!D9</f>
        <v xml:space="preserve">Insurance (excl. car) </v>
      </c>
      <c r="AQ7" s="730" t="str">
        <f>'Month A'!B11</f>
        <v xml:space="preserve">Insurance (excl. car) </v>
      </c>
      <c r="AR7" s="730" t="str">
        <f>B!$B11</f>
        <v xml:space="preserve">Insurance (excl. car) </v>
      </c>
      <c r="AS7" s="730" t="str">
        <f>'C'!$B11</f>
        <v xml:space="preserve">Insurance (excl. car) </v>
      </c>
      <c r="AT7" s="730" t="str">
        <f>D!$B11</f>
        <v xml:space="preserve">Insurance (excl. car) </v>
      </c>
      <c r="AU7" s="730" t="str">
        <f>E!$B11</f>
        <v xml:space="preserve">Insurance (excl. car) </v>
      </c>
      <c r="AV7" s="730" t="str">
        <f>F!$B11</f>
        <v xml:space="preserve">Insurance (excl. car) </v>
      </c>
      <c r="AW7" s="730" t="str">
        <f>G!$B11</f>
        <v xml:space="preserve">Insurance (excl. car) </v>
      </c>
      <c r="AX7" s="730" t="str">
        <f>H!$B11</f>
        <v xml:space="preserve">Insurance (excl. car) </v>
      </c>
      <c r="AY7" s="730" t="str">
        <f>I!$B11</f>
        <v xml:space="preserve">Insurance (excl. car) </v>
      </c>
      <c r="AZ7" s="730" t="str">
        <f>J!$B11</f>
        <v xml:space="preserve">Insurance (excl. car) </v>
      </c>
      <c r="BA7" s="730" t="str">
        <f>K!$B11</f>
        <v xml:space="preserve">Insurance (excl. car) </v>
      </c>
      <c r="BB7" s="730" t="str">
        <f>L!$B11</f>
        <v xml:space="preserve">Insurance (excl. car) </v>
      </c>
      <c r="BD7" s="738">
        <f>'Current Status (''Shikuf'')'!F9</f>
        <v>0</v>
      </c>
      <c r="BE7" s="730">
        <f>'Month A'!$D11</f>
        <v>0</v>
      </c>
      <c r="BF7" s="730">
        <f>B!$D11</f>
        <v>0</v>
      </c>
      <c r="BG7" s="730">
        <f>'C'!$D11</f>
        <v>0</v>
      </c>
      <c r="BH7" s="730">
        <f>D!$D11</f>
        <v>0</v>
      </c>
      <c r="BI7" s="730">
        <f>E!$D11</f>
        <v>0</v>
      </c>
      <c r="BJ7" s="730">
        <f>F!$D11</f>
        <v>0</v>
      </c>
      <c r="BK7" s="730">
        <f>G!$D11</f>
        <v>0</v>
      </c>
      <c r="BL7" s="730">
        <f>H!$D11</f>
        <v>0</v>
      </c>
      <c r="BM7" s="730">
        <f>I!$D11</f>
        <v>0</v>
      </c>
      <c r="BN7" s="730">
        <f>J!$D11</f>
        <v>0</v>
      </c>
      <c r="BO7" s="730">
        <f>K!$D11</f>
        <v>0</v>
      </c>
      <c r="BP7" s="730">
        <f>L!$D11</f>
        <v>0</v>
      </c>
      <c r="BR7" s="730">
        <f>'Month A'!$C11</f>
        <v>0</v>
      </c>
      <c r="BS7" s="730">
        <f>B!$C11</f>
        <v>0</v>
      </c>
      <c r="BT7" s="730">
        <f>'C'!$C11</f>
        <v>0</v>
      </c>
      <c r="BU7" s="730">
        <f>D!$C11</f>
        <v>0</v>
      </c>
      <c r="BV7" s="730">
        <f>E!$C11</f>
        <v>0</v>
      </c>
      <c r="BW7" s="730">
        <f>F!$C11</f>
        <v>0</v>
      </c>
      <c r="BX7" s="730">
        <f>G!$C11</f>
        <v>0</v>
      </c>
      <c r="BY7" s="730">
        <f>H!$C11</f>
        <v>0</v>
      </c>
      <c r="BZ7" s="730">
        <f>I!$C11</f>
        <v>0</v>
      </c>
      <c r="CA7" s="730">
        <f>J!$C11</f>
        <v>0</v>
      </c>
      <c r="CB7" s="730">
        <f>K!$C11</f>
        <v>0</v>
      </c>
      <c r="CC7" s="730">
        <f>L!$C11</f>
        <v>0</v>
      </c>
      <c r="CY7" s="763">
        <f t="shared" si="4"/>
        <v>0</v>
      </c>
      <c r="CZ7" s="773" t="s">
        <v>74</v>
      </c>
    </row>
    <row r="8" spans="1:104" ht="16.5" thickBot="1">
      <c r="A8" s="86"/>
      <c r="B8" s="86"/>
      <c r="C8" s="86"/>
      <c r="D8" s="86"/>
      <c r="E8" s="86"/>
      <c r="F8" s="759" t="s">
        <v>153</v>
      </c>
      <c r="G8" s="758">
        <f t="shared" si="0"/>
        <v>0</v>
      </c>
      <c r="H8" s="86"/>
      <c r="I8" s="909">
        <f t="shared" si="2"/>
        <v>0</v>
      </c>
      <c r="J8" s="910"/>
      <c r="K8" s="748"/>
      <c r="L8" s="748"/>
      <c r="M8" s="748"/>
      <c r="N8" s="748"/>
      <c r="O8" s="761"/>
      <c r="P8" s="749"/>
      <c r="Q8" s="86"/>
      <c r="R8" s="86"/>
      <c r="S8" s="86"/>
      <c r="T8" s="86"/>
      <c r="U8" s="86"/>
      <c r="V8" s="86"/>
      <c r="W8" s="86"/>
      <c r="Z8" s="730" t="str">
        <f t="shared" si="5"/>
        <v>Town Taxes / Maintenance Fees</v>
      </c>
      <c r="AA8" s="730" t="str">
        <f t="shared" si="7"/>
        <v>Town Taxes / Maintenance Fees</v>
      </c>
      <c r="AB8" s="730">
        <f t="shared" si="8"/>
        <v>0</v>
      </c>
      <c r="AC8" s="730">
        <f t="shared" si="9"/>
        <v>5</v>
      </c>
      <c r="AD8" s="730">
        <f t="shared" si="6"/>
        <v>4</v>
      </c>
      <c r="AE8" s="730">
        <f t="shared" si="3"/>
        <v>0</v>
      </c>
      <c r="AF8" s="730" t="e">
        <f t="shared" ca="1" si="10"/>
        <v>#N/A</v>
      </c>
      <c r="AG8" s="777">
        <f t="shared" si="1"/>
        <v>0</v>
      </c>
      <c r="AH8" s="765"/>
      <c r="AJ8" s="768" t="e">
        <f>VLOOKUP(G!$M$2,$AJ$17:$AK$28,2,FALSE)</f>
        <v>#N/A</v>
      </c>
      <c r="AK8" s="765" t="e">
        <f>CONCATENATE(AJ8,G!$N$2)</f>
        <v>#N/A</v>
      </c>
      <c r="AL8" s="736" t="s">
        <v>55</v>
      </c>
      <c r="AN8" s="737" t="s">
        <v>154</v>
      </c>
      <c r="AO8" s="735"/>
      <c r="AP8" s="730" t="str">
        <f>'Current Status (''Shikuf'')'!D10</f>
        <v>Bank Savings Program</v>
      </c>
      <c r="AQ8" s="730" t="str">
        <f>'Month A'!B12</f>
        <v>Bank Savings Program</v>
      </c>
      <c r="AR8" s="730" t="str">
        <f>B!$B12</f>
        <v>Bank Savings Program</v>
      </c>
      <c r="AS8" s="730" t="str">
        <f>'C'!$B12</f>
        <v>Bank Savings Program</v>
      </c>
      <c r="AT8" s="730" t="str">
        <f>D!$B12</f>
        <v>Bank Savings Program</v>
      </c>
      <c r="AU8" s="730" t="str">
        <f>E!$B12</f>
        <v>Bank Savings Program</v>
      </c>
      <c r="AV8" s="730" t="str">
        <f>F!$B12</f>
        <v>Bank Savings Program</v>
      </c>
      <c r="AW8" s="730" t="str">
        <f>G!$B12</f>
        <v>Bank Savings Program</v>
      </c>
      <c r="AX8" s="730" t="str">
        <f>H!$B12</f>
        <v>Bank Savings Program</v>
      </c>
      <c r="AY8" s="730" t="str">
        <f>I!$B12</f>
        <v>Bank Savings Program</v>
      </c>
      <c r="AZ8" s="730" t="str">
        <f>J!$B12</f>
        <v>Bank Savings Program</v>
      </c>
      <c r="BA8" s="730" t="str">
        <f>K!$B12</f>
        <v>Bank Savings Program</v>
      </c>
      <c r="BB8" s="730" t="str">
        <f>L!$B12</f>
        <v>Bank Savings Program</v>
      </c>
      <c r="BD8" s="738">
        <f>'Current Status (''Shikuf'')'!F10</f>
        <v>0</v>
      </c>
      <c r="BE8" s="730">
        <f>'Month A'!$D12</f>
        <v>0</v>
      </c>
      <c r="BF8" s="730">
        <f>B!$D12</f>
        <v>0</v>
      </c>
      <c r="BG8" s="730">
        <f>'C'!$D12</f>
        <v>0</v>
      </c>
      <c r="BH8" s="730">
        <f>D!$D12</f>
        <v>0</v>
      </c>
      <c r="BI8" s="730">
        <f>E!$D12</f>
        <v>0</v>
      </c>
      <c r="BJ8" s="730">
        <f>F!$D12</f>
        <v>0</v>
      </c>
      <c r="BK8" s="730">
        <f>G!$D12</f>
        <v>0</v>
      </c>
      <c r="BL8" s="730">
        <f>H!$D12</f>
        <v>0</v>
      </c>
      <c r="BM8" s="730">
        <f>I!$D12</f>
        <v>0</v>
      </c>
      <c r="BN8" s="730">
        <f>J!$D12</f>
        <v>0</v>
      </c>
      <c r="BO8" s="730">
        <f>K!$D12</f>
        <v>0</v>
      </c>
      <c r="BP8" s="730">
        <f>L!$D12</f>
        <v>0</v>
      </c>
      <c r="BR8" s="730">
        <f>'Month A'!$C12</f>
        <v>0</v>
      </c>
      <c r="BS8" s="730">
        <f>B!$C12</f>
        <v>0</v>
      </c>
      <c r="BT8" s="730">
        <f>'C'!$C12</f>
        <v>0</v>
      </c>
      <c r="BU8" s="730">
        <f>D!$C12</f>
        <v>0</v>
      </c>
      <c r="BV8" s="730">
        <f>E!$C12</f>
        <v>0</v>
      </c>
      <c r="BW8" s="730">
        <f>F!$C12</f>
        <v>0</v>
      </c>
      <c r="BX8" s="730">
        <f>G!$C12</f>
        <v>0</v>
      </c>
      <c r="BY8" s="730">
        <f>H!$C12</f>
        <v>0</v>
      </c>
      <c r="BZ8" s="730">
        <f>I!$C12</f>
        <v>0</v>
      </c>
      <c r="CA8" s="730">
        <f>J!$C12</f>
        <v>0</v>
      </c>
      <c r="CB8" s="730">
        <f>K!$C12</f>
        <v>0</v>
      </c>
      <c r="CC8" s="730">
        <f>L!$C12</f>
        <v>0</v>
      </c>
      <c r="CY8" s="763">
        <f t="shared" si="4"/>
        <v>0</v>
      </c>
      <c r="CZ8" s="773" t="s">
        <v>75</v>
      </c>
    </row>
    <row r="9" spans="1:104" ht="16.5" thickBot="1">
      <c r="A9" s="86"/>
      <c r="B9" s="86"/>
      <c r="C9" s="86"/>
      <c r="D9" s="86"/>
      <c r="E9" s="86"/>
      <c r="F9" s="757" t="s">
        <v>154</v>
      </c>
      <c r="G9" s="758">
        <f t="shared" si="0"/>
        <v>0</v>
      </c>
      <c r="H9" s="86"/>
      <c r="I9" s="909">
        <f t="shared" si="2"/>
        <v>0</v>
      </c>
      <c r="J9" s="910"/>
      <c r="K9" s="748"/>
      <c r="L9" s="748"/>
      <c r="M9" s="748"/>
      <c r="N9" s="748"/>
      <c r="O9" s="761"/>
      <c r="P9" s="749"/>
      <c r="Q9" s="86"/>
      <c r="R9" s="86"/>
      <c r="S9" s="86"/>
      <c r="T9" s="86"/>
      <c r="U9" s="86"/>
      <c r="V9" s="86"/>
      <c r="W9" s="86"/>
      <c r="Z9" s="730" t="str">
        <f t="shared" si="5"/>
        <v xml:space="preserve">Insurance (excl. car) </v>
      </c>
      <c r="AA9" s="730" t="str">
        <f t="shared" si="7"/>
        <v xml:space="preserve">Insurance (excl. car) </v>
      </c>
      <c r="AB9" s="730">
        <f t="shared" si="8"/>
        <v>0</v>
      </c>
      <c r="AC9" s="730">
        <f t="shared" si="9"/>
        <v>6</v>
      </c>
      <c r="AD9" s="730">
        <f t="shared" si="6"/>
        <v>5</v>
      </c>
      <c r="AE9" s="730">
        <f t="shared" si="3"/>
        <v>0</v>
      </c>
      <c r="AF9" s="730" t="e">
        <f t="shared" ca="1" si="10"/>
        <v>#N/A</v>
      </c>
      <c r="AG9" s="777">
        <f t="shared" si="1"/>
        <v>0</v>
      </c>
      <c r="AH9" s="765"/>
      <c r="AJ9" s="768" t="e">
        <f>VLOOKUP(H!$M$2,$AJ$17:$AK$28,2,FALSE)</f>
        <v>#N/A</v>
      </c>
      <c r="AK9" s="765" t="e">
        <f>CONCATENATE(AJ9,H!$N$2)</f>
        <v>#N/A</v>
      </c>
      <c r="AL9" s="736" t="s">
        <v>56</v>
      </c>
      <c r="AN9" s="737" t="s">
        <v>155</v>
      </c>
      <c r="AO9" s="735"/>
      <c r="AP9" s="730" t="str">
        <f>'Current Status (''Shikuf'')'!D11</f>
        <v>Subscriptions</v>
      </c>
      <c r="AQ9" s="730" t="str">
        <f>'Month A'!B13</f>
        <v>Subscriptions</v>
      </c>
      <c r="AR9" s="730" t="str">
        <f>B!$B13</f>
        <v>Subscriptions</v>
      </c>
      <c r="AS9" s="730" t="str">
        <f>'C'!$B13</f>
        <v>Subscriptions</v>
      </c>
      <c r="AT9" s="730" t="str">
        <f>D!$B13</f>
        <v>Subscriptions</v>
      </c>
      <c r="AU9" s="730" t="str">
        <f>E!$B13</f>
        <v>Subscriptions</v>
      </c>
      <c r="AV9" s="730" t="str">
        <f>F!$B13</f>
        <v>Subscriptions</v>
      </c>
      <c r="AW9" s="730" t="str">
        <f>G!$B13</f>
        <v>Subscriptions</v>
      </c>
      <c r="AX9" s="730" t="str">
        <f>H!$B13</f>
        <v>Subscriptions</v>
      </c>
      <c r="AY9" s="730" t="str">
        <f>I!$B13</f>
        <v>Subscriptions</v>
      </c>
      <c r="AZ9" s="730" t="str">
        <f>J!$B13</f>
        <v>Subscriptions</v>
      </c>
      <c r="BA9" s="730" t="str">
        <f>K!$B13</f>
        <v>Subscriptions</v>
      </c>
      <c r="BB9" s="730" t="str">
        <f>L!$B13</f>
        <v>Subscriptions</v>
      </c>
      <c r="BD9" s="738">
        <f>'Current Status (''Shikuf'')'!F11</f>
        <v>0</v>
      </c>
      <c r="BE9" s="730">
        <f>'Month A'!$D13</f>
        <v>0</v>
      </c>
      <c r="BF9" s="730">
        <f>B!$D13</f>
        <v>0</v>
      </c>
      <c r="BG9" s="730">
        <f>'C'!$D13</f>
        <v>0</v>
      </c>
      <c r="BH9" s="730">
        <f>D!$D13</f>
        <v>0</v>
      </c>
      <c r="BI9" s="730">
        <f>E!$D13</f>
        <v>0</v>
      </c>
      <c r="BJ9" s="730">
        <f>F!$D13</f>
        <v>0</v>
      </c>
      <c r="BK9" s="730">
        <f>G!$D13</f>
        <v>0</v>
      </c>
      <c r="BL9" s="730">
        <f>H!$D13</f>
        <v>0</v>
      </c>
      <c r="BM9" s="730">
        <f>I!$D13</f>
        <v>0</v>
      </c>
      <c r="BN9" s="730">
        <f>J!$D13</f>
        <v>0</v>
      </c>
      <c r="BO9" s="730">
        <f>K!$D13</f>
        <v>0</v>
      </c>
      <c r="BP9" s="730">
        <f>L!$D13</f>
        <v>0</v>
      </c>
      <c r="BR9" s="730">
        <f>'Month A'!$C13</f>
        <v>0</v>
      </c>
      <c r="BS9" s="730">
        <f>B!$C13</f>
        <v>0</v>
      </c>
      <c r="BT9" s="730">
        <f>'C'!$C13</f>
        <v>0</v>
      </c>
      <c r="BU9" s="730">
        <f>D!$C13</f>
        <v>0</v>
      </c>
      <c r="BV9" s="730">
        <f>E!$C13</f>
        <v>0</v>
      </c>
      <c r="BW9" s="730">
        <f>F!$C13</f>
        <v>0</v>
      </c>
      <c r="BX9" s="730">
        <f>G!$C13</f>
        <v>0</v>
      </c>
      <c r="BY9" s="730">
        <f>H!$C13</f>
        <v>0</v>
      </c>
      <c r="BZ9" s="730">
        <f>I!$C13</f>
        <v>0</v>
      </c>
      <c r="CA9" s="730">
        <f>J!$C13</f>
        <v>0</v>
      </c>
      <c r="CB9" s="730">
        <f>K!$C13</f>
        <v>0</v>
      </c>
      <c r="CC9" s="730">
        <f>L!$C13</f>
        <v>0</v>
      </c>
      <c r="CY9" s="763">
        <f t="shared" si="4"/>
        <v>0</v>
      </c>
      <c r="CZ9" s="773" t="s">
        <v>76</v>
      </c>
    </row>
    <row r="10" spans="1:104" ht="16.5" thickBot="1">
      <c r="A10" s="86"/>
      <c r="B10" s="86"/>
      <c r="C10" s="86"/>
      <c r="D10" s="86"/>
      <c r="E10" s="86"/>
      <c r="F10" s="757" t="s">
        <v>155</v>
      </c>
      <c r="G10" s="758">
        <f t="shared" si="0"/>
        <v>0</v>
      </c>
      <c r="H10" s="86"/>
      <c r="I10" s="909">
        <f t="shared" si="2"/>
        <v>0</v>
      </c>
      <c r="J10" s="910"/>
      <c r="K10" s="748"/>
      <c r="L10" s="748"/>
      <c r="M10" s="748"/>
      <c r="N10" s="748"/>
      <c r="O10" s="761"/>
      <c r="P10" s="749"/>
      <c r="Q10" s="86"/>
      <c r="R10" s="86"/>
      <c r="S10" s="86"/>
      <c r="T10" s="86"/>
      <c r="U10" s="86"/>
      <c r="V10" s="86"/>
      <c r="W10" s="86"/>
      <c r="Z10" s="730" t="str">
        <f t="shared" si="5"/>
        <v>Bank Savings Program</v>
      </c>
      <c r="AA10" s="730" t="str">
        <f t="shared" si="7"/>
        <v>Bank Savings Program</v>
      </c>
      <c r="AB10" s="730">
        <f t="shared" si="8"/>
        <v>0</v>
      </c>
      <c r="AC10" s="730">
        <f t="shared" si="9"/>
        <v>7</v>
      </c>
      <c r="AD10" s="730">
        <f t="shared" si="6"/>
        <v>6</v>
      </c>
      <c r="AE10" s="730">
        <f t="shared" si="3"/>
        <v>0</v>
      </c>
      <c r="AF10" s="730" t="e">
        <f t="shared" ca="1" si="10"/>
        <v>#N/A</v>
      </c>
      <c r="AG10" s="777">
        <f t="shared" si="1"/>
        <v>0</v>
      </c>
      <c r="AH10" s="765"/>
      <c r="AJ10" s="768" t="e">
        <f>VLOOKUP(I!$M$2,$AJ$17:$AK$28,2,FALSE)</f>
        <v>#N/A</v>
      </c>
      <c r="AK10" s="765" t="e">
        <f>CONCATENATE(AJ10,I!$N$2)</f>
        <v>#N/A</v>
      </c>
      <c r="AL10" s="736" t="s">
        <v>57</v>
      </c>
      <c r="AN10" s="737" t="s">
        <v>156</v>
      </c>
      <c r="AO10" s="735"/>
      <c r="AP10" s="730" t="str">
        <f>'Current Status (''Shikuf'')'!D12</f>
        <v>Donations</v>
      </c>
      <c r="AQ10" s="730" t="str">
        <f>'Month A'!B14</f>
        <v>Donations</v>
      </c>
      <c r="AR10" s="730" t="str">
        <f>B!$B14</f>
        <v>Donations</v>
      </c>
      <c r="AS10" s="730" t="str">
        <f>'C'!$B14</f>
        <v>Donations</v>
      </c>
      <c r="AT10" s="730" t="str">
        <f>D!$B14</f>
        <v>Donations</v>
      </c>
      <c r="AU10" s="730" t="str">
        <f>E!$B14</f>
        <v>Donations</v>
      </c>
      <c r="AV10" s="730" t="str">
        <f>F!$B14</f>
        <v>Donations</v>
      </c>
      <c r="AW10" s="730" t="str">
        <f>G!$B14</f>
        <v>Donations</v>
      </c>
      <c r="AX10" s="730" t="str">
        <f>H!$B14</f>
        <v>Donations</v>
      </c>
      <c r="AY10" s="730" t="str">
        <f>I!$B14</f>
        <v>Donations</v>
      </c>
      <c r="AZ10" s="730" t="str">
        <f>J!$B14</f>
        <v>Donations</v>
      </c>
      <c r="BA10" s="730" t="str">
        <f>K!$B14</f>
        <v>Donations</v>
      </c>
      <c r="BB10" s="730" t="str">
        <f>L!$B14</f>
        <v>Donations</v>
      </c>
      <c r="BD10" s="738">
        <f>'Current Status (''Shikuf'')'!F12</f>
        <v>0</v>
      </c>
      <c r="BE10" s="730">
        <f>'Month A'!$D14</f>
        <v>0</v>
      </c>
      <c r="BF10" s="730">
        <f>B!$D14</f>
        <v>0</v>
      </c>
      <c r="BG10" s="730">
        <f>'C'!$D14</f>
        <v>0</v>
      </c>
      <c r="BH10" s="730">
        <f>D!$D14</f>
        <v>0</v>
      </c>
      <c r="BI10" s="730">
        <f>E!$D14</f>
        <v>0</v>
      </c>
      <c r="BJ10" s="730">
        <f>F!$D14</f>
        <v>0</v>
      </c>
      <c r="BK10" s="730">
        <f>G!$D14</f>
        <v>0</v>
      </c>
      <c r="BL10" s="730">
        <f>H!$D14</f>
        <v>0</v>
      </c>
      <c r="BM10" s="730">
        <f>I!$D14</f>
        <v>0</v>
      </c>
      <c r="BN10" s="730">
        <f>J!$D14</f>
        <v>0</v>
      </c>
      <c r="BO10" s="730">
        <f>K!$D14</f>
        <v>0</v>
      </c>
      <c r="BP10" s="730">
        <f>L!$D14</f>
        <v>0</v>
      </c>
      <c r="BR10" s="730">
        <f>'Month A'!$C14</f>
        <v>0</v>
      </c>
      <c r="BS10" s="730">
        <f>B!$C14</f>
        <v>0</v>
      </c>
      <c r="BT10" s="730">
        <f>'C'!$C14</f>
        <v>0</v>
      </c>
      <c r="BU10" s="730">
        <f>D!$C14</f>
        <v>0</v>
      </c>
      <c r="BV10" s="730">
        <f>E!$C14</f>
        <v>0</v>
      </c>
      <c r="BW10" s="730">
        <f>F!$C14</f>
        <v>0</v>
      </c>
      <c r="BX10" s="730">
        <f>G!$C14</f>
        <v>0</v>
      </c>
      <c r="BY10" s="730">
        <f>H!$C14</f>
        <v>0</v>
      </c>
      <c r="BZ10" s="730">
        <f>I!$C14</f>
        <v>0</v>
      </c>
      <c r="CA10" s="730">
        <f>J!$C14</f>
        <v>0</v>
      </c>
      <c r="CB10" s="730">
        <f>K!$C14</f>
        <v>0</v>
      </c>
      <c r="CC10" s="730">
        <f>L!$C14</f>
        <v>0</v>
      </c>
      <c r="CY10" s="763">
        <f t="shared" si="4"/>
        <v>0</v>
      </c>
      <c r="CZ10" s="773" t="s">
        <v>77</v>
      </c>
    </row>
    <row r="11" spans="1:104" ht="16.5" thickBot="1">
      <c r="A11" s="86"/>
      <c r="B11" s="86"/>
      <c r="C11" s="86"/>
      <c r="D11" s="86"/>
      <c r="E11" s="86"/>
      <c r="F11" s="757" t="s">
        <v>156</v>
      </c>
      <c r="G11" s="758">
        <f t="shared" si="0"/>
        <v>0</v>
      </c>
      <c r="H11" s="86"/>
      <c r="I11" s="909">
        <f t="shared" si="2"/>
        <v>0</v>
      </c>
      <c r="J11" s="910"/>
      <c r="K11" s="748"/>
      <c r="L11" s="748"/>
      <c r="M11" s="748"/>
      <c r="N11" s="748"/>
      <c r="O11" s="761"/>
      <c r="P11" s="749"/>
      <c r="Q11" s="86"/>
      <c r="R11" s="86"/>
      <c r="S11" s="86"/>
      <c r="T11" s="86"/>
      <c r="U11" s="86"/>
      <c r="V11" s="86"/>
      <c r="W11" s="86"/>
      <c r="Z11" s="730" t="str">
        <f t="shared" si="5"/>
        <v>Subscriptions</v>
      </c>
      <c r="AA11" s="730" t="str">
        <f t="shared" si="7"/>
        <v>Subscriptions</v>
      </c>
      <c r="AB11" s="730">
        <f t="shared" si="8"/>
        <v>0</v>
      </c>
      <c r="AC11" s="730">
        <f t="shared" si="9"/>
        <v>8</v>
      </c>
      <c r="AD11" s="730">
        <f t="shared" si="6"/>
        <v>7</v>
      </c>
      <c r="AE11" s="730">
        <f t="shared" si="3"/>
        <v>0</v>
      </c>
      <c r="AF11" s="730" t="e">
        <f t="shared" ca="1" si="10"/>
        <v>#N/A</v>
      </c>
      <c r="AG11" s="777">
        <f t="shared" si="1"/>
        <v>0</v>
      </c>
      <c r="AH11" s="765"/>
      <c r="AJ11" s="768" t="e">
        <f>VLOOKUP(J!$M$2,$AJ$17:$AK$28,2,FALSE)</f>
        <v>#N/A</v>
      </c>
      <c r="AK11" s="765" t="e">
        <f>CONCATENATE(AJ11,J!$N$2)</f>
        <v>#N/A</v>
      </c>
      <c r="AL11" s="736" t="s">
        <v>58</v>
      </c>
      <c r="AN11" s="737" t="s">
        <v>501</v>
      </c>
      <c r="AO11" s="735"/>
      <c r="AP11" s="730">
        <f>'Current Status (''Shikuf'')'!D13</f>
        <v>0</v>
      </c>
      <c r="AQ11" s="730">
        <f>'Month A'!B15</f>
        <v>0</v>
      </c>
      <c r="AR11" s="730">
        <f>B!$B15</f>
        <v>0</v>
      </c>
      <c r="AS11" s="730">
        <f>'C'!$B15</f>
        <v>0</v>
      </c>
      <c r="AT11" s="730">
        <f>D!$B15</f>
        <v>0</v>
      </c>
      <c r="AU11" s="730">
        <f>E!$B15</f>
        <v>0</v>
      </c>
      <c r="AV11" s="730">
        <f>F!$B15</f>
        <v>0</v>
      </c>
      <c r="AW11" s="730">
        <f>G!$B15</f>
        <v>0</v>
      </c>
      <c r="AX11" s="730">
        <f>H!$B15</f>
        <v>0</v>
      </c>
      <c r="AY11" s="730">
        <f>I!$B15</f>
        <v>0</v>
      </c>
      <c r="AZ11" s="730">
        <f>J!$B15</f>
        <v>0</v>
      </c>
      <c r="BA11" s="730">
        <f>K!$B15</f>
        <v>0</v>
      </c>
      <c r="BB11" s="730">
        <f>L!$B15</f>
        <v>0</v>
      </c>
      <c r="BD11" s="738">
        <f>'Current Status (''Shikuf'')'!F13</f>
        <v>0</v>
      </c>
      <c r="BE11" s="730">
        <f>'Month A'!$D15</f>
        <v>0</v>
      </c>
      <c r="BF11" s="730">
        <f>B!$D15</f>
        <v>0</v>
      </c>
      <c r="BG11" s="730">
        <f>'C'!$D15</f>
        <v>0</v>
      </c>
      <c r="BH11" s="730">
        <f>D!$D15</f>
        <v>0</v>
      </c>
      <c r="BI11" s="730">
        <f>E!$D15</f>
        <v>0</v>
      </c>
      <c r="BJ11" s="730">
        <f>F!$D15</f>
        <v>0</v>
      </c>
      <c r="BK11" s="730">
        <f>G!$D15</f>
        <v>0</v>
      </c>
      <c r="BL11" s="730">
        <f>H!$D15</f>
        <v>0</v>
      </c>
      <c r="BM11" s="730">
        <f>I!$D15</f>
        <v>0</v>
      </c>
      <c r="BN11" s="730">
        <f>J!$D15</f>
        <v>0</v>
      </c>
      <c r="BO11" s="730">
        <f>K!$D15</f>
        <v>0</v>
      </c>
      <c r="BP11" s="730">
        <f>L!$D15</f>
        <v>0</v>
      </c>
      <c r="BR11" s="730">
        <f>'Month A'!$C15</f>
        <v>0</v>
      </c>
      <c r="BS11" s="730">
        <f>B!$C15</f>
        <v>0</v>
      </c>
      <c r="BT11" s="730">
        <f>'C'!$C15</f>
        <v>0</v>
      </c>
      <c r="BU11" s="730">
        <f>D!$C15</f>
        <v>0</v>
      </c>
      <c r="BV11" s="730">
        <f>E!$C15</f>
        <v>0</v>
      </c>
      <c r="BW11" s="730">
        <f>F!$C15</f>
        <v>0</v>
      </c>
      <c r="BX11" s="730">
        <f>G!$C15</f>
        <v>0</v>
      </c>
      <c r="BY11" s="730">
        <f>H!$C15</f>
        <v>0</v>
      </c>
      <c r="BZ11" s="730">
        <f>I!$C15</f>
        <v>0</v>
      </c>
      <c r="CA11" s="730">
        <f>J!$C15</f>
        <v>0</v>
      </c>
      <c r="CB11" s="730">
        <f>K!$C15</f>
        <v>0</v>
      </c>
      <c r="CC11" s="730">
        <f>L!$C15</f>
        <v>0</v>
      </c>
      <c r="CY11" s="763">
        <f t="shared" si="4"/>
        <v>0</v>
      </c>
      <c r="CZ11" s="773" t="s">
        <v>78</v>
      </c>
    </row>
    <row r="12" spans="1:104" ht="16.5" thickBot="1">
      <c r="A12" s="86"/>
      <c r="B12" s="86"/>
      <c r="C12" s="86"/>
      <c r="D12" s="86"/>
      <c r="E12" s="86"/>
      <c r="F12" s="757" t="str">
        <f>IF(ISERROR(VLOOKUP(AN11,$Z$5:$AA$63,2,FALSE)),AN11,VLOOKUP(AN11,$Z$5:$AA$63,2,FALSE))</f>
        <v>Fixed - Custom Field1</v>
      </c>
      <c r="G12" s="758">
        <f>SUMIF($Z$5:$Z$63,AN11,$AB$5:$AB$63)</f>
        <v>0</v>
      </c>
      <c r="H12" s="86"/>
      <c r="I12" s="909">
        <f t="shared" si="2"/>
        <v>0</v>
      </c>
      <c r="J12" s="910"/>
      <c r="K12" s="748"/>
      <c r="L12" s="748"/>
      <c r="M12" s="748"/>
      <c r="N12" s="748"/>
      <c r="O12" s="761"/>
      <c r="P12" s="749"/>
      <c r="Q12" s="86"/>
      <c r="R12" s="86"/>
      <c r="S12" s="86"/>
      <c r="T12" s="86"/>
      <c r="U12" s="86"/>
      <c r="V12" s="86"/>
      <c r="W12" s="86"/>
      <c r="Z12" s="730" t="str">
        <f t="shared" si="5"/>
        <v>Donations</v>
      </c>
      <c r="AA12" s="730" t="str">
        <f t="shared" si="7"/>
        <v>Donations</v>
      </c>
      <c r="AB12" s="730">
        <f t="shared" si="8"/>
        <v>0</v>
      </c>
      <c r="AC12" s="730">
        <f t="shared" si="9"/>
        <v>9</v>
      </c>
      <c r="AD12" s="730">
        <f t="shared" si="6"/>
        <v>8</v>
      </c>
      <c r="AE12" s="730">
        <f t="shared" si="3"/>
        <v>0</v>
      </c>
      <c r="AF12" s="730" t="e">
        <f t="shared" ca="1" si="10"/>
        <v>#N/A</v>
      </c>
      <c r="AG12" s="777">
        <f t="shared" si="1"/>
        <v>0</v>
      </c>
      <c r="AH12" s="765"/>
      <c r="AJ12" s="768" t="e">
        <f>VLOOKUP(K!$M$2,$AJ$17:$AK$28,2,FALSE)</f>
        <v>#N/A</v>
      </c>
      <c r="AK12" s="765" t="e">
        <f>CONCATENATE(AJ12,K!$N$2)</f>
        <v>#N/A</v>
      </c>
      <c r="AL12" s="736" t="s">
        <v>59</v>
      </c>
      <c r="AN12" s="737" t="s">
        <v>502</v>
      </c>
      <c r="AO12" s="735"/>
      <c r="AP12" s="730">
        <f>'Current Status (''Shikuf'')'!D14</f>
        <v>0</v>
      </c>
      <c r="AQ12" s="730">
        <f>'Month A'!B16</f>
        <v>0</v>
      </c>
      <c r="AR12" s="730">
        <f>B!$B16</f>
        <v>0</v>
      </c>
      <c r="AS12" s="730">
        <f>'C'!$B16</f>
        <v>0</v>
      </c>
      <c r="AT12" s="730">
        <f>D!$B16</f>
        <v>0</v>
      </c>
      <c r="AU12" s="730">
        <f>E!$B16</f>
        <v>0</v>
      </c>
      <c r="AV12" s="730">
        <f>F!$B16</f>
        <v>0</v>
      </c>
      <c r="AW12" s="730">
        <f>G!$B16</f>
        <v>0</v>
      </c>
      <c r="AX12" s="730">
        <f>H!$B16</f>
        <v>0</v>
      </c>
      <c r="AY12" s="730">
        <f>I!$B16</f>
        <v>0</v>
      </c>
      <c r="AZ12" s="730">
        <f>J!$B16</f>
        <v>0</v>
      </c>
      <c r="BA12" s="730">
        <f>K!$B16</f>
        <v>0</v>
      </c>
      <c r="BB12" s="730">
        <f>L!$B16</f>
        <v>0</v>
      </c>
      <c r="BD12" s="738">
        <f>'Current Status (''Shikuf'')'!F14</f>
        <v>0</v>
      </c>
      <c r="BE12" s="730">
        <f>'Month A'!$D16</f>
        <v>0</v>
      </c>
      <c r="BF12" s="730">
        <f>B!$D16</f>
        <v>0</v>
      </c>
      <c r="BG12" s="730">
        <f>'C'!$D16</f>
        <v>0</v>
      </c>
      <c r="BH12" s="730">
        <f>D!$D16</f>
        <v>0</v>
      </c>
      <c r="BI12" s="730">
        <f>E!$D16</f>
        <v>0</v>
      </c>
      <c r="BJ12" s="730">
        <f>F!$D16</f>
        <v>0</v>
      </c>
      <c r="BK12" s="730">
        <f>G!$D16</f>
        <v>0</v>
      </c>
      <c r="BL12" s="730">
        <f>H!$D16</f>
        <v>0</v>
      </c>
      <c r="BM12" s="730">
        <f>I!$D16</f>
        <v>0</v>
      </c>
      <c r="BN12" s="730">
        <f>J!$D16</f>
        <v>0</v>
      </c>
      <c r="BO12" s="730">
        <f>K!$D16</f>
        <v>0</v>
      </c>
      <c r="BP12" s="730">
        <f>L!$D16</f>
        <v>0</v>
      </c>
      <c r="BR12" s="730">
        <f>'Month A'!$C16</f>
        <v>0</v>
      </c>
      <c r="BS12" s="730">
        <f>B!$C16</f>
        <v>0</v>
      </c>
      <c r="BT12" s="730">
        <f>'C'!$C16</f>
        <v>0</v>
      </c>
      <c r="BU12" s="730">
        <f>D!$C16</f>
        <v>0</v>
      </c>
      <c r="BV12" s="730">
        <f>E!$C16</f>
        <v>0</v>
      </c>
      <c r="BW12" s="730">
        <f>F!$C16</f>
        <v>0</v>
      </c>
      <c r="BX12" s="730">
        <f>G!$C16</f>
        <v>0</v>
      </c>
      <c r="BY12" s="730">
        <f>H!$C16</f>
        <v>0</v>
      </c>
      <c r="BZ12" s="730">
        <f>I!$C16</f>
        <v>0</v>
      </c>
      <c r="CA12" s="730">
        <f>J!$C16</f>
        <v>0</v>
      </c>
      <c r="CB12" s="730">
        <f>K!$C16</f>
        <v>0</v>
      </c>
      <c r="CC12" s="730">
        <f>L!$C16</f>
        <v>0</v>
      </c>
      <c r="CX12" s="730" t="str">
        <f>F12</f>
        <v>Fixed - Custom Field1</v>
      </c>
      <c r="CY12" s="763">
        <f t="shared" si="4"/>
        <v>0</v>
      </c>
      <c r="CZ12" s="773" t="s">
        <v>79</v>
      </c>
    </row>
    <row r="13" spans="1:104" ht="16.5" thickBot="1">
      <c r="A13" s="86"/>
      <c r="B13" s="86"/>
      <c r="C13" s="86"/>
      <c r="D13" s="86"/>
      <c r="E13" s="86"/>
      <c r="F13" s="757" t="str">
        <f>IF(ISERROR(VLOOKUP(AN12,$Z$5:$AA$63,2,FALSE)),AN12,VLOOKUP(AN12,$Z$5:$AA$63,2,FALSE))</f>
        <v>Fixed - Custom Field2</v>
      </c>
      <c r="G13" s="758">
        <f>SUMIF($Z$5:$Z$63,AN12,$AB$5:$AB$63)</f>
        <v>0</v>
      </c>
      <c r="H13" s="86"/>
      <c r="I13" s="909">
        <f t="shared" si="2"/>
        <v>0</v>
      </c>
      <c r="J13" s="910"/>
      <c r="K13" s="748"/>
      <c r="L13" s="748"/>
      <c r="M13" s="748"/>
      <c r="N13" s="748"/>
      <c r="O13" s="761"/>
      <c r="P13" s="749"/>
      <c r="Q13" s="86"/>
      <c r="R13" s="86"/>
      <c r="S13" s="86"/>
      <c r="T13" s="86"/>
      <c r="U13" s="86"/>
      <c r="V13" s="86"/>
      <c r="W13" s="86"/>
      <c r="Z13" s="730">
        <f>IF(AE13=0,AA13,O13)</f>
        <v>0</v>
      </c>
      <c r="AA13" s="730">
        <f>HLOOKUP($AL$15,$AP$2:$BB$61,AC13,FALSE)</f>
        <v>0</v>
      </c>
      <c r="AB13" s="730">
        <f t="shared" si="8"/>
        <v>0</v>
      </c>
      <c r="AC13" s="730">
        <f t="shared" si="9"/>
        <v>10</v>
      </c>
      <c r="AD13" s="730" t="e">
        <f t="shared" si="6"/>
        <v>#N/A</v>
      </c>
      <c r="AE13" s="730">
        <f>IF(ISERROR(AD13),IF(AB13&lt;&gt;0,"להתאים",),)</f>
        <v>0</v>
      </c>
      <c r="AF13" s="730" t="e">
        <f t="shared" ca="1" si="10"/>
        <v>#N/A</v>
      </c>
      <c r="AG13" s="777">
        <f t="shared" si="1"/>
        <v>0</v>
      </c>
      <c r="AH13" s="765"/>
      <c r="AJ13" s="768" t="e">
        <f>VLOOKUP(L!$M$2,$AJ$17:$AK$28,2,FALSE)</f>
        <v>#N/A</v>
      </c>
      <c r="AK13" s="770" t="e">
        <f>CONCATENATE(AJ13,L!$N$2)</f>
        <v>#N/A</v>
      </c>
      <c r="AL13" s="741" t="s">
        <v>60</v>
      </c>
      <c r="AN13" s="737" t="s">
        <v>172</v>
      </c>
      <c r="AO13" s="735"/>
      <c r="AP13" s="730">
        <f>'Current Status (''Shikuf'')'!D15</f>
        <v>0</v>
      </c>
      <c r="AQ13" s="730">
        <f>'Month A'!B17</f>
        <v>0</v>
      </c>
      <c r="AR13" s="730">
        <f>B!$B17</f>
        <v>0</v>
      </c>
      <c r="AS13" s="730">
        <f>'C'!$B17</f>
        <v>0</v>
      </c>
      <c r="AT13" s="730">
        <f>D!$B17</f>
        <v>0</v>
      </c>
      <c r="AU13" s="730">
        <f>E!$B17</f>
        <v>0</v>
      </c>
      <c r="AV13" s="730">
        <f>F!$B17</f>
        <v>0</v>
      </c>
      <c r="AW13" s="730">
        <f>G!$B17</f>
        <v>0</v>
      </c>
      <c r="AX13" s="730">
        <f>H!$B17</f>
        <v>0</v>
      </c>
      <c r="AY13" s="730">
        <f>I!$B17</f>
        <v>0</v>
      </c>
      <c r="AZ13" s="730">
        <f>J!$B17</f>
        <v>0</v>
      </c>
      <c r="BA13" s="730">
        <f>K!$B17</f>
        <v>0</v>
      </c>
      <c r="BB13" s="730">
        <f>L!$B17</f>
        <v>0</v>
      </c>
      <c r="BD13" s="738">
        <f>'Current Status (''Shikuf'')'!F15</f>
        <v>0</v>
      </c>
      <c r="BE13" s="730">
        <f>'Month A'!$D17</f>
        <v>0</v>
      </c>
      <c r="BF13" s="730">
        <f>B!$D17</f>
        <v>0</v>
      </c>
      <c r="BG13" s="730">
        <f>'C'!$D17</f>
        <v>0</v>
      </c>
      <c r="BH13" s="730">
        <f>D!$D17</f>
        <v>0</v>
      </c>
      <c r="BI13" s="730">
        <f>E!$D17</f>
        <v>0</v>
      </c>
      <c r="BJ13" s="730">
        <f>F!$D17</f>
        <v>0</v>
      </c>
      <c r="BK13" s="730">
        <f>G!$D17</f>
        <v>0</v>
      </c>
      <c r="BL13" s="730">
        <f>H!$D17</f>
        <v>0</v>
      </c>
      <c r="BM13" s="730">
        <f>I!$D17</f>
        <v>0</v>
      </c>
      <c r="BN13" s="730">
        <f>J!$D17</f>
        <v>0</v>
      </c>
      <c r="BO13" s="730">
        <f>K!$D17</f>
        <v>0</v>
      </c>
      <c r="BP13" s="730">
        <f>L!$D17</f>
        <v>0</v>
      </c>
      <c r="BR13" s="730">
        <f>'Month A'!$C17</f>
        <v>0</v>
      </c>
      <c r="BS13" s="730">
        <f>B!$C17</f>
        <v>0</v>
      </c>
      <c r="BT13" s="730">
        <f>'C'!$C17</f>
        <v>0</v>
      </c>
      <c r="BU13" s="730">
        <f>D!$C17</f>
        <v>0</v>
      </c>
      <c r="BV13" s="730">
        <f>E!$C17</f>
        <v>0</v>
      </c>
      <c r="BW13" s="730">
        <f>F!$C17</f>
        <v>0</v>
      </c>
      <c r="BX13" s="730">
        <f>G!$C17</f>
        <v>0</v>
      </c>
      <c r="BY13" s="730">
        <f>H!$C17</f>
        <v>0</v>
      </c>
      <c r="BZ13" s="730">
        <f>I!$C17</f>
        <v>0</v>
      </c>
      <c r="CA13" s="730">
        <f>J!$C17</f>
        <v>0</v>
      </c>
      <c r="CB13" s="730">
        <f>K!$C17</f>
        <v>0</v>
      </c>
      <c r="CC13" s="730">
        <f>L!$C17</f>
        <v>0</v>
      </c>
      <c r="CX13" s="730" t="str">
        <f>F13</f>
        <v>Fixed - Custom Field2</v>
      </c>
      <c r="CY13" s="763">
        <f t="shared" si="4"/>
        <v>0</v>
      </c>
      <c r="CZ13" s="773" t="s">
        <v>80</v>
      </c>
    </row>
    <row r="14" spans="1:104" ht="16.5" thickBot="1">
      <c r="A14" s="86"/>
      <c r="B14" s="86"/>
      <c r="C14" s="86"/>
      <c r="D14" s="86"/>
      <c r="E14" s="86"/>
      <c r="F14" s="757" t="s">
        <v>172</v>
      </c>
      <c r="G14" s="758">
        <f t="shared" si="0"/>
        <v>0</v>
      </c>
      <c r="H14" s="86"/>
      <c r="I14" s="909">
        <f t="shared" si="2"/>
        <v>0</v>
      </c>
      <c r="J14" s="910"/>
      <c r="K14" s="748"/>
      <c r="L14" s="748"/>
      <c r="M14" s="748"/>
      <c r="N14" s="748"/>
      <c r="O14" s="761"/>
      <c r="P14" s="749"/>
      <c r="Q14" s="86"/>
      <c r="R14" s="86"/>
      <c r="S14" s="86"/>
      <c r="T14" s="86"/>
      <c r="U14" s="86"/>
      <c r="V14" s="86"/>
      <c r="W14" s="86"/>
      <c r="Z14" s="730">
        <f t="shared" si="5"/>
        <v>0</v>
      </c>
      <c r="AA14" s="730">
        <f t="shared" si="7"/>
        <v>0</v>
      </c>
      <c r="AB14" s="730">
        <f t="shared" si="8"/>
        <v>0</v>
      </c>
      <c r="AC14" s="730">
        <f t="shared" si="9"/>
        <v>11</v>
      </c>
      <c r="AD14" s="730" t="e">
        <f t="shared" si="6"/>
        <v>#N/A</v>
      </c>
      <c r="AE14" s="730">
        <f t="shared" ref="AE14:AE63" si="11">IF(ISERROR(AD14),IF(AB14&lt;&gt;0,"להתאים",),)</f>
        <v>0</v>
      </c>
      <c r="AF14" s="730" t="e">
        <f t="shared" ca="1" si="10"/>
        <v>#N/A</v>
      </c>
      <c r="AG14" s="777">
        <f t="shared" ref="AG14:AG63" si="12">IF(I14&lt;&gt;0,IF(O14="",1,0),0)</f>
        <v>0</v>
      </c>
      <c r="AN14" s="737" t="s">
        <v>173</v>
      </c>
      <c r="AO14" s="735"/>
      <c r="AP14" s="730" t="str">
        <f>'Current Status (''Shikuf'')'!D16</f>
        <v>Municipal Taxes</v>
      </c>
      <c r="AQ14" s="730" t="str">
        <f>'Month A'!Y23</f>
        <v>Municipal Taxes</v>
      </c>
      <c r="AR14" s="730" t="str">
        <f>B!$Y23</f>
        <v>Municipal Taxes</v>
      </c>
      <c r="AS14" s="730" t="str">
        <f>'C'!$Y23</f>
        <v>Municipal Taxes</v>
      </c>
      <c r="AT14" s="730" t="str">
        <f>D!$Y23</f>
        <v>Municipal Taxes</v>
      </c>
      <c r="AU14" s="730" t="str">
        <f>E!$Y23</f>
        <v>Municipal Taxes</v>
      </c>
      <c r="AV14" s="730" t="str">
        <f>F!$Y23</f>
        <v>Municipal Taxes</v>
      </c>
      <c r="AW14" s="730" t="str">
        <f>G!$Y23</f>
        <v>Municipal Taxes</v>
      </c>
      <c r="AX14" s="730" t="str">
        <f>H!$Y23</f>
        <v>Municipal Taxes</v>
      </c>
      <c r="AY14" s="730" t="str">
        <f>I!$Y23</f>
        <v>Municipal Taxes</v>
      </c>
      <c r="AZ14" s="730" t="str">
        <f>J!$Y23</f>
        <v>Municipal Taxes</v>
      </c>
      <c r="BA14" s="730" t="str">
        <f>K!$Y23</f>
        <v>Municipal Taxes</v>
      </c>
      <c r="BB14" s="730" t="str">
        <f>L!$Y23</f>
        <v>Municipal Taxes</v>
      </c>
      <c r="BD14" s="738">
        <f>'Current Status (''Shikuf'')'!F16</f>
        <v>0</v>
      </c>
      <c r="BE14" s="730">
        <f>'Month A'!$AA23</f>
        <v>0</v>
      </c>
      <c r="BF14" s="730">
        <f>B!$AA23</f>
        <v>0</v>
      </c>
      <c r="BG14" s="730">
        <f>'C'!$AA23</f>
        <v>0</v>
      </c>
      <c r="BH14" s="730">
        <f>D!$AA23</f>
        <v>0</v>
      </c>
      <c r="BI14" s="730">
        <f>E!$AA23</f>
        <v>0</v>
      </c>
      <c r="BJ14" s="730">
        <f>F!$AA23</f>
        <v>0</v>
      </c>
      <c r="BK14" s="730">
        <f>G!$AA23</f>
        <v>0</v>
      </c>
      <c r="BL14" s="730">
        <f>H!$AA23</f>
        <v>0</v>
      </c>
      <c r="BM14" s="730">
        <f>I!$AA23</f>
        <v>0</v>
      </c>
      <c r="BN14" s="730">
        <f>J!$AA23</f>
        <v>0</v>
      </c>
      <c r="BO14" s="730">
        <f>K!$AA23</f>
        <v>0</v>
      </c>
      <c r="BP14" s="730">
        <f>L!$AA23</f>
        <v>0</v>
      </c>
      <c r="BR14" s="738">
        <f>'Month A'!$Z23</f>
        <v>0</v>
      </c>
      <c r="BS14" s="730">
        <f>B!$Z23</f>
        <v>0</v>
      </c>
      <c r="BT14" s="730">
        <f>'C'!$Z23</f>
        <v>0</v>
      </c>
      <c r="BU14" s="730">
        <f>D!$Z23</f>
        <v>0</v>
      </c>
      <c r="BV14" s="730">
        <f>E!$Z23</f>
        <v>0</v>
      </c>
      <c r="BW14" s="730">
        <f>F!$Z23</f>
        <v>0</v>
      </c>
      <c r="BX14" s="730">
        <f>G!$Z23</f>
        <v>0</v>
      </c>
      <c r="BY14" s="730">
        <f>H!$Z23</f>
        <v>0</v>
      </c>
      <c r="BZ14" s="730">
        <f>I!$Z23</f>
        <v>0</v>
      </c>
      <c r="CA14" s="730">
        <f>J!$Z23</f>
        <v>0</v>
      </c>
      <c r="CB14" s="730">
        <f>K!$Z23</f>
        <v>0</v>
      </c>
      <c r="CC14" s="730">
        <f>L!$Z23</f>
        <v>0</v>
      </c>
      <c r="CY14" s="763">
        <f t="shared" si="4"/>
        <v>0</v>
      </c>
      <c r="CZ14" s="773" t="s">
        <v>81</v>
      </c>
    </row>
    <row r="15" spans="1:104" ht="16.5" thickBot="1">
      <c r="A15" s="86"/>
      <c r="B15" s="86"/>
      <c r="C15" s="86"/>
      <c r="D15" s="86"/>
      <c r="E15" s="86"/>
      <c r="F15" s="757" t="s">
        <v>173</v>
      </c>
      <c r="G15" s="758">
        <f t="shared" si="0"/>
        <v>0</v>
      </c>
      <c r="H15" s="86"/>
      <c r="I15" s="909">
        <f t="shared" si="2"/>
        <v>0</v>
      </c>
      <c r="J15" s="910"/>
      <c r="K15" s="748"/>
      <c r="L15" s="748"/>
      <c r="M15" s="748"/>
      <c r="N15" s="748"/>
      <c r="O15" s="761"/>
      <c r="P15" s="749"/>
      <c r="Q15" s="86"/>
      <c r="R15" s="86"/>
      <c r="S15" s="86"/>
      <c r="T15" s="86"/>
      <c r="U15" s="86"/>
      <c r="V15" s="86"/>
      <c r="W15" s="86"/>
      <c r="Z15" s="730">
        <f t="shared" si="5"/>
        <v>0</v>
      </c>
      <c r="AA15" s="730">
        <f t="shared" si="7"/>
        <v>0</v>
      </c>
      <c r="AB15" s="730">
        <f t="shared" si="8"/>
        <v>0</v>
      </c>
      <c r="AC15" s="730">
        <f t="shared" si="9"/>
        <v>12</v>
      </c>
      <c r="AD15" s="730" t="e">
        <f t="shared" si="6"/>
        <v>#N/A</v>
      </c>
      <c r="AE15" s="730">
        <f t="shared" si="11"/>
        <v>0</v>
      </c>
      <c r="AF15" s="730" t="e">
        <f t="shared" ca="1" si="10"/>
        <v>#N/A</v>
      </c>
      <c r="AG15" s="777">
        <f t="shared" si="12"/>
        <v>0</v>
      </c>
      <c r="AK15" s="742" t="s">
        <v>62</v>
      </c>
      <c r="AL15" s="743" t="str">
        <f>IF(D2=AI2,AI2,VLOOKUP(F2,AK2:AL13,2,FALSE))</f>
        <v>Shikuf</v>
      </c>
      <c r="AN15" s="737" t="s">
        <v>174</v>
      </c>
      <c r="AO15" s="735"/>
      <c r="AP15" s="730" t="str">
        <f>'Current Status (''Shikuf'')'!D17</f>
        <v>Water and Sewage</v>
      </c>
      <c r="AQ15" s="730" t="str">
        <f>'Month A'!Y24</f>
        <v>Water and Sewage</v>
      </c>
      <c r="AR15" s="730" t="str">
        <f>B!$Y24</f>
        <v>Water and Sewage</v>
      </c>
      <c r="AS15" s="730" t="str">
        <f>'C'!$Y24</f>
        <v>Water and Sewage</v>
      </c>
      <c r="AT15" s="730" t="str">
        <f>D!$Y24</f>
        <v>Water and Sewage</v>
      </c>
      <c r="AU15" s="730" t="str">
        <f>E!$Y24</f>
        <v>Water and Sewage</v>
      </c>
      <c r="AV15" s="730" t="str">
        <f>F!$Y24</f>
        <v>Water and Sewage</v>
      </c>
      <c r="AW15" s="730" t="str">
        <f>G!$Y24</f>
        <v>Water and Sewage</v>
      </c>
      <c r="AX15" s="730" t="str">
        <f>H!$Y24</f>
        <v>Water and Sewage</v>
      </c>
      <c r="AY15" s="730" t="str">
        <f>I!$Y24</f>
        <v>Water and Sewage</v>
      </c>
      <c r="AZ15" s="730" t="str">
        <f>J!$Y24</f>
        <v>Water and Sewage</v>
      </c>
      <c r="BA15" s="730" t="str">
        <f>K!$Y24</f>
        <v>Water and Sewage</v>
      </c>
      <c r="BB15" s="730" t="str">
        <f>L!$Y24</f>
        <v>Water and Sewage</v>
      </c>
      <c r="BD15" s="738">
        <f>'Current Status (''Shikuf'')'!F17</f>
        <v>0</v>
      </c>
      <c r="BE15" s="730">
        <f>'Month A'!$AA24</f>
        <v>0</v>
      </c>
      <c r="BF15" s="730">
        <f>B!$AA24</f>
        <v>0</v>
      </c>
      <c r="BG15" s="730">
        <f>'C'!$AA24</f>
        <v>0</v>
      </c>
      <c r="BH15" s="730">
        <f>D!$AA24</f>
        <v>0</v>
      </c>
      <c r="BI15" s="730">
        <f>E!$AA24</f>
        <v>0</v>
      </c>
      <c r="BJ15" s="730">
        <f>F!$AA24</f>
        <v>0</v>
      </c>
      <c r="BK15" s="730">
        <f>G!$AA24</f>
        <v>0</v>
      </c>
      <c r="BL15" s="730">
        <f>H!$AA24</f>
        <v>0</v>
      </c>
      <c r="BM15" s="730">
        <f>I!$AA24</f>
        <v>0</v>
      </c>
      <c r="BN15" s="730">
        <f>J!$AA24</f>
        <v>0</v>
      </c>
      <c r="BO15" s="730">
        <f>K!$AA24</f>
        <v>0</v>
      </c>
      <c r="BP15" s="730">
        <f>L!$AA24</f>
        <v>0</v>
      </c>
      <c r="BR15" s="738">
        <f>'Month A'!$Z24</f>
        <v>0</v>
      </c>
      <c r="BS15" s="730">
        <f>B!$Z24</f>
        <v>0</v>
      </c>
      <c r="BT15" s="730">
        <f>'C'!$Z24</f>
        <v>0</v>
      </c>
      <c r="BU15" s="730">
        <f>D!$Z24</f>
        <v>0</v>
      </c>
      <c r="BV15" s="730">
        <f>E!$Z24</f>
        <v>0</v>
      </c>
      <c r="BW15" s="730">
        <f>F!$Z24</f>
        <v>0</v>
      </c>
      <c r="BX15" s="730">
        <f>G!$Z24</f>
        <v>0</v>
      </c>
      <c r="BY15" s="730">
        <f>H!$Z24</f>
        <v>0</v>
      </c>
      <c r="BZ15" s="730">
        <f>I!$Z24</f>
        <v>0</v>
      </c>
      <c r="CA15" s="730">
        <f>J!$Z24</f>
        <v>0</v>
      </c>
      <c r="CB15" s="730">
        <f>K!$Z24</f>
        <v>0</v>
      </c>
      <c r="CC15" s="730">
        <f>L!$Z24</f>
        <v>0</v>
      </c>
      <c r="CY15" s="763">
        <f t="shared" si="4"/>
        <v>0</v>
      </c>
      <c r="CZ15" s="773" t="s">
        <v>82</v>
      </c>
    </row>
    <row r="16" spans="1:104" ht="16.5" thickBot="1">
      <c r="A16" s="86"/>
      <c r="B16" s="86"/>
      <c r="C16" s="86"/>
      <c r="D16" s="86"/>
      <c r="E16" s="86"/>
      <c r="F16" s="757" t="s">
        <v>174</v>
      </c>
      <c r="G16" s="758">
        <f t="shared" si="0"/>
        <v>0</v>
      </c>
      <c r="H16" s="86"/>
      <c r="I16" s="909">
        <f t="shared" si="2"/>
        <v>0</v>
      </c>
      <c r="J16" s="910"/>
      <c r="K16" s="748"/>
      <c r="L16" s="748"/>
      <c r="M16" s="748"/>
      <c r="N16" s="748"/>
      <c r="O16" s="761"/>
      <c r="P16" s="749"/>
      <c r="Q16" s="86"/>
      <c r="R16" s="86"/>
      <c r="S16" s="86"/>
      <c r="T16" s="86"/>
      <c r="U16" s="86"/>
      <c r="V16" s="86"/>
      <c r="W16" s="86"/>
      <c r="Z16" s="730" t="str">
        <f t="shared" si="5"/>
        <v>Municipal Taxes</v>
      </c>
      <c r="AA16" s="730" t="str">
        <f t="shared" si="7"/>
        <v>Municipal Taxes</v>
      </c>
      <c r="AB16" s="730">
        <f t="shared" si="8"/>
        <v>0</v>
      </c>
      <c r="AC16" s="730">
        <f t="shared" si="9"/>
        <v>13</v>
      </c>
      <c r="AD16" s="730">
        <f t="shared" si="6"/>
        <v>11</v>
      </c>
      <c r="AE16" s="730">
        <f t="shared" si="11"/>
        <v>0</v>
      </c>
      <c r="AF16" s="730" t="e">
        <f t="shared" ca="1" si="10"/>
        <v>#N/A</v>
      </c>
      <c r="AG16" s="777">
        <f t="shared" si="12"/>
        <v>0</v>
      </c>
      <c r="AN16" s="737" t="s">
        <v>175</v>
      </c>
      <c r="AO16" s="735"/>
      <c r="AP16" s="730" t="str">
        <f>'Current Status (''Shikuf'')'!D18</f>
        <v>Electricity</v>
      </c>
      <c r="AQ16" s="730" t="str">
        <f>'Month A'!Y25</f>
        <v>Electricity</v>
      </c>
      <c r="AR16" s="730" t="str">
        <f>B!$Y25</f>
        <v>Electricity</v>
      </c>
      <c r="AS16" s="730" t="str">
        <f>'C'!$Y25</f>
        <v>Electricity</v>
      </c>
      <c r="AT16" s="730" t="str">
        <f>D!$Y25</f>
        <v>Electricity</v>
      </c>
      <c r="AU16" s="730" t="str">
        <f>E!$Y25</f>
        <v>Electricity</v>
      </c>
      <c r="AV16" s="730" t="str">
        <f>F!$Y25</f>
        <v>Electricity</v>
      </c>
      <c r="AW16" s="730" t="str">
        <f>G!$Y25</f>
        <v>Electricity</v>
      </c>
      <c r="AX16" s="730" t="str">
        <f>H!$Y25</f>
        <v>Electricity</v>
      </c>
      <c r="AY16" s="730" t="str">
        <f>I!$Y25</f>
        <v>Electricity</v>
      </c>
      <c r="AZ16" s="730" t="str">
        <f>J!$Y25</f>
        <v>Electricity</v>
      </c>
      <c r="BA16" s="730" t="str">
        <f>K!$Y25</f>
        <v>Electricity</v>
      </c>
      <c r="BB16" s="730" t="str">
        <f>L!$Y25</f>
        <v>Electricity</v>
      </c>
      <c r="BD16" s="738">
        <f>'Current Status (''Shikuf'')'!F18</f>
        <v>0</v>
      </c>
      <c r="BE16" s="730">
        <f>'Month A'!$AA25</f>
        <v>0</v>
      </c>
      <c r="BF16" s="730">
        <f>B!$AA25</f>
        <v>0</v>
      </c>
      <c r="BG16" s="730">
        <f>'C'!$AA25</f>
        <v>0</v>
      </c>
      <c r="BH16" s="730">
        <f>D!$AA25</f>
        <v>0</v>
      </c>
      <c r="BI16" s="730">
        <f>E!$AA25</f>
        <v>0</v>
      </c>
      <c r="BJ16" s="730">
        <f>F!$AA25</f>
        <v>0</v>
      </c>
      <c r="BK16" s="730">
        <f>G!$AA25</f>
        <v>0</v>
      </c>
      <c r="BL16" s="730">
        <f>H!$AA25</f>
        <v>0</v>
      </c>
      <c r="BM16" s="730">
        <f>I!$AA25</f>
        <v>0</v>
      </c>
      <c r="BN16" s="730">
        <f>J!$AA25</f>
        <v>0</v>
      </c>
      <c r="BO16" s="730">
        <f>K!$AA25</f>
        <v>0</v>
      </c>
      <c r="BP16" s="730">
        <f>L!$AA25</f>
        <v>0</v>
      </c>
      <c r="BR16" s="738">
        <f>'Month A'!$Z25</f>
        <v>0</v>
      </c>
      <c r="BS16" s="730">
        <f>B!$Z25</f>
        <v>0</v>
      </c>
      <c r="BT16" s="730">
        <f>'C'!$Z25</f>
        <v>0</v>
      </c>
      <c r="BU16" s="730">
        <f>D!$Z25</f>
        <v>0</v>
      </c>
      <c r="BV16" s="730">
        <f>E!$Z25</f>
        <v>0</v>
      </c>
      <c r="BW16" s="730">
        <f>F!$Z25</f>
        <v>0</v>
      </c>
      <c r="BX16" s="730">
        <f>G!$Z25</f>
        <v>0</v>
      </c>
      <c r="BY16" s="730">
        <f>H!$Z25</f>
        <v>0</v>
      </c>
      <c r="BZ16" s="730">
        <f>I!$Z25</f>
        <v>0</v>
      </c>
      <c r="CA16" s="730">
        <f>J!$Z25</f>
        <v>0</v>
      </c>
      <c r="CB16" s="730">
        <f>K!$Z25</f>
        <v>0</v>
      </c>
      <c r="CC16" s="730">
        <f>L!$Z25</f>
        <v>0</v>
      </c>
      <c r="CY16" s="763">
        <f t="shared" si="4"/>
        <v>0</v>
      </c>
      <c r="CZ16" s="773" t="s">
        <v>83</v>
      </c>
    </row>
    <row r="17" spans="1:104" ht="16.5" thickBot="1">
      <c r="A17" s="86"/>
      <c r="B17" s="86"/>
      <c r="C17" s="86"/>
      <c r="D17" s="86"/>
      <c r="E17" s="86"/>
      <c r="F17" s="757" t="s">
        <v>175</v>
      </c>
      <c r="G17" s="758">
        <f t="shared" si="0"/>
        <v>0</v>
      </c>
      <c r="H17" s="86"/>
      <c r="I17" s="909">
        <f t="shared" si="2"/>
        <v>0</v>
      </c>
      <c r="J17" s="910"/>
      <c r="K17" s="748"/>
      <c r="L17" s="748"/>
      <c r="M17" s="748"/>
      <c r="N17" s="748"/>
      <c r="O17" s="761"/>
      <c r="P17" s="749"/>
      <c r="Q17" s="86"/>
      <c r="R17" s="86"/>
      <c r="S17" s="86"/>
      <c r="T17" s="86"/>
      <c r="U17" s="86"/>
      <c r="V17" s="86"/>
      <c r="W17" s="86"/>
      <c r="Z17" s="730" t="str">
        <f t="shared" si="5"/>
        <v>Water and Sewage</v>
      </c>
      <c r="AA17" s="730" t="str">
        <f t="shared" si="7"/>
        <v>Water and Sewage</v>
      </c>
      <c r="AB17" s="730">
        <f t="shared" si="8"/>
        <v>0</v>
      </c>
      <c r="AC17" s="730">
        <f t="shared" si="9"/>
        <v>14</v>
      </c>
      <c r="AD17" s="730">
        <f t="shared" si="6"/>
        <v>12</v>
      </c>
      <c r="AE17" s="730">
        <f t="shared" si="11"/>
        <v>0</v>
      </c>
      <c r="AF17" s="730" t="e">
        <f t="shared" ca="1" si="10"/>
        <v>#N/A</v>
      </c>
      <c r="AG17" s="777">
        <f t="shared" si="12"/>
        <v>0</v>
      </c>
      <c r="AJ17" s="767" t="s">
        <v>432</v>
      </c>
      <c r="AK17" s="768" t="s">
        <v>130</v>
      </c>
      <c r="AN17" s="737" t="s">
        <v>176</v>
      </c>
      <c r="AO17" s="735"/>
      <c r="AP17" s="730" t="str">
        <f>'Current Status (''Shikuf'')'!D19</f>
        <v>Gas</v>
      </c>
      <c r="AQ17" s="730" t="str">
        <f>'Month A'!Y26</f>
        <v>Gas</v>
      </c>
      <c r="AR17" s="730" t="str">
        <f>B!$Y26</f>
        <v>Gas</v>
      </c>
      <c r="AS17" s="730" t="str">
        <f>'C'!$Y26</f>
        <v>Gas</v>
      </c>
      <c r="AT17" s="730" t="str">
        <f>D!$Y26</f>
        <v>Gas</v>
      </c>
      <c r="AU17" s="730" t="str">
        <f>E!$Y26</f>
        <v>Gas</v>
      </c>
      <c r="AV17" s="730" t="str">
        <f>F!$Y26</f>
        <v>Gas</v>
      </c>
      <c r="AW17" s="730" t="str">
        <f>G!$Y26</f>
        <v>Gas</v>
      </c>
      <c r="AX17" s="730" t="str">
        <f>H!$Y26</f>
        <v>Gas</v>
      </c>
      <c r="AY17" s="730" t="str">
        <f>I!$Y26</f>
        <v>Gas</v>
      </c>
      <c r="AZ17" s="730" t="str">
        <f>J!$Y26</f>
        <v>Gas</v>
      </c>
      <c r="BA17" s="730" t="str">
        <f>K!$Y26</f>
        <v>Gas</v>
      </c>
      <c r="BB17" s="730" t="str">
        <f>L!$Y26</f>
        <v>Gas</v>
      </c>
      <c r="BD17" s="738">
        <f>'Current Status (''Shikuf'')'!F19</f>
        <v>0</v>
      </c>
      <c r="BE17" s="730">
        <f>'Month A'!$AA26</f>
        <v>0</v>
      </c>
      <c r="BF17" s="730">
        <f>B!$AA26</f>
        <v>0</v>
      </c>
      <c r="BG17" s="730">
        <f>'C'!$AA26</f>
        <v>0</v>
      </c>
      <c r="BH17" s="730">
        <f>D!$AA26</f>
        <v>0</v>
      </c>
      <c r="BI17" s="730">
        <f>E!$AA26</f>
        <v>0</v>
      </c>
      <c r="BJ17" s="730">
        <f>F!$AA26</f>
        <v>0</v>
      </c>
      <c r="BK17" s="730">
        <f>G!$AA26</f>
        <v>0</v>
      </c>
      <c r="BL17" s="730">
        <f>H!$AA26</f>
        <v>0</v>
      </c>
      <c r="BM17" s="730">
        <f>I!$AA26</f>
        <v>0</v>
      </c>
      <c r="BN17" s="730">
        <f>J!$AA26</f>
        <v>0</v>
      </c>
      <c r="BO17" s="730">
        <f>K!$AA26</f>
        <v>0</v>
      </c>
      <c r="BP17" s="730">
        <f>L!$AA26</f>
        <v>0</v>
      </c>
      <c r="BR17" s="738">
        <f>'Month A'!$Z26</f>
        <v>0</v>
      </c>
      <c r="BS17" s="730">
        <f>B!$Z26</f>
        <v>0</v>
      </c>
      <c r="BT17" s="730">
        <f>'C'!$Z26</f>
        <v>0</v>
      </c>
      <c r="BU17" s="730">
        <f>D!$Z26</f>
        <v>0</v>
      </c>
      <c r="BV17" s="730">
        <f>E!$Z26</f>
        <v>0</v>
      </c>
      <c r="BW17" s="730">
        <f>F!$Z26</f>
        <v>0</v>
      </c>
      <c r="BX17" s="730">
        <f>G!$Z26</f>
        <v>0</v>
      </c>
      <c r="BY17" s="730">
        <f>H!$Z26</f>
        <v>0</v>
      </c>
      <c r="BZ17" s="730">
        <f>I!$Z26</f>
        <v>0</v>
      </c>
      <c r="CA17" s="730">
        <f>J!$Z26</f>
        <v>0</v>
      </c>
      <c r="CB17" s="730">
        <f>K!$Z26</f>
        <v>0</v>
      </c>
      <c r="CC17" s="730">
        <f>L!$Z26</f>
        <v>0</v>
      </c>
      <c r="CY17" s="763">
        <f t="shared" si="4"/>
        <v>0</v>
      </c>
      <c r="CZ17" s="773" t="s">
        <v>84</v>
      </c>
    </row>
    <row r="18" spans="1:104" ht="16.5" thickBot="1">
      <c r="A18" s="86"/>
      <c r="B18" s="86"/>
      <c r="C18" s="86"/>
      <c r="D18" s="86"/>
      <c r="E18" s="86"/>
      <c r="F18" s="757" t="s">
        <v>176</v>
      </c>
      <c r="G18" s="758">
        <f t="shared" si="0"/>
        <v>0</v>
      </c>
      <c r="H18" s="86"/>
      <c r="I18" s="909">
        <f t="shared" si="2"/>
        <v>0</v>
      </c>
      <c r="J18" s="910"/>
      <c r="K18" s="748"/>
      <c r="L18" s="748"/>
      <c r="M18" s="748"/>
      <c r="N18" s="748"/>
      <c r="O18" s="761"/>
      <c r="P18" s="749"/>
      <c r="Q18" s="86"/>
      <c r="R18" s="86"/>
      <c r="S18" s="86"/>
      <c r="T18" s="86"/>
      <c r="U18" s="86"/>
      <c r="V18" s="86"/>
      <c r="W18" s="86"/>
      <c r="Z18" s="730" t="str">
        <f t="shared" si="5"/>
        <v>Electricity</v>
      </c>
      <c r="AA18" s="730" t="str">
        <f t="shared" si="7"/>
        <v>Electricity</v>
      </c>
      <c r="AB18" s="730">
        <f t="shared" si="8"/>
        <v>0</v>
      </c>
      <c r="AC18" s="730">
        <f t="shared" si="9"/>
        <v>15</v>
      </c>
      <c r="AD18" s="730">
        <f t="shared" si="6"/>
        <v>13</v>
      </c>
      <c r="AE18" s="730">
        <f t="shared" si="11"/>
        <v>0</v>
      </c>
      <c r="AF18" s="730" t="e">
        <f t="shared" ca="1" si="10"/>
        <v>#N/A</v>
      </c>
      <c r="AG18" s="777">
        <f t="shared" si="12"/>
        <v>0</v>
      </c>
      <c r="AJ18" s="769" t="s">
        <v>433</v>
      </c>
      <c r="AK18" s="768" t="s">
        <v>131</v>
      </c>
      <c r="AN18" s="737" t="s">
        <v>177</v>
      </c>
      <c r="AO18" s="735"/>
      <c r="AP18" s="730" t="str">
        <f>'Current Status (''Shikuf'')'!D20</f>
        <v>Heating</v>
      </c>
      <c r="AQ18" s="730" t="str">
        <f>'Month A'!Y27</f>
        <v>Heating</v>
      </c>
      <c r="AR18" s="730" t="str">
        <f>B!$Y27</f>
        <v>Heating</v>
      </c>
      <c r="AS18" s="730" t="str">
        <f>'C'!$Y27</f>
        <v>Heating</v>
      </c>
      <c r="AT18" s="730" t="str">
        <f>D!$Y27</f>
        <v>Heating</v>
      </c>
      <c r="AU18" s="730" t="str">
        <f>E!$Y27</f>
        <v>Heating</v>
      </c>
      <c r="AV18" s="730" t="str">
        <f>F!$Y27</f>
        <v>Heating</v>
      </c>
      <c r="AW18" s="730" t="str">
        <f>G!$Y27</f>
        <v>Heating</v>
      </c>
      <c r="AX18" s="730" t="str">
        <f>H!$Y27</f>
        <v>Heating</v>
      </c>
      <c r="AY18" s="730" t="str">
        <f>I!$Y27</f>
        <v>Heating</v>
      </c>
      <c r="AZ18" s="730" t="str">
        <f>J!$Y27</f>
        <v>Heating</v>
      </c>
      <c r="BA18" s="730" t="str">
        <f>K!$Y27</f>
        <v>Heating</v>
      </c>
      <c r="BB18" s="730" t="str">
        <f>L!$Y27</f>
        <v>Heating</v>
      </c>
      <c r="BD18" s="738">
        <f>'Current Status (''Shikuf'')'!F20</f>
        <v>0</v>
      </c>
      <c r="BE18" s="730">
        <f>'Month A'!$AA27</f>
        <v>0</v>
      </c>
      <c r="BF18" s="730">
        <f>B!$AA27</f>
        <v>0</v>
      </c>
      <c r="BG18" s="730">
        <f>'C'!$AA27</f>
        <v>0</v>
      </c>
      <c r="BH18" s="730">
        <f>D!$AA27</f>
        <v>0</v>
      </c>
      <c r="BI18" s="730">
        <f>E!$AA27</f>
        <v>0</v>
      </c>
      <c r="BJ18" s="730">
        <f>F!$AA27</f>
        <v>0</v>
      </c>
      <c r="BK18" s="730">
        <f>G!$AA27</f>
        <v>0</v>
      </c>
      <c r="BL18" s="730">
        <f>H!$AA27</f>
        <v>0</v>
      </c>
      <c r="BM18" s="730">
        <f>I!$AA27</f>
        <v>0</v>
      </c>
      <c r="BN18" s="730">
        <f>J!$AA27</f>
        <v>0</v>
      </c>
      <c r="BO18" s="730">
        <f>K!$AA27</f>
        <v>0</v>
      </c>
      <c r="BP18" s="730">
        <f>L!$AA27</f>
        <v>0</v>
      </c>
      <c r="BR18" s="738">
        <f>'Month A'!$Z27</f>
        <v>0</v>
      </c>
      <c r="BS18" s="730">
        <f>B!$Z27</f>
        <v>0</v>
      </c>
      <c r="BT18" s="730">
        <f>'C'!$Z27</f>
        <v>0</v>
      </c>
      <c r="BU18" s="730">
        <f>D!$Z27</f>
        <v>0</v>
      </c>
      <c r="BV18" s="730">
        <f>E!$Z27</f>
        <v>0</v>
      </c>
      <c r="BW18" s="730">
        <f>F!$Z27</f>
        <v>0</v>
      </c>
      <c r="BX18" s="730">
        <f>G!$Z27</f>
        <v>0</v>
      </c>
      <c r="BY18" s="730">
        <f>H!$Z27</f>
        <v>0</v>
      </c>
      <c r="BZ18" s="730">
        <f>I!$Z27</f>
        <v>0</v>
      </c>
      <c r="CA18" s="730">
        <f>J!$Z27</f>
        <v>0</v>
      </c>
      <c r="CB18" s="730">
        <f>K!$Z27</f>
        <v>0</v>
      </c>
      <c r="CC18" s="730">
        <f>L!$Z27</f>
        <v>0</v>
      </c>
      <c r="CY18" s="763">
        <f t="shared" si="4"/>
        <v>0</v>
      </c>
      <c r="CZ18" s="773" t="s">
        <v>85</v>
      </c>
    </row>
    <row r="19" spans="1:104" ht="29.25" thickBot="1">
      <c r="A19" s="86"/>
      <c r="B19" s="86"/>
      <c r="C19" s="86"/>
      <c r="D19" s="86"/>
      <c r="E19" s="86"/>
      <c r="F19" s="757" t="s">
        <v>177</v>
      </c>
      <c r="G19" s="758">
        <f t="shared" si="0"/>
        <v>0</v>
      </c>
      <c r="H19" s="86"/>
      <c r="I19" s="909">
        <f t="shared" si="2"/>
        <v>0</v>
      </c>
      <c r="J19" s="910"/>
      <c r="K19" s="748"/>
      <c r="L19" s="748"/>
      <c r="M19" s="748"/>
      <c r="N19" s="748"/>
      <c r="O19" s="761"/>
      <c r="P19" s="749"/>
      <c r="Q19" s="86"/>
      <c r="R19" s="86"/>
      <c r="S19" s="86"/>
      <c r="T19" s="86"/>
      <c r="U19" s="86"/>
      <c r="V19" s="86"/>
      <c r="W19" s="86"/>
      <c r="Z19" s="730" t="str">
        <f t="shared" si="5"/>
        <v>Gas</v>
      </c>
      <c r="AA19" s="730" t="str">
        <f t="shared" si="7"/>
        <v>Gas</v>
      </c>
      <c r="AB19" s="730">
        <f t="shared" si="8"/>
        <v>0</v>
      </c>
      <c r="AC19" s="730">
        <f t="shared" si="9"/>
        <v>16</v>
      </c>
      <c r="AD19" s="730">
        <f t="shared" si="6"/>
        <v>14</v>
      </c>
      <c r="AE19" s="730">
        <f t="shared" si="11"/>
        <v>0</v>
      </c>
      <c r="AF19" s="730" t="e">
        <f t="shared" ca="1" si="10"/>
        <v>#N/A</v>
      </c>
      <c r="AG19" s="777">
        <f t="shared" si="12"/>
        <v>0</v>
      </c>
      <c r="AJ19" s="767" t="s">
        <v>434</v>
      </c>
      <c r="AK19" s="768" t="s">
        <v>132</v>
      </c>
      <c r="AN19" s="737" t="s">
        <v>189</v>
      </c>
      <c r="AO19" s="735"/>
      <c r="AP19" s="730" t="str">
        <f>'Current Status (''Shikuf'')'!D21</f>
        <v>Education/Schoolbooks</v>
      </c>
      <c r="AQ19" s="730" t="str">
        <f>'Month A'!Y28</f>
        <v>Education/Schoolbooks</v>
      </c>
      <c r="AR19" s="730" t="str">
        <f>B!$Y28</f>
        <v>Education/Schoolbooks</v>
      </c>
      <c r="AS19" s="730" t="str">
        <f>'C'!$Y28</f>
        <v>Education/Schoolbooks</v>
      </c>
      <c r="AT19" s="730" t="str">
        <f>D!$Y28</f>
        <v>Education/Schoolbooks</v>
      </c>
      <c r="AU19" s="730" t="str">
        <f>E!$Y28</f>
        <v>Education/Schoolbooks</v>
      </c>
      <c r="AV19" s="730" t="str">
        <f>F!$Y28</f>
        <v>Education/Schoolbooks</v>
      </c>
      <c r="AW19" s="730" t="str">
        <f>G!$Y28</f>
        <v>Education/Schoolbooks</v>
      </c>
      <c r="AX19" s="730" t="str">
        <f>H!$Y28</f>
        <v>Education/Schoolbooks</v>
      </c>
      <c r="AY19" s="730" t="str">
        <f>I!$Y28</f>
        <v>Education/Schoolbooks</v>
      </c>
      <c r="AZ19" s="730" t="str">
        <f>J!$Y28</f>
        <v>Education/Schoolbooks</v>
      </c>
      <c r="BA19" s="730" t="str">
        <f>K!$Y28</f>
        <v>Education/Schoolbooks</v>
      </c>
      <c r="BB19" s="730" t="str">
        <f>L!$Y28</f>
        <v>Education/Schoolbooks</v>
      </c>
      <c r="BD19" s="738">
        <f>'Current Status (''Shikuf'')'!F21</f>
        <v>0</v>
      </c>
      <c r="BE19" s="730">
        <f>'Month A'!$AA28</f>
        <v>0</v>
      </c>
      <c r="BF19" s="730">
        <f>B!$AA28</f>
        <v>0</v>
      </c>
      <c r="BG19" s="730">
        <f>'C'!$AA28</f>
        <v>0</v>
      </c>
      <c r="BH19" s="730">
        <f>D!$AA28</f>
        <v>0</v>
      </c>
      <c r="BI19" s="730">
        <f>E!$AA28</f>
        <v>0</v>
      </c>
      <c r="BJ19" s="730">
        <f>F!$AA28</f>
        <v>0</v>
      </c>
      <c r="BK19" s="730">
        <f>G!$AA28</f>
        <v>0</v>
      </c>
      <c r="BL19" s="730">
        <f>H!$AA28</f>
        <v>0</v>
      </c>
      <c r="BM19" s="730">
        <f>I!$AA28</f>
        <v>0</v>
      </c>
      <c r="BN19" s="730">
        <f>J!$AA28</f>
        <v>0</v>
      </c>
      <c r="BO19" s="730">
        <f>K!$AA28</f>
        <v>0</v>
      </c>
      <c r="BP19" s="730">
        <f>L!$AA28</f>
        <v>0</v>
      </c>
      <c r="BR19" s="738">
        <f>'Month A'!$Z28</f>
        <v>0</v>
      </c>
      <c r="BS19" s="730">
        <f>B!$Z28</f>
        <v>0</v>
      </c>
      <c r="BT19" s="730">
        <f>'C'!$Z28</f>
        <v>0</v>
      </c>
      <c r="BU19" s="730">
        <f>D!$Z28</f>
        <v>0</v>
      </c>
      <c r="BV19" s="730">
        <f>E!$Z28</f>
        <v>0</v>
      </c>
      <c r="BW19" s="730">
        <f>F!$Z28</f>
        <v>0</v>
      </c>
      <c r="BX19" s="730">
        <f>G!$Z28</f>
        <v>0</v>
      </c>
      <c r="BY19" s="730">
        <f>H!$Z28</f>
        <v>0</v>
      </c>
      <c r="BZ19" s="730">
        <f>I!$Z28</f>
        <v>0</v>
      </c>
      <c r="CA19" s="730">
        <f>J!$Z28</f>
        <v>0</v>
      </c>
      <c r="CB19" s="730">
        <f>K!$Z28</f>
        <v>0</v>
      </c>
      <c r="CC19" s="730">
        <f>L!$Z28</f>
        <v>0</v>
      </c>
      <c r="CY19" s="763">
        <f t="shared" si="4"/>
        <v>0</v>
      </c>
      <c r="CZ19" s="773" t="s">
        <v>86</v>
      </c>
    </row>
    <row r="20" spans="1:104" ht="30.75" thickBot="1">
      <c r="A20" s="86"/>
      <c r="B20" s="86"/>
      <c r="C20" s="86"/>
      <c r="D20" s="86"/>
      <c r="E20" s="86"/>
      <c r="F20" s="757" t="s">
        <v>189</v>
      </c>
      <c r="G20" s="758">
        <f t="shared" si="0"/>
        <v>0</v>
      </c>
      <c r="H20" s="86"/>
      <c r="I20" s="909">
        <f t="shared" si="2"/>
        <v>0</v>
      </c>
      <c r="J20" s="910"/>
      <c r="K20" s="748"/>
      <c r="L20" s="748"/>
      <c r="M20" s="748"/>
      <c r="N20" s="748"/>
      <c r="O20" s="761"/>
      <c r="P20" s="749"/>
      <c r="Q20" s="86"/>
      <c r="R20" s="86"/>
      <c r="S20" s="86"/>
      <c r="T20" s="86"/>
      <c r="U20" s="86"/>
      <c r="V20" s="86"/>
      <c r="W20" s="86"/>
      <c r="Z20" s="730" t="str">
        <f t="shared" si="5"/>
        <v>Heating</v>
      </c>
      <c r="AA20" s="730" t="str">
        <f t="shared" si="7"/>
        <v>Heating</v>
      </c>
      <c r="AB20" s="730">
        <f t="shared" si="8"/>
        <v>0</v>
      </c>
      <c r="AC20" s="730">
        <f t="shared" si="9"/>
        <v>17</v>
      </c>
      <c r="AD20" s="730">
        <f t="shared" si="6"/>
        <v>15</v>
      </c>
      <c r="AE20" s="730">
        <f t="shared" si="11"/>
        <v>0</v>
      </c>
      <c r="AF20" s="730" t="e">
        <f t="shared" ca="1" si="10"/>
        <v>#N/A</v>
      </c>
      <c r="AG20" s="777">
        <f t="shared" si="12"/>
        <v>0</v>
      </c>
      <c r="AJ20" s="767" t="s">
        <v>435</v>
      </c>
      <c r="AK20" s="768" t="s">
        <v>133</v>
      </c>
      <c r="AN20" s="737" t="s">
        <v>190</v>
      </c>
      <c r="AO20" s="735"/>
      <c r="AP20" s="730" t="str">
        <f>'Current Status (''Shikuf'')'!D22</f>
        <v>Extracurricular Activities/Camps/Pool</v>
      </c>
      <c r="AQ20" s="730" t="str">
        <f>'Month A'!Y29</f>
        <v>Extracurricular Activities/Camps/Pool</v>
      </c>
      <c r="AR20" s="730" t="str">
        <f>B!$Y29</f>
        <v>Extracurricular Activities/Camps/Pool</v>
      </c>
      <c r="AS20" s="730" t="str">
        <f>'C'!$Y29</f>
        <v>Extracurricular Activities/Camps/Pool</v>
      </c>
      <c r="AT20" s="730" t="str">
        <f>D!$Y29</f>
        <v>Extracurricular Activities/Camps/Pool</v>
      </c>
      <c r="AU20" s="730" t="str">
        <f>E!$Y29</f>
        <v>Extracurricular Activities/Camps/Pool</v>
      </c>
      <c r="AV20" s="730" t="str">
        <f>F!$Y29</f>
        <v>Extracurricular Activities/Camps/Pool</v>
      </c>
      <c r="AW20" s="730" t="str">
        <f>G!$Y29</f>
        <v>Extracurricular Activities/Camps/Pool</v>
      </c>
      <c r="AX20" s="730" t="str">
        <f>H!$Y29</f>
        <v>Extracurricular Activities/Camps/Pool</v>
      </c>
      <c r="AY20" s="730" t="str">
        <f>I!$Y29</f>
        <v>Extracurricular Activities/Camps/Pool</v>
      </c>
      <c r="AZ20" s="730" t="str">
        <f>J!$Y29</f>
        <v>Extracurricular Activities/Camps/Pool</v>
      </c>
      <c r="BA20" s="730" t="str">
        <f>K!$Y29</f>
        <v>Extracurricular Activities/Camps/Pool</v>
      </c>
      <c r="BB20" s="730" t="str">
        <f>L!$Y29</f>
        <v>Extracurricular Activities/Camps/Pool</v>
      </c>
      <c r="BD20" s="738">
        <f>'Current Status (''Shikuf'')'!F22</f>
        <v>0</v>
      </c>
      <c r="BE20" s="730">
        <f>'Month A'!$AA29</f>
        <v>0</v>
      </c>
      <c r="BF20" s="730">
        <f>B!$AA29</f>
        <v>0</v>
      </c>
      <c r="BG20" s="730">
        <f>'C'!$AA29</f>
        <v>0</v>
      </c>
      <c r="BH20" s="730">
        <f>D!$AA29</f>
        <v>0</v>
      </c>
      <c r="BI20" s="730">
        <f>E!$AA29</f>
        <v>0</v>
      </c>
      <c r="BJ20" s="730">
        <f>F!$AA29</f>
        <v>0</v>
      </c>
      <c r="BK20" s="730">
        <f>G!$AA29</f>
        <v>0</v>
      </c>
      <c r="BL20" s="730">
        <f>H!$AA29</f>
        <v>0</v>
      </c>
      <c r="BM20" s="730">
        <f>I!$AA29</f>
        <v>0</v>
      </c>
      <c r="BN20" s="730">
        <f>J!$AA29</f>
        <v>0</v>
      </c>
      <c r="BO20" s="730">
        <f>K!$AA29</f>
        <v>0</v>
      </c>
      <c r="BP20" s="730">
        <f>L!$AA29</f>
        <v>0</v>
      </c>
      <c r="BR20" s="738">
        <f>'Month A'!$Z29</f>
        <v>0</v>
      </c>
      <c r="BS20" s="730">
        <f>B!$Z29</f>
        <v>0</v>
      </c>
      <c r="BT20" s="730">
        <f>'C'!$Z29</f>
        <v>0</v>
      </c>
      <c r="BU20" s="730">
        <f>D!$Z29</f>
        <v>0</v>
      </c>
      <c r="BV20" s="730">
        <f>E!$Z29</f>
        <v>0</v>
      </c>
      <c r="BW20" s="730">
        <f>F!$Z29</f>
        <v>0</v>
      </c>
      <c r="BX20" s="730">
        <f>G!$Z29</f>
        <v>0</v>
      </c>
      <c r="BY20" s="730">
        <f>H!$Z29</f>
        <v>0</v>
      </c>
      <c r="BZ20" s="730">
        <f>I!$Z29</f>
        <v>0</v>
      </c>
      <c r="CA20" s="730">
        <f>J!$Z29</f>
        <v>0</v>
      </c>
      <c r="CB20" s="730">
        <f>K!$Z29</f>
        <v>0</v>
      </c>
      <c r="CC20" s="730">
        <f>L!$Z29</f>
        <v>0</v>
      </c>
      <c r="CY20" s="763">
        <f t="shared" si="4"/>
        <v>0</v>
      </c>
      <c r="CZ20" s="773" t="s">
        <v>87</v>
      </c>
    </row>
    <row r="21" spans="1:104" ht="30.75" thickBot="1">
      <c r="A21" s="86"/>
      <c r="B21" s="86"/>
      <c r="C21" s="86"/>
      <c r="D21" s="86"/>
      <c r="E21" s="86"/>
      <c r="F21" s="757" t="s">
        <v>190</v>
      </c>
      <c r="G21" s="758">
        <f t="shared" si="0"/>
        <v>0</v>
      </c>
      <c r="H21" s="86"/>
      <c r="I21" s="909">
        <f t="shared" si="2"/>
        <v>0</v>
      </c>
      <c r="J21" s="910"/>
      <c r="K21" s="748"/>
      <c r="L21" s="748"/>
      <c r="M21" s="748"/>
      <c r="N21" s="748"/>
      <c r="O21" s="761"/>
      <c r="P21" s="749"/>
      <c r="Q21" s="86"/>
      <c r="R21" s="86"/>
      <c r="S21" s="86"/>
      <c r="T21" s="86"/>
      <c r="U21" s="86"/>
      <c r="V21" s="86"/>
      <c r="W21" s="86"/>
      <c r="Z21" s="730" t="str">
        <f t="shared" si="5"/>
        <v>Education/Schoolbooks</v>
      </c>
      <c r="AA21" s="730" t="str">
        <f t="shared" si="7"/>
        <v>Education/Schoolbooks</v>
      </c>
      <c r="AB21" s="730">
        <f t="shared" si="8"/>
        <v>0</v>
      </c>
      <c r="AC21" s="730">
        <f t="shared" si="9"/>
        <v>18</v>
      </c>
      <c r="AD21" s="730">
        <f t="shared" si="6"/>
        <v>16</v>
      </c>
      <c r="AE21" s="730">
        <f t="shared" si="11"/>
        <v>0</v>
      </c>
      <c r="AF21" s="730" t="e">
        <f t="shared" ca="1" si="10"/>
        <v>#N/A</v>
      </c>
      <c r="AG21" s="777">
        <f t="shared" si="12"/>
        <v>0</v>
      </c>
      <c r="AJ21" s="767" t="s">
        <v>436</v>
      </c>
      <c r="AK21" s="768" t="s">
        <v>134</v>
      </c>
      <c r="AN21" s="737" t="s">
        <v>191</v>
      </c>
      <c r="AO21" s="735"/>
      <c r="AP21" s="730" t="str">
        <f>'Current Status (''Shikuf'')'!D23</f>
        <v xml:space="preserve">  Car Insurance and Licensing</v>
      </c>
      <c r="AQ21" s="730" t="str">
        <f>'Month A'!Y30</f>
        <v xml:space="preserve">  Car Insurance and Licensing</v>
      </c>
      <c r="AR21" s="730" t="str">
        <f>B!$Y30</f>
        <v xml:space="preserve">  Car Insurance and Licensing</v>
      </c>
      <c r="AS21" s="730" t="str">
        <f>'C'!$Y30</f>
        <v xml:space="preserve">  Car Insurance and Licensing</v>
      </c>
      <c r="AT21" s="730" t="str">
        <f>D!$Y30</f>
        <v xml:space="preserve">  Car Insurance and Licensing</v>
      </c>
      <c r="AU21" s="730" t="str">
        <f>E!$Y30</f>
        <v xml:space="preserve">  Car Insurance and Licensing</v>
      </c>
      <c r="AV21" s="730" t="str">
        <f>F!$Y30</f>
        <v xml:space="preserve">  Car Insurance and Licensing</v>
      </c>
      <c r="AW21" s="730" t="str">
        <f>G!$Y30</f>
        <v xml:space="preserve">  Car Insurance and Licensing</v>
      </c>
      <c r="AX21" s="730" t="str">
        <f>H!$Y30</f>
        <v xml:space="preserve">  Car Insurance and Licensing</v>
      </c>
      <c r="AY21" s="730" t="str">
        <f>I!$Y30</f>
        <v xml:space="preserve">  Car Insurance and Licensing</v>
      </c>
      <c r="AZ21" s="730" t="str">
        <f>J!$Y30</f>
        <v xml:space="preserve">  Car Insurance and Licensing</v>
      </c>
      <c r="BA21" s="730" t="str">
        <f>K!$Y30</f>
        <v xml:space="preserve">  Car Insurance and Licensing</v>
      </c>
      <c r="BB21" s="730" t="str">
        <f>L!$Y30</f>
        <v xml:space="preserve">  Car Insurance and Licensing</v>
      </c>
      <c r="BD21" s="738">
        <f>'Current Status (''Shikuf'')'!F23</f>
        <v>0</v>
      </c>
      <c r="BE21" s="730">
        <f>'Month A'!$AA30</f>
        <v>0</v>
      </c>
      <c r="BF21" s="730">
        <f>B!$AA30</f>
        <v>0</v>
      </c>
      <c r="BG21" s="730">
        <f>'C'!$AA30</f>
        <v>0</v>
      </c>
      <c r="BH21" s="730">
        <f>D!$AA30</f>
        <v>0</v>
      </c>
      <c r="BI21" s="730">
        <f>E!$AA30</f>
        <v>0</v>
      </c>
      <c r="BJ21" s="730">
        <f>F!$AA30</f>
        <v>0</v>
      </c>
      <c r="BK21" s="730">
        <f>G!$AA30</f>
        <v>0</v>
      </c>
      <c r="BL21" s="730">
        <f>H!$AA30</f>
        <v>0</v>
      </c>
      <c r="BM21" s="730">
        <f>I!$AA30</f>
        <v>0</v>
      </c>
      <c r="BN21" s="730">
        <f>J!$AA30</f>
        <v>0</v>
      </c>
      <c r="BO21" s="730">
        <f>K!$AA30</f>
        <v>0</v>
      </c>
      <c r="BP21" s="730">
        <f>L!$AA30</f>
        <v>0</v>
      </c>
      <c r="BR21" s="738">
        <f>'Month A'!$Z30</f>
        <v>0</v>
      </c>
      <c r="BS21" s="730">
        <f>B!$Z30</f>
        <v>0</v>
      </c>
      <c r="BT21" s="730">
        <f>'C'!$Z30</f>
        <v>0</v>
      </c>
      <c r="BU21" s="730">
        <f>D!$Z30</f>
        <v>0</v>
      </c>
      <c r="BV21" s="730">
        <f>E!$Z30</f>
        <v>0</v>
      </c>
      <c r="BW21" s="730">
        <f>F!$Z30</f>
        <v>0</v>
      </c>
      <c r="BX21" s="730">
        <f>G!$Z30</f>
        <v>0</v>
      </c>
      <c r="BY21" s="730">
        <f>H!$Z30</f>
        <v>0</v>
      </c>
      <c r="BZ21" s="730">
        <f>I!$Z30</f>
        <v>0</v>
      </c>
      <c r="CA21" s="730">
        <f>J!$Z30</f>
        <v>0</v>
      </c>
      <c r="CB21" s="730">
        <f>K!$Z30</f>
        <v>0</v>
      </c>
      <c r="CC21" s="730">
        <f>L!$Z30</f>
        <v>0</v>
      </c>
      <c r="CY21" s="763">
        <f t="shared" si="4"/>
        <v>0</v>
      </c>
      <c r="CZ21" s="773" t="s">
        <v>88</v>
      </c>
    </row>
    <row r="22" spans="1:104" ht="16.5" thickBot="1">
      <c r="A22" s="86"/>
      <c r="B22" s="86"/>
      <c r="C22" s="86"/>
      <c r="D22" s="86"/>
      <c r="E22" s="86"/>
      <c r="F22" s="757" t="s">
        <v>191</v>
      </c>
      <c r="G22" s="758">
        <f t="shared" si="0"/>
        <v>0</v>
      </c>
      <c r="H22" s="86"/>
      <c r="I22" s="909">
        <f t="shared" si="2"/>
        <v>0</v>
      </c>
      <c r="J22" s="910"/>
      <c r="K22" s="748"/>
      <c r="L22" s="748"/>
      <c r="M22" s="748"/>
      <c r="N22" s="748"/>
      <c r="O22" s="761"/>
      <c r="P22" s="749"/>
      <c r="Q22" s="86"/>
      <c r="R22" s="86"/>
      <c r="S22" s="86"/>
      <c r="T22" s="86"/>
      <c r="U22" s="86"/>
      <c r="V22" s="86"/>
      <c r="W22" s="86"/>
      <c r="Z22" s="730" t="str">
        <f t="shared" si="5"/>
        <v>Extracurricular Activities/Camps/Pool</v>
      </c>
      <c r="AA22" s="730" t="str">
        <f t="shared" si="7"/>
        <v>Extracurricular Activities/Camps/Pool</v>
      </c>
      <c r="AB22" s="730">
        <f t="shared" si="8"/>
        <v>0</v>
      </c>
      <c r="AC22" s="730">
        <f t="shared" si="9"/>
        <v>19</v>
      </c>
      <c r="AD22" s="730">
        <f t="shared" si="6"/>
        <v>17</v>
      </c>
      <c r="AE22" s="730">
        <f t="shared" si="11"/>
        <v>0</v>
      </c>
      <c r="AF22" s="730" t="e">
        <f t="shared" ca="1" si="10"/>
        <v>#N/A</v>
      </c>
      <c r="AG22" s="777">
        <f t="shared" si="12"/>
        <v>0</v>
      </c>
      <c r="AJ22" s="767" t="s">
        <v>437</v>
      </c>
      <c r="AK22" s="768" t="s">
        <v>135</v>
      </c>
      <c r="AN22" s="737" t="s">
        <v>192</v>
      </c>
      <c r="AO22" s="735"/>
      <c r="AP22" s="730" t="str">
        <f>'Current Status (''Shikuf'')'!D24</f>
        <v>Car Maintenance</v>
      </c>
      <c r="AQ22" s="730" t="str">
        <f>'Month A'!Y31</f>
        <v>Car Maintenance</v>
      </c>
      <c r="AR22" s="730" t="str">
        <f>B!$Y31</f>
        <v>Car Maintenance</v>
      </c>
      <c r="AS22" s="730" t="str">
        <f>'C'!$Y31</f>
        <v>Car Maintenance</v>
      </c>
      <c r="AT22" s="730" t="str">
        <f>D!$Y31</f>
        <v>Car Maintenance</v>
      </c>
      <c r="AU22" s="730" t="str">
        <f>E!$Y31</f>
        <v>Car Maintenance</v>
      </c>
      <c r="AV22" s="730" t="str">
        <f>F!$Y31</f>
        <v>Car Maintenance</v>
      </c>
      <c r="AW22" s="730" t="str">
        <f>G!$Y31</f>
        <v>Car Maintenance</v>
      </c>
      <c r="AX22" s="730" t="str">
        <f>H!$Y31</f>
        <v>Car Maintenance</v>
      </c>
      <c r="AY22" s="730" t="str">
        <f>I!$Y31</f>
        <v>Car Maintenance</v>
      </c>
      <c r="AZ22" s="730" t="str">
        <f>J!$Y31</f>
        <v>Car Maintenance</v>
      </c>
      <c r="BA22" s="730" t="str">
        <f>K!$Y31</f>
        <v>Car Maintenance</v>
      </c>
      <c r="BB22" s="730" t="str">
        <f>L!$Y31</f>
        <v>Car Maintenance</v>
      </c>
      <c r="BD22" s="738">
        <f>'Current Status (''Shikuf'')'!F24</f>
        <v>0</v>
      </c>
      <c r="BE22" s="730">
        <f>'Month A'!$AA31</f>
        <v>0</v>
      </c>
      <c r="BF22" s="730">
        <f>B!$AA31</f>
        <v>0</v>
      </c>
      <c r="BG22" s="730">
        <f>'C'!$AA31</f>
        <v>0</v>
      </c>
      <c r="BH22" s="730">
        <f>D!$AA31</f>
        <v>0</v>
      </c>
      <c r="BI22" s="730">
        <f>E!$AA31</f>
        <v>0</v>
      </c>
      <c r="BJ22" s="730">
        <f>F!$AA31</f>
        <v>0</v>
      </c>
      <c r="BK22" s="730">
        <f>G!$AA31</f>
        <v>0</v>
      </c>
      <c r="BL22" s="730">
        <f>H!$AA31</f>
        <v>0</v>
      </c>
      <c r="BM22" s="730">
        <f>I!$AA31</f>
        <v>0</v>
      </c>
      <c r="BN22" s="730">
        <f>J!$AA31</f>
        <v>0</v>
      </c>
      <c r="BO22" s="730">
        <f>K!$AA31</f>
        <v>0</v>
      </c>
      <c r="BP22" s="730">
        <f>L!$AA31</f>
        <v>0</v>
      </c>
      <c r="BR22" s="738">
        <f>'Month A'!$Z31</f>
        <v>0</v>
      </c>
      <c r="BS22" s="730">
        <f>B!$Z31</f>
        <v>0</v>
      </c>
      <c r="BT22" s="730">
        <f>'C'!$Z31</f>
        <v>0</v>
      </c>
      <c r="BU22" s="730">
        <f>D!$Z31</f>
        <v>0</v>
      </c>
      <c r="BV22" s="730">
        <f>E!$Z31</f>
        <v>0</v>
      </c>
      <c r="BW22" s="730">
        <f>F!$Z31</f>
        <v>0</v>
      </c>
      <c r="BX22" s="730">
        <f>G!$Z31</f>
        <v>0</v>
      </c>
      <c r="BY22" s="730">
        <f>H!$Z31</f>
        <v>0</v>
      </c>
      <c r="BZ22" s="730">
        <f>I!$Z31</f>
        <v>0</v>
      </c>
      <c r="CA22" s="730">
        <f>J!$Z31</f>
        <v>0</v>
      </c>
      <c r="CB22" s="730">
        <f>K!$Z31</f>
        <v>0</v>
      </c>
      <c r="CC22" s="730">
        <f>L!$Z31</f>
        <v>0</v>
      </c>
      <c r="CY22" s="763">
        <f t="shared" si="4"/>
        <v>0</v>
      </c>
      <c r="CZ22" s="773" t="s">
        <v>89</v>
      </c>
    </row>
    <row r="23" spans="1:104" ht="16.5" thickBot="1">
      <c r="A23" s="86"/>
      <c r="B23" s="86"/>
      <c r="C23" s="86"/>
      <c r="D23" s="86"/>
      <c r="E23" s="86"/>
      <c r="F23" s="757" t="s">
        <v>192</v>
      </c>
      <c r="G23" s="758">
        <f t="shared" si="0"/>
        <v>0</v>
      </c>
      <c r="H23" s="86"/>
      <c r="I23" s="909">
        <f t="shared" si="2"/>
        <v>0</v>
      </c>
      <c r="J23" s="910"/>
      <c r="K23" s="748"/>
      <c r="L23" s="748"/>
      <c r="M23" s="748"/>
      <c r="N23" s="748"/>
      <c r="O23" s="761"/>
      <c r="P23" s="749"/>
      <c r="Q23" s="86"/>
      <c r="R23" s="86"/>
      <c r="S23" s="86"/>
      <c r="T23" s="86"/>
      <c r="U23" s="86"/>
      <c r="V23" s="86"/>
      <c r="W23" s="86"/>
      <c r="Z23" s="730" t="str">
        <f t="shared" si="5"/>
        <v xml:space="preserve">  Car Insurance and Licensing</v>
      </c>
      <c r="AA23" s="730" t="str">
        <f t="shared" si="7"/>
        <v xml:space="preserve">  Car Insurance and Licensing</v>
      </c>
      <c r="AB23" s="730">
        <f t="shared" si="8"/>
        <v>0</v>
      </c>
      <c r="AC23" s="730">
        <f t="shared" si="9"/>
        <v>20</v>
      </c>
      <c r="AD23" s="730">
        <f t="shared" si="6"/>
        <v>18</v>
      </c>
      <c r="AE23" s="730">
        <f t="shared" si="11"/>
        <v>0</v>
      </c>
      <c r="AF23" s="730" t="e">
        <f t="shared" ca="1" si="10"/>
        <v>#N/A</v>
      </c>
      <c r="AG23" s="777">
        <f t="shared" si="12"/>
        <v>0</v>
      </c>
      <c r="AJ23" s="767" t="s">
        <v>438</v>
      </c>
      <c r="AK23" s="768" t="s">
        <v>136</v>
      </c>
      <c r="AN23" s="737" t="s">
        <v>193</v>
      </c>
      <c r="AO23" s="735"/>
      <c r="AP23" s="730" t="str">
        <f>'Current Status (''Shikuf'')'!D25</f>
        <v>Clothing and Shoes</v>
      </c>
      <c r="AQ23" s="730" t="str">
        <f>'Month A'!Y32</f>
        <v>Clothing and Shoes</v>
      </c>
      <c r="AR23" s="730" t="str">
        <f>B!$Y32</f>
        <v>Clothing and Shoes</v>
      </c>
      <c r="AS23" s="730" t="str">
        <f>'C'!$Y32</f>
        <v>Clothing and Shoes</v>
      </c>
      <c r="AT23" s="730" t="str">
        <f>D!$Y32</f>
        <v>Clothing and Shoes</v>
      </c>
      <c r="AU23" s="730" t="str">
        <f>E!$Y32</f>
        <v>Clothing and Shoes</v>
      </c>
      <c r="AV23" s="730" t="str">
        <f>F!$Y32</f>
        <v>Clothing and Shoes</v>
      </c>
      <c r="AW23" s="730" t="str">
        <f>G!$Y32</f>
        <v>Clothing and Shoes</v>
      </c>
      <c r="AX23" s="730" t="str">
        <f>H!$Y32</f>
        <v>Clothing and Shoes</v>
      </c>
      <c r="AY23" s="730" t="str">
        <f>I!$Y32</f>
        <v>Clothing and Shoes</v>
      </c>
      <c r="AZ23" s="730" t="str">
        <f>J!$Y32</f>
        <v>Clothing and Shoes</v>
      </c>
      <c r="BA23" s="730" t="str">
        <f>K!$Y32</f>
        <v>Clothing and Shoes</v>
      </c>
      <c r="BB23" s="730" t="str">
        <f>L!$Y32</f>
        <v>Clothing and Shoes</v>
      </c>
      <c r="BD23" s="738">
        <f>'Current Status (''Shikuf'')'!F25</f>
        <v>0</v>
      </c>
      <c r="BE23" s="730">
        <f>'Month A'!$AA32</f>
        <v>0</v>
      </c>
      <c r="BF23" s="730">
        <f>B!$AA32</f>
        <v>0</v>
      </c>
      <c r="BG23" s="730">
        <f>'C'!$AA32</f>
        <v>0</v>
      </c>
      <c r="BH23" s="730">
        <f>D!$AA32</f>
        <v>0</v>
      </c>
      <c r="BI23" s="730">
        <f>E!$AA32</f>
        <v>0</v>
      </c>
      <c r="BJ23" s="730">
        <f>F!$AA32</f>
        <v>0</v>
      </c>
      <c r="BK23" s="730">
        <f>G!$AA32</f>
        <v>0</v>
      </c>
      <c r="BL23" s="730">
        <f>H!$AA32</f>
        <v>0</v>
      </c>
      <c r="BM23" s="730">
        <f>I!$AA32</f>
        <v>0</v>
      </c>
      <c r="BN23" s="730">
        <f>J!$AA32</f>
        <v>0</v>
      </c>
      <c r="BO23" s="730">
        <f>K!$AA32</f>
        <v>0</v>
      </c>
      <c r="BP23" s="730">
        <f>L!$AA32</f>
        <v>0</v>
      </c>
      <c r="BR23" s="738">
        <f>'Month A'!$Z32</f>
        <v>0</v>
      </c>
      <c r="BS23" s="730">
        <f>B!$Z32</f>
        <v>0</v>
      </c>
      <c r="BT23" s="730">
        <f>'C'!$Z32</f>
        <v>0</v>
      </c>
      <c r="BU23" s="730">
        <f>D!$Z32</f>
        <v>0</v>
      </c>
      <c r="BV23" s="730">
        <f>E!$Z32</f>
        <v>0</v>
      </c>
      <c r="BW23" s="730">
        <f>F!$Z32</f>
        <v>0</v>
      </c>
      <c r="BX23" s="730">
        <f>G!$Z32</f>
        <v>0</v>
      </c>
      <c r="BY23" s="730">
        <f>H!$Z32</f>
        <v>0</v>
      </c>
      <c r="BZ23" s="730">
        <f>I!$Z32</f>
        <v>0</v>
      </c>
      <c r="CA23" s="730">
        <f>J!$Z32</f>
        <v>0</v>
      </c>
      <c r="CB23" s="730">
        <f>K!$Z32</f>
        <v>0</v>
      </c>
      <c r="CC23" s="730">
        <f>L!$Z32</f>
        <v>0</v>
      </c>
      <c r="CY23" s="763">
        <f t="shared" si="4"/>
        <v>0</v>
      </c>
      <c r="CZ23" s="773" t="s">
        <v>90</v>
      </c>
    </row>
    <row r="24" spans="1:104" ht="16.5" thickBot="1">
      <c r="A24" s="86"/>
      <c r="B24" s="86"/>
      <c r="C24" s="86"/>
      <c r="D24" s="86"/>
      <c r="E24" s="86"/>
      <c r="F24" s="757" t="s">
        <v>193</v>
      </c>
      <c r="G24" s="758">
        <f t="shared" si="0"/>
        <v>0</v>
      </c>
      <c r="H24" s="86"/>
      <c r="I24" s="909">
        <f t="shared" si="2"/>
        <v>0</v>
      </c>
      <c r="J24" s="910"/>
      <c r="K24" s="748"/>
      <c r="L24" s="748"/>
      <c r="M24" s="748"/>
      <c r="N24" s="748"/>
      <c r="O24" s="761"/>
      <c r="P24" s="749"/>
      <c r="Q24" s="86"/>
      <c r="R24" s="86"/>
      <c r="S24" s="86"/>
      <c r="T24" s="86"/>
      <c r="U24" s="86"/>
      <c r="V24" s="86"/>
      <c r="W24" s="86"/>
      <c r="Z24" s="730" t="str">
        <f t="shared" si="5"/>
        <v>Car Maintenance</v>
      </c>
      <c r="AA24" s="730" t="str">
        <f t="shared" si="7"/>
        <v>Car Maintenance</v>
      </c>
      <c r="AB24" s="730">
        <f t="shared" si="8"/>
        <v>0</v>
      </c>
      <c r="AC24" s="730">
        <f t="shared" si="9"/>
        <v>21</v>
      </c>
      <c r="AD24" s="730">
        <f t="shared" si="6"/>
        <v>19</v>
      </c>
      <c r="AE24" s="730">
        <f t="shared" si="11"/>
        <v>0</v>
      </c>
      <c r="AF24" s="730" t="e">
        <f t="shared" ca="1" si="10"/>
        <v>#N/A</v>
      </c>
      <c r="AG24" s="777">
        <f t="shared" si="12"/>
        <v>0</v>
      </c>
      <c r="AJ24" s="767" t="s">
        <v>439</v>
      </c>
      <c r="AK24" s="768" t="s">
        <v>137</v>
      </c>
      <c r="AN24" s="737" t="s">
        <v>225</v>
      </c>
      <c r="AO24" s="735"/>
      <c r="AP24" s="730" t="str">
        <f>'Current Status (''Shikuf'')'!D26</f>
        <v>Medicine/Treatment</v>
      </c>
      <c r="AQ24" s="730" t="str">
        <f>'Month A'!Y33</f>
        <v>Medicine/Treatment</v>
      </c>
      <c r="AR24" s="730" t="str">
        <f>B!$Y33</f>
        <v>Medicine/Treatment</v>
      </c>
      <c r="AS24" s="730" t="str">
        <f>'C'!$Y33</f>
        <v>Medicine/Treatment</v>
      </c>
      <c r="AT24" s="730" t="str">
        <f>D!$Y33</f>
        <v>Medicine/Treatment</v>
      </c>
      <c r="AU24" s="730" t="str">
        <f>E!$Y33</f>
        <v>Medicine/Treatment</v>
      </c>
      <c r="AV24" s="730" t="str">
        <f>F!$Y33</f>
        <v>Medicine/Treatment</v>
      </c>
      <c r="AW24" s="730" t="str">
        <f>G!$Y33</f>
        <v>Medicine/Treatment</v>
      </c>
      <c r="AX24" s="730" t="str">
        <f>H!$Y33</f>
        <v>Medicine/Treatment</v>
      </c>
      <c r="AY24" s="730" t="str">
        <f>I!$Y33</f>
        <v>Medicine/Treatment</v>
      </c>
      <c r="AZ24" s="730" t="str">
        <f>J!$Y33</f>
        <v>Medicine/Treatment</v>
      </c>
      <c r="BA24" s="730" t="str">
        <f>K!$Y33</f>
        <v>Medicine/Treatment</v>
      </c>
      <c r="BB24" s="730" t="str">
        <f>L!$Y33</f>
        <v>Medicine/Treatment</v>
      </c>
      <c r="BD24" s="738">
        <f>'Current Status (''Shikuf'')'!F26</f>
        <v>0</v>
      </c>
      <c r="BE24" s="730">
        <f>'Month A'!$AA33</f>
        <v>0</v>
      </c>
      <c r="BF24" s="730">
        <f>B!$AA33</f>
        <v>0</v>
      </c>
      <c r="BG24" s="730">
        <f>'C'!$AA33</f>
        <v>0</v>
      </c>
      <c r="BH24" s="730">
        <f>D!$AA33</f>
        <v>0</v>
      </c>
      <c r="BI24" s="730">
        <f>E!$AA33</f>
        <v>0</v>
      </c>
      <c r="BJ24" s="730">
        <f>F!$AA33</f>
        <v>0</v>
      </c>
      <c r="BK24" s="730">
        <f>G!$AA33</f>
        <v>0</v>
      </c>
      <c r="BL24" s="730">
        <f>H!$AA33</f>
        <v>0</v>
      </c>
      <c r="BM24" s="730">
        <f>I!$AA33</f>
        <v>0</v>
      </c>
      <c r="BN24" s="730">
        <f>J!$AA33</f>
        <v>0</v>
      </c>
      <c r="BO24" s="730">
        <f>K!$AA33</f>
        <v>0</v>
      </c>
      <c r="BP24" s="730">
        <f>L!$AA33</f>
        <v>0</v>
      </c>
      <c r="BR24" s="738">
        <f>'Month A'!$Z33</f>
        <v>0</v>
      </c>
      <c r="BS24" s="730">
        <f>B!$Z33</f>
        <v>0</v>
      </c>
      <c r="BT24" s="730">
        <f>'C'!$Z33</f>
        <v>0</v>
      </c>
      <c r="BU24" s="730">
        <f>D!$Z33</f>
        <v>0</v>
      </c>
      <c r="BV24" s="730">
        <f>E!$Z33</f>
        <v>0</v>
      </c>
      <c r="BW24" s="730">
        <f>F!$Z33</f>
        <v>0</v>
      </c>
      <c r="BX24" s="730">
        <f>G!$Z33</f>
        <v>0</v>
      </c>
      <c r="BY24" s="730">
        <f>H!$Z33</f>
        <v>0</v>
      </c>
      <c r="BZ24" s="730">
        <f>I!$Z33</f>
        <v>0</v>
      </c>
      <c r="CA24" s="730">
        <f>J!$Z33</f>
        <v>0</v>
      </c>
      <c r="CB24" s="730">
        <f>K!$Z33</f>
        <v>0</v>
      </c>
      <c r="CC24" s="730">
        <f>L!$Z33</f>
        <v>0</v>
      </c>
      <c r="CY24" s="763">
        <f t="shared" si="4"/>
        <v>0</v>
      </c>
      <c r="CZ24" s="773" t="s">
        <v>91</v>
      </c>
    </row>
    <row r="25" spans="1:104" ht="16.5" thickBot="1">
      <c r="A25" s="86"/>
      <c r="B25" s="86"/>
      <c r="C25" s="86"/>
      <c r="D25" s="86"/>
      <c r="E25" s="86"/>
      <c r="F25" s="757" t="s">
        <v>225</v>
      </c>
      <c r="G25" s="758">
        <f t="shared" si="0"/>
        <v>0</v>
      </c>
      <c r="H25" s="86"/>
      <c r="I25" s="909">
        <f t="shared" si="2"/>
        <v>0</v>
      </c>
      <c r="J25" s="910"/>
      <c r="K25" s="748"/>
      <c r="L25" s="748"/>
      <c r="M25" s="748"/>
      <c r="N25" s="748"/>
      <c r="O25" s="761"/>
      <c r="P25" s="749"/>
      <c r="Q25" s="86"/>
      <c r="R25" s="86"/>
      <c r="S25" s="86"/>
      <c r="T25" s="86"/>
      <c r="U25" s="86"/>
      <c r="V25" s="86"/>
      <c r="W25" s="86"/>
      <c r="Z25" s="730" t="str">
        <f t="shared" si="5"/>
        <v>Clothing and Shoes</v>
      </c>
      <c r="AA25" s="730" t="str">
        <f t="shared" si="7"/>
        <v>Clothing and Shoes</v>
      </c>
      <c r="AB25" s="730">
        <f t="shared" si="8"/>
        <v>0</v>
      </c>
      <c r="AC25" s="730">
        <f t="shared" si="9"/>
        <v>22</v>
      </c>
      <c r="AD25" s="730">
        <f t="shared" si="6"/>
        <v>20</v>
      </c>
      <c r="AE25" s="730">
        <f t="shared" si="11"/>
        <v>0</v>
      </c>
      <c r="AF25" s="730" t="e">
        <f t="shared" ca="1" si="10"/>
        <v>#N/A</v>
      </c>
      <c r="AG25" s="777">
        <f t="shared" si="12"/>
        <v>0</v>
      </c>
      <c r="AJ25" s="767" t="s">
        <v>440</v>
      </c>
      <c r="AK25" s="768" t="s">
        <v>138</v>
      </c>
      <c r="AN25" s="737" t="s">
        <v>226</v>
      </c>
      <c r="AO25" s="735"/>
      <c r="AP25" s="730" t="str">
        <f>'Current Status (''Shikuf'')'!D27</f>
        <v>Bank Interest and Fees</v>
      </c>
      <c r="AQ25" s="730" t="str">
        <f>'Month A'!Y34</f>
        <v>Bank Interest and Fees</v>
      </c>
      <c r="AR25" s="730" t="str">
        <f>B!$Y34</f>
        <v>Bank Interest and Fees</v>
      </c>
      <c r="AS25" s="730" t="str">
        <f>'C'!$Y34</f>
        <v>Bank Interest and Fees</v>
      </c>
      <c r="AT25" s="730" t="str">
        <f>D!$Y34</f>
        <v>Bank Interest and Fees</v>
      </c>
      <c r="AU25" s="730" t="str">
        <f>E!$Y34</f>
        <v>Bank Interest and Fees</v>
      </c>
      <c r="AV25" s="730" t="str">
        <f>F!$Y34</f>
        <v>Bank Interest and Fees</v>
      </c>
      <c r="AW25" s="730" t="str">
        <f>G!$Y34</f>
        <v>Bank Interest and Fees</v>
      </c>
      <c r="AX25" s="730" t="str">
        <f>H!$Y34</f>
        <v>Bank Interest and Fees</v>
      </c>
      <c r="AY25" s="730" t="str">
        <f>I!$Y34</f>
        <v>Bank Interest and Fees</v>
      </c>
      <c r="AZ25" s="730" t="str">
        <f>J!$Y34</f>
        <v>Bank Interest and Fees</v>
      </c>
      <c r="BA25" s="730" t="str">
        <f>K!$Y34</f>
        <v>Bank Interest and Fees</v>
      </c>
      <c r="BB25" s="730" t="str">
        <f>L!$Y34</f>
        <v>Bank Interest and Fees</v>
      </c>
      <c r="BD25" s="738">
        <f>'Current Status (''Shikuf'')'!F27</f>
        <v>0</v>
      </c>
      <c r="BE25" s="730">
        <f>'Month A'!$AA34</f>
        <v>0</v>
      </c>
      <c r="BF25" s="730">
        <f>B!$AA34</f>
        <v>0</v>
      </c>
      <c r="BG25" s="730">
        <f>'C'!$AA34</f>
        <v>0</v>
      </c>
      <c r="BH25" s="730">
        <f>D!$AA34</f>
        <v>0</v>
      </c>
      <c r="BI25" s="730">
        <f>E!$AA34</f>
        <v>0</v>
      </c>
      <c r="BJ25" s="730">
        <f>F!$AA34</f>
        <v>0</v>
      </c>
      <c r="BK25" s="730">
        <f>G!$AA34</f>
        <v>0</v>
      </c>
      <c r="BL25" s="730">
        <f>H!$AA34</f>
        <v>0</v>
      </c>
      <c r="BM25" s="730">
        <f>I!$AA34</f>
        <v>0</v>
      </c>
      <c r="BN25" s="730">
        <f>J!$AA34</f>
        <v>0</v>
      </c>
      <c r="BO25" s="730">
        <f>K!$AA34</f>
        <v>0</v>
      </c>
      <c r="BP25" s="730">
        <f>L!$AA34</f>
        <v>0</v>
      </c>
      <c r="BR25" s="738">
        <f>'Month A'!$Z34</f>
        <v>0</v>
      </c>
      <c r="BS25" s="730">
        <f>B!$Z34</f>
        <v>0</v>
      </c>
      <c r="BT25" s="730">
        <f>'C'!$Z34</f>
        <v>0</v>
      </c>
      <c r="BU25" s="730">
        <f>D!$Z34</f>
        <v>0</v>
      </c>
      <c r="BV25" s="730">
        <f>E!$Z34</f>
        <v>0</v>
      </c>
      <c r="BW25" s="730">
        <f>F!$Z34</f>
        <v>0</v>
      </c>
      <c r="BX25" s="730">
        <f>G!$Z34</f>
        <v>0</v>
      </c>
      <c r="BY25" s="730">
        <f>H!$Z34</f>
        <v>0</v>
      </c>
      <c r="BZ25" s="730">
        <f>I!$Z34</f>
        <v>0</v>
      </c>
      <c r="CA25" s="730">
        <f>J!$Z34</f>
        <v>0</v>
      </c>
      <c r="CB25" s="730">
        <f>K!$Z34</f>
        <v>0</v>
      </c>
      <c r="CC25" s="730">
        <f>L!$Z34</f>
        <v>0</v>
      </c>
      <c r="CY25" s="763">
        <f t="shared" si="4"/>
        <v>0</v>
      </c>
      <c r="CZ25" s="773" t="s">
        <v>92</v>
      </c>
    </row>
    <row r="26" spans="1:104" ht="16.5" thickBot="1">
      <c r="A26" s="86"/>
      <c r="B26" s="86"/>
      <c r="C26" s="86"/>
      <c r="D26" s="86"/>
      <c r="E26" s="86"/>
      <c r="F26" s="757" t="s">
        <v>226</v>
      </c>
      <c r="G26" s="758">
        <f t="shared" si="0"/>
        <v>0</v>
      </c>
      <c r="H26" s="86"/>
      <c r="I26" s="909">
        <f t="shared" si="2"/>
        <v>0</v>
      </c>
      <c r="J26" s="910"/>
      <c r="K26" s="748"/>
      <c r="L26" s="748"/>
      <c r="M26" s="748"/>
      <c r="N26" s="748"/>
      <c r="O26" s="761"/>
      <c r="P26" s="749"/>
      <c r="Q26" s="86"/>
      <c r="R26" s="86"/>
      <c r="S26" s="86"/>
      <c r="T26" s="86"/>
      <c r="U26" s="86"/>
      <c r="V26" s="86"/>
      <c r="W26" s="86"/>
      <c r="Z26" s="730" t="str">
        <f t="shared" si="5"/>
        <v>Medicine/Treatment</v>
      </c>
      <c r="AA26" s="730" t="str">
        <f t="shared" si="7"/>
        <v>Medicine/Treatment</v>
      </c>
      <c r="AB26" s="730">
        <f t="shared" si="8"/>
        <v>0</v>
      </c>
      <c r="AC26" s="730">
        <f t="shared" si="9"/>
        <v>23</v>
      </c>
      <c r="AD26" s="730">
        <f t="shared" si="6"/>
        <v>21</v>
      </c>
      <c r="AE26" s="730">
        <f t="shared" si="11"/>
        <v>0</v>
      </c>
      <c r="AF26" s="730" t="e">
        <f t="shared" ca="1" si="10"/>
        <v>#N/A</v>
      </c>
      <c r="AG26" s="777">
        <f t="shared" si="12"/>
        <v>0</v>
      </c>
      <c r="AJ26" s="767" t="s">
        <v>441</v>
      </c>
      <c r="AK26" s="768" t="s">
        <v>139</v>
      </c>
      <c r="AN26" s="737" t="s">
        <v>227</v>
      </c>
      <c r="AO26" s="735"/>
      <c r="AP26" s="730" t="str">
        <f>'Current Status (''Shikuf'')'!D28</f>
        <v>Dental treatments</v>
      </c>
      <c r="AQ26" s="730" t="str">
        <f>'Month A'!Y35</f>
        <v>Dental treatments</v>
      </c>
      <c r="AR26" s="730" t="str">
        <f>B!$Y35</f>
        <v>Dental treatments</v>
      </c>
      <c r="AS26" s="730" t="str">
        <f>'C'!$Y35</f>
        <v>Dental treatments</v>
      </c>
      <c r="AT26" s="730" t="str">
        <f>D!$Y35</f>
        <v>Dental treatments</v>
      </c>
      <c r="AU26" s="730" t="str">
        <f>E!$Y35</f>
        <v>Dental treatments</v>
      </c>
      <c r="AV26" s="730" t="str">
        <f>F!$Y35</f>
        <v>Dental treatments</v>
      </c>
      <c r="AW26" s="730" t="str">
        <f>G!$Y35</f>
        <v>Dental treatments</v>
      </c>
      <c r="AX26" s="730" t="str">
        <f>H!$Y35</f>
        <v>Dental treatments</v>
      </c>
      <c r="AY26" s="730" t="str">
        <f>I!$Y35</f>
        <v>Dental treatments</v>
      </c>
      <c r="AZ26" s="730" t="str">
        <f>J!$Y35</f>
        <v>Dental treatments</v>
      </c>
      <c r="BA26" s="730" t="str">
        <f>K!$Y35</f>
        <v>Dental treatments</v>
      </c>
      <c r="BB26" s="730" t="str">
        <f>L!$Y35</f>
        <v>Dental treatments</v>
      </c>
      <c r="BD26" s="738">
        <f>'Current Status (''Shikuf'')'!F28</f>
        <v>0</v>
      </c>
      <c r="BE26" s="730">
        <f>'Month A'!$AA35</f>
        <v>0</v>
      </c>
      <c r="BF26" s="730">
        <f>B!$AA35</f>
        <v>0</v>
      </c>
      <c r="BG26" s="730">
        <f>'C'!$AA35</f>
        <v>0</v>
      </c>
      <c r="BH26" s="730">
        <f>D!$AA35</f>
        <v>0</v>
      </c>
      <c r="BI26" s="730">
        <f>E!$AA35</f>
        <v>0</v>
      </c>
      <c r="BJ26" s="730">
        <f>F!$AA35</f>
        <v>0</v>
      </c>
      <c r="BK26" s="730">
        <f>G!$AA35</f>
        <v>0</v>
      </c>
      <c r="BL26" s="730">
        <f>H!$AA35</f>
        <v>0</v>
      </c>
      <c r="BM26" s="730">
        <f>I!$AA35</f>
        <v>0</v>
      </c>
      <c r="BN26" s="730">
        <f>J!$AA35</f>
        <v>0</v>
      </c>
      <c r="BO26" s="730">
        <f>K!$AA35</f>
        <v>0</v>
      </c>
      <c r="BP26" s="730">
        <f>L!$AA35</f>
        <v>0</v>
      </c>
      <c r="BR26" s="738">
        <f>'Month A'!$Z35</f>
        <v>0</v>
      </c>
      <c r="BS26" s="730">
        <f>B!$Z35</f>
        <v>0</v>
      </c>
      <c r="BT26" s="730">
        <f>'C'!$Z35</f>
        <v>0</v>
      </c>
      <c r="BU26" s="730">
        <f>D!$Z35</f>
        <v>0</v>
      </c>
      <c r="BV26" s="730">
        <f>E!$Z35</f>
        <v>0</v>
      </c>
      <c r="BW26" s="730">
        <f>F!$Z35</f>
        <v>0</v>
      </c>
      <c r="BX26" s="730">
        <f>G!$Z35</f>
        <v>0</v>
      </c>
      <c r="BY26" s="730">
        <f>H!$Z35</f>
        <v>0</v>
      </c>
      <c r="BZ26" s="730">
        <f>I!$Z35</f>
        <v>0</v>
      </c>
      <c r="CA26" s="730">
        <f>J!$Z35</f>
        <v>0</v>
      </c>
      <c r="CB26" s="730">
        <f>K!$Z35</f>
        <v>0</v>
      </c>
      <c r="CC26" s="730">
        <f>L!$Z35</f>
        <v>0</v>
      </c>
      <c r="CY26" s="763">
        <f t="shared" si="4"/>
        <v>0</v>
      </c>
      <c r="CZ26" s="773" t="s">
        <v>93</v>
      </c>
    </row>
    <row r="27" spans="1:104" ht="16.5" thickBot="1">
      <c r="A27" s="86"/>
      <c r="B27" s="86"/>
      <c r="C27" s="86"/>
      <c r="D27" s="86"/>
      <c r="E27" s="86"/>
      <c r="F27" s="757" t="s">
        <v>227</v>
      </c>
      <c r="G27" s="758">
        <f t="shared" si="0"/>
        <v>0</v>
      </c>
      <c r="H27" s="86"/>
      <c r="I27" s="909">
        <f t="shared" si="2"/>
        <v>0</v>
      </c>
      <c r="J27" s="910"/>
      <c r="K27" s="748"/>
      <c r="L27" s="748"/>
      <c r="M27" s="748"/>
      <c r="N27" s="748"/>
      <c r="O27" s="761"/>
      <c r="P27" s="749"/>
      <c r="Q27" s="86"/>
      <c r="R27" s="86"/>
      <c r="S27" s="86"/>
      <c r="T27" s="86"/>
      <c r="U27" s="86"/>
      <c r="V27" s="86"/>
      <c r="W27" s="86"/>
      <c r="Z27" s="730" t="str">
        <f t="shared" si="5"/>
        <v>Bank Interest and Fees</v>
      </c>
      <c r="AA27" s="730" t="str">
        <f t="shared" si="7"/>
        <v>Bank Interest and Fees</v>
      </c>
      <c r="AB27" s="730">
        <f t="shared" si="8"/>
        <v>0</v>
      </c>
      <c r="AC27" s="730">
        <f t="shared" si="9"/>
        <v>24</v>
      </c>
      <c r="AD27" s="730">
        <f t="shared" si="6"/>
        <v>22</v>
      </c>
      <c r="AE27" s="730">
        <f t="shared" si="11"/>
        <v>0</v>
      </c>
      <c r="AF27" s="730" t="e">
        <f t="shared" ca="1" si="10"/>
        <v>#N/A</v>
      </c>
      <c r="AG27" s="777">
        <f t="shared" si="12"/>
        <v>0</v>
      </c>
      <c r="AJ27" s="767" t="s">
        <v>442</v>
      </c>
      <c r="AK27" s="768" t="s">
        <v>140</v>
      </c>
      <c r="AN27" s="737" t="s">
        <v>228</v>
      </c>
      <c r="AO27" s="735"/>
      <c r="AP27" s="730" t="str">
        <f>'Current Status (''Shikuf'')'!D29</f>
        <v>Eyeglasses/Contact Lens</v>
      </c>
      <c r="AQ27" s="730" t="str">
        <f>'Month A'!Y36</f>
        <v>Eyeglasses/Contact Lens</v>
      </c>
      <c r="AR27" s="730" t="str">
        <f>B!$Y36</f>
        <v>Eyeglasses/Contact Lens</v>
      </c>
      <c r="AS27" s="730" t="str">
        <f>'C'!$Y36</f>
        <v>Eyeglasses/Contact Lens</v>
      </c>
      <c r="AT27" s="730" t="str">
        <f>D!$Y36</f>
        <v>Eyeglasses/Contact Lens</v>
      </c>
      <c r="AU27" s="730" t="str">
        <f>E!$Y36</f>
        <v>Eyeglasses/Contact Lens</v>
      </c>
      <c r="AV27" s="730" t="str">
        <f>F!$Y36</f>
        <v>Eyeglasses/Contact Lens</v>
      </c>
      <c r="AW27" s="730" t="str">
        <f>G!$Y36</f>
        <v>Eyeglasses/Contact Lens</v>
      </c>
      <c r="AX27" s="730" t="str">
        <f>H!$Y36</f>
        <v>Eyeglasses/Contact Lens</v>
      </c>
      <c r="AY27" s="730" t="str">
        <f>I!$Y36</f>
        <v>Eyeglasses/Contact Lens</v>
      </c>
      <c r="AZ27" s="730" t="str">
        <f>J!$Y36</f>
        <v>Eyeglasses/Contact Lens</v>
      </c>
      <c r="BA27" s="730" t="str">
        <f>K!$Y36</f>
        <v>Eyeglasses/Contact Lens</v>
      </c>
      <c r="BB27" s="730" t="str">
        <f>L!$Y36</f>
        <v>Eyeglasses/Contact Lens</v>
      </c>
      <c r="BD27" s="738">
        <f>'Current Status (''Shikuf'')'!F29</f>
        <v>0</v>
      </c>
      <c r="BE27" s="730">
        <f>'Month A'!$AA36</f>
        <v>0</v>
      </c>
      <c r="BF27" s="730">
        <f>B!$AA36</f>
        <v>0</v>
      </c>
      <c r="BG27" s="730">
        <f>'C'!$AA36</f>
        <v>0</v>
      </c>
      <c r="BH27" s="730">
        <f>D!$AA36</f>
        <v>0</v>
      </c>
      <c r="BI27" s="730">
        <f>E!$AA36</f>
        <v>0</v>
      </c>
      <c r="BJ27" s="730">
        <f>F!$AA36</f>
        <v>0</v>
      </c>
      <c r="BK27" s="730">
        <f>G!$AA36</f>
        <v>0</v>
      </c>
      <c r="BL27" s="730">
        <f>H!$AA36</f>
        <v>0</v>
      </c>
      <c r="BM27" s="730">
        <f>I!$AA36</f>
        <v>0</v>
      </c>
      <c r="BN27" s="730">
        <f>J!$AA36</f>
        <v>0</v>
      </c>
      <c r="BO27" s="730">
        <f>K!$AA36</f>
        <v>0</v>
      </c>
      <c r="BP27" s="730">
        <f>L!$AA36</f>
        <v>0</v>
      </c>
      <c r="BR27" s="738">
        <f>'Month A'!$Z36</f>
        <v>0</v>
      </c>
      <c r="BS27" s="730">
        <f>B!$Z36</f>
        <v>0</v>
      </c>
      <c r="BT27" s="730">
        <f>'C'!$Z36</f>
        <v>0</v>
      </c>
      <c r="BU27" s="730">
        <f>D!$Z36</f>
        <v>0</v>
      </c>
      <c r="BV27" s="730">
        <f>E!$Z36</f>
        <v>0</v>
      </c>
      <c r="BW27" s="730">
        <f>F!$Z36</f>
        <v>0</v>
      </c>
      <c r="BX27" s="730">
        <f>G!$Z36</f>
        <v>0</v>
      </c>
      <c r="BY27" s="730">
        <f>H!$Z36</f>
        <v>0</v>
      </c>
      <c r="BZ27" s="730">
        <f>I!$Z36</f>
        <v>0</v>
      </c>
      <c r="CA27" s="730">
        <f>J!$Z36</f>
        <v>0</v>
      </c>
      <c r="CB27" s="730">
        <f>K!$Z36</f>
        <v>0</v>
      </c>
      <c r="CC27" s="730">
        <f>L!$Z36</f>
        <v>0</v>
      </c>
      <c r="CY27" s="763">
        <f t="shared" si="4"/>
        <v>0</v>
      </c>
      <c r="CZ27" s="773" t="s">
        <v>94</v>
      </c>
    </row>
    <row r="28" spans="1:104" ht="16.5" thickBot="1">
      <c r="A28" s="86"/>
      <c r="B28" s="86"/>
      <c r="C28" s="86"/>
      <c r="D28" s="86"/>
      <c r="E28" s="86"/>
      <c r="F28" s="757" t="s">
        <v>228</v>
      </c>
      <c r="G28" s="758">
        <f t="shared" si="0"/>
        <v>0</v>
      </c>
      <c r="H28" s="86"/>
      <c r="I28" s="909">
        <f t="shared" si="2"/>
        <v>0</v>
      </c>
      <c r="J28" s="910"/>
      <c r="K28" s="748"/>
      <c r="L28" s="748"/>
      <c r="M28" s="748"/>
      <c r="N28" s="748"/>
      <c r="O28" s="761"/>
      <c r="P28" s="749"/>
      <c r="Q28" s="86"/>
      <c r="R28" s="86"/>
      <c r="S28" s="86"/>
      <c r="T28" s="86"/>
      <c r="U28" s="86"/>
      <c r="V28" s="86"/>
      <c r="W28" s="86"/>
      <c r="Z28" s="730" t="str">
        <f t="shared" si="5"/>
        <v>Dental treatments</v>
      </c>
      <c r="AA28" s="730" t="str">
        <f t="shared" si="7"/>
        <v>Dental treatments</v>
      </c>
      <c r="AB28" s="730">
        <f t="shared" si="8"/>
        <v>0</v>
      </c>
      <c r="AC28" s="730">
        <f t="shared" si="9"/>
        <v>25</v>
      </c>
      <c r="AD28" s="730">
        <f t="shared" si="6"/>
        <v>23</v>
      </c>
      <c r="AE28" s="730">
        <f t="shared" si="11"/>
        <v>0</v>
      </c>
      <c r="AF28" s="730" t="e">
        <f t="shared" ca="1" si="10"/>
        <v>#N/A</v>
      </c>
      <c r="AG28" s="777">
        <f t="shared" si="12"/>
        <v>0</v>
      </c>
      <c r="AJ28" s="767" t="s">
        <v>443</v>
      </c>
      <c r="AK28" s="768" t="s">
        <v>141</v>
      </c>
      <c r="AN28" s="737" t="s">
        <v>229</v>
      </c>
      <c r="AO28" s="735"/>
      <c r="AP28" s="730" t="str">
        <f>'Current Status (''Shikuf'')'!D30</f>
        <v>Vacations</v>
      </c>
      <c r="AQ28" s="730" t="str">
        <f>'Month A'!Y37</f>
        <v>Vacations</v>
      </c>
      <c r="AR28" s="730" t="str">
        <f>B!$Y37</f>
        <v>Vacations</v>
      </c>
      <c r="AS28" s="730" t="str">
        <f>'C'!$Y37</f>
        <v>Vacations</v>
      </c>
      <c r="AT28" s="730" t="str">
        <f>D!$Y37</f>
        <v>Vacations</v>
      </c>
      <c r="AU28" s="730" t="str">
        <f>E!$Y37</f>
        <v>Vacations</v>
      </c>
      <c r="AV28" s="730" t="str">
        <f>F!$Y37</f>
        <v>Vacations</v>
      </c>
      <c r="AW28" s="730" t="str">
        <f>G!$Y37</f>
        <v>Vacations</v>
      </c>
      <c r="AX28" s="730" t="str">
        <f>H!$Y37</f>
        <v>Vacations</v>
      </c>
      <c r="AY28" s="730" t="str">
        <f>I!$Y37</f>
        <v>Vacations</v>
      </c>
      <c r="AZ28" s="730" t="str">
        <f>J!$Y37</f>
        <v>Vacations</v>
      </c>
      <c r="BA28" s="730" t="str">
        <f>K!$Y37</f>
        <v>Vacations</v>
      </c>
      <c r="BB28" s="730" t="str">
        <f>L!$Y37</f>
        <v>Vacations</v>
      </c>
      <c r="BD28" s="738">
        <f>'Current Status (''Shikuf'')'!F30</f>
        <v>0</v>
      </c>
      <c r="BE28" s="730">
        <f>'Month A'!$AA37</f>
        <v>0</v>
      </c>
      <c r="BF28" s="730">
        <f>B!$AA37</f>
        <v>0</v>
      </c>
      <c r="BG28" s="730">
        <f>'C'!$AA37</f>
        <v>0</v>
      </c>
      <c r="BH28" s="730">
        <f>D!$AA37</f>
        <v>0</v>
      </c>
      <c r="BI28" s="730">
        <f>E!$AA37</f>
        <v>0</v>
      </c>
      <c r="BJ28" s="730">
        <f>F!$AA37</f>
        <v>0</v>
      </c>
      <c r="BK28" s="730">
        <f>G!$AA37</f>
        <v>0</v>
      </c>
      <c r="BL28" s="730">
        <f>H!$AA37</f>
        <v>0</v>
      </c>
      <c r="BM28" s="730">
        <f>I!$AA37</f>
        <v>0</v>
      </c>
      <c r="BN28" s="730">
        <f>J!$AA37</f>
        <v>0</v>
      </c>
      <c r="BO28" s="730">
        <f>K!$AA37</f>
        <v>0</v>
      </c>
      <c r="BP28" s="730">
        <f>L!$AA37</f>
        <v>0</v>
      </c>
      <c r="BR28" s="738">
        <f>'Month A'!$Z37</f>
        <v>0</v>
      </c>
      <c r="BS28" s="730">
        <f>B!$Z37</f>
        <v>0</v>
      </c>
      <c r="BT28" s="730">
        <f>'C'!$Z37</f>
        <v>0</v>
      </c>
      <c r="BU28" s="730">
        <f>D!$Z37</f>
        <v>0</v>
      </c>
      <c r="BV28" s="730">
        <f>E!$Z37</f>
        <v>0</v>
      </c>
      <c r="BW28" s="730">
        <f>F!$Z37</f>
        <v>0</v>
      </c>
      <c r="BX28" s="730">
        <f>G!$Z37</f>
        <v>0</v>
      </c>
      <c r="BY28" s="730">
        <f>H!$Z37</f>
        <v>0</v>
      </c>
      <c r="BZ28" s="730">
        <f>I!$Z37</f>
        <v>0</v>
      </c>
      <c r="CA28" s="730">
        <f>J!$Z37</f>
        <v>0</v>
      </c>
      <c r="CB28" s="730">
        <f>K!$Z37</f>
        <v>0</v>
      </c>
      <c r="CC28" s="730">
        <f>L!$Z37</f>
        <v>0</v>
      </c>
      <c r="CY28" s="763">
        <f t="shared" si="4"/>
        <v>0</v>
      </c>
      <c r="CZ28" s="773" t="s">
        <v>95</v>
      </c>
    </row>
    <row r="29" spans="1:104" ht="15.75">
      <c r="A29" s="86"/>
      <c r="B29" s="86"/>
      <c r="C29" s="86"/>
      <c r="D29" s="86"/>
      <c r="E29" s="86"/>
      <c r="F29" s="757" t="s">
        <v>229</v>
      </c>
      <c r="G29" s="758">
        <f t="shared" si="0"/>
        <v>0</v>
      </c>
      <c r="H29" s="86"/>
      <c r="I29" s="909">
        <f t="shared" si="2"/>
        <v>0</v>
      </c>
      <c r="J29" s="910"/>
      <c r="K29" s="748"/>
      <c r="L29" s="748"/>
      <c r="M29" s="748"/>
      <c r="N29" s="748"/>
      <c r="O29" s="761"/>
      <c r="P29" s="749"/>
      <c r="Q29" s="86"/>
      <c r="R29" s="86"/>
      <c r="S29" s="86"/>
      <c r="T29" s="86"/>
      <c r="U29" s="86"/>
      <c r="V29" s="86"/>
      <c r="W29" s="86"/>
      <c r="Z29" s="730" t="str">
        <f t="shared" si="5"/>
        <v>Eyeglasses/Contact Lens</v>
      </c>
      <c r="AA29" s="730" t="str">
        <f t="shared" si="7"/>
        <v>Eyeglasses/Contact Lens</v>
      </c>
      <c r="AB29" s="730">
        <f t="shared" si="8"/>
        <v>0</v>
      </c>
      <c r="AC29" s="730">
        <f t="shared" si="9"/>
        <v>26</v>
      </c>
      <c r="AD29" s="730">
        <f t="shared" si="6"/>
        <v>24</v>
      </c>
      <c r="AE29" s="730">
        <f t="shared" si="11"/>
        <v>0</v>
      </c>
      <c r="AF29" s="730" t="e">
        <f t="shared" ca="1" si="10"/>
        <v>#N/A</v>
      </c>
      <c r="AG29" s="777">
        <f t="shared" si="12"/>
        <v>0</v>
      </c>
      <c r="AN29" s="737" t="s">
        <v>230</v>
      </c>
      <c r="AO29" s="735"/>
      <c r="AP29" s="730" t="str">
        <f>'Current Status (''Shikuf'')'!D31</f>
        <v>Religious expenses</v>
      </c>
      <c r="AQ29" s="730" t="str">
        <f>'Month A'!Y38</f>
        <v>Religious expenses</v>
      </c>
      <c r="AR29" s="730" t="str">
        <f>B!$Y38</f>
        <v>Religious expenses</v>
      </c>
      <c r="AS29" s="730" t="str">
        <f>'C'!$Y38</f>
        <v>Religious expenses</v>
      </c>
      <c r="AT29" s="730" t="str">
        <f>D!$Y38</f>
        <v>Religious expenses</v>
      </c>
      <c r="AU29" s="730" t="str">
        <f>E!$Y38</f>
        <v>Religious expenses</v>
      </c>
      <c r="AV29" s="730" t="str">
        <f>F!$Y38</f>
        <v>Religious expenses</v>
      </c>
      <c r="AW29" s="730" t="str">
        <f>G!$Y38</f>
        <v>Religious expenses</v>
      </c>
      <c r="AX29" s="730" t="str">
        <f>H!$Y38</f>
        <v>Religious expenses</v>
      </c>
      <c r="AY29" s="730" t="str">
        <f>I!$Y38</f>
        <v>Religious expenses</v>
      </c>
      <c r="AZ29" s="730" t="str">
        <f>J!$Y38</f>
        <v>Religious expenses</v>
      </c>
      <c r="BA29" s="730" t="str">
        <f>K!$Y38</f>
        <v>Religious expenses</v>
      </c>
      <c r="BB29" s="730" t="str">
        <f>L!$Y38</f>
        <v>Religious expenses</v>
      </c>
      <c r="BD29" s="738">
        <f>'Current Status (''Shikuf'')'!F31</f>
        <v>0</v>
      </c>
      <c r="BE29" s="730">
        <f>'Month A'!$AA38</f>
        <v>0</v>
      </c>
      <c r="BF29" s="730">
        <f>B!$AA38</f>
        <v>0</v>
      </c>
      <c r="BG29" s="730">
        <f>'C'!$AA38</f>
        <v>0</v>
      </c>
      <c r="BH29" s="730">
        <f>D!$AA38</f>
        <v>0</v>
      </c>
      <c r="BI29" s="730">
        <f>E!$AA38</f>
        <v>0</v>
      </c>
      <c r="BJ29" s="730">
        <f>F!$AA38</f>
        <v>0</v>
      </c>
      <c r="BK29" s="730">
        <f>G!$AA38</f>
        <v>0</v>
      </c>
      <c r="BL29" s="730">
        <f>H!$AA38</f>
        <v>0</v>
      </c>
      <c r="BM29" s="730">
        <f>I!$AA38</f>
        <v>0</v>
      </c>
      <c r="BN29" s="730">
        <f>J!$AA38</f>
        <v>0</v>
      </c>
      <c r="BO29" s="730">
        <f>K!$AA38</f>
        <v>0</v>
      </c>
      <c r="BP29" s="730">
        <f>L!$AA38</f>
        <v>0</v>
      </c>
      <c r="BR29" s="738">
        <f>'Month A'!$Z38</f>
        <v>0</v>
      </c>
      <c r="BS29" s="730">
        <f>B!$Z38</f>
        <v>0</v>
      </c>
      <c r="BT29" s="730">
        <f>'C'!$Z38</f>
        <v>0</v>
      </c>
      <c r="BU29" s="730">
        <f>D!$Z38</f>
        <v>0</v>
      </c>
      <c r="BV29" s="730">
        <f>E!$Z38</f>
        <v>0</v>
      </c>
      <c r="BW29" s="730">
        <f>F!$Z38</f>
        <v>0</v>
      </c>
      <c r="BX29" s="730">
        <f>G!$Z38</f>
        <v>0</v>
      </c>
      <c r="BY29" s="730">
        <f>H!$Z38</f>
        <v>0</v>
      </c>
      <c r="BZ29" s="730">
        <f>I!$Z38</f>
        <v>0</v>
      </c>
      <c r="CA29" s="730">
        <f>J!$Z38</f>
        <v>0</v>
      </c>
      <c r="CB29" s="730">
        <f>K!$Z38</f>
        <v>0</v>
      </c>
      <c r="CC29" s="730">
        <f>L!$Z38</f>
        <v>0</v>
      </c>
      <c r="CY29" s="763">
        <f t="shared" si="4"/>
        <v>0</v>
      </c>
      <c r="CZ29" s="773" t="s">
        <v>96</v>
      </c>
    </row>
    <row r="30" spans="1:104" ht="15" customHeight="1">
      <c r="A30" s="86"/>
      <c r="B30" s="86"/>
      <c r="C30" s="86"/>
      <c r="D30" s="86"/>
      <c r="E30" s="86"/>
      <c r="F30" s="757" t="s">
        <v>230</v>
      </c>
      <c r="G30" s="758">
        <f t="shared" si="0"/>
        <v>0</v>
      </c>
      <c r="H30" s="86"/>
      <c r="I30" s="909">
        <f t="shared" si="2"/>
        <v>0</v>
      </c>
      <c r="J30" s="910"/>
      <c r="K30" s="748"/>
      <c r="L30" s="748"/>
      <c r="M30" s="748"/>
      <c r="N30" s="748"/>
      <c r="O30" s="761"/>
      <c r="P30" s="749"/>
      <c r="Q30" s="86"/>
      <c r="R30" s="86"/>
      <c r="S30" s="86"/>
      <c r="T30" s="86"/>
      <c r="U30" s="86"/>
      <c r="V30" s="86"/>
      <c r="W30" s="86"/>
      <c r="Z30" s="730" t="str">
        <f t="shared" si="5"/>
        <v>Vacations</v>
      </c>
      <c r="AA30" s="730" t="str">
        <f t="shared" si="7"/>
        <v>Vacations</v>
      </c>
      <c r="AB30" s="730">
        <f t="shared" si="8"/>
        <v>0</v>
      </c>
      <c r="AC30" s="730">
        <f t="shared" si="9"/>
        <v>27</v>
      </c>
      <c r="AD30" s="730">
        <f t="shared" si="6"/>
        <v>25</v>
      </c>
      <c r="AE30" s="730">
        <f t="shared" si="11"/>
        <v>0</v>
      </c>
      <c r="AF30" s="730" t="e">
        <f t="shared" ca="1" si="10"/>
        <v>#N/A</v>
      </c>
      <c r="AG30" s="777">
        <f t="shared" si="12"/>
        <v>0</v>
      </c>
      <c r="AN30" s="737" t="s">
        <v>231</v>
      </c>
      <c r="AO30" s="735"/>
      <c r="AP30" s="730" t="str">
        <f>'Current Status (''Shikuf'')'!D32</f>
        <v>Gifts</v>
      </c>
      <c r="AQ30" s="730" t="str">
        <f>'Month A'!Y39</f>
        <v>Gifts</v>
      </c>
      <c r="AR30" s="730" t="str">
        <f>B!$Y39</f>
        <v>Gifts</v>
      </c>
      <c r="AS30" s="730" t="str">
        <f>'C'!$Y39</f>
        <v>Gifts</v>
      </c>
      <c r="AT30" s="730" t="str">
        <f>D!$Y39</f>
        <v>Gifts</v>
      </c>
      <c r="AU30" s="730" t="str">
        <f>E!$Y39</f>
        <v>Gifts</v>
      </c>
      <c r="AV30" s="730" t="str">
        <f>F!$Y39</f>
        <v>Gifts</v>
      </c>
      <c r="AW30" s="730" t="str">
        <f>G!$Y39</f>
        <v>Gifts</v>
      </c>
      <c r="AX30" s="730" t="str">
        <f>H!$Y39</f>
        <v>Gifts</v>
      </c>
      <c r="AY30" s="730" t="str">
        <f>I!$Y39</f>
        <v>Gifts</v>
      </c>
      <c r="AZ30" s="730" t="str">
        <f>J!$Y39</f>
        <v>Gifts</v>
      </c>
      <c r="BA30" s="730" t="str">
        <f>K!$Y39</f>
        <v>Gifts</v>
      </c>
      <c r="BB30" s="730" t="str">
        <f>L!$Y39</f>
        <v>Gifts</v>
      </c>
      <c r="BD30" s="738">
        <f>'Current Status (''Shikuf'')'!F32</f>
        <v>0</v>
      </c>
      <c r="BE30" s="730">
        <f>'Month A'!$AA39</f>
        <v>0</v>
      </c>
      <c r="BF30" s="730">
        <f>B!$AA39</f>
        <v>0</v>
      </c>
      <c r="BG30" s="730">
        <f>'C'!$AA39</f>
        <v>0</v>
      </c>
      <c r="BH30" s="730">
        <f>D!$AA39</f>
        <v>0</v>
      </c>
      <c r="BI30" s="730">
        <f>E!$AA39</f>
        <v>0</v>
      </c>
      <c r="BJ30" s="730">
        <f>F!$AA39</f>
        <v>0</v>
      </c>
      <c r="BK30" s="730">
        <f>G!$AA39</f>
        <v>0</v>
      </c>
      <c r="BL30" s="730">
        <f>H!$AA39</f>
        <v>0</v>
      </c>
      <c r="BM30" s="730">
        <f>I!$AA39</f>
        <v>0</v>
      </c>
      <c r="BN30" s="730">
        <f>J!$AA39</f>
        <v>0</v>
      </c>
      <c r="BO30" s="730">
        <f>K!$AA39</f>
        <v>0</v>
      </c>
      <c r="BP30" s="730">
        <f>L!$AA39</f>
        <v>0</v>
      </c>
      <c r="BR30" s="738">
        <f>'Month A'!$Z39</f>
        <v>0</v>
      </c>
      <c r="BS30" s="730">
        <f>B!$Z39</f>
        <v>0</v>
      </c>
      <c r="BT30" s="730">
        <f>'C'!$Z39</f>
        <v>0</v>
      </c>
      <c r="BU30" s="730">
        <f>D!$Z39</f>
        <v>0</v>
      </c>
      <c r="BV30" s="730">
        <f>E!$Z39</f>
        <v>0</v>
      </c>
      <c r="BW30" s="730">
        <f>F!$Z39</f>
        <v>0</v>
      </c>
      <c r="BX30" s="730">
        <f>G!$Z39</f>
        <v>0</v>
      </c>
      <c r="BY30" s="730">
        <f>H!$Z39</f>
        <v>0</v>
      </c>
      <c r="BZ30" s="730">
        <f>I!$Z39</f>
        <v>0</v>
      </c>
      <c r="CA30" s="730">
        <f>J!$Z39</f>
        <v>0</v>
      </c>
      <c r="CB30" s="730">
        <f>K!$Z39</f>
        <v>0</v>
      </c>
      <c r="CC30" s="730">
        <f>L!$Z39</f>
        <v>0</v>
      </c>
      <c r="CY30" s="763">
        <f t="shared" si="4"/>
        <v>0</v>
      </c>
      <c r="CZ30" s="773" t="s">
        <v>97</v>
      </c>
    </row>
    <row r="31" spans="1:104" ht="30">
      <c r="A31" s="86"/>
      <c r="B31" s="86"/>
      <c r="C31" s="86"/>
      <c r="D31" s="86"/>
      <c r="E31" s="86"/>
      <c r="F31" s="757" t="s">
        <v>231</v>
      </c>
      <c r="G31" s="758">
        <f t="shared" si="0"/>
        <v>0</v>
      </c>
      <c r="H31" s="86"/>
      <c r="I31" s="909">
        <f t="shared" si="2"/>
        <v>0</v>
      </c>
      <c r="J31" s="910"/>
      <c r="K31" s="748"/>
      <c r="L31" s="748"/>
      <c r="M31" s="748"/>
      <c r="N31" s="748"/>
      <c r="O31" s="761"/>
      <c r="P31" s="749"/>
      <c r="Q31" s="86"/>
      <c r="R31" s="86"/>
      <c r="S31" s="86"/>
      <c r="T31" s="86"/>
      <c r="U31" s="86"/>
      <c r="V31" s="86"/>
      <c r="W31" s="86"/>
      <c r="Z31" s="730" t="str">
        <f t="shared" si="5"/>
        <v>Religious expenses</v>
      </c>
      <c r="AA31" s="730" t="str">
        <f t="shared" si="7"/>
        <v>Religious expenses</v>
      </c>
      <c r="AB31" s="730">
        <f t="shared" si="8"/>
        <v>0</v>
      </c>
      <c r="AC31" s="730">
        <f t="shared" si="9"/>
        <v>28</v>
      </c>
      <c r="AD31" s="730">
        <f t="shared" si="6"/>
        <v>26</v>
      </c>
      <c r="AE31" s="730">
        <f t="shared" si="11"/>
        <v>0</v>
      </c>
      <c r="AF31" s="730" t="e">
        <f t="shared" ca="1" si="10"/>
        <v>#N/A</v>
      </c>
      <c r="AG31" s="777">
        <f t="shared" si="12"/>
        <v>0</v>
      </c>
      <c r="AN31" s="737" t="s">
        <v>232</v>
      </c>
      <c r="AO31" s="735"/>
      <c r="AP31" s="730" t="str">
        <f>'Current Status (''Shikuf'')'!D33</f>
        <v>Small Purchases</v>
      </c>
      <c r="AQ31" s="730" t="str">
        <f>'Month A'!Y40</f>
        <v>Small Purchases</v>
      </c>
      <c r="AR31" s="730" t="str">
        <f>B!$Y40</f>
        <v>Small Purchases</v>
      </c>
      <c r="AS31" s="730" t="str">
        <f>'C'!$Y40</f>
        <v>Small Purchases</v>
      </c>
      <c r="AT31" s="730" t="str">
        <f>D!$Y40</f>
        <v>Small Purchases</v>
      </c>
      <c r="AU31" s="730" t="str">
        <f>E!$Y40</f>
        <v>Small Purchases</v>
      </c>
      <c r="AV31" s="730" t="str">
        <f>F!$Y40</f>
        <v>Small Purchases</v>
      </c>
      <c r="AW31" s="730" t="str">
        <f>G!$Y40</f>
        <v>Small Purchases</v>
      </c>
      <c r="AX31" s="730" t="str">
        <f>H!$Y40</f>
        <v>Small Purchases</v>
      </c>
      <c r="AY31" s="730" t="str">
        <f>I!$Y40</f>
        <v>Small Purchases</v>
      </c>
      <c r="AZ31" s="730" t="str">
        <f>J!$Y40</f>
        <v>Small Purchases</v>
      </c>
      <c r="BA31" s="730" t="str">
        <f>K!$Y40</f>
        <v>Small Purchases</v>
      </c>
      <c r="BB31" s="730" t="str">
        <f>L!$Y40</f>
        <v>Small Purchases</v>
      </c>
      <c r="BD31" s="738">
        <f>'Current Status (''Shikuf'')'!F33</f>
        <v>0</v>
      </c>
      <c r="BE31" s="730">
        <f>'Month A'!$AA40</f>
        <v>0</v>
      </c>
      <c r="BF31" s="730">
        <f>B!$AA40</f>
        <v>0</v>
      </c>
      <c r="BG31" s="730">
        <f>'C'!$AA40</f>
        <v>0</v>
      </c>
      <c r="BH31" s="730">
        <f>D!$AA40</f>
        <v>0</v>
      </c>
      <c r="BI31" s="730">
        <f>E!$AA40</f>
        <v>0</v>
      </c>
      <c r="BJ31" s="730">
        <f>F!$AA40</f>
        <v>0</v>
      </c>
      <c r="BK31" s="730">
        <f>G!$AA40</f>
        <v>0</v>
      </c>
      <c r="BL31" s="730">
        <f>H!$AA40</f>
        <v>0</v>
      </c>
      <c r="BM31" s="730">
        <f>I!$AA40</f>
        <v>0</v>
      </c>
      <c r="BN31" s="730">
        <f>J!$AA40</f>
        <v>0</v>
      </c>
      <c r="BO31" s="730">
        <f>K!$AA40</f>
        <v>0</v>
      </c>
      <c r="BP31" s="730">
        <f>L!$AA40</f>
        <v>0</v>
      </c>
      <c r="BR31" s="738">
        <f>'Month A'!$Z40</f>
        <v>0</v>
      </c>
      <c r="BS31" s="730">
        <f>B!$Z40</f>
        <v>0</v>
      </c>
      <c r="BT31" s="730">
        <f>'C'!$Z40</f>
        <v>0</v>
      </c>
      <c r="BU31" s="730">
        <f>D!$Z40</f>
        <v>0</v>
      </c>
      <c r="BV31" s="730">
        <f>E!$Z40</f>
        <v>0</v>
      </c>
      <c r="BW31" s="730">
        <f>F!$Z40</f>
        <v>0</v>
      </c>
      <c r="BX31" s="730">
        <f>G!$Z40</f>
        <v>0</v>
      </c>
      <c r="BY31" s="730">
        <f>H!$Z40</f>
        <v>0</v>
      </c>
      <c r="BZ31" s="730">
        <f>I!$Z40</f>
        <v>0</v>
      </c>
      <c r="CA31" s="730">
        <f>J!$Z40</f>
        <v>0</v>
      </c>
      <c r="CB31" s="730">
        <f>K!$Z40</f>
        <v>0</v>
      </c>
      <c r="CC31" s="730">
        <f>L!$Z40</f>
        <v>0</v>
      </c>
      <c r="CY31" s="763">
        <f t="shared" si="4"/>
        <v>0</v>
      </c>
      <c r="CZ31" s="773" t="s">
        <v>98</v>
      </c>
    </row>
    <row r="32" spans="1:104" ht="15.75" customHeight="1">
      <c r="A32" s="86"/>
      <c r="B32" s="86"/>
      <c r="C32" s="86"/>
      <c r="D32" s="86"/>
      <c r="E32" s="86"/>
      <c r="F32" s="757" t="s">
        <v>232</v>
      </c>
      <c r="G32" s="758">
        <f t="shared" si="0"/>
        <v>0</v>
      </c>
      <c r="H32" s="86"/>
      <c r="I32" s="909">
        <f t="shared" si="2"/>
        <v>0</v>
      </c>
      <c r="J32" s="910"/>
      <c r="K32" s="748"/>
      <c r="L32" s="748"/>
      <c r="M32" s="748"/>
      <c r="N32" s="748"/>
      <c r="O32" s="761"/>
      <c r="P32" s="749"/>
      <c r="Q32" s="86"/>
      <c r="R32" s="86"/>
      <c r="S32" s="86"/>
      <c r="T32" s="86"/>
      <c r="U32" s="86"/>
      <c r="V32" s="86"/>
      <c r="W32" s="86"/>
      <c r="Z32" s="730" t="str">
        <f t="shared" si="5"/>
        <v>Gifts</v>
      </c>
      <c r="AA32" s="730" t="str">
        <f t="shared" si="7"/>
        <v>Gifts</v>
      </c>
      <c r="AB32" s="730">
        <f t="shared" si="8"/>
        <v>0</v>
      </c>
      <c r="AC32" s="730">
        <f t="shared" si="9"/>
        <v>29</v>
      </c>
      <c r="AD32" s="730">
        <f t="shared" si="6"/>
        <v>27</v>
      </c>
      <c r="AE32" s="730">
        <f t="shared" si="11"/>
        <v>0</v>
      </c>
      <c r="AF32" s="730" t="e">
        <f t="shared" ca="1" si="10"/>
        <v>#N/A</v>
      </c>
      <c r="AG32" s="777">
        <f t="shared" si="12"/>
        <v>0</v>
      </c>
      <c r="AN32" s="737" t="s">
        <v>233</v>
      </c>
      <c r="AO32" s="735"/>
      <c r="AP32" s="730" t="str">
        <f>'Current Status (''Shikuf'')'!D34</f>
        <v>Haircuts / Cosmetics Treatments</v>
      </c>
      <c r="AQ32" s="730" t="str">
        <f>'Month A'!Y41</f>
        <v>Haircuts / Cosmetics Treatments</v>
      </c>
      <c r="AR32" s="730" t="str">
        <f>B!$Y41</f>
        <v>Haircuts / Cosmetics Treatments</v>
      </c>
      <c r="AS32" s="730" t="str">
        <f>'C'!$Y41</f>
        <v>Haircuts / Cosmetics Treatments</v>
      </c>
      <c r="AT32" s="730" t="str">
        <f>D!$Y41</f>
        <v>Haircuts / Cosmetics Treatments</v>
      </c>
      <c r="AU32" s="730" t="str">
        <f>E!$Y41</f>
        <v>Haircuts / Cosmetics Treatments</v>
      </c>
      <c r="AV32" s="730" t="str">
        <f>F!$Y41</f>
        <v>Haircuts / Cosmetics Treatments</v>
      </c>
      <c r="AW32" s="730" t="str">
        <f>G!$Y41</f>
        <v>Haircuts / Cosmetics Treatments</v>
      </c>
      <c r="AX32" s="730" t="str">
        <f>H!$Y41</f>
        <v>Haircuts / Cosmetics Treatments</v>
      </c>
      <c r="AY32" s="730" t="str">
        <f>I!$Y41</f>
        <v>Haircuts / Cosmetics Treatments</v>
      </c>
      <c r="AZ32" s="730" t="str">
        <f>J!$Y41</f>
        <v>Haircuts / Cosmetics Treatments</v>
      </c>
      <c r="BA32" s="730" t="str">
        <f>K!$Y41</f>
        <v>Haircuts / Cosmetics Treatments</v>
      </c>
      <c r="BB32" s="730" t="str">
        <f>L!$Y41</f>
        <v>Haircuts / Cosmetics Treatments</v>
      </c>
      <c r="BD32" s="738">
        <f>'Current Status (''Shikuf'')'!F34</f>
        <v>0</v>
      </c>
      <c r="BE32" s="730">
        <f>'Month A'!$AA41</f>
        <v>0</v>
      </c>
      <c r="BF32" s="730">
        <f>B!$AA41</f>
        <v>0</v>
      </c>
      <c r="BG32" s="730">
        <f>'C'!$AA41</f>
        <v>0</v>
      </c>
      <c r="BH32" s="730">
        <f>D!$AA41</f>
        <v>0</v>
      </c>
      <c r="BI32" s="730">
        <f>E!$AA41</f>
        <v>0</v>
      </c>
      <c r="BJ32" s="730">
        <f>F!$AA41</f>
        <v>0</v>
      </c>
      <c r="BK32" s="730">
        <f>G!$AA41</f>
        <v>0</v>
      </c>
      <c r="BL32" s="730">
        <f>H!$AA41</f>
        <v>0</v>
      </c>
      <c r="BM32" s="730">
        <f>I!$AA41</f>
        <v>0</v>
      </c>
      <c r="BN32" s="730">
        <f>J!$AA41</f>
        <v>0</v>
      </c>
      <c r="BO32" s="730">
        <f>K!$AA41</f>
        <v>0</v>
      </c>
      <c r="BP32" s="730">
        <f>L!$AA41</f>
        <v>0</v>
      </c>
      <c r="BR32" s="738">
        <f>'Month A'!$Z41</f>
        <v>0</v>
      </c>
      <c r="BS32" s="730">
        <f>B!$Z41</f>
        <v>0</v>
      </c>
      <c r="BT32" s="730">
        <f>'C'!$Z41</f>
        <v>0</v>
      </c>
      <c r="BU32" s="730">
        <f>D!$Z41</f>
        <v>0</v>
      </c>
      <c r="BV32" s="730">
        <f>E!$Z41</f>
        <v>0</v>
      </c>
      <c r="BW32" s="730">
        <f>F!$Z41</f>
        <v>0</v>
      </c>
      <c r="BX32" s="730">
        <f>G!$Z41</f>
        <v>0</v>
      </c>
      <c r="BY32" s="730">
        <f>H!$Z41</f>
        <v>0</v>
      </c>
      <c r="BZ32" s="730">
        <f>I!$Z41</f>
        <v>0</v>
      </c>
      <c r="CA32" s="730">
        <f>J!$Z41</f>
        <v>0</v>
      </c>
      <c r="CB32" s="730">
        <f>K!$Z41</f>
        <v>0</v>
      </c>
      <c r="CC32" s="730">
        <f>L!$Z41</f>
        <v>0</v>
      </c>
      <c r="CY32" s="763">
        <f t="shared" si="4"/>
        <v>0</v>
      </c>
      <c r="CZ32" s="773" t="s">
        <v>99</v>
      </c>
    </row>
    <row r="33" spans="1:104" ht="15" customHeight="1">
      <c r="A33" s="86"/>
      <c r="B33" s="86"/>
      <c r="C33" s="86"/>
      <c r="D33" s="86"/>
      <c r="E33" s="86"/>
      <c r="F33" s="757" t="s">
        <v>233</v>
      </c>
      <c r="G33" s="758">
        <f t="shared" si="0"/>
        <v>0</v>
      </c>
      <c r="H33" s="86"/>
      <c r="I33" s="909">
        <f t="shared" si="2"/>
        <v>0</v>
      </c>
      <c r="J33" s="910"/>
      <c r="K33" s="748"/>
      <c r="L33" s="748"/>
      <c r="M33" s="748"/>
      <c r="N33" s="748"/>
      <c r="O33" s="761"/>
      <c r="P33" s="749"/>
      <c r="Q33" s="86"/>
      <c r="R33" s="86"/>
      <c r="S33" s="86"/>
      <c r="T33" s="86"/>
      <c r="U33" s="86"/>
      <c r="V33" s="86"/>
      <c r="W33" s="86"/>
      <c r="Z33" s="730" t="str">
        <f t="shared" si="5"/>
        <v>Small Purchases</v>
      </c>
      <c r="AA33" s="730" t="str">
        <f t="shared" si="7"/>
        <v>Small Purchases</v>
      </c>
      <c r="AB33" s="730">
        <f t="shared" si="8"/>
        <v>0</v>
      </c>
      <c r="AC33" s="730">
        <f t="shared" si="9"/>
        <v>30</v>
      </c>
      <c r="AD33" s="730" t="e">
        <f t="shared" si="6"/>
        <v>#N/A</v>
      </c>
      <c r="AE33" s="730">
        <f t="shared" si="11"/>
        <v>0</v>
      </c>
      <c r="AF33" s="730" t="e">
        <f t="shared" ca="1" si="10"/>
        <v>#N/A</v>
      </c>
      <c r="AG33" s="777">
        <f t="shared" si="12"/>
        <v>0</v>
      </c>
      <c r="AN33" s="737" t="s">
        <v>503</v>
      </c>
      <c r="AO33" s="735"/>
      <c r="AP33" s="730" t="str">
        <f>'Current Status (''Shikuf'')'!D35</f>
        <v>National Insurance</v>
      </c>
      <c r="AQ33" s="730" t="str">
        <f>'Month A'!Y42</f>
        <v>National Insurance</v>
      </c>
      <c r="AR33" s="730" t="str">
        <f>B!$Y42</f>
        <v>National Insurance</v>
      </c>
      <c r="AS33" s="730" t="str">
        <f>'C'!$Y42</f>
        <v>National Insurance</v>
      </c>
      <c r="AT33" s="730" t="str">
        <f>D!$Y42</f>
        <v>National Insurance</v>
      </c>
      <c r="AU33" s="730" t="str">
        <f>E!$Y42</f>
        <v>National Insurance</v>
      </c>
      <c r="AV33" s="730" t="str">
        <f>F!$Y42</f>
        <v>National Insurance</v>
      </c>
      <c r="AW33" s="730" t="str">
        <f>G!$Y42</f>
        <v>National Insurance</v>
      </c>
      <c r="AX33" s="730" t="str">
        <f>H!$Y42</f>
        <v>National Insurance</v>
      </c>
      <c r="AY33" s="730" t="str">
        <f>I!$Y42</f>
        <v>National Insurance</v>
      </c>
      <c r="AZ33" s="730" t="str">
        <f>J!$Y42</f>
        <v>National Insurance</v>
      </c>
      <c r="BA33" s="730" t="str">
        <f>K!$Y42</f>
        <v>National Insurance</v>
      </c>
      <c r="BB33" s="730" t="str">
        <f>L!$Y42</f>
        <v>National Insurance</v>
      </c>
      <c r="BD33" s="738">
        <f>'Current Status (''Shikuf'')'!F35</f>
        <v>0</v>
      </c>
      <c r="BE33" s="730">
        <f>'Month A'!$AA42</f>
        <v>0</v>
      </c>
      <c r="BF33" s="730">
        <f>B!$AA42</f>
        <v>0</v>
      </c>
      <c r="BG33" s="730">
        <f>'C'!$AA42</f>
        <v>0</v>
      </c>
      <c r="BH33" s="730">
        <f>D!$AA42</f>
        <v>0</v>
      </c>
      <c r="BI33" s="730">
        <f>E!$AA42</f>
        <v>0</v>
      </c>
      <c r="BJ33" s="730">
        <f>F!$AA42</f>
        <v>0</v>
      </c>
      <c r="BK33" s="730">
        <f>G!$AA42</f>
        <v>0</v>
      </c>
      <c r="BL33" s="730">
        <f>H!$AA42</f>
        <v>0</v>
      </c>
      <c r="BM33" s="730">
        <f>I!$AA42</f>
        <v>0</v>
      </c>
      <c r="BN33" s="730">
        <f>J!$AA42</f>
        <v>0</v>
      </c>
      <c r="BO33" s="730">
        <f>K!$AA42</f>
        <v>0</v>
      </c>
      <c r="BP33" s="730">
        <f>L!$AA42</f>
        <v>0</v>
      </c>
      <c r="BR33" s="738">
        <f>'Month A'!$Z42</f>
        <v>0</v>
      </c>
      <c r="BS33" s="730">
        <f>B!$Z42</f>
        <v>0</v>
      </c>
      <c r="BT33" s="730">
        <f>'C'!$Z42</f>
        <v>0</v>
      </c>
      <c r="BU33" s="730">
        <f>D!$Z42</f>
        <v>0</v>
      </c>
      <c r="BV33" s="730">
        <f>E!$Z42</f>
        <v>0</v>
      </c>
      <c r="BW33" s="730">
        <f>F!$Z42</f>
        <v>0</v>
      </c>
      <c r="BX33" s="730">
        <f>G!$Z42</f>
        <v>0</v>
      </c>
      <c r="BY33" s="730">
        <f>H!$Z42</f>
        <v>0</v>
      </c>
      <c r="BZ33" s="730">
        <f>I!$Z42</f>
        <v>0</v>
      </c>
      <c r="CA33" s="730">
        <f>J!$Z42</f>
        <v>0</v>
      </c>
      <c r="CB33" s="730">
        <f>K!$Z42</f>
        <v>0</v>
      </c>
      <c r="CC33" s="730">
        <f>L!$Z42</f>
        <v>0</v>
      </c>
      <c r="CY33" s="763">
        <f t="shared" si="4"/>
        <v>0</v>
      </c>
      <c r="CZ33" s="773" t="s">
        <v>100</v>
      </c>
    </row>
    <row r="34" spans="1:104" ht="15.75" customHeight="1">
      <c r="A34" s="86"/>
      <c r="B34" s="86"/>
      <c r="C34" s="86"/>
      <c r="D34" s="86"/>
      <c r="E34" s="86"/>
      <c r="F34" s="757" t="str">
        <f>IF(ISERROR(VLOOKUP(AN33,$Z$5:$AA$63,2,FALSE)),AN33,VLOOKUP(AN33,$Z$5:$AA$63,2,FALSE))</f>
        <v>Periodic - Custom Field1</v>
      </c>
      <c r="G34" s="758">
        <f t="shared" si="0"/>
        <v>0</v>
      </c>
      <c r="H34" s="86"/>
      <c r="I34" s="909">
        <f t="shared" si="2"/>
        <v>0</v>
      </c>
      <c r="J34" s="910"/>
      <c r="K34" s="748"/>
      <c r="L34" s="748"/>
      <c r="M34" s="748"/>
      <c r="N34" s="748"/>
      <c r="O34" s="761"/>
      <c r="P34" s="749"/>
      <c r="Q34" s="86"/>
      <c r="R34" s="86"/>
      <c r="S34" s="86"/>
      <c r="T34" s="86"/>
      <c r="U34" s="86"/>
      <c r="V34" s="86"/>
      <c r="W34" s="86"/>
      <c r="Z34" s="730" t="str">
        <f t="shared" si="5"/>
        <v>Haircuts / Cosmetics Treatments</v>
      </c>
      <c r="AA34" s="730" t="str">
        <f t="shared" si="7"/>
        <v>Haircuts / Cosmetics Treatments</v>
      </c>
      <c r="AB34" s="730">
        <f t="shared" si="8"/>
        <v>0</v>
      </c>
      <c r="AC34" s="730">
        <f t="shared" si="9"/>
        <v>31</v>
      </c>
      <c r="AD34" s="730">
        <f t="shared" si="6"/>
        <v>29</v>
      </c>
      <c r="AE34" s="730">
        <f t="shared" si="11"/>
        <v>0</v>
      </c>
      <c r="AF34" s="730" t="e">
        <f t="shared" ca="1" si="10"/>
        <v>#N/A</v>
      </c>
      <c r="AG34" s="777">
        <f t="shared" si="12"/>
        <v>0</v>
      </c>
      <c r="AN34" s="737" t="s">
        <v>504</v>
      </c>
      <c r="AO34" s="735"/>
      <c r="AP34" s="730">
        <f>'Current Status (''Shikuf'')'!D36</f>
        <v>0</v>
      </c>
      <c r="AQ34" s="730">
        <f>'Month A'!Y43</f>
        <v>0</v>
      </c>
      <c r="AR34" s="730">
        <f>B!$Y43</f>
        <v>0</v>
      </c>
      <c r="AS34" s="730">
        <f>'C'!$Y43</f>
        <v>0</v>
      </c>
      <c r="AT34" s="730">
        <f>D!$Y43</f>
        <v>0</v>
      </c>
      <c r="AU34" s="730">
        <f>E!$Y43</f>
        <v>0</v>
      </c>
      <c r="AV34" s="730">
        <f>F!$Y43</f>
        <v>0</v>
      </c>
      <c r="AW34" s="730">
        <f>G!$Y43</f>
        <v>0</v>
      </c>
      <c r="AX34" s="730">
        <f>H!$Y43</f>
        <v>0</v>
      </c>
      <c r="AY34" s="730">
        <f>I!$Y43</f>
        <v>0</v>
      </c>
      <c r="AZ34" s="730">
        <f>J!$Y43</f>
        <v>0</v>
      </c>
      <c r="BA34" s="730">
        <f>K!$Y43</f>
        <v>0</v>
      </c>
      <c r="BB34" s="730">
        <f>L!$Y43</f>
        <v>0</v>
      </c>
      <c r="BD34" s="738">
        <f>'Current Status (''Shikuf'')'!F36</f>
        <v>0</v>
      </c>
      <c r="BE34" s="730">
        <f>'Month A'!$AA43</f>
        <v>0</v>
      </c>
      <c r="BF34" s="730">
        <f>B!$AA43</f>
        <v>0</v>
      </c>
      <c r="BG34" s="730">
        <f>'C'!$AA43</f>
        <v>0</v>
      </c>
      <c r="BH34" s="730">
        <f>D!$AA43</f>
        <v>0</v>
      </c>
      <c r="BI34" s="730">
        <f>E!$AA43</f>
        <v>0</v>
      </c>
      <c r="BJ34" s="730">
        <f>F!$AA43</f>
        <v>0</v>
      </c>
      <c r="BK34" s="730">
        <f>G!$AA43</f>
        <v>0</v>
      </c>
      <c r="BL34" s="730">
        <f>H!$AA43</f>
        <v>0</v>
      </c>
      <c r="BM34" s="730">
        <f>I!$AA43</f>
        <v>0</v>
      </c>
      <c r="BN34" s="730">
        <f>J!$AA43</f>
        <v>0</v>
      </c>
      <c r="BO34" s="730">
        <f>K!$AA43</f>
        <v>0</v>
      </c>
      <c r="BP34" s="730">
        <f>L!$AA43</f>
        <v>0</v>
      </c>
      <c r="BR34" s="738">
        <f>'Month A'!$Z43</f>
        <v>0</v>
      </c>
      <c r="BS34" s="730">
        <f>B!$Z43</f>
        <v>0</v>
      </c>
      <c r="BT34" s="730">
        <f>'C'!$Z43</f>
        <v>0</v>
      </c>
      <c r="BU34" s="730">
        <f>D!$Z43</f>
        <v>0</v>
      </c>
      <c r="BV34" s="730">
        <f>E!$Z43</f>
        <v>0</v>
      </c>
      <c r="BW34" s="730">
        <f>F!$Z43</f>
        <v>0</v>
      </c>
      <c r="BX34" s="730">
        <f>G!$Z43</f>
        <v>0</v>
      </c>
      <c r="BY34" s="730">
        <f>H!$Z43</f>
        <v>0</v>
      </c>
      <c r="BZ34" s="730">
        <f>I!$Z43</f>
        <v>0</v>
      </c>
      <c r="CA34" s="730">
        <f>J!$Z43</f>
        <v>0</v>
      </c>
      <c r="CB34" s="730">
        <f>K!$Z43</f>
        <v>0</v>
      </c>
      <c r="CC34" s="730">
        <f>L!$Z43</f>
        <v>0</v>
      </c>
      <c r="CX34" s="730" t="str">
        <f>F34</f>
        <v>Periodic - Custom Field1</v>
      </c>
      <c r="CY34" s="763">
        <f t="shared" si="4"/>
        <v>0</v>
      </c>
      <c r="CZ34" s="773" t="s">
        <v>101</v>
      </c>
    </row>
    <row r="35" spans="1:104" ht="15" customHeight="1">
      <c r="A35" s="86"/>
      <c r="B35" s="86"/>
      <c r="C35" s="86"/>
      <c r="D35" s="86"/>
      <c r="E35" s="86"/>
      <c r="F35" s="757" t="str">
        <f>IF(ISERROR(VLOOKUP(AN34,$Z$5:$AA$63,2,FALSE)),AN34,VLOOKUP(AN34,$Z$5:$AA$63,2,FALSE))</f>
        <v>Periodic - Custom Field2</v>
      </c>
      <c r="G35" s="758">
        <f t="shared" si="0"/>
        <v>0</v>
      </c>
      <c r="H35" s="86"/>
      <c r="I35" s="909">
        <f t="shared" si="2"/>
        <v>0</v>
      </c>
      <c r="J35" s="910"/>
      <c r="K35" s="748"/>
      <c r="L35" s="748"/>
      <c r="M35" s="748"/>
      <c r="N35" s="748"/>
      <c r="O35" s="761"/>
      <c r="P35" s="749"/>
      <c r="Q35" s="86"/>
      <c r="R35" s="86"/>
      <c r="S35" s="86"/>
      <c r="T35" s="86"/>
      <c r="U35" s="86"/>
      <c r="V35" s="86"/>
      <c r="W35" s="86"/>
      <c r="Z35" s="730" t="str">
        <f t="shared" si="5"/>
        <v>National Insurance</v>
      </c>
      <c r="AA35" s="730" t="str">
        <f t="shared" si="7"/>
        <v>National Insurance</v>
      </c>
      <c r="AB35" s="730">
        <f t="shared" si="8"/>
        <v>0</v>
      </c>
      <c r="AC35" s="730">
        <f t="shared" si="9"/>
        <v>32</v>
      </c>
      <c r="AD35" s="730">
        <f t="shared" si="6"/>
        <v>30</v>
      </c>
      <c r="AE35" s="730">
        <f t="shared" si="11"/>
        <v>0</v>
      </c>
      <c r="AF35" s="730" t="e">
        <f t="shared" ca="1" si="10"/>
        <v>#N/A</v>
      </c>
      <c r="AG35" s="777">
        <f t="shared" si="12"/>
        <v>0</v>
      </c>
      <c r="AN35" s="737" t="s">
        <v>260</v>
      </c>
      <c r="AO35" s="735"/>
      <c r="AP35" s="730">
        <f>'Current Status (''Shikuf'')'!D37</f>
        <v>0</v>
      </c>
      <c r="AQ35" s="730">
        <f>'Month A'!Y44</f>
        <v>0</v>
      </c>
      <c r="AR35" s="730">
        <f>B!$Y44</f>
        <v>0</v>
      </c>
      <c r="AS35" s="730">
        <f>'C'!$Y44</f>
        <v>0</v>
      </c>
      <c r="AT35" s="730">
        <f>D!$Y44</f>
        <v>0</v>
      </c>
      <c r="AU35" s="730">
        <f>E!$Y44</f>
        <v>0</v>
      </c>
      <c r="AV35" s="730">
        <f>F!$Y44</f>
        <v>0</v>
      </c>
      <c r="AW35" s="730">
        <f>G!$Y44</f>
        <v>0</v>
      </c>
      <c r="AX35" s="730">
        <f>H!$Y44</f>
        <v>0</v>
      </c>
      <c r="AY35" s="730">
        <f>I!$Y44</f>
        <v>0</v>
      </c>
      <c r="AZ35" s="730">
        <f>J!$Y44</f>
        <v>0</v>
      </c>
      <c r="BA35" s="730">
        <f>K!$Y44</f>
        <v>0</v>
      </c>
      <c r="BB35" s="730">
        <f>L!$Y44</f>
        <v>0</v>
      </c>
      <c r="BD35" s="738">
        <f>'Current Status (''Shikuf'')'!F37</f>
        <v>0</v>
      </c>
      <c r="BE35" s="730">
        <f>'Month A'!$AA44</f>
        <v>0</v>
      </c>
      <c r="BF35" s="730">
        <f>B!$AA44</f>
        <v>0</v>
      </c>
      <c r="BG35" s="730">
        <f>'C'!$AA44</f>
        <v>0</v>
      </c>
      <c r="BH35" s="730">
        <f>D!$AA44</f>
        <v>0</v>
      </c>
      <c r="BI35" s="730">
        <f>E!$AA44</f>
        <v>0</v>
      </c>
      <c r="BJ35" s="730">
        <f>F!$AA44</f>
        <v>0</v>
      </c>
      <c r="BK35" s="730">
        <f>G!$AA44</f>
        <v>0</v>
      </c>
      <c r="BL35" s="730">
        <f>H!$AA44</f>
        <v>0</v>
      </c>
      <c r="BM35" s="730">
        <f>I!$AA44</f>
        <v>0</v>
      </c>
      <c r="BN35" s="730">
        <f>J!$AA44</f>
        <v>0</v>
      </c>
      <c r="BO35" s="730">
        <f>K!$AA44</f>
        <v>0</v>
      </c>
      <c r="BP35" s="730">
        <f>L!$AA44</f>
        <v>0</v>
      </c>
      <c r="BR35" s="738">
        <f>'Month A'!$Z44</f>
        <v>0</v>
      </c>
      <c r="BS35" s="730">
        <f>B!$Z44</f>
        <v>0</v>
      </c>
      <c r="BT35" s="730">
        <f>'C'!$Z44</f>
        <v>0</v>
      </c>
      <c r="BU35" s="730">
        <f>D!$Z44</f>
        <v>0</v>
      </c>
      <c r="BV35" s="730">
        <f>E!$Z44</f>
        <v>0</v>
      </c>
      <c r="BW35" s="730">
        <f>F!$Z44</f>
        <v>0</v>
      </c>
      <c r="BX35" s="730">
        <f>G!$Z44</f>
        <v>0</v>
      </c>
      <c r="BY35" s="730">
        <f>H!$Z44</f>
        <v>0</v>
      </c>
      <c r="BZ35" s="730">
        <f>I!$Z44</f>
        <v>0</v>
      </c>
      <c r="CA35" s="730">
        <f>J!$Z44</f>
        <v>0</v>
      </c>
      <c r="CB35" s="730">
        <f>K!$Z44</f>
        <v>0</v>
      </c>
      <c r="CC35" s="730">
        <f>L!$Z44</f>
        <v>0</v>
      </c>
      <c r="CX35" s="730" t="str">
        <f>F35</f>
        <v>Periodic - Custom Field2</v>
      </c>
      <c r="CY35" s="763">
        <f t="shared" si="4"/>
        <v>0</v>
      </c>
      <c r="CZ35" s="773" t="s">
        <v>102</v>
      </c>
    </row>
    <row r="36" spans="1:104" ht="15.75">
      <c r="A36" s="86"/>
      <c r="B36" s="86"/>
      <c r="C36" s="86"/>
      <c r="D36" s="86"/>
      <c r="E36" s="86"/>
      <c r="F36" s="757" t="s">
        <v>260</v>
      </c>
      <c r="G36" s="758">
        <f t="shared" ref="G36:G60" si="13">SUMIF($Z$5:$Z$63,AN35,$AB$5:$AB$63)</f>
        <v>0</v>
      </c>
      <c r="H36" s="86"/>
      <c r="I36" s="909">
        <f t="shared" si="2"/>
        <v>0</v>
      </c>
      <c r="J36" s="910"/>
      <c r="K36" s="748"/>
      <c r="L36" s="748"/>
      <c r="M36" s="748"/>
      <c r="N36" s="748"/>
      <c r="O36" s="761"/>
      <c r="P36" s="749"/>
      <c r="Q36" s="86"/>
      <c r="R36" s="86"/>
      <c r="S36" s="86"/>
      <c r="T36" s="86"/>
      <c r="U36" s="86"/>
      <c r="V36" s="86"/>
      <c r="W36" s="86"/>
      <c r="Z36" s="730">
        <f t="shared" si="5"/>
        <v>0</v>
      </c>
      <c r="AA36" s="730">
        <f t="shared" si="7"/>
        <v>0</v>
      </c>
      <c r="AB36" s="730">
        <f t="shared" si="8"/>
        <v>0</v>
      </c>
      <c r="AC36" s="730">
        <f t="shared" si="9"/>
        <v>33</v>
      </c>
      <c r="AD36" s="730" t="e">
        <f t="shared" si="6"/>
        <v>#N/A</v>
      </c>
      <c r="AE36" s="730">
        <f t="shared" si="11"/>
        <v>0</v>
      </c>
      <c r="AF36" s="730" t="e">
        <f t="shared" ca="1" si="10"/>
        <v>#N/A</v>
      </c>
      <c r="AG36" s="777">
        <f t="shared" si="12"/>
        <v>0</v>
      </c>
      <c r="AN36" s="737" t="s">
        <v>261</v>
      </c>
      <c r="AO36" s="735"/>
      <c r="AP36" s="730" t="str">
        <f>'Current Status (''Shikuf'')'!D38</f>
        <v>Food</v>
      </c>
      <c r="AQ36" s="730" t="str">
        <f>'Month A'!B45</f>
        <v>Food</v>
      </c>
      <c r="AR36" s="730" t="str">
        <f>B!$B45</f>
        <v>Food</v>
      </c>
      <c r="AS36" s="730" t="str">
        <f>'C'!$B45</f>
        <v>Food</v>
      </c>
      <c r="AT36" s="730" t="str">
        <f>D!$B45</f>
        <v>Food</v>
      </c>
      <c r="AU36" s="730" t="str">
        <f>E!$B45</f>
        <v>Food</v>
      </c>
      <c r="AV36" s="730" t="str">
        <f>F!$B45</f>
        <v>Food</v>
      </c>
      <c r="AW36" s="730" t="str">
        <f>G!$B45</f>
        <v>Food</v>
      </c>
      <c r="AX36" s="730" t="str">
        <f>H!$B45</f>
        <v>Food</v>
      </c>
      <c r="AY36" s="730" t="str">
        <f>I!$B45</f>
        <v>Food</v>
      </c>
      <c r="AZ36" s="730" t="str">
        <f>J!$B45</f>
        <v>Food</v>
      </c>
      <c r="BA36" s="730" t="str">
        <f>K!$B45</f>
        <v>Food</v>
      </c>
      <c r="BB36" s="730" t="str">
        <f>L!$B45</f>
        <v>Food</v>
      </c>
      <c r="BD36" s="738">
        <f>'Current Status (''Shikuf'')'!F38</f>
        <v>0</v>
      </c>
      <c r="BE36" s="730">
        <f>'Month A'!$D45</f>
        <v>0</v>
      </c>
      <c r="BF36" s="730">
        <f>B!$D45</f>
        <v>0</v>
      </c>
      <c r="BG36" s="730">
        <f>'C'!$D45</f>
        <v>0</v>
      </c>
      <c r="BH36" s="730">
        <f>D!$D45</f>
        <v>0</v>
      </c>
      <c r="BI36" s="730">
        <f>E!$D45</f>
        <v>0</v>
      </c>
      <c r="BJ36" s="730">
        <f>F!$D45</f>
        <v>0</v>
      </c>
      <c r="BK36" s="730">
        <f>G!$D45</f>
        <v>0</v>
      </c>
      <c r="BL36" s="730">
        <f>H!$D45</f>
        <v>0</v>
      </c>
      <c r="BM36" s="730">
        <f>I!$D45</f>
        <v>0</v>
      </c>
      <c r="BN36" s="730">
        <f>J!$D45</f>
        <v>0</v>
      </c>
      <c r="BO36" s="730">
        <f>K!$D45</f>
        <v>0</v>
      </c>
      <c r="BP36" s="730">
        <f>L!$D45</f>
        <v>0</v>
      </c>
      <c r="BR36" s="730">
        <f>'Month A'!$C45</f>
        <v>0</v>
      </c>
      <c r="BS36" s="730">
        <f>B!$C45</f>
        <v>0</v>
      </c>
      <c r="BT36" s="730">
        <f>'C'!$C45</f>
        <v>0</v>
      </c>
      <c r="BU36" s="730">
        <f>D!$C45</f>
        <v>0</v>
      </c>
      <c r="BV36" s="730">
        <f>E!$C45</f>
        <v>0</v>
      </c>
      <c r="BW36" s="730">
        <f>F!$C45</f>
        <v>0</v>
      </c>
      <c r="BX36" s="730">
        <f>G!$C45</f>
        <v>0</v>
      </c>
      <c r="BY36" s="730">
        <f>H!$C45</f>
        <v>0</v>
      </c>
      <c r="BZ36" s="730">
        <f>I!$C45</f>
        <v>0</v>
      </c>
      <c r="CA36" s="730">
        <f>J!$C45</f>
        <v>0</v>
      </c>
      <c r="CB36" s="730">
        <f>K!$C45</f>
        <v>0</v>
      </c>
      <c r="CC36" s="730">
        <f>L!$C45</f>
        <v>0</v>
      </c>
      <c r="CY36" s="763">
        <f t="shared" si="4"/>
        <v>0</v>
      </c>
      <c r="CZ36" s="773" t="s">
        <v>103</v>
      </c>
    </row>
    <row r="37" spans="1:104" ht="15.75">
      <c r="A37" s="86"/>
      <c r="B37" s="86"/>
      <c r="C37" s="86"/>
      <c r="D37" s="86"/>
      <c r="E37" s="86"/>
      <c r="F37" s="757" t="s">
        <v>261</v>
      </c>
      <c r="G37" s="758">
        <f t="shared" si="13"/>
        <v>0</v>
      </c>
      <c r="H37" s="86"/>
      <c r="I37" s="909">
        <f t="shared" ref="I37:I62" si="14">IF(AE37=0,,CONCATENATE("The name '",AA37,"' doesn't exists in the software. Map to: "))</f>
        <v>0</v>
      </c>
      <c r="J37" s="910"/>
      <c r="K37" s="748"/>
      <c r="L37" s="748"/>
      <c r="M37" s="748"/>
      <c r="N37" s="748"/>
      <c r="O37" s="761"/>
      <c r="P37" s="749"/>
      <c r="Q37" s="86"/>
      <c r="R37" s="86"/>
      <c r="S37" s="86"/>
      <c r="T37" s="86"/>
      <c r="U37" s="86"/>
      <c r="V37" s="86"/>
      <c r="W37" s="86"/>
      <c r="Z37" s="730">
        <f t="shared" si="5"/>
        <v>0</v>
      </c>
      <c r="AA37" s="730">
        <f t="shared" si="7"/>
        <v>0</v>
      </c>
      <c r="AB37" s="730">
        <f t="shared" si="8"/>
        <v>0</v>
      </c>
      <c r="AC37" s="730">
        <f t="shared" si="9"/>
        <v>34</v>
      </c>
      <c r="AD37" s="730" t="e">
        <f t="shared" si="6"/>
        <v>#N/A</v>
      </c>
      <c r="AE37" s="730">
        <f t="shared" si="11"/>
        <v>0</v>
      </c>
      <c r="AF37" s="730" t="e">
        <f t="shared" ca="1" si="10"/>
        <v>#N/A</v>
      </c>
      <c r="AG37" s="777">
        <f t="shared" si="12"/>
        <v>0</v>
      </c>
      <c r="AN37" s="737" t="s">
        <v>262</v>
      </c>
      <c r="AO37" s="735"/>
      <c r="AP37" s="730" t="str">
        <f>'Current Status (''Shikuf'')'!D39</f>
        <v>Public Transportation</v>
      </c>
      <c r="AQ37" s="730" t="str">
        <f>'Month A'!B46</f>
        <v>Public Transportation</v>
      </c>
      <c r="AR37" s="730" t="str">
        <f>B!$B46</f>
        <v>Public Transportation</v>
      </c>
      <c r="AS37" s="730" t="str">
        <f>'C'!$B46</f>
        <v>Public Transportation</v>
      </c>
      <c r="AT37" s="730" t="str">
        <f>D!$B46</f>
        <v>Public Transportation</v>
      </c>
      <c r="AU37" s="730" t="str">
        <f>E!$B46</f>
        <v>Public Transportation</v>
      </c>
      <c r="AV37" s="730" t="str">
        <f>F!$B46</f>
        <v>Public Transportation</v>
      </c>
      <c r="AW37" s="730" t="str">
        <f>G!$B46</f>
        <v>Public Transportation</v>
      </c>
      <c r="AX37" s="730" t="str">
        <f>H!$B46</f>
        <v>Public Transportation</v>
      </c>
      <c r="AY37" s="730" t="str">
        <f>I!$B46</f>
        <v>Public Transportation</v>
      </c>
      <c r="AZ37" s="730" t="str">
        <f>J!$B46</f>
        <v>Public Transportation</v>
      </c>
      <c r="BA37" s="730" t="str">
        <f>K!$B46</f>
        <v>Public Transportation</v>
      </c>
      <c r="BB37" s="730" t="str">
        <f>L!$B46</f>
        <v>Public Transportation</v>
      </c>
      <c r="BD37" s="738">
        <f>'Current Status (''Shikuf'')'!F39</f>
        <v>0</v>
      </c>
      <c r="BE37" s="730">
        <f>'Month A'!$D46</f>
        <v>0</v>
      </c>
      <c r="BF37" s="730">
        <f>B!$D46</f>
        <v>0</v>
      </c>
      <c r="BG37" s="730">
        <f>'C'!$D46</f>
        <v>0</v>
      </c>
      <c r="BH37" s="730">
        <f>D!$D46</f>
        <v>0</v>
      </c>
      <c r="BI37" s="730">
        <f>E!$D46</f>
        <v>0</v>
      </c>
      <c r="BJ37" s="730">
        <f>F!$D46</f>
        <v>0</v>
      </c>
      <c r="BK37" s="730">
        <f>G!$D46</f>
        <v>0</v>
      </c>
      <c r="BL37" s="730">
        <f>H!$D46</f>
        <v>0</v>
      </c>
      <c r="BM37" s="730">
        <f>I!$D46</f>
        <v>0</v>
      </c>
      <c r="BN37" s="730">
        <f>J!$D46</f>
        <v>0</v>
      </c>
      <c r="BO37" s="730">
        <f>K!$D46</f>
        <v>0</v>
      </c>
      <c r="BP37" s="730">
        <f>L!$D46</f>
        <v>0</v>
      </c>
      <c r="BR37" s="730">
        <f>'Month A'!$C46</f>
        <v>0</v>
      </c>
      <c r="BS37" s="730">
        <f>B!$C46</f>
        <v>0</v>
      </c>
      <c r="BT37" s="730">
        <f>'C'!$C46</f>
        <v>0</v>
      </c>
      <c r="BU37" s="730">
        <f>D!$C46</f>
        <v>0</v>
      </c>
      <c r="BV37" s="730">
        <f>E!$C46</f>
        <v>0</v>
      </c>
      <c r="BW37" s="730">
        <f>F!$C46</f>
        <v>0</v>
      </c>
      <c r="BX37" s="730">
        <f>G!$C46</f>
        <v>0</v>
      </c>
      <c r="BY37" s="730">
        <f>H!$C46</f>
        <v>0</v>
      </c>
      <c r="BZ37" s="730">
        <f>I!$C46</f>
        <v>0</v>
      </c>
      <c r="CA37" s="730">
        <f>J!$C46</f>
        <v>0</v>
      </c>
      <c r="CB37" s="730">
        <f>K!$C46</f>
        <v>0</v>
      </c>
      <c r="CC37" s="730">
        <f>L!$C46</f>
        <v>0</v>
      </c>
      <c r="CY37" s="763">
        <f t="shared" si="4"/>
        <v>0</v>
      </c>
      <c r="CZ37" s="773" t="s">
        <v>104</v>
      </c>
    </row>
    <row r="38" spans="1:104" ht="28.5">
      <c r="A38" s="86"/>
      <c r="B38" s="86"/>
      <c r="C38" s="86"/>
      <c r="D38" s="86"/>
      <c r="E38" s="86"/>
      <c r="F38" s="757" t="s">
        <v>262</v>
      </c>
      <c r="G38" s="758">
        <f t="shared" si="13"/>
        <v>0</v>
      </c>
      <c r="H38" s="86"/>
      <c r="I38" s="909">
        <f t="shared" si="14"/>
        <v>0</v>
      </c>
      <c r="J38" s="910"/>
      <c r="K38" s="748"/>
      <c r="L38" s="748"/>
      <c r="M38" s="748"/>
      <c r="N38" s="748"/>
      <c r="O38" s="761"/>
      <c r="P38" s="749"/>
      <c r="Q38" s="86"/>
      <c r="R38" s="86"/>
      <c r="S38" s="86"/>
      <c r="T38" s="86"/>
      <c r="U38" s="86"/>
      <c r="V38" s="86"/>
      <c r="W38" s="86"/>
      <c r="Z38" s="730" t="str">
        <f t="shared" si="5"/>
        <v>Food</v>
      </c>
      <c r="AA38" s="730" t="str">
        <f t="shared" si="7"/>
        <v>Food</v>
      </c>
      <c r="AB38" s="730">
        <f t="shared" si="8"/>
        <v>0</v>
      </c>
      <c r="AC38" s="730">
        <f t="shared" si="9"/>
        <v>35</v>
      </c>
      <c r="AD38" s="730">
        <f t="shared" si="6"/>
        <v>33</v>
      </c>
      <c r="AE38" s="730">
        <f t="shared" si="11"/>
        <v>0</v>
      </c>
      <c r="AF38" s="730" t="e">
        <f t="shared" ca="1" si="10"/>
        <v>#N/A</v>
      </c>
      <c r="AG38" s="777">
        <f t="shared" si="12"/>
        <v>0</v>
      </c>
      <c r="AN38" s="737" t="s">
        <v>263</v>
      </c>
      <c r="AO38" s="735"/>
      <c r="AP38" s="730" t="str">
        <f>'Current Status (''Shikuf'')'!D40</f>
        <v>Gas and Parking</v>
      </c>
      <c r="AQ38" s="730" t="str">
        <f>'Month A'!B47</f>
        <v>Gas and Parking</v>
      </c>
      <c r="AR38" s="730" t="str">
        <f>B!$B47</f>
        <v>Gas and Parking</v>
      </c>
      <c r="AS38" s="730" t="str">
        <f>'C'!$B47</f>
        <v>Gas and Parking</v>
      </c>
      <c r="AT38" s="730" t="str">
        <f>D!$B47</f>
        <v>Gas and Parking</v>
      </c>
      <c r="AU38" s="730" t="str">
        <f>E!$B47</f>
        <v>Gas and Parking</v>
      </c>
      <c r="AV38" s="730" t="str">
        <f>F!$B47</f>
        <v>Gas and Parking</v>
      </c>
      <c r="AW38" s="730" t="str">
        <f>G!$B47</f>
        <v>Gas and Parking</v>
      </c>
      <c r="AX38" s="730" t="str">
        <f>H!$B47</f>
        <v>Gas and Parking</v>
      </c>
      <c r="AY38" s="730" t="str">
        <f>I!$B47</f>
        <v>Gas and Parking</v>
      </c>
      <c r="AZ38" s="730" t="str">
        <f>J!$B47</f>
        <v>Gas and Parking</v>
      </c>
      <c r="BA38" s="730" t="str">
        <f>K!$B47</f>
        <v>Gas and Parking</v>
      </c>
      <c r="BB38" s="730" t="str">
        <f>L!$B47</f>
        <v>Gas and Parking</v>
      </c>
      <c r="BD38" s="738">
        <f>'Current Status (''Shikuf'')'!F40</f>
        <v>0</v>
      </c>
      <c r="BE38" s="730">
        <f>'Month A'!$D47</f>
        <v>0</v>
      </c>
      <c r="BF38" s="730">
        <f>B!$D47</f>
        <v>0</v>
      </c>
      <c r="BG38" s="730">
        <f>'C'!$D47</f>
        <v>0</v>
      </c>
      <c r="BH38" s="730">
        <f>D!$D47</f>
        <v>0</v>
      </c>
      <c r="BI38" s="730">
        <f>E!$D47</f>
        <v>0</v>
      </c>
      <c r="BJ38" s="730">
        <f>F!$D47</f>
        <v>0</v>
      </c>
      <c r="BK38" s="730">
        <f>G!$D47</f>
        <v>0</v>
      </c>
      <c r="BL38" s="730">
        <f>H!$D47</f>
        <v>0</v>
      </c>
      <c r="BM38" s="730">
        <f>I!$D47</f>
        <v>0</v>
      </c>
      <c r="BN38" s="730">
        <f>J!$D47</f>
        <v>0</v>
      </c>
      <c r="BO38" s="730">
        <f>K!$D47</f>
        <v>0</v>
      </c>
      <c r="BP38" s="730">
        <f>L!$D47</f>
        <v>0</v>
      </c>
      <c r="BR38" s="730">
        <f>'Month A'!$C47</f>
        <v>0</v>
      </c>
      <c r="BS38" s="730">
        <f>B!$C47</f>
        <v>0</v>
      </c>
      <c r="BT38" s="730">
        <f>'C'!$C47</f>
        <v>0</v>
      </c>
      <c r="BU38" s="730">
        <f>D!$C47</f>
        <v>0</v>
      </c>
      <c r="BV38" s="730">
        <f>E!$C47</f>
        <v>0</v>
      </c>
      <c r="BW38" s="730">
        <f>F!$C47</f>
        <v>0</v>
      </c>
      <c r="BX38" s="730">
        <f>G!$C47</f>
        <v>0</v>
      </c>
      <c r="BY38" s="730">
        <f>H!$C47</f>
        <v>0</v>
      </c>
      <c r="BZ38" s="730">
        <f>I!$C47</f>
        <v>0</v>
      </c>
      <c r="CA38" s="730">
        <f>J!$C47</f>
        <v>0</v>
      </c>
      <c r="CB38" s="730">
        <f>K!$C47</f>
        <v>0</v>
      </c>
      <c r="CC38" s="730">
        <f>L!$C47</f>
        <v>0</v>
      </c>
      <c r="CY38" s="763">
        <f t="shared" si="4"/>
        <v>0</v>
      </c>
      <c r="CZ38" s="773" t="s">
        <v>105</v>
      </c>
    </row>
    <row r="39" spans="1:104" ht="30">
      <c r="A39" s="86"/>
      <c r="B39" s="86"/>
      <c r="C39" s="86"/>
      <c r="D39" s="86"/>
      <c r="E39" s="86"/>
      <c r="F39" s="757" t="s">
        <v>263</v>
      </c>
      <c r="G39" s="758">
        <f t="shared" si="13"/>
        <v>0</v>
      </c>
      <c r="H39" s="86"/>
      <c r="I39" s="909">
        <f t="shared" si="14"/>
        <v>0</v>
      </c>
      <c r="J39" s="910"/>
      <c r="K39" s="748"/>
      <c r="L39" s="748"/>
      <c r="M39" s="748"/>
      <c r="N39" s="748"/>
      <c r="O39" s="761"/>
      <c r="P39" s="749"/>
      <c r="Q39" s="86"/>
      <c r="R39" s="86"/>
      <c r="S39" s="86"/>
      <c r="T39" s="86"/>
      <c r="U39" s="86"/>
      <c r="V39" s="86"/>
      <c r="W39" s="86"/>
      <c r="Z39" s="730" t="str">
        <f t="shared" si="5"/>
        <v>Public Transportation</v>
      </c>
      <c r="AA39" s="730" t="str">
        <f t="shared" si="7"/>
        <v>Public Transportation</v>
      </c>
      <c r="AB39" s="730">
        <f t="shared" si="8"/>
        <v>0</v>
      </c>
      <c r="AC39" s="730">
        <f t="shared" si="9"/>
        <v>36</v>
      </c>
      <c r="AD39" s="730">
        <f t="shared" si="6"/>
        <v>34</v>
      </c>
      <c r="AE39" s="730">
        <f t="shared" si="11"/>
        <v>0</v>
      </c>
      <c r="AF39" s="730" t="e">
        <f t="shared" ca="1" si="10"/>
        <v>#N/A</v>
      </c>
      <c r="AG39" s="777">
        <f t="shared" si="12"/>
        <v>0</v>
      </c>
      <c r="AN39" s="737" t="s">
        <v>264</v>
      </c>
      <c r="AO39" s="735"/>
      <c r="AP39" s="730" t="str">
        <f>'Current Status (''Shikuf'')'!D41</f>
        <v>Telephone-Landline/Long Distance</v>
      </c>
      <c r="AQ39" s="730" t="str">
        <f>'Month A'!B48</f>
        <v>Telephone-Landline/Long Distance</v>
      </c>
      <c r="AR39" s="730" t="str">
        <f>B!$B48</f>
        <v>Telephone-Landline/Long Distance</v>
      </c>
      <c r="AS39" s="730" t="str">
        <f>'C'!$B48</f>
        <v>Telephone-Landline/Long Distance</v>
      </c>
      <c r="AT39" s="730" t="str">
        <f>D!$B48</f>
        <v>Telephone-Landline/Long Distance</v>
      </c>
      <c r="AU39" s="730" t="str">
        <f>E!$B48</f>
        <v>Telephone-Landline/Long Distance</v>
      </c>
      <c r="AV39" s="730" t="str">
        <f>F!$B48</f>
        <v>Telephone-Landline/Long Distance</v>
      </c>
      <c r="AW39" s="730" t="str">
        <f>G!$B48</f>
        <v>Telephone-Landline/Long Distance</v>
      </c>
      <c r="AX39" s="730" t="str">
        <f>H!$B48</f>
        <v>Telephone-Landline/Long Distance</v>
      </c>
      <c r="AY39" s="730" t="str">
        <f>I!$B48</f>
        <v>Telephone-Landline/Long Distance</v>
      </c>
      <c r="AZ39" s="730" t="str">
        <f>J!$B48</f>
        <v>Telephone-Landline/Long Distance</v>
      </c>
      <c r="BA39" s="730" t="str">
        <f>K!$B48</f>
        <v>Telephone-Landline/Long Distance</v>
      </c>
      <c r="BB39" s="730" t="str">
        <f>L!$B48</f>
        <v>Telephone-Landline/Long Distance</v>
      </c>
      <c r="BD39" s="738">
        <f>'Current Status (''Shikuf'')'!F41</f>
        <v>0</v>
      </c>
      <c r="BE39" s="730">
        <f>'Month A'!$D48</f>
        <v>0</v>
      </c>
      <c r="BF39" s="730">
        <f>B!$D48</f>
        <v>0</v>
      </c>
      <c r="BG39" s="730">
        <f>'C'!$D48</f>
        <v>0</v>
      </c>
      <c r="BH39" s="730">
        <f>D!$D48</f>
        <v>0</v>
      </c>
      <c r="BI39" s="730">
        <f>E!$D48</f>
        <v>0</v>
      </c>
      <c r="BJ39" s="730">
        <f>F!$D48</f>
        <v>0</v>
      </c>
      <c r="BK39" s="730">
        <f>G!$D48</f>
        <v>0</v>
      </c>
      <c r="BL39" s="730">
        <f>H!$D48</f>
        <v>0</v>
      </c>
      <c r="BM39" s="730">
        <f>I!$D48</f>
        <v>0</v>
      </c>
      <c r="BN39" s="730">
        <f>J!$D48</f>
        <v>0</v>
      </c>
      <c r="BO39" s="730">
        <f>K!$D48</f>
        <v>0</v>
      </c>
      <c r="BP39" s="730">
        <f>L!$D48</f>
        <v>0</v>
      </c>
      <c r="BR39" s="730">
        <f>'Month A'!$C48</f>
        <v>0</v>
      </c>
      <c r="BS39" s="730">
        <f>B!$C48</f>
        <v>0</v>
      </c>
      <c r="BT39" s="730">
        <f>'C'!$C48</f>
        <v>0</v>
      </c>
      <c r="BU39" s="730">
        <f>D!$C48</f>
        <v>0</v>
      </c>
      <c r="BV39" s="730">
        <f>E!$C48</f>
        <v>0</v>
      </c>
      <c r="BW39" s="730">
        <f>F!$C48</f>
        <v>0</v>
      </c>
      <c r="BX39" s="730">
        <f>G!$C48</f>
        <v>0</v>
      </c>
      <c r="BY39" s="730">
        <f>H!$C48</f>
        <v>0</v>
      </c>
      <c r="BZ39" s="730">
        <f>I!$C48</f>
        <v>0</v>
      </c>
      <c r="CA39" s="730">
        <f>J!$C48</f>
        <v>0</v>
      </c>
      <c r="CB39" s="730">
        <f>K!$C48</f>
        <v>0</v>
      </c>
      <c r="CC39" s="730">
        <f>L!$C48</f>
        <v>0</v>
      </c>
      <c r="CY39" s="763">
        <f t="shared" si="4"/>
        <v>0</v>
      </c>
      <c r="CZ39" s="773" t="s">
        <v>106</v>
      </c>
    </row>
    <row r="40" spans="1:104" ht="15.75">
      <c r="A40" s="86"/>
      <c r="B40" s="86"/>
      <c r="C40" s="86"/>
      <c r="D40" s="86"/>
      <c r="E40" s="86"/>
      <c r="F40" s="757" t="s">
        <v>264</v>
      </c>
      <c r="G40" s="758">
        <f t="shared" si="13"/>
        <v>0</v>
      </c>
      <c r="H40" s="86"/>
      <c r="I40" s="909">
        <f t="shared" si="14"/>
        <v>0</v>
      </c>
      <c r="J40" s="910"/>
      <c r="K40" s="748"/>
      <c r="L40" s="748"/>
      <c r="M40" s="748"/>
      <c r="N40" s="748"/>
      <c r="O40" s="761"/>
      <c r="P40" s="749"/>
      <c r="Q40" s="86"/>
      <c r="R40" s="86"/>
      <c r="S40" s="86"/>
      <c r="T40" s="86"/>
      <c r="U40" s="86"/>
      <c r="V40" s="86"/>
      <c r="W40" s="86"/>
      <c r="Z40" s="730" t="str">
        <f t="shared" si="5"/>
        <v>Gas and Parking</v>
      </c>
      <c r="AA40" s="730" t="str">
        <f t="shared" si="7"/>
        <v>Gas and Parking</v>
      </c>
      <c r="AB40" s="730">
        <f t="shared" si="8"/>
        <v>0</v>
      </c>
      <c r="AC40" s="730">
        <f t="shared" si="9"/>
        <v>37</v>
      </c>
      <c r="AD40" s="730">
        <f t="shared" si="6"/>
        <v>35</v>
      </c>
      <c r="AE40" s="730">
        <f t="shared" si="11"/>
        <v>0</v>
      </c>
      <c r="AF40" s="730" t="e">
        <f t="shared" ca="1" si="10"/>
        <v>#N/A</v>
      </c>
      <c r="AG40" s="777">
        <f t="shared" si="12"/>
        <v>0</v>
      </c>
      <c r="AN40" s="737" t="s">
        <v>266</v>
      </c>
      <c r="AO40" s="735"/>
      <c r="AP40" s="730" t="str">
        <f>'Current Status (''Shikuf'')'!D42</f>
        <v>Cell Phones</v>
      </c>
      <c r="AQ40" s="730" t="str">
        <f>'Month A'!B49</f>
        <v>Cell Phones</v>
      </c>
      <c r="AR40" s="730" t="str">
        <f>B!$B49</f>
        <v>Cell Phones</v>
      </c>
      <c r="AS40" s="730" t="str">
        <f>'C'!$B49</f>
        <v>Cell Phones</v>
      </c>
      <c r="AT40" s="730" t="str">
        <f>D!$B49</f>
        <v>Cell Phones</v>
      </c>
      <c r="AU40" s="730" t="str">
        <f>E!$B49</f>
        <v>Cell Phones</v>
      </c>
      <c r="AV40" s="730" t="str">
        <f>F!$B49</f>
        <v>Cell Phones</v>
      </c>
      <c r="AW40" s="730" t="str">
        <f>G!$B49</f>
        <v>Cell Phones</v>
      </c>
      <c r="AX40" s="730" t="str">
        <f>H!$B49</f>
        <v>Cell Phones</v>
      </c>
      <c r="AY40" s="730" t="str">
        <f>I!$B49</f>
        <v>Cell Phones</v>
      </c>
      <c r="AZ40" s="730" t="str">
        <f>J!$B49</f>
        <v>Cell Phones</v>
      </c>
      <c r="BA40" s="730" t="str">
        <f>K!$B49</f>
        <v>Cell Phones</v>
      </c>
      <c r="BB40" s="730" t="str">
        <f>L!$B49</f>
        <v>Cell Phones</v>
      </c>
      <c r="BD40" s="738">
        <f>'Current Status (''Shikuf'')'!F42</f>
        <v>0</v>
      </c>
      <c r="BE40" s="730">
        <f>'Month A'!$D49</f>
        <v>0</v>
      </c>
      <c r="BF40" s="730">
        <f>B!$D49</f>
        <v>0</v>
      </c>
      <c r="BG40" s="730">
        <f>'C'!$D49</f>
        <v>0</v>
      </c>
      <c r="BH40" s="730">
        <f>D!$D49</f>
        <v>0</v>
      </c>
      <c r="BI40" s="730">
        <f>E!$D49</f>
        <v>0</v>
      </c>
      <c r="BJ40" s="730">
        <f>F!$D49</f>
        <v>0</v>
      </c>
      <c r="BK40" s="730">
        <f>G!$D49</f>
        <v>0</v>
      </c>
      <c r="BL40" s="730">
        <f>H!$D49</f>
        <v>0</v>
      </c>
      <c r="BM40" s="730">
        <f>I!$D49</f>
        <v>0</v>
      </c>
      <c r="BN40" s="730">
        <f>J!$D49</f>
        <v>0</v>
      </c>
      <c r="BO40" s="730">
        <f>K!$D49</f>
        <v>0</v>
      </c>
      <c r="BP40" s="730">
        <f>L!$D49</f>
        <v>0</v>
      </c>
      <c r="BR40" s="730">
        <f>'Month A'!$C49</f>
        <v>0</v>
      </c>
      <c r="BS40" s="730">
        <f>B!$C49</f>
        <v>0</v>
      </c>
      <c r="BT40" s="730">
        <f>'C'!$C49</f>
        <v>0</v>
      </c>
      <c r="BU40" s="730">
        <f>D!$C49</f>
        <v>0</v>
      </c>
      <c r="BV40" s="730">
        <f>E!$C49</f>
        <v>0</v>
      </c>
      <c r="BW40" s="730">
        <f>F!$C49</f>
        <v>0</v>
      </c>
      <c r="BX40" s="730">
        <f>G!$C49</f>
        <v>0</v>
      </c>
      <c r="BY40" s="730">
        <f>H!$C49</f>
        <v>0</v>
      </c>
      <c r="BZ40" s="730">
        <f>I!$C49</f>
        <v>0</v>
      </c>
      <c r="CA40" s="730">
        <f>J!$C49</f>
        <v>0</v>
      </c>
      <c r="CB40" s="730">
        <f>K!$C49</f>
        <v>0</v>
      </c>
      <c r="CC40" s="730">
        <f>L!$C49</f>
        <v>0</v>
      </c>
      <c r="CY40" s="763">
        <f t="shared" si="4"/>
        <v>0</v>
      </c>
      <c r="CZ40" s="773" t="s">
        <v>107</v>
      </c>
    </row>
    <row r="41" spans="1:104" ht="15.75">
      <c r="A41" s="86"/>
      <c r="B41" s="86"/>
      <c r="C41" s="86"/>
      <c r="D41" s="86"/>
      <c r="E41" s="86"/>
      <c r="F41" s="757" t="s">
        <v>266</v>
      </c>
      <c r="G41" s="758">
        <f t="shared" si="13"/>
        <v>0</v>
      </c>
      <c r="H41" s="86"/>
      <c r="I41" s="909">
        <f t="shared" si="14"/>
        <v>0</v>
      </c>
      <c r="J41" s="910"/>
      <c r="K41" s="748"/>
      <c r="L41" s="748"/>
      <c r="M41" s="748"/>
      <c r="N41" s="748"/>
      <c r="O41" s="761"/>
      <c r="P41" s="749"/>
      <c r="Q41" s="86"/>
      <c r="R41" s="86"/>
      <c r="S41" s="86"/>
      <c r="T41" s="86"/>
      <c r="U41" s="86"/>
      <c r="V41" s="86"/>
      <c r="W41" s="86"/>
      <c r="Z41" s="730" t="str">
        <f t="shared" si="5"/>
        <v>Telephone-Landline/Long Distance</v>
      </c>
      <c r="AA41" s="730" t="str">
        <f t="shared" si="7"/>
        <v>Telephone-Landline/Long Distance</v>
      </c>
      <c r="AB41" s="730">
        <f t="shared" si="8"/>
        <v>0</v>
      </c>
      <c r="AC41" s="730">
        <f t="shared" si="9"/>
        <v>38</v>
      </c>
      <c r="AD41" s="730">
        <f t="shared" si="6"/>
        <v>36</v>
      </c>
      <c r="AE41" s="730">
        <f t="shared" si="11"/>
        <v>0</v>
      </c>
      <c r="AF41" s="730" t="e">
        <f t="shared" ca="1" si="10"/>
        <v>#N/A</v>
      </c>
      <c r="AG41" s="777">
        <f t="shared" si="12"/>
        <v>0</v>
      </c>
      <c r="AN41" s="737" t="s">
        <v>267</v>
      </c>
      <c r="AO41" s="735"/>
      <c r="AP41" s="730" t="str">
        <f>'Current Status (''Shikuf'')'!D43</f>
        <v>Home</v>
      </c>
      <c r="AQ41" s="730" t="str">
        <f>'Month A'!B50</f>
        <v>Home</v>
      </c>
      <c r="AR41" s="730" t="str">
        <f>B!$B50</f>
        <v>Home</v>
      </c>
      <c r="AS41" s="730" t="str">
        <f>'C'!$B50</f>
        <v>Home</v>
      </c>
      <c r="AT41" s="730" t="str">
        <f>D!$B50</f>
        <v>Home</v>
      </c>
      <c r="AU41" s="730" t="str">
        <f>E!$B50</f>
        <v>Home</v>
      </c>
      <c r="AV41" s="730" t="str">
        <f>F!$B50</f>
        <v>Home</v>
      </c>
      <c r="AW41" s="730" t="str">
        <f>G!$B50</f>
        <v>Home</v>
      </c>
      <c r="AX41" s="730" t="str">
        <f>H!$B50</f>
        <v>Home</v>
      </c>
      <c r="AY41" s="730" t="str">
        <f>I!$B50</f>
        <v>Home</v>
      </c>
      <c r="AZ41" s="730" t="str">
        <f>J!$B50</f>
        <v>Home</v>
      </c>
      <c r="BA41" s="730" t="str">
        <f>K!$B50</f>
        <v>Home</v>
      </c>
      <c r="BB41" s="730" t="str">
        <f>L!$B50</f>
        <v>Home</v>
      </c>
      <c r="BD41" s="738">
        <f>'Current Status (''Shikuf'')'!F43</f>
        <v>0</v>
      </c>
      <c r="BE41" s="730">
        <f>'Month A'!$D50</f>
        <v>0</v>
      </c>
      <c r="BF41" s="730">
        <f>B!$D50</f>
        <v>0</v>
      </c>
      <c r="BG41" s="730">
        <f>'C'!$D50</f>
        <v>0</v>
      </c>
      <c r="BH41" s="730">
        <f>D!$D50</f>
        <v>0</v>
      </c>
      <c r="BI41" s="730">
        <f>E!$D50</f>
        <v>0</v>
      </c>
      <c r="BJ41" s="730">
        <f>F!$D50</f>
        <v>0</v>
      </c>
      <c r="BK41" s="730">
        <f>G!$D50</f>
        <v>0</v>
      </c>
      <c r="BL41" s="730">
        <f>H!$D50</f>
        <v>0</v>
      </c>
      <c r="BM41" s="730">
        <f>I!$D50</f>
        <v>0</v>
      </c>
      <c r="BN41" s="730">
        <f>J!$D50</f>
        <v>0</v>
      </c>
      <c r="BO41" s="730">
        <f>K!$D50</f>
        <v>0</v>
      </c>
      <c r="BP41" s="730">
        <f>L!$D50</f>
        <v>0</v>
      </c>
      <c r="BR41" s="730">
        <f>'Month A'!$C50</f>
        <v>0</v>
      </c>
      <c r="BS41" s="730">
        <f>B!$C50</f>
        <v>0</v>
      </c>
      <c r="BT41" s="730">
        <f>'C'!$C50</f>
        <v>0</v>
      </c>
      <c r="BU41" s="730">
        <f>D!$C50</f>
        <v>0</v>
      </c>
      <c r="BV41" s="730">
        <f>E!$C50</f>
        <v>0</v>
      </c>
      <c r="BW41" s="730">
        <f>F!$C50</f>
        <v>0</v>
      </c>
      <c r="BX41" s="730">
        <f>G!$C50</f>
        <v>0</v>
      </c>
      <c r="BY41" s="730">
        <f>H!$C50</f>
        <v>0</v>
      </c>
      <c r="BZ41" s="730">
        <f>I!$C50</f>
        <v>0</v>
      </c>
      <c r="CA41" s="730">
        <f>J!$C50</f>
        <v>0</v>
      </c>
      <c r="CB41" s="730">
        <f>K!$C50</f>
        <v>0</v>
      </c>
      <c r="CC41" s="730">
        <f>L!$C50</f>
        <v>0</v>
      </c>
      <c r="CY41" s="763">
        <f t="shared" si="4"/>
        <v>0</v>
      </c>
      <c r="CZ41" s="773" t="s">
        <v>108</v>
      </c>
    </row>
    <row r="42" spans="1:104" ht="15.75">
      <c r="A42" s="86"/>
      <c r="B42" s="86"/>
      <c r="C42" s="86"/>
      <c r="D42" s="86"/>
      <c r="E42" s="86"/>
      <c r="F42" s="757" t="s">
        <v>267</v>
      </c>
      <c r="G42" s="758">
        <f t="shared" si="13"/>
        <v>0</v>
      </c>
      <c r="H42" s="86"/>
      <c r="I42" s="909">
        <f t="shared" si="14"/>
        <v>0</v>
      </c>
      <c r="J42" s="910"/>
      <c r="K42" s="748"/>
      <c r="L42" s="748"/>
      <c r="M42" s="748"/>
      <c r="N42" s="748"/>
      <c r="O42" s="761"/>
      <c r="P42" s="749"/>
      <c r="Q42" s="86"/>
      <c r="R42" s="86"/>
      <c r="S42" s="86"/>
      <c r="T42" s="86"/>
      <c r="U42" s="86"/>
      <c r="V42" s="86"/>
      <c r="W42" s="86"/>
      <c r="Z42" s="730" t="str">
        <f t="shared" si="5"/>
        <v>Cell Phones</v>
      </c>
      <c r="AA42" s="730" t="str">
        <f t="shared" si="7"/>
        <v>Cell Phones</v>
      </c>
      <c r="AB42" s="730">
        <f t="shared" si="8"/>
        <v>0</v>
      </c>
      <c r="AC42" s="730">
        <f t="shared" si="9"/>
        <v>39</v>
      </c>
      <c r="AD42" s="730">
        <f t="shared" si="6"/>
        <v>37</v>
      </c>
      <c r="AE42" s="730">
        <f t="shared" si="11"/>
        <v>0</v>
      </c>
      <c r="AF42" s="730" t="e">
        <f t="shared" ca="1" si="10"/>
        <v>#N/A</v>
      </c>
      <c r="AG42" s="777">
        <f t="shared" si="12"/>
        <v>0</v>
      </c>
      <c r="AN42" s="737" t="s">
        <v>268</v>
      </c>
      <c r="AO42" s="735"/>
      <c r="AP42" s="730" t="str">
        <f>'Current Status (''Shikuf'')'!D44</f>
        <v>Cleaning help / Babysitter</v>
      </c>
      <c r="AQ42" s="730" t="str">
        <f>'Month A'!B51</f>
        <v>Cleaning help / Babysitter</v>
      </c>
      <c r="AR42" s="730" t="str">
        <f>B!$B51</f>
        <v>Cleaning help / Babysitter</v>
      </c>
      <c r="AS42" s="730" t="str">
        <f>'C'!$B51</f>
        <v>Cleaning help / Babysitter</v>
      </c>
      <c r="AT42" s="730" t="str">
        <f>D!$B51</f>
        <v>Cleaning help / Babysitter</v>
      </c>
      <c r="AU42" s="730" t="str">
        <f>E!$B51</f>
        <v>Cleaning help / Babysitter</v>
      </c>
      <c r="AV42" s="730" t="str">
        <f>F!$B51</f>
        <v>Cleaning help / Babysitter</v>
      </c>
      <c r="AW42" s="730" t="str">
        <f>G!$B51</f>
        <v>Cleaning help / Babysitter</v>
      </c>
      <c r="AX42" s="730" t="str">
        <f>H!$B51</f>
        <v>Cleaning help / Babysitter</v>
      </c>
      <c r="AY42" s="730" t="str">
        <f>I!$B51</f>
        <v>Cleaning help / Babysitter</v>
      </c>
      <c r="AZ42" s="730" t="str">
        <f>J!$B51</f>
        <v>Cleaning help / Babysitter</v>
      </c>
      <c r="BA42" s="730" t="str">
        <f>K!$B51</f>
        <v>Cleaning help / Babysitter</v>
      </c>
      <c r="BB42" s="730" t="str">
        <f>L!$B51</f>
        <v>Cleaning help / Babysitter</v>
      </c>
      <c r="BD42" s="738">
        <f>'Current Status (''Shikuf'')'!F44</f>
        <v>0</v>
      </c>
      <c r="BE42" s="730">
        <f>'Month A'!$D51</f>
        <v>0</v>
      </c>
      <c r="BF42" s="730">
        <f>B!$D51</f>
        <v>0</v>
      </c>
      <c r="BG42" s="730">
        <f>'C'!$D51</f>
        <v>0</v>
      </c>
      <c r="BH42" s="730">
        <f>D!$D51</f>
        <v>0</v>
      </c>
      <c r="BI42" s="730">
        <f>E!$D51</f>
        <v>0</v>
      </c>
      <c r="BJ42" s="730">
        <f>F!$D51</f>
        <v>0</v>
      </c>
      <c r="BK42" s="730">
        <f>G!$D51</f>
        <v>0</v>
      </c>
      <c r="BL42" s="730">
        <f>H!$D51</f>
        <v>0</v>
      </c>
      <c r="BM42" s="730">
        <f>I!$D51</f>
        <v>0</v>
      </c>
      <c r="BN42" s="730">
        <f>J!$D51</f>
        <v>0</v>
      </c>
      <c r="BO42" s="730">
        <f>K!$D51</f>
        <v>0</v>
      </c>
      <c r="BP42" s="730">
        <f>L!$D51</f>
        <v>0</v>
      </c>
      <c r="BR42" s="730">
        <f>'Month A'!$C51</f>
        <v>0</v>
      </c>
      <c r="BS42" s="730">
        <f>B!$C51</f>
        <v>0</v>
      </c>
      <c r="BT42" s="730">
        <f>'C'!$C51</f>
        <v>0</v>
      </c>
      <c r="BU42" s="730">
        <f>D!$C51</f>
        <v>0</v>
      </c>
      <c r="BV42" s="730">
        <f>E!$C51</f>
        <v>0</v>
      </c>
      <c r="BW42" s="730">
        <f>F!$C51</f>
        <v>0</v>
      </c>
      <c r="BX42" s="730">
        <f>G!$C51</f>
        <v>0</v>
      </c>
      <c r="BY42" s="730">
        <f>H!$C51</f>
        <v>0</v>
      </c>
      <c r="BZ42" s="730">
        <f>I!$C51</f>
        <v>0</v>
      </c>
      <c r="CA42" s="730">
        <f>J!$C51</f>
        <v>0</v>
      </c>
      <c r="CB42" s="730">
        <f>K!$C51</f>
        <v>0</v>
      </c>
      <c r="CC42" s="730">
        <f>L!$C51</f>
        <v>0</v>
      </c>
      <c r="CY42" s="763">
        <f t="shared" si="4"/>
        <v>0</v>
      </c>
      <c r="CZ42" s="773" t="s">
        <v>109</v>
      </c>
    </row>
    <row r="43" spans="1:104" ht="15.75">
      <c r="A43" s="86"/>
      <c r="B43" s="86"/>
      <c r="C43" s="86"/>
      <c r="D43" s="86"/>
      <c r="E43" s="86"/>
      <c r="F43" s="757" t="s">
        <v>268</v>
      </c>
      <c r="G43" s="758">
        <f t="shared" si="13"/>
        <v>0</v>
      </c>
      <c r="H43" s="86"/>
      <c r="I43" s="909">
        <f t="shared" si="14"/>
        <v>0</v>
      </c>
      <c r="J43" s="910"/>
      <c r="K43" s="748"/>
      <c r="L43" s="748"/>
      <c r="M43" s="748"/>
      <c r="N43" s="748"/>
      <c r="O43" s="761"/>
      <c r="P43" s="749"/>
      <c r="Q43" s="86"/>
      <c r="R43" s="86"/>
      <c r="S43" s="86"/>
      <c r="T43" s="86"/>
      <c r="U43" s="86"/>
      <c r="V43" s="86"/>
      <c r="W43" s="86"/>
      <c r="Z43" s="730" t="str">
        <f t="shared" si="5"/>
        <v>Home</v>
      </c>
      <c r="AA43" s="730" t="str">
        <f t="shared" si="7"/>
        <v>Home</v>
      </c>
      <c r="AB43" s="730">
        <f t="shared" si="8"/>
        <v>0</v>
      </c>
      <c r="AC43" s="730">
        <f t="shared" si="9"/>
        <v>40</v>
      </c>
      <c r="AD43" s="730">
        <f t="shared" si="6"/>
        <v>38</v>
      </c>
      <c r="AE43" s="730">
        <f t="shared" si="11"/>
        <v>0</v>
      </c>
      <c r="AF43" s="730" t="e">
        <f t="shared" ca="1" si="10"/>
        <v>#N/A</v>
      </c>
      <c r="AG43" s="777">
        <f t="shared" si="12"/>
        <v>0</v>
      </c>
      <c r="AN43" s="737" t="s">
        <v>201</v>
      </c>
      <c r="AO43" s="735"/>
      <c r="AP43" s="730" t="str">
        <f>'Current Status (''Shikuf'')'!D45</f>
        <v>Cigarettes</v>
      </c>
      <c r="AQ43" s="730" t="str">
        <f>'Month A'!B52</f>
        <v>Cigarettes</v>
      </c>
      <c r="AR43" s="730" t="str">
        <f>B!$B52</f>
        <v>Cigarettes</v>
      </c>
      <c r="AS43" s="730" t="str">
        <f>'C'!$B52</f>
        <v>Cigarettes</v>
      </c>
      <c r="AT43" s="730" t="str">
        <f>D!$B52</f>
        <v>Cigarettes</v>
      </c>
      <c r="AU43" s="730" t="str">
        <f>E!$B52</f>
        <v>Cigarettes</v>
      </c>
      <c r="AV43" s="730" t="str">
        <f>F!$B52</f>
        <v>Cigarettes</v>
      </c>
      <c r="AW43" s="730" t="str">
        <f>G!$B52</f>
        <v>Cigarettes</v>
      </c>
      <c r="AX43" s="730" t="str">
        <f>H!$B52</f>
        <v>Cigarettes</v>
      </c>
      <c r="AY43" s="730" t="str">
        <f>I!$B52</f>
        <v>Cigarettes</v>
      </c>
      <c r="AZ43" s="730" t="str">
        <f>J!$B52</f>
        <v>Cigarettes</v>
      </c>
      <c r="BA43" s="730" t="str">
        <f>K!$B52</f>
        <v>Cigarettes</v>
      </c>
      <c r="BB43" s="730" t="str">
        <f>L!$B52</f>
        <v>Cigarettes</v>
      </c>
      <c r="BD43" s="738">
        <f>'Current Status (''Shikuf'')'!F45</f>
        <v>0</v>
      </c>
      <c r="BE43" s="730">
        <f>'Month A'!$D52</f>
        <v>0</v>
      </c>
      <c r="BF43" s="730">
        <f>B!$D52</f>
        <v>0</v>
      </c>
      <c r="BG43" s="730">
        <f>'C'!$D52</f>
        <v>0</v>
      </c>
      <c r="BH43" s="730">
        <f>D!$D52</f>
        <v>0</v>
      </c>
      <c r="BI43" s="730">
        <f>E!$D52</f>
        <v>0</v>
      </c>
      <c r="BJ43" s="730">
        <f>F!$D52</f>
        <v>0</v>
      </c>
      <c r="BK43" s="730">
        <f>G!$D52</f>
        <v>0</v>
      </c>
      <c r="BL43" s="730">
        <f>H!$D52</f>
        <v>0</v>
      </c>
      <c r="BM43" s="730">
        <f>I!$D52</f>
        <v>0</v>
      </c>
      <c r="BN43" s="730">
        <f>J!$D52</f>
        <v>0</v>
      </c>
      <c r="BO43" s="730">
        <f>K!$D52</f>
        <v>0</v>
      </c>
      <c r="BP43" s="730">
        <f>L!$D52</f>
        <v>0</v>
      </c>
      <c r="BR43" s="730">
        <f>'Month A'!$C52</f>
        <v>0</v>
      </c>
      <c r="BS43" s="730">
        <f>B!$C52</f>
        <v>0</v>
      </c>
      <c r="BT43" s="730">
        <f>'C'!$C52</f>
        <v>0</v>
      </c>
      <c r="BU43" s="730">
        <f>D!$C52</f>
        <v>0</v>
      </c>
      <c r="BV43" s="730">
        <f>E!$C52</f>
        <v>0</v>
      </c>
      <c r="BW43" s="730">
        <f>F!$C52</f>
        <v>0</v>
      </c>
      <c r="BX43" s="730">
        <f>G!$C52</f>
        <v>0</v>
      </c>
      <c r="BY43" s="730">
        <f>H!$C52</f>
        <v>0</v>
      </c>
      <c r="BZ43" s="730">
        <f>I!$C52</f>
        <v>0</v>
      </c>
      <c r="CA43" s="730">
        <f>J!$C52</f>
        <v>0</v>
      </c>
      <c r="CB43" s="730">
        <f>K!$C52</f>
        <v>0</v>
      </c>
      <c r="CC43" s="730">
        <f>L!$C52</f>
        <v>0</v>
      </c>
      <c r="CY43" s="763">
        <f t="shared" si="4"/>
        <v>0</v>
      </c>
      <c r="CZ43" s="773" t="s">
        <v>110</v>
      </c>
    </row>
    <row r="44" spans="1:104" ht="15.75" customHeight="1">
      <c r="A44" s="86"/>
      <c r="B44" s="86"/>
      <c r="C44" s="86"/>
      <c r="D44" s="86"/>
      <c r="E44" s="86"/>
      <c r="F44" s="757" t="s">
        <v>201</v>
      </c>
      <c r="G44" s="758">
        <f t="shared" si="13"/>
        <v>0</v>
      </c>
      <c r="H44" s="86"/>
      <c r="I44" s="909">
        <f t="shared" si="14"/>
        <v>0</v>
      </c>
      <c r="J44" s="910"/>
      <c r="K44" s="748"/>
      <c r="L44" s="748"/>
      <c r="M44" s="748"/>
      <c r="N44" s="748"/>
      <c r="O44" s="761"/>
      <c r="P44" s="749"/>
      <c r="Q44" s="86"/>
      <c r="R44" s="86"/>
      <c r="S44" s="86"/>
      <c r="T44" s="86"/>
      <c r="U44" s="86"/>
      <c r="V44" s="86"/>
      <c r="W44" s="86"/>
      <c r="Z44" s="730" t="str">
        <f t="shared" si="5"/>
        <v>Cleaning help / Babysitter</v>
      </c>
      <c r="AA44" s="730" t="str">
        <f t="shared" si="7"/>
        <v>Cleaning help / Babysitter</v>
      </c>
      <c r="AB44" s="730">
        <f t="shared" si="8"/>
        <v>0</v>
      </c>
      <c r="AC44" s="730">
        <f t="shared" si="9"/>
        <v>41</v>
      </c>
      <c r="AD44" s="730">
        <f t="shared" si="6"/>
        <v>39</v>
      </c>
      <c r="AE44" s="730">
        <f t="shared" si="11"/>
        <v>0</v>
      </c>
      <c r="AF44" s="730" t="e">
        <f t="shared" ca="1" si="10"/>
        <v>#N/A</v>
      </c>
      <c r="AG44" s="777">
        <f t="shared" si="12"/>
        <v>0</v>
      </c>
      <c r="AN44" s="737" t="s">
        <v>505</v>
      </c>
      <c r="AO44" s="735"/>
      <c r="AP44" s="730" t="str">
        <f>'Current Status (''Shikuf'')'!D46</f>
        <v>Other</v>
      </c>
      <c r="AQ44" s="730" t="str">
        <f>'Month A'!B53</f>
        <v>Other</v>
      </c>
      <c r="AR44" s="730" t="str">
        <f>B!$B53</f>
        <v>Other</v>
      </c>
      <c r="AS44" s="730" t="str">
        <f>'C'!$B53</f>
        <v>Other</v>
      </c>
      <c r="AT44" s="730" t="str">
        <f>D!$B53</f>
        <v>Other</v>
      </c>
      <c r="AU44" s="730" t="str">
        <f>E!$B53</f>
        <v>Other</v>
      </c>
      <c r="AV44" s="730" t="str">
        <f>F!$B53</f>
        <v>Other</v>
      </c>
      <c r="AW44" s="730" t="str">
        <f>G!$B53</f>
        <v>Other</v>
      </c>
      <c r="AX44" s="730" t="str">
        <f>H!$B53</f>
        <v>Other</v>
      </c>
      <c r="AY44" s="730" t="str">
        <f>I!$B53</f>
        <v>Other</v>
      </c>
      <c r="AZ44" s="730" t="str">
        <f>J!$B53</f>
        <v>Other</v>
      </c>
      <c r="BA44" s="730" t="str">
        <f>K!$B53</f>
        <v>Other</v>
      </c>
      <c r="BB44" s="730" t="str">
        <f>L!$B53</f>
        <v>Other</v>
      </c>
      <c r="BD44" s="738">
        <f>'Current Status (''Shikuf'')'!F46</f>
        <v>0</v>
      </c>
      <c r="BE44" s="730">
        <f>'Month A'!$D53</f>
        <v>0</v>
      </c>
      <c r="BF44" s="730">
        <f>B!$D53</f>
        <v>0</v>
      </c>
      <c r="BG44" s="730">
        <f>'C'!$D53</f>
        <v>0</v>
      </c>
      <c r="BH44" s="730">
        <f>D!$D53</f>
        <v>0</v>
      </c>
      <c r="BI44" s="730">
        <f>E!$D53</f>
        <v>0</v>
      </c>
      <c r="BJ44" s="730">
        <f>F!$D53</f>
        <v>0</v>
      </c>
      <c r="BK44" s="730">
        <f>G!$D53</f>
        <v>0</v>
      </c>
      <c r="BL44" s="730">
        <f>H!$D53</f>
        <v>0</v>
      </c>
      <c r="BM44" s="730">
        <f>I!$D53</f>
        <v>0</v>
      </c>
      <c r="BN44" s="730">
        <f>J!$D53</f>
        <v>0</v>
      </c>
      <c r="BO44" s="730">
        <f>K!$D53</f>
        <v>0</v>
      </c>
      <c r="BP44" s="730">
        <f>L!$D53</f>
        <v>0</v>
      </c>
      <c r="BR44" s="730">
        <f>'Month A'!$C53</f>
        <v>0</v>
      </c>
      <c r="BS44" s="730">
        <f>B!$C53</f>
        <v>0</v>
      </c>
      <c r="BT44" s="730">
        <f>'C'!$C53</f>
        <v>0</v>
      </c>
      <c r="BU44" s="730">
        <f>D!$C53</f>
        <v>0</v>
      </c>
      <c r="BV44" s="730">
        <f>E!$C53</f>
        <v>0</v>
      </c>
      <c r="BW44" s="730">
        <f>F!$C53</f>
        <v>0</v>
      </c>
      <c r="BX44" s="730">
        <f>G!$C53</f>
        <v>0</v>
      </c>
      <c r="BY44" s="730">
        <f>H!$C53</f>
        <v>0</v>
      </c>
      <c r="BZ44" s="730">
        <f>I!$C53</f>
        <v>0</v>
      </c>
      <c r="CA44" s="730">
        <f>J!$C53</f>
        <v>0</v>
      </c>
      <c r="CB44" s="730">
        <f>K!$C53</f>
        <v>0</v>
      </c>
      <c r="CC44" s="730">
        <f>L!$C53</f>
        <v>0</v>
      </c>
      <c r="CY44" s="763">
        <f t="shared" si="4"/>
        <v>0</v>
      </c>
      <c r="CZ44" s="773" t="s">
        <v>111</v>
      </c>
    </row>
    <row r="45" spans="1:104" ht="15.75" customHeight="1">
      <c r="A45" s="86"/>
      <c r="B45" s="86"/>
      <c r="C45" s="86"/>
      <c r="D45" s="86"/>
      <c r="E45" s="86"/>
      <c r="F45" s="757" t="str">
        <f>IF(ISERROR(VLOOKUP(AN44,$Z$5:$AA$63,2,FALSE)),AN44,VLOOKUP(AN44,$Z$5:$AA$63,2,FALSE))</f>
        <v>Everyday - Custom Field1</v>
      </c>
      <c r="G45" s="758">
        <f t="shared" si="13"/>
        <v>0</v>
      </c>
      <c r="H45" s="86"/>
      <c r="I45" s="909">
        <f t="shared" si="14"/>
        <v>0</v>
      </c>
      <c r="J45" s="910"/>
      <c r="K45" s="748"/>
      <c r="L45" s="748"/>
      <c r="M45" s="748"/>
      <c r="N45" s="748"/>
      <c r="O45" s="761"/>
      <c r="P45" s="749"/>
      <c r="Q45" s="86"/>
      <c r="R45" s="86"/>
      <c r="S45" s="86"/>
      <c r="T45" s="86"/>
      <c r="U45" s="86"/>
      <c r="V45" s="86"/>
      <c r="W45" s="86"/>
      <c r="Z45" s="730" t="str">
        <f t="shared" si="5"/>
        <v>Cigarettes</v>
      </c>
      <c r="AA45" s="730" t="str">
        <f t="shared" si="7"/>
        <v>Cigarettes</v>
      </c>
      <c r="AB45" s="730">
        <f t="shared" si="8"/>
        <v>0</v>
      </c>
      <c r="AC45" s="730">
        <f t="shared" si="9"/>
        <v>42</v>
      </c>
      <c r="AD45" s="730">
        <f t="shared" si="6"/>
        <v>40</v>
      </c>
      <c r="AE45" s="730">
        <f t="shared" si="11"/>
        <v>0</v>
      </c>
      <c r="AF45" s="730" t="e">
        <f t="shared" ca="1" si="10"/>
        <v>#N/A</v>
      </c>
      <c r="AG45" s="777">
        <f t="shared" si="12"/>
        <v>0</v>
      </c>
      <c r="AN45" s="737" t="s">
        <v>506</v>
      </c>
      <c r="AO45" s="735"/>
      <c r="AP45" s="730">
        <f>'Current Status (''Shikuf'')'!D47</f>
        <v>0</v>
      </c>
      <c r="AQ45" s="730">
        <f>'Month A'!B54</f>
        <v>0</v>
      </c>
      <c r="AR45" s="730">
        <f>B!$B54</f>
        <v>0</v>
      </c>
      <c r="AS45" s="730">
        <f>'C'!$B54</f>
        <v>0</v>
      </c>
      <c r="AT45" s="730">
        <f>D!$B54</f>
        <v>0</v>
      </c>
      <c r="AU45" s="730">
        <f>E!$B54</f>
        <v>0</v>
      </c>
      <c r="AV45" s="730">
        <f>F!$B54</f>
        <v>0</v>
      </c>
      <c r="AW45" s="730">
        <f>G!$B54</f>
        <v>0</v>
      </c>
      <c r="AX45" s="730">
        <f>H!$B54</f>
        <v>0</v>
      </c>
      <c r="AY45" s="730">
        <f>I!$B54</f>
        <v>0</v>
      </c>
      <c r="AZ45" s="730">
        <f>J!$B54</f>
        <v>0</v>
      </c>
      <c r="BA45" s="730">
        <f>K!$B54</f>
        <v>0</v>
      </c>
      <c r="BB45" s="730">
        <f>L!$B54</f>
        <v>0</v>
      </c>
      <c r="BD45" s="738">
        <f>'Current Status (''Shikuf'')'!F47</f>
        <v>0</v>
      </c>
      <c r="BE45" s="730">
        <f>'Month A'!$D54</f>
        <v>0</v>
      </c>
      <c r="BF45" s="730">
        <f>B!$D54</f>
        <v>0</v>
      </c>
      <c r="BG45" s="730">
        <f>'C'!$D54</f>
        <v>0</v>
      </c>
      <c r="BH45" s="730">
        <f>D!$D54</f>
        <v>0</v>
      </c>
      <c r="BI45" s="730">
        <f>E!$D54</f>
        <v>0</v>
      </c>
      <c r="BJ45" s="730">
        <f>F!$D54</f>
        <v>0</v>
      </c>
      <c r="BK45" s="730">
        <f>G!$D54</f>
        <v>0</v>
      </c>
      <c r="BL45" s="730">
        <f>H!$D54</f>
        <v>0</v>
      </c>
      <c r="BM45" s="730">
        <f>I!$D54</f>
        <v>0</v>
      </c>
      <c r="BN45" s="730">
        <f>J!$D54</f>
        <v>0</v>
      </c>
      <c r="BO45" s="730">
        <f>K!$D54</f>
        <v>0</v>
      </c>
      <c r="BP45" s="730">
        <f>L!$D54</f>
        <v>0</v>
      </c>
      <c r="BR45" s="730">
        <f>'Month A'!$C54</f>
        <v>0</v>
      </c>
      <c r="BS45" s="730">
        <f>B!$C54</f>
        <v>0</v>
      </c>
      <c r="BT45" s="730">
        <f>'C'!$C54</f>
        <v>0</v>
      </c>
      <c r="BU45" s="730">
        <f>D!$C54</f>
        <v>0</v>
      </c>
      <c r="BV45" s="730">
        <f>E!$C54</f>
        <v>0</v>
      </c>
      <c r="BW45" s="730">
        <f>F!$C54</f>
        <v>0</v>
      </c>
      <c r="BX45" s="730">
        <f>G!$C54</f>
        <v>0</v>
      </c>
      <c r="BY45" s="730">
        <f>H!$C54</f>
        <v>0</v>
      </c>
      <c r="BZ45" s="730">
        <f>I!$C54</f>
        <v>0</v>
      </c>
      <c r="CA45" s="730">
        <f>J!$C54</f>
        <v>0</v>
      </c>
      <c r="CB45" s="730">
        <f>K!$C54</f>
        <v>0</v>
      </c>
      <c r="CC45" s="730">
        <f>L!$C54</f>
        <v>0</v>
      </c>
      <c r="CX45" s="730" t="str">
        <f>F45</f>
        <v>Everyday - Custom Field1</v>
      </c>
      <c r="CY45" s="763">
        <f t="shared" si="4"/>
        <v>0</v>
      </c>
      <c r="CZ45" s="773" t="s">
        <v>112</v>
      </c>
    </row>
    <row r="46" spans="1:104" ht="15.75">
      <c r="A46" s="86"/>
      <c r="B46" s="86"/>
      <c r="C46" s="86"/>
      <c r="D46" s="86"/>
      <c r="E46" s="86"/>
      <c r="F46" s="757" t="str">
        <f>IF(ISERROR(VLOOKUP(AN45,$Z$5:$AA$63,2,FALSE)),AN45,VLOOKUP(AN45,$Z$5:$AA$63,2,FALSE))</f>
        <v>Everyday - Custom Field2</v>
      </c>
      <c r="G46" s="758">
        <f t="shared" si="13"/>
        <v>0</v>
      </c>
      <c r="H46" s="86"/>
      <c r="I46" s="909">
        <f t="shared" si="14"/>
        <v>0</v>
      </c>
      <c r="J46" s="910"/>
      <c r="K46" s="748"/>
      <c r="L46" s="748"/>
      <c r="M46" s="748"/>
      <c r="N46" s="748"/>
      <c r="O46" s="761"/>
      <c r="P46" s="749"/>
      <c r="Q46" s="86"/>
      <c r="R46" s="86"/>
      <c r="S46" s="86"/>
      <c r="T46" s="86"/>
      <c r="U46" s="86"/>
      <c r="V46" s="86"/>
      <c r="W46" s="86"/>
      <c r="Z46" s="730" t="str">
        <f t="shared" si="5"/>
        <v>Other</v>
      </c>
      <c r="AA46" s="730" t="str">
        <f t="shared" si="7"/>
        <v>Other</v>
      </c>
      <c r="AB46" s="730">
        <f t="shared" si="8"/>
        <v>0</v>
      </c>
      <c r="AC46" s="730">
        <f t="shared" si="9"/>
        <v>43</v>
      </c>
      <c r="AD46" s="730">
        <f t="shared" si="6"/>
        <v>41</v>
      </c>
      <c r="AE46" s="730">
        <f t="shared" si="11"/>
        <v>0</v>
      </c>
      <c r="AF46" s="730" t="e">
        <f t="shared" ca="1" si="10"/>
        <v>#N/A</v>
      </c>
      <c r="AG46" s="777">
        <f t="shared" si="12"/>
        <v>0</v>
      </c>
      <c r="AN46" s="737" t="s">
        <v>276</v>
      </c>
      <c r="AO46" s="735"/>
      <c r="AP46" s="730">
        <f>'Current Status (''Shikuf'')'!D48</f>
        <v>0</v>
      </c>
      <c r="AQ46" s="730">
        <f>'Month A'!B55</f>
        <v>0</v>
      </c>
      <c r="AR46" s="730">
        <f>B!$B55</f>
        <v>0</v>
      </c>
      <c r="AS46" s="730">
        <f>'C'!$B55</f>
        <v>0</v>
      </c>
      <c r="AT46" s="730">
        <f>D!$B55</f>
        <v>0</v>
      </c>
      <c r="AU46" s="730">
        <f>E!$B55</f>
        <v>0</v>
      </c>
      <c r="AV46" s="730">
        <f>F!$B55</f>
        <v>0</v>
      </c>
      <c r="AW46" s="730">
        <f>G!$B55</f>
        <v>0</v>
      </c>
      <c r="AX46" s="730">
        <f>H!$B55</f>
        <v>0</v>
      </c>
      <c r="AY46" s="730">
        <f>I!$B55</f>
        <v>0</v>
      </c>
      <c r="AZ46" s="730">
        <f>J!$B55</f>
        <v>0</v>
      </c>
      <c r="BA46" s="730">
        <f>K!$B55</f>
        <v>0</v>
      </c>
      <c r="BB46" s="730">
        <f>L!$B55</f>
        <v>0</v>
      </c>
      <c r="BD46" s="738">
        <f>'Current Status (''Shikuf'')'!F48</f>
        <v>0</v>
      </c>
      <c r="BE46" s="730">
        <f>'Month A'!$D55</f>
        <v>0</v>
      </c>
      <c r="BF46" s="730">
        <f>B!$D55</f>
        <v>0</v>
      </c>
      <c r="BG46" s="730">
        <f>'C'!$D55</f>
        <v>0</v>
      </c>
      <c r="BH46" s="730">
        <f>D!$D55</f>
        <v>0</v>
      </c>
      <c r="BI46" s="730">
        <f>E!$D55</f>
        <v>0</v>
      </c>
      <c r="BJ46" s="730">
        <f>F!$D55</f>
        <v>0</v>
      </c>
      <c r="BK46" s="730">
        <f>G!$D55</f>
        <v>0</v>
      </c>
      <c r="BL46" s="730">
        <f>H!$D55</f>
        <v>0</v>
      </c>
      <c r="BM46" s="730">
        <f>I!$D55</f>
        <v>0</v>
      </c>
      <c r="BN46" s="730">
        <f>J!$D55</f>
        <v>0</v>
      </c>
      <c r="BO46" s="730">
        <f>K!$D55</f>
        <v>0</v>
      </c>
      <c r="BP46" s="730">
        <f>L!$D55</f>
        <v>0</v>
      </c>
      <c r="BR46" s="730">
        <f>'Month A'!$C55</f>
        <v>0</v>
      </c>
      <c r="BS46" s="730">
        <f>B!$C55</f>
        <v>0</v>
      </c>
      <c r="BT46" s="730">
        <f>'C'!$C55</f>
        <v>0</v>
      </c>
      <c r="BU46" s="730">
        <f>D!$C55</f>
        <v>0</v>
      </c>
      <c r="BV46" s="730">
        <f>E!$C55</f>
        <v>0</v>
      </c>
      <c r="BW46" s="730">
        <f>F!$C55</f>
        <v>0</v>
      </c>
      <c r="BX46" s="730">
        <f>G!$C55</f>
        <v>0</v>
      </c>
      <c r="BY46" s="730">
        <f>H!$C55</f>
        <v>0</v>
      </c>
      <c r="BZ46" s="730">
        <f>I!$C55</f>
        <v>0</v>
      </c>
      <c r="CA46" s="730">
        <f>J!$C55</f>
        <v>0</v>
      </c>
      <c r="CB46" s="730">
        <f>K!$C55</f>
        <v>0</v>
      </c>
      <c r="CC46" s="730">
        <f>L!$C55</f>
        <v>0</v>
      </c>
      <c r="CX46" s="730" t="str">
        <f>F46</f>
        <v>Everyday - Custom Field2</v>
      </c>
      <c r="CY46" s="763">
        <f t="shared" si="4"/>
        <v>0</v>
      </c>
      <c r="CZ46" s="773" t="s">
        <v>113</v>
      </c>
    </row>
    <row r="47" spans="1:104" ht="15.75">
      <c r="A47" s="86"/>
      <c r="B47" s="86"/>
      <c r="C47" s="86"/>
      <c r="D47" s="86"/>
      <c r="E47" s="86"/>
      <c r="F47" s="757" t="s">
        <v>276</v>
      </c>
      <c r="G47" s="758">
        <f t="shared" si="13"/>
        <v>0</v>
      </c>
      <c r="H47" s="86"/>
      <c r="I47" s="909">
        <f t="shared" si="14"/>
        <v>0</v>
      </c>
      <c r="J47" s="910"/>
      <c r="K47" s="748"/>
      <c r="L47" s="748"/>
      <c r="M47" s="748"/>
      <c r="N47" s="748"/>
      <c r="O47" s="761"/>
      <c r="P47" s="749"/>
      <c r="Q47" s="86"/>
      <c r="R47" s="86"/>
      <c r="S47" s="86"/>
      <c r="T47" s="86"/>
      <c r="U47" s="86"/>
      <c r="V47" s="86"/>
      <c r="W47" s="86"/>
      <c r="Z47" s="730">
        <f t="shared" si="5"/>
        <v>0</v>
      </c>
      <c r="AA47" s="730">
        <f t="shared" si="7"/>
        <v>0</v>
      </c>
      <c r="AB47" s="730">
        <f t="shared" si="8"/>
        <v>0</v>
      </c>
      <c r="AC47" s="730">
        <f t="shared" si="9"/>
        <v>44</v>
      </c>
      <c r="AD47" s="730" t="e">
        <f t="shared" si="6"/>
        <v>#N/A</v>
      </c>
      <c r="AE47" s="730">
        <f t="shared" si="11"/>
        <v>0</v>
      </c>
      <c r="AF47" s="730" t="e">
        <f t="shared" ca="1" si="10"/>
        <v>#N/A</v>
      </c>
      <c r="AG47" s="777">
        <f t="shared" si="12"/>
        <v>0</v>
      </c>
      <c r="AN47" s="737" t="s">
        <v>277</v>
      </c>
      <c r="AO47" s="735"/>
      <c r="AP47" s="730">
        <f>'Current Status (''Shikuf'')'!D49</f>
        <v>0</v>
      </c>
      <c r="AQ47" s="730">
        <f>'Month A'!B56</f>
        <v>0</v>
      </c>
      <c r="AR47" s="730">
        <f>B!$B56</f>
        <v>0</v>
      </c>
      <c r="AS47" s="730">
        <f>'C'!$B56</f>
        <v>0</v>
      </c>
      <c r="AT47" s="730">
        <f>D!$B56</f>
        <v>0</v>
      </c>
      <c r="AU47" s="730">
        <f>E!$B56</f>
        <v>0</v>
      </c>
      <c r="AV47" s="730">
        <f>F!$B56</f>
        <v>0</v>
      </c>
      <c r="AW47" s="730">
        <f>G!$B56</f>
        <v>0</v>
      </c>
      <c r="AX47" s="730">
        <f>H!$B56</f>
        <v>0</v>
      </c>
      <c r="AY47" s="730">
        <f>I!$B56</f>
        <v>0</v>
      </c>
      <c r="AZ47" s="730">
        <f>J!$B56</f>
        <v>0</v>
      </c>
      <c r="BA47" s="730">
        <f>K!$B56</f>
        <v>0</v>
      </c>
      <c r="BB47" s="730">
        <f>L!$B56</f>
        <v>0</v>
      </c>
      <c r="BD47" s="738">
        <f>'Current Status (''Shikuf'')'!F49</f>
        <v>0</v>
      </c>
      <c r="BE47" s="730">
        <f>'Month A'!$D56</f>
        <v>0</v>
      </c>
      <c r="BF47" s="730">
        <f>B!$D56</f>
        <v>0</v>
      </c>
      <c r="BG47" s="730">
        <f>'C'!$D56</f>
        <v>0</v>
      </c>
      <c r="BH47" s="730">
        <f>D!$D56</f>
        <v>0</v>
      </c>
      <c r="BI47" s="730">
        <f>E!$D56</f>
        <v>0</v>
      </c>
      <c r="BJ47" s="730">
        <f>F!$D56</f>
        <v>0</v>
      </c>
      <c r="BK47" s="730">
        <f>G!$D56</f>
        <v>0</v>
      </c>
      <c r="BL47" s="730">
        <f>H!$D56</f>
        <v>0</v>
      </c>
      <c r="BM47" s="730">
        <f>I!$D56</f>
        <v>0</v>
      </c>
      <c r="BN47" s="730">
        <f>J!$D56</f>
        <v>0</v>
      </c>
      <c r="BO47" s="730">
        <f>K!$D56</f>
        <v>0</v>
      </c>
      <c r="BP47" s="730">
        <f>L!$D56</f>
        <v>0</v>
      </c>
      <c r="BR47" s="730">
        <f>'Month A'!$C56</f>
        <v>0</v>
      </c>
      <c r="BS47" s="730">
        <f>B!$C56</f>
        <v>0</v>
      </c>
      <c r="BT47" s="730">
        <f>'C'!$C56</f>
        <v>0</v>
      </c>
      <c r="BU47" s="730">
        <f>D!$C56</f>
        <v>0</v>
      </c>
      <c r="BV47" s="730">
        <f>E!$C56</f>
        <v>0</v>
      </c>
      <c r="BW47" s="730">
        <f>F!$C56</f>
        <v>0</v>
      </c>
      <c r="BX47" s="730">
        <f>G!$C56</f>
        <v>0</v>
      </c>
      <c r="BY47" s="730">
        <f>H!$C56</f>
        <v>0</v>
      </c>
      <c r="BZ47" s="730">
        <f>I!$C56</f>
        <v>0</v>
      </c>
      <c r="CA47" s="730">
        <f>J!$C56</f>
        <v>0</v>
      </c>
      <c r="CB47" s="730">
        <f>K!$C56</f>
        <v>0</v>
      </c>
      <c r="CC47" s="730">
        <f>L!$C56</f>
        <v>0</v>
      </c>
      <c r="CY47" s="763">
        <f t="shared" si="4"/>
        <v>0</v>
      </c>
      <c r="CZ47" s="773" t="s">
        <v>114</v>
      </c>
    </row>
    <row r="48" spans="1:104" ht="15.75">
      <c r="A48" s="86"/>
      <c r="B48" s="86"/>
      <c r="C48" s="86"/>
      <c r="D48" s="86"/>
      <c r="E48" s="86"/>
      <c r="F48" s="757" t="s">
        <v>277</v>
      </c>
      <c r="G48" s="758">
        <f t="shared" si="13"/>
        <v>0</v>
      </c>
      <c r="H48" s="86"/>
      <c r="I48" s="909">
        <f t="shared" si="14"/>
        <v>0</v>
      </c>
      <c r="J48" s="910"/>
      <c r="K48" s="748"/>
      <c r="L48" s="748"/>
      <c r="M48" s="748"/>
      <c r="N48" s="748"/>
      <c r="O48" s="761"/>
      <c r="P48" s="749"/>
      <c r="Q48" s="86"/>
      <c r="R48" s="86"/>
      <c r="S48" s="86"/>
      <c r="T48" s="86"/>
      <c r="U48" s="86"/>
      <c r="V48" s="86"/>
      <c r="W48" s="86"/>
      <c r="Z48" s="730">
        <f t="shared" si="5"/>
        <v>0</v>
      </c>
      <c r="AA48" s="730">
        <f t="shared" si="7"/>
        <v>0</v>
      </c>
      <c r="AB48" s="730">
        <f t="shared" si="8"/>
        <v>0</v>
      </c>
      <c r="AC48" s="730">
        <f t="shared" si="9"/>
        <v>45</v>
      </c>
      <c r="AD48" s="730" t="e">
        <f t="shared" si="6"/>
        <v>#N/A</v>
      </c>
      <c r="AE48" s="730">
        <f t="shared" si="11"/>
        <v>0</v>
      </c>
      <c r="AF48" s="730" t="e">
        <f t="shared" ca="1" si="10"/>
        <v>#N/A</v>
      </c>
      <c r="AG48" s="777">
        <f t="shared" si="12"/>
        <v>0</v>
      </c>
      <c r="AN48" s="737" t="s">
        <v>278</v>
      </c>
      <c r="AO48" s="735"/>
      <c r="AP48" s="730" t="str">
        <f>'Current Status (''Shikuf'')'!I5</f>
        <v>Husband job 1</v>
      </c>
      <c r="AQ48" s="730" t="str">
        <f>'Month A'!Y6</f>
        <v>Husband job 1</v>
      </c>
      <c r="AR48" s="730" t="str">
        <f>B!$Y6</f>
        <v>Husband job 1</v>
      </c>
      <c r="AS48" s="730" t="str">
        <f>'C'!$Y6</f>
        <v>Husband job 1</v>
      </c>
      <c r="AT48" s="730" t="str">
        <f>D!$Y6</f>
        <v>Husband job 1</v>
      </c>
      <c r="AU48" s="730" t="str">
        <f>E!$Y6</f>
        <v>Husband job 1</v>
      </c>
      <c r="AV48" s="730" t="str">
        <f>F!$Y6</f>
        <v>Husband job 1</v>
      </c>
      <c r="AW48" s="730" t="str">
        <f>G!$Y6</f>
        <v>Husband job 1</v>
      </c>
      <c r="AX48" s="730" t="str">
        <f>H!$Y6</f>
        <v>Husband job 1</v>
      </c>
      <c r="AY48" s="730" t="str">
        <f>I!$Y6</f>
        <v>Husband job 1</v>
      </c>
      <c r="AZ48" s="730" t="str">
        <f>J!$Y6</f>
        <v>Husband job 1</v>
      </c>
      <c r="BA48" s="730" t="str">
        <f>K!$Y6</f>
        <v>Husband job 1</v>
      </c>
      <c r="BB48" s="730" t="str">
        <f>L!$Y6</f>
        <v>Husband job 1</v>
      </c>
      <c r="BD48" s="730">
        <f>'Current Status (''Shikuf'')'!K5</f>
        <v>0</v>
      </c>
      <c r="BE48" s="730">
        <f>'Month A'!$AA6</f>
        <v>0</v>
      </c>
      <c r="BF48" s="730">
        <f>B!$AA6</f>
        <v>0</v>
      </c>
      <c r="BG48" s="730">
        <f>'C'!$AA6</f>
        <v>0</v>
      </c>
      <c r="BH48" s="730">
        <f>D!$AA6</f>
        <v>0</v>
      </c>
      <c r="BI48" s="730">
        <f>E!$AA6</f>
        <v>0</v>
      </c>
      <c r="BJ48" s="730">
        <f>F!$AA6</f>
        <v>0</v>
      </c>
      <c r="BK48" s="730">
        <f>G!$AA6</f>
        <v>0</v>
      </c>
      <c r="BL48" s="730">
        <f>H!$AA6</f>
        <v>0</v>
      </c>
      <c r="BM48" s="730">
        <f>I!$AA6</f>
        <v>0</v>
      </c>
      <c r="BN48" s="730">
        <f>J!$AA6</f>
        <v>0</v>
      </c>
      <c r="BO48" s="730">
        <f>K!$AA6</f>
        <v>0</v>
      </c>
      <c r="BP48" s="730">
        <f>L!$AA6</f>
        <v>0</v>
      </c>
      <c r="BR48" s="730">
        <f>'Month A'!$Z6</f>
        <v>0</v>
      </c>
      <c r="BS48" s="730">
        <f>B!$Z6</f>
        <v>0</v>
      </c>
      <c r="BT48" s="730">
        <f>'C'!$Z6</f>
        <v>0</v>
      </c>
      <c r="BU48" s="730">
        <f>D!$Z6</f>
        <v>0</v>
      </c>
      <c r="BV48" s="730">
        <f>E!$Z6</f>
        <v>0</v>
      </c>
      <c r="BW48" s="730">
        <f>F!$Z6</f>
        <v>0</v>
      </c>
      <c r="BX48" s="730">
        <f>G!$Z6</f>
        <v>0</v>
      </c>
      <c r="BY48" s="730">
        <f>H!$Z6</f>
        <v>0</v>
      </c>
      <c r="BZ48" s="730">
        <f>I!$Z6</f>
        <v>0</v>
      </c>
      <c r="CA48" s="730">
        <f>J!$Z6</f>
        <v>0</v>
      </c>
      <c r="CB48" s="730">
        <f>K!$Z6</f>
        <v>0</v>
      </c>
      <c r="CC48" s="730">
        <f>L!$Z6</f>
        <v>0</v>
      </c>
      <c r="CY48" s="763">
        <f t="shared" si="4"/>
        <v>0</v>
      </c>
      <c r="CZ48" s="773" t="s">
        <v>115</v>
      </c>
    </row>
    <row r="49" spans="1:104" ht="15.75">
      <c r="A49" s="86"/>
      <c r="B49" s="86"/>
      <c r="C49" s="86"/>
      <c r="D49" s="86"/>
      <c r="E49" s="86"/>
      <c r="F49" s="757" t="s">
        <v>278</v>
      </c>
      <c r="G49" s="758">
        <f t="shared" si="13"/>
        <v>0</v>
      </c>
      <c r="H49" s="86"/>
      <c r="I49" s="909">
        <f t="shared" si="14"/>
        <v>0</v>
      </c>
      <c r="J49" s="910"/>
      <c r="K49" s="748"/>
      <c r="L49" s="748"/>
      <c r="M49" s="748"/>
      <c r="N49" s="748"/>
      <c r="O49" s="761"/>
      <c r="P49" s="749"/>
      <c r="Q49" s="86"/>
      <c r="R49" s="86"/>
      <c r="S49" s="86"/>
      <c r="T49" s="86"/>
      <c r="U49" s="86"/>
      <c r="V49" s="86"/>
      <c r="W49" s="86"/>
      <c r="Z49" s="730">
        <f t="shared" si="5"/>
        <v>0</v>
      </c>
      <c r="AA49" s="730">
        <f t="shared" si="7"/>
        <v>0</v>
      </c>
      <c r="AB49" s="730">
        <f t="shared" si="8"/>
        <v>0</v>
      </c>
      <c r="AC49" s="730">
        <f t="shared" si="9"/>
        <v>46</v>
      </c>
      <c r="AD49" s="730" t="e">
        <f t="shared" si="6"/>
        <v>#N/A</v>
      </c>
      <c r="AE49" s="730">
        <f t="shared" si="11"/>
        <v>0</v>
      </c>
      <c r="AF49" s="730" t="e">
        <f t="shared" ca="1" si="10"/>
        <v>#N/A</v>
      </c>
      <c r="AG49" s="777">
        <f t="shared" si="12"/>
        <v>0</v>
      </c>
      <c r="AN49" s="737" t="s">
        <v>279</v>
      </c>
      <c r="AO49" s="735"/>
      <c r="AP49" s="730" t="str">
        <f>'Current Status (''Shikuf'')'!I6</f>
        <v>Husband job 2</v>
      </c>
      <c r="AQ49" s="730" t="str">
        <f>'Month A'!Y7</f>
        <v>Husband job 2</v>
      </c>
      <c r="AR49" s="730" t="str">
        <f>B!$Y7</f>
        <v>Husband job 2</v>
      </c>
      <c r="AS49" s="730" t="str">
        <f>'C'!$Y7</f>
        <v>Husband job 2</v>
      </c>
      <c r="AT49" s="730" t="str">
        <f>D!$Y7</f>
        <v>Husband job 2</v>
      </c>
      <c r="AU49" s="730" t="str">
        <f>E!$Y7</f>
        <v>Husband job 2</v>
      </c>
      <c r="AV49" s="730" t="str">
        <f>F!$Y7</f>
        <v>Husband job 2</v>
      </c>
      <c r="AW49" s="730" t="str">
        <f>G!$Y7</f>
        <v>Husband job 2</v>
      </c>
      <c r="AX49" s="730" t="str">
        <f>H!$Y7</f>
        <v>Husband job 2</v>
      </c>
      <c r="AY49" s="730" t="str">
        <f>I!$Y7</f>
        <v>Husband job 2</v>
      </c>
      <c r="AZ49" s="730" t="str">
        <f>J!$Y7</f>
        <v>Husband job 2</v>
      </c>
      <c r="BA49" s="730" t="str">
        <f>K!$Y7</f>
        <v>Husband job 2</v>
      </c>
      <c r="BB49" s="730" t="str">
        <f>L!$Y7</f>
        <v>Husband job 2</v>
      </c>
      <c r="BD49" s="730">
        <f>'Current Status (''Shikuf'')'!K6</f>
        <v>0</v>
      </c>
      <c r="BE49" s="730">
        <f>'Month A'!$AA7</f>
        <v>0</v>
      </c>
      <c r="BF49" s="730">
        <f>B!$AA7</f>
        <v>0</v>
      </c>
      <c r="BG49" s="730">
        <f>'C'!$AA7</f>
        <v>0</v>
      </c>
      <c r="BH49" s="730">
        <f>D!$AA7</f>
        <v>0</v>
      </c>
      <c r="BI49" s="730">
        <f>E!$AA7</f>
        <v>0</v>
      </c>
      <c r="BJ49" s="730">
        <f>F!$AA7</f>
        <v>0</v>
      </c>
      <c r="BK49" s="730">
        <f>G!$AA7</f>
        <v>0</v>
      </c>
      <c r="BL49" s="730">
        <f>H!$AA7</f>
        <v>0</v>
      </c>
      <c r="BM49" s="730">
        <f>I!$AA7</f>
        <v>0</v>
      </c>
      <c r="BN49" s="730">
        <f>J!$AA7</f>
        <v>0</v>
      </c>
      <c r="BO49" s="730">
        <f>K!$AA7</f>
        <v>0</v>
      </c>
      <c r="BP49" s="730">
        <f>L!$AA7</f>
        <v>0</v>
      </c>
      <c r="BR49" s="730">
        <f>'Month A'!$Z7</f>
        <v>0</v>
      </c>
      <c r="BS49" s="730">
        <f>B!$Z7</f>
        <v>0</v>
      </c>
      <c r="BT49" s="730">
        <f>'C'!$Z7</f>
        <v>0</v>
      </c>
      <c r="BU49" s="730">
        <f>D!$Z7</f>
        <v>0</v>
      </c>
      <c r="BV49" s="730">
        <f>E!$Z7</f>
        <v>0</v>
      </c>
      <c r="BW49" s="730">
        <f>F!$Z7</f>
        <v>0</v>
      </c>
      <c r="BX49" s="730">
        <f>G!$Z7</f>
        <v>0</v>
      </c>
      <c r="BY49" s="730">
        <f>H!$Z7</f>
        <v>0</v>
      </c>
      <c r="BZ49" s="730">
        <f>I!$Z7</f>
        <v>0</v>
      </c>
      <c r="CA49" s="730">
        <f>J!$Z7</f>
        <v>0</v>
      </c>
      <c r="CB49" s="730">
        <f>K!$Z7</f>
        <v>0</v>
      </c>
      <c r="CC49" s="730">
        <f>L!$Z7</f>
        <v>0</v>
      </c>
      <c r="CY49" s="763">
        <f t="shared" si="4"/>
        <v>0</v>
      </c>
      <c r="CZ49" s="773" t="s">
        <v>116</v>
      </c>
    </row>
    <row r="50" spans="1:104" ht="28.5">
      <c r="A50" s="86"/>
      <c r="B50" s="86"/>
      <c r="C50" s="86"/>
      <c r="D50" s="86"/>
      <c r="E50" s="86"/>
      <c r="F50" s="757" t="s">
        <v>279</v>
      </c>
      <c r="G50" s="758">
        <f t="shared" si="13"/>
        <v>0</v>
      </c>
      <c r="H50" s="86"/>
      <c r="I50" s="909">
        <f t="shared" si="14"/>
        <v>0</v>
      </c>
      <c r="J50" s="910"/>
      <c r="K50" s="748"/>
      <c r="L50" s="748"/>
      <c r="M50" s="748"/>
      <c r="N50" s="748"/>
      <c r="O50" s="761"/>
      <c r="P50" s="749"/>
      <c r="Q50" s="86"/>
      <c r="R50" s="86"/>
      <c r="S50" s="86"/>
      <c r="T50" s="86"/>
      <c r="U50" s="86"/>
      <c r="V50" s="86"/>
      <c r="W50" s="86"/>
      <c r="Z50" s="730" t="str">
        <f t="shared" si="5"/>
        <v>Husband job 1</v>
      </c>
      <c r="AA50" s="730" t="str">
        <f t="shared" si="7"/>
        <v>Husband job 1</v>
      </c>
      <c r="AB50" s="730">
        <f t="shared" si="8"/>
        <v>0</v>
      </c>
      <c r="AC50" s="730">
        <f t="shared" si="9"/>
        <v>47</v>
      </c>
      <c r="AD50" s="730">
        <f t="shared" si="6"/>
        <v>44</v>
      </c>
      <c r="AE50" s="730">
        <f t="shared" si="11"/>
        <v>0</v>
      </c>
      <c r="AF50" s="730" t="e">
        <f t="shared" ca="1" si="10"/>
        <v>#N/A</v>
      </c>
      <c r="AG50" s="777">
        <f t="shared" si="12"/>
        <v>0</v>
      </c>
      <c r="AN50" s="737" t="s">
        <v>280</v>
      </c>
      <c r="AO50" s="735"/>
      <c r="AP50" s="730" t="str">
        <f>'Current Status (''Shikuf'')'!I7</f>
        <v>Wife job 1</v>
      </c>
      <c r="AQ50" s="730" t="str">
        <f>'Month A'!Y8</f>
        <v>Wife job 1</v>
      </c>
      <c r="AR50" s="730" t="str">
        <f>B!$Y8</f>
        <v>Wife job 1</v>
      </c>
      <c r="AS50" s="730" t="str">
        <f>'C'!$Y8</f>
        <v>Wife job 1</v>
      </c>
      <c r="AT50" s="730" t="str">
        <f>D!$Y8</f>
        <v>Wife job 1</v>
      </c>
      <c r="AU50" s="730" t="str">
        <f>E!$Y8</f>
        <v>Wife job 1</v>
      </c>
      <c r="AV50" s="730" t="str">
        <f>F!$Y8</f>
        <v>Wife job 1</v>
      </c>
      <c r="AW50" s="730" t="str">
        <f>G!$Y8</f>
        <v>Wife job 1</v>
      </c>
      <c r="AX50" s="730" t="str">
        <f>H!$Y8</f>
        <v>Wife job 1</v>
      </c>
      <c r="AY50" s="730" t="str">
        <f>I!$Y8</f>
        <v>Wife job 1</v>
      </c>
      <c r="AZ50" s="730" t="str">
        <f>J!$Y8</f>
        <v>Wife job 1</v>
      </c>
      <c r="BA50" s="730" t="str">
        <f>K!$Y8</f>
        <v>Wife job 1</v>
      </c>
      <c r="BB50" s="730" t="str">
        <f>L!$Y8</f>
        <v>Wife job 1</v>
      </c>
      <c r="BD50" s="730">
        <f>'Current Status (''Shikuf'')'!K7</f>
        <v>0</v>
      </c>
      <c r="BE50" s="730">
        <f>'Month A'!$AA8</f>
        <v>0</v>
      </c>
      <c r="BF50" s="730">
        <f>B!$AA8</f>
        <v>0</v>
      </c>
      <c r="BG50" s="730">
        <f>'C'!$AA8</f>
        <v>0</v>
      </c>
      <c r="BH50" s="730">
        <f>D!$AA8</f>
        <v>0</v>
      </c>
      <c r="BI50" s="730">
        <f>E!$AA8</f>
        <v>0</v>
      </c>
      <c r="BJ50" s="730">
        <f>F!$AA8</f>
        <v>0</v>
      </c>
      <c r="BK50" s="730">
        <f>G!$AA8</f>
        <v>0</v>
      </c>
      <c r="BL50" s="730">
        <f>H!$AA8</f>
        <v>0</v>
      </c>
      <c r="BM50" s="730">
        <f>I!$AA8</f>
        <v>0</v>
      </c>
      <c r="BN50" s="730">
        <f>J!$AA8</f>
        <v>0</v>
      </c>
      <c r="BO50" s="730">
        <f>K!$AA8</f>
        <v>0</v>
      </c>
      <c r="BP50" s="730">
        <f>L!$AA8</f>
        <v>0</v>
      </c>
      <c r="BR50" s="730">
        <f>'Month A'!$Z8</f>
        <v>0</v>
      </c>
      <c r="BS50" s="730">
        <f>B!$Z8</f>
        <v>0</v>
      </c>
      <c r="BT50" s="730">
        <f>'C'!$Z8</f>
        <v>0</v>
      </c>
      <c r="BU50" s="730">
        <f>D!$Z8</f>
        <v>0</v>
      </c>
      <c r="BV50" s="730">
        <f>E!$Z8</f>
        <v>0</v>
      </c>
      <c r="BW50" s="730">
        <f>F!$Z8</f>
        <v>0</v>
      </c>
      <c r="BX50" s="730">
        <f>G!$Z8</f>
        <v>0</v>
      </c>
      <c r="BY50" s="730">
        <f>H!$Z8</f>
        <v>0</v>
      </c>
      <c r="BZ50" s="730">
        <f>I!$Z8</f>
        <v>0</v>
      </c>
      <c r="CA50" s="730">
        <f>J!$Z8</f>
        <v>0</v>
      </c>
      <c r="CB50" s="730">
        <f>K!$Z8</f>
        <v>0</v>
      </c>
      <c r="CC50" s="730">
        <f>L!$Z8</f>
        <v>0</v>
      </c>
      <c r="CY50" s="763">
        <f t="shared" si="4"/>
        <v>0</v>
      </c>
      <c r="CZ50" s="773" t="s">
        <v>117</v>
      </c>
    </row>
    <row r="51" spans="1:104" ht="30">
      <c r="A51" s="86"/>
      <c r="B51" s="86"/>
      <c r="C51" s="86"/>
      <c r="D51" s="86"/>
      <c r="E51" s="86"/>
      <c r="F51" s="757" t="s">
        <v>280</v>
      </c>
      <c r="G51" s="758">
        <f t="shared" si="13"/>
        <v>0</v>
      </c>
      <c r="H51" s="86"/>
      <c r="I51" s="909">
        <f t="shared" si="14"/>
        <v>0</v>
      </c>
      <c r="J51" s="910"/>
      <c r="K51" s="748"/>
      <c r="L51" s="748"/>
      <c r="M51" s="748"/>
      <c r="N51" s="748"/>
      <c r="O51" s="761"/>
      <c r="P51" s="749"/>
      <c r="Q51" s="86"/>
      <c r="R51" s="86"/>
      <c r="S51" s="86"/>
      <c r="T51" s="86"/>
      <c r="U51" s="86"/>
      <c r="V51" s="86"/>
      <c r="W51" s="86"/>
      <c r="Z51" s="730" t="str">
        <f t="shared" si="5"/>
        <v>Husband job 2</v>
      </c>
      <c r="AA51" s="730" t="str">
        <f t="shared" si="7"/>
        <v>Husband job 2</v>
      </c>
      <c r="AB51" s="730">
        <f t="shared" si="8"/>
        <v>0</v>
      </c>
      <c r="AC51" s="730">
        <f t="shared" si="9"/>
        <v>48</v>
      </c>
      <c r="AD51" s="730">
        <f t="shared" si="6"/>
        <v>45</v>
      </c>
      <c r="AE51" s="730">
        <f t="shared" si="11"/>
        <v>0</v>
      </c>
      <c r="AF51" s="730" t="e">
        <f t="shared" ca="1" si="10"/>
        <v>#N/A</v>
      </c>
      <c r="AG51" s="777">
        <f t="shared" si="12"/>
        <v>0</v>
      </c>
      <c r="AN51" s="737" t="s">
        <v>368</v>
      </c>
      <c r="AO51" s="735"/>
      <c r="AP51" s="730" t="str">
        <f>'Current Status (''Shikuf'')'!I8</f>
        <v>Wife job 2</v>
      </c>
      <c r="AQ51" s="730" t="str">
        <f>'Month A'!Y9</f>
        <v>Wife job 2</v>
      </c>
      <c r="AR51" s="730" t="str">
        <f>B!$Y9</f>
        <v>Wife job 2</v>
      </c>
      <c r="AS51" s="730" t="str">
        <f>'C'!$Y9</f>
        <v>Wife job 2</v>
      </c>
      <c r="AT51" s="730" t="str">
        <f>D!$Y9</f>
        <v>Wife job 2</v>
      </c>
      <c r="AU51" s="730" t="str">
        <f>E!$Y9</f>
        <v>Wife job 2</v>
      </c>
      <c r="AV51" s="730" t="str">
        <f>F!$Y9</f>
        <v>Wife job 2</v>
      </c>
      <c r="AW51" s="730" t="str">
        <f>G!$Y9</f>
        <v>Wife job 2</v>
      </c>
      <c r="AX51" s="730" t="str">
        <f>H!$Y9</f>
        <v>Wife job 2</v>
      </c>
      <c r="AY51" s="730" t="str">
        <f>I!$Y9</f>
        <v>Wife job 2</v>
      </c>
      <c r="AZ51" s="730" t="str">
        <f>J!$Y9</f>
        <v>Wife job 2</v>
      </c>
      <c r="BA51" s="730" t="str">
        <f>K!$Y9</f>
        <v>Wife job 2</v>
      </c>
      <c r="BB51" s="730" t="str">
        <f>L!$Y9</f>
        <v>Wife job 2</v>
      </c>
      <c r="BD51" s="730">
        <f>'Current Status (''Shikuf'')'!K8</f>
        <v>0</v>
      </c>
      <c r="BE51" s="730">
        <f>'Month A'!$AA9</f>
        <v>0</v>
      </c>
      <c r="BF51" s="730">
        <f>B!$AA9</f>
        <v>0</v>
      </c>
      <c r="BG51" s="730">
        <f>'C'!$AA9</f>
        <v>0</v>
      </c>
      <c r="BH51" s="730">
        <f>D!$AA9</f>
        <v>0</v>
      </c>
      <c r="BI51" s="730">
        <f>E!$AA9</f>
        <v>0</v>
      </c>
      <c r="BJ51" s="730">
        <f>F!$AA9</f>
        <v>0</v>
      </c>
      <c r="BK51" s="730">
        <f>G!$AA9</f>
        <v>0</v>
      </c>
      <c r="BL51" s="730">
        <f>H!$AA9</f>
        <v>0</v>
      </c>
      <c r="BM51" s="730">
        <f>I!$AA9</f>
        <v>0</v>
      </c>
      <c r="BN51" s="730">
        <f>J!$AA9</f>
        <v>0</v>
      </c>
      <c r="BO51" s="730">
        <f>K!$AA9</f>
        <v>0</v>
      </c>
      <c r="BP51" s="730">
        <f>L!$AA9</f>
        <v>0</v>
      </c>
      <c r="BR51" s="730">
        <f>'Month A'!$Z9</f>
        <v>0</v>
      </c>
      <c r="BS51" s="730">
        <f>B!$Z9</f>
        <v>0</v>
      </c>
      <c r="BT51" s="730">
        <f>'C'!$Z9</f>
        <v>0</v>
      </c>
      <c r="BU51" s="730">
        <f>D!$Z9</f>
        <v>0</v>
      </c>
      <c r="BV51" s="730">
        <f>E!$Z9</f>
        <v>0</v>
      </c>
      <c r="BW51" s="730">
        <f>F!$Z9</f>
        <v>0</v>
      </c>
      <c r="BX51" s="730">
        <f>G!$Z9</f>
        <v>0</v>
      </c>
      <c r="BY51" s="730">
        <f>H!$Z9</f>
        <v>0</v>
      </c>
      <c r="BZ51" s="730">
        <f>I!$Z9</f>
        <v>0</v>
      </c>
      <c r="CA51" s="730">
        <f>J!$Z9</f>
        <v>0</v>
      </c>
      <c r="CB51" s="730">
        <f>K!$Z9</f>
        <v>0</v>
      </c>
      <c r="CC51" s="730">
        <f>L!$Z9</f>
        <v>0</v>
      </c>
      <c r="CY51" s="763">
        <f t="shared" si="4"/>
        <v>0</v>
      </c>
      <c r="CZ51" s="773" t="s">
        <v>118</v>
      </c>
    </row>
    <row r="52" spans="1:104" ht="15.75">
      <c r="A52" s="86"/>
      <c r="B52" s="86"/>
      <c r="C52" s="86"/>
      <c r="D52" s="86"/>
      <c r="E52" s="86"/>
      <c r="F52" s="757" t="s">
        <v>368</v>
      </c>
      <c r="G52" s="758">
        <f t="shared" si="13"/>
        <v>0</v>
      </c>
      <c r="H52" s="86"/>
      <c r="I52" s="909">
        <f t="shared" si="14"/>
        <v>0</v>
      </c>
      <c r="J52" s="910"/>
      <c r="K52" s="748"/>
      <c r="L52" s="748"/>
      <c r="M52" s="748"/>
      <c r="N52" s="748"/>
      <c r="O52" s="761"/>
      <c r="P52" s="749"/>
      <c r="Q52" s="86"/>
      <c r="R52" s="86"/>
      <c r="S52" s="86"/>
      <c r="T52" s="86"/>
      <c r="U52" s="86"/>
      <c r="V52" s="86"/>
      <c r="W52" s="86"/>
      <c r="Z52" s="730" t="str">
        <f t="shared" si="5"/>
        <v>Wife job 1</v>
      </c>
      <c r="AA52" s="730" t="str">
        <f t="shared" si="7"/>
        <v>Wife job 1</v>
      </c>
      <c r="AB52" s="730">
        <f t="shared" si="8"/>
        <v>0</v>
      </c>
      <c r="AC52" s="730">
        <f t="shared" si="9"/>
        <v>49</v>
      </c>
      <c r="AD52" s="730">
        <f t="shared" si="6"/>
        <v>46</v>
      </c>
      <c r="AE52" s="730">
        <f t="shared" si="11"/>
        <v>0</v>
      </c>
      <c r="AF52" s="730" t="e">
        <f t="shared" ca="1" si="10"/>
        <v>#N/A</v>
      </c>
      <c r="AG52" s="777">
        <f t="shared" si="12"/>
        <v>0</v>
      </c>
      <c r="AN52" s="737" t="s">
        <v>281</v>
      </c>
      <c r="AO52" s="735"/>
      <c r="AP52" s="730" t="str">
        <f>'Current Status (''Shikuf'')'!I9</f>
        <v>National Social Security for Children</v>
      </c>
      <c r="AQ52" s="730" t="str">
        <f>'Month A'!Y10</f>
        <v>National Social Security for Children</v>
      </c>
      <c r="AR52" s="730" t="str">
        <f>B!$Y10</f>
        <v>National Social Security for Children</v>
      </c>
      <c r="AS52" s="730" t="str">
        <f>'C'!$Y10</f>
        <v>National Social Security for Children</v>
      </c>
      <c r="AT52" s="730" t="str">
        <f>D!$Y10</f>
        <v>National Social Security for Children</v>
      </c>
      <c r="AU52" s="730" t="str">
        <f>E!$Y10</f>
        <v>National Social Security for Children</v>
      </c>
      <c r="AV52" s="730" t="str">
        <f>F!$Y10</f>
        <v>National Social Security for Children</v>
      </c>
      <c r="AW52" s="730" t="str">
        <f>G!$Y10</f>
        <v>National Social Security for Children</v>
      </c>
      <c r="AX52" s="730" t="str">
        <f>H!$Y10</f>
        <v>National Social Security for Children</v>
      </c>
      <c r="AY52" s="730" t="str">
        <f>I!$Y10</f>
        <v>National Social Security for Children</v>
      </c>
      <c r="AZ52" s="730" t="str">
        <f>J!$Y10</f>
        <v>National Social Security for Children</v>
      </c>
      <c r="BA52" s="730" t="str">
        <f>K!$Y10</f>
        <v>National Social Security for Children</v>
      </c>
      <c r="BB52" s="730" t="str">
        <f>L!$Y10</f>
        <v>National Social Security for Children</v>
      </c>
      <c r="BD52" s="730">
        <f>'Current Status (''Shikuf'')'!K9</f>
        <v>0</v>
      </c>
      <c r="BE52" s="730">
        <f>'Month A'!$AA10</f>
        <v>0</v>
      </c>
      <c r="BF52" s="730">
        <f>B!$AA10</f>
        <v>0</v>
      </c>
      <c r="BG52" s="730">
        <f>'C'!$AA10</f>
        <v>0</v>
      </c>
      <c r="BH52" s="730">
        <f>D!$AA10</f>
        <v>0</v>
      </c>
      <c r="BI52" s="730">
        <f>E!$AA10</f>
        <v>0</v>
      </c>
      <c r="BJ52" s="730">
        <f>F!$AA10</f>
        <v>0</v>
      </c>
      <c r="BK52" s="730">
        <f>G!$AA10</f>
        <v>0</v>
      </c>
      <c r="BL52" s="730">
        <f>H!$AA10</f>
        <v>0</v>
      </c>
      <c r="BM52" s="730">
        <f>I!$AA10</f>
        <v>0</v>
      </c>
      <c r="BN52" s="730">
        <f>J!$AA10</f>
        <v>0</v>
      </c>
      <c r="BO52" s="730">
        <f>K!$AA10</f>
        <v>0</v>
      </c>
      <c r="BP52" s="730">
        <f>L!$AA10</f>
        <v>0</v>
      </c>
      <c r="BR52" s="730">
        <f>'Month A'!$Z10</f>
        <v>0</v>
      </c>
      <c r="BS52" s="730">
        <f>B!$Z10</f>
        <v>0</v>
      </c>
      <c r="BT52" s="730">
        <f>'C'!$Z10</f>
        <v>0</v>
      </c>
      <c r="BU52" s="730">
        <f>D!$Z10</f>
        <v>0</v>
      </c>
      <c r="BV52" s="730">
        <f>E!$Z10</f>
        <v>0</v>
      </c>
      <c r="BW52" s="730">
        <f>F!$Z10</f>
        <v>0</v>
      </c>
      <c r="BX52" s="730">
        <f>G!$Z10</f>
        <v>0</v>
      </c>
      <c r="BY52" s="730">
        <f>H!$Z10</f>
        <v>0</v>
      </c>
      <c r="BZ52" s="730">
        <f>I!$Z10</f>
        <v>0</v>
      </c>
      <c r="CA52" s="730">
        <f>J!$Z10</f>
        <v>0</v>
      </c>
      <c r="CB52" s="730">
        <f>K!$Z10</f>
        <v>0</v>
      </c>
      <c r="CC52" s="730">
        <f>L!$Z10</f>
        <v>0</v>
      </c>
      <c r="CY52" s="763">
        <f t="shared" si="4"/>
        <v>0</v>
      </c>
      <c r="CZ52" s="773" t="s">
        <v>119</v>
      </c>
    </row>
    <row r="53" spans="1:104" ht="15.75">
      <c r="A53" s="86"/>
      <c r="B53" s="86"/>
      <c r="C53" s="86"/>
      <c r="D53" s="86"/>
      <c r="E53" s="86"/>
      <c r="F53" s="757" t="s">
        <v>281</v>
      </c>
      <c r="G53" s="758">
        <f t="shared" si="13"/>
        <v>0</v>
      </c>
      <c r="H53" s="86"/>
      <c r="I53" s="909">
        <f t="shared" si="14"/>
        <v>0</v>
      </c>
      <c r="J53" s="910"/>
      <c r="K53" s="748"/>
      <c r="L53" s="748"/>
      <c r="M53" s="748"/>
      <c r="N53" s="748"/>
      <c r="O53" s="761"/>
      <c r="P53" s="749"/>
      <c r="Q53" s="86"/>
      <c r="R53" s="86"/>
      <c r="S53" s="86"/>
      <c r="T53" s="86"/>
      <c r="U53" s="86"/>
      <c r="V53" s="86"/>
      <c r="W53" s="86"/>
      <c r="Z53" s="730" t="str">
        <f t="shared" si="5"/>
        <v>Wife job 2</v>
      </c>
      <c r="AA53" s="730" t="str">
        <f t="shared" si="7"/>
        <v>Wife job 2</v>
      </c>
      <c r="AB53" s="730">
        <f t="shared" si="8"/>
        <v>0</v>
      </c>
      <c r="AC53" s="730">
        <f t="shared" si="9"/>
        <v>50</v>
      </c>
      <c r="AD53" s="730">
        <f t="shared" si="6"/>
        <v>47</v>
      </c>
      <c r="AE53" s="730">
        <f t="shared" si="11"/>
        <v>0</v>
      </c>
      <c r="AF53" s="730" t="e">
        <f t="shared" ca="1" si="10"/>
        <v>#N/A</v>
      </c>
      <c r="AG53" s="777">
        <f t="shared" si="12"/>
        <v>0</v>
      </c>
      <c r="AN53" s="737" t="s">
        <v>282</v>
      </c>
      <c r="AO53" s="735"/>
      <c r="AP53" s="730" t="str">
        <f>'Current Status (''Shikuf'')'!I10</f>
        <v>other Allowances</v>
      </c>
      <c r="AQ53" s="730" t="str">
        <f>'Month A'!Y11</f>
        <v>other Allowances</v>
      </c>
      <c r="AR53" s="730" t="str">
        <f>B!$Y11</f>
        <v>other Allowances</v>
      </c>
      <c r="AS53" s="730" t="str">
        <f>'C'!$Y11</f>
        <v>other Allowances</v>
      </c>
      <c r="AT53" s="730" t="str">
        <f>D!$Y11</f>
        <v>other Allowances</v>
      </c>
      <c r="AU53" s="730" t="str">
        <f>E!$Y11</f>
        <v>other Allowances</v>
      </c>
      <c r="AV53" s="730" t="str">
        <f>F!$Y11</f>
        <v>other Allowances</v>
      </c>
      <c r="AW53" s="730" t="str">
        <f>G!$Y11</f>
        <v>other Allowances</v>
      </c>
      <c r="AX53" s="730" t="str">
        <f>H!$Y11</f>
        <v>other Allowances</v>
      </c>
      <c r="AY53" s="730" t="str">
        <f>I!$Y11</f>
        <v>other Allowances</v>
      </c>
      <c r="AZ53" s="730" t="str">
        <f>J!$Y11</f>
        <v>other Allowances</v>
      </c>
      <c r="BA53" s="730" t="str">
        <f>K!$Y11</f>
        <v>other Allowances</v>
      </c>
      <c r="BB53" s="730" t="str">
        <f>L!$Y11</f>
        <v>other Allowances</v>
      </c>
      <c r="BD53" s="730">
        <f>'Current Status (''Shikuf'')'!K10</f>
        <v>0</v>
      </c>
      <c r="BE53" s="730">
        <f>'Month A'!$AA11</f>
        <v>0</v>
      </c>
      <c r="BF53" s="730">
        <f>B!$AA11</f>
        <v>0</v>
      </c>
      <c r="BG53" s="730">
        <f>'C'!$AA11</f>
        <v>0</v>
      </c>
      <c r="BH53" s="730">
        <f>D!$AA11</f>
        <v>0</v>
      </c>
      <c r="BI53" s="730">
        <f>E!$AA11</f>
        <v>0</v>
      </c>
      <c r="BJ53" s="730">
        <f>F!$AA11</f>
        <v>0</v>
      </c>
      <c r="BK53" s="730">
        <f>G!$AA11</f>
        <v>0</v>
      </c>
      <c r="BL53" s="730">
        <f>H!$AA11</f>
        <v>0</v>
      </c>
      <c r="BM53" s="730">
        <f>I!$AA11</f>
        <v>0</v>
      </c>
      <c r="BN53" s="730">
        <f>J!$AA11</f>
        <v>0</v>
      </c>
      <c r="BO53" s="730">
        <f>K!$AA11</f>
        <v>0</v>
      </c>
      <c r="BP53" s="730">
        <f>L!$AA11</f>
        <v>0</v>
      </c>
      <c r="BR53" s="730">
        <f>'Month A'!$Z11</f>
        <v>0</v>
      </c>
      <c r="BS53" s="730">
        <f>B!$Z11</f>
        <v>0</v>
      </c>
      <c r="BT53" s="730">
        <f>'C'!$Z11</f>
        <v>0</v>
      </c>
      <c r="BU53" s="730">
        <f>D!$Z11</f>
        <v>0</v>
      </c>
      <c r="BV53" s="730">
        <f>E!$Z11</f>
        <v>0</v>
      </c>
      <c r="BW53" s="730">
        <f>F!$Z11</f>
        <v>0</v>
      </c>
      <c r="BX53" s="730">
        <f>G!$Z11</f>
        <v>0</v>
      </c>
      <c r="BY53" s="730">
        <f>H!$Z11</f>
        <v>0</v>
      </c>
      <c r="BZ53" s="730">
        <f>I!$Z11</f>
        <v>0</v>
      </c>
      <c r="CA53" s="730">
        <f>J!$Z11</f>
        <v>0</v>
      </c>
      <c r="CB53" s="730">
        <f>K!$Z11</f>
        <v>0</v>
      </c>
      <c r="CC53" s="730">
        <f>L!$Z11</f>
        <v>0</v>
      </c>
      <c r="CY53" s="763">
        <f t="shared" si="4"/>
        <v>0</v>
      </c>
      <c r="CZ53" s="773" t="s">
        <v>120</v>
      </c>
    </row>
    <row r="54" spans="1:104" ht="15.75">
      <c r="A54" s="86"/>
      <c r="B54" s="86"/>
      <c r="C54" s="86"/>
      <c r="D54" s="86"/>
      <c r="E54" s="86"/>
      <c r="F54" s="757" t="s">
        <v>282</v>
      </c>
      <c r="G54" s="758">
        <f t="shared" si="13"/>
        <v>0</v>
      </c>
      <c r="H54" s="86"/>
      <c r="I54" s="909">
        <f t="shared" si="14"/>
        <v>0</v>
      </c>
      <c r="J54" s="910"/>
      <c r="K54" s="748"/>
      <c r="L54" s="748"/>
      <c r="M54" s="748"/>
      <c r="N54" s="748"/>
      <c r="O54" s="761"/>
      <c r="P54" s="749"/>
      <c r="Q54" s="86"/>
      <c r="R54" s="86"/>
      <c r="S54" s="86"/>
      <c r="T54" s="86"/>
      <c r="U54" s="86"/>
      <c r="V54" s="86"/>
      <c r="W54" s="86"/>
      <c r="Z54" s="730" t="str">
        <f t="shared" si="5"/>
        <v>National Social Security for Children</v>
      </c>
      <c r="AA54" s="730" t="str">
        <f t="shared" si="7"/>
        <v>National Social Security for Children</v>
      </c>
      <c r="AB54" s="730">
        <f t="shared" si="8"/>
        <v>0</v>
      </c>
      <c r="AC54" s="730">
        <f t="shared" si="9"/>
        <v>51</v>
      </c>
      <c r="AD54" s="730">
        <f t="shared" si="6"/>
        <v>48</v>
      </c>
      <c r="AE54" s="730">
        <f t="shared" si="11"/>
        <v>0</v>
      </c>
      <c r="AF54" s="730" t="e">
        <f t="shared" ca="1" si="10"/>
        <v>#N/A</v>
      </c>
      <c r="AG54" s="777">
        <f t="shared" si="12"/>
        <v>0</v>
      </c>
      <c r="AN54" s="737" t="s">
        <v>369</v>
      </c>
      <c r="AO54" s="735"/>
      <c r="AP54" s="730" t="str">
        <f>'Current Status (''Shikuf'')'!I11</f>
        <v>Rent Assistance</v>
      </c>
      <c r="AQ54" s="730" t="str">
        <f>'Month A'!Y12</f>
        <v>Rent Assistance</v>
      </c>
      <c r="AR54" s="730" t="str">
        <f>B!$Y12</f>
        <v>Rent Assistance</v>
      </c>
      <c r="AS54" s="730" t="str">
        <f>'C'!$Y12</f>
        <v>Rent Assistance</v>
      </c>
      <c r="AT54" s="730" t="str">
        <f>D!$Y12</f>
        <v>Rent Assistance</v>
      </c>
      <c r="AU54" s="730" t="str">
        <f>E!$Y12</f>
        <v>Rent Assistance</v>
      </c>
      <c r="AV54" s="730" t="str">
        <f>F!$Y12</f>
        <v>Rent Assistance</v>
      </c>
      <c r="AW54" s="730" t="str">
        <f>G!$Y12</f>
        <v>Rent Assistance</v>
      </c>
      <c r="AX54" s="730" t="str">
        <f>H!$Y12</f>
        <v>Rent Assistance</v>
      </c>
      <c r="AY54" s="730" t="str">
        <f>I!$Y12</f>
        <v>Rent Assistance</v>
      </c>
      <c r="AZ54" s="730" t="str">
        <f>J!$Y12</f>
        <v>Rent Assistance</v>
      </c>
      <c r="BA54" s="730" t="str">
        <f>K!$Y12</f>
        <v>Rent Assistance</v>
      </c>
      <c r="BB54" s="730" t="str">
        <f>L!$Y12</f>
        <v>Rent Assistance</v>
      </c>
      <c r="BD54" s="730">
        <f>'Current Status (''Shikuf'')'!K11</f>
        <v>0</v>
      </c>
      <c r="BE54" s="730">
        <f>'Month A'!$AA12</f>
        <v>0</v>
      </c>
      <c r="BF54" s="730">
        <f>B!$AA12</f>
        <v>0</v>
      </c>
      <c r="BG54" s="730">
        <f>'C'!$AA12</f>
        <v>0</v>
      </c>
      <c r="BH54" s="730">
        <f>D!$AA12</f>
        <v>0</v>
      </c>
      <c r="BI54" s="730">
        <f>E!$AA12</f>
        <v>0</v>
      </c>
      <c r="BJ54" s="730">
        <f>F!$AA12</f>
        <v>0</v>
      </c>
      <c r="BK54" s="730">
        <f>G!$AA12</f>
        <v>0</v>
      </c>
      <c r="BL54" s="730">
        <f>H!$AA12</f>
        <v>0</v>
      </c>
      <c r="BM54" s="730">
        <f>I!$AA12</f>
        <v>0</v>
      </c>
      <c r="BN54" s="730">
        <f>J!$AA12</f>
        <v>0</v>
      </c>
      <c r="BO54" s="730">
        <f>K!$AA12</f>
        <v>0</v>
      </c>
      <c r="BP54" s="730">
        <f>L!$AA12</f>
        <v>0</v>
      </c>
      <c r="BR54" s="730">
        <f>'Month A'!$Z12</f>
        <v>0</v>
      </c>
      <c r="BS54" s="730">
        <f>B!$Z12</f>
        <v>0</v>
      </c>
      <c r="BT54" s="730">
        <f>'C'!$Z12</f>
        <v>0</v>
      </c>
      <c r="BU54" s="730">
        <f>D!$Z12</f>
        <v>0</v>
      </c>
      <c r="BV54" s="730">
        <f>E!$Z12</f>
        <v>0</v>
      </c>
      <c r="BW54" s="730">
        <f>F!$Z12</f>
        <v>0</v>
      </c>
      <c r="BX54" s="730">
        <f>G!$Z12</f>
        <v>0</v>
      </c>
      <c r="BY54" s="730">
        <f>H!$Z12</f>
        <v>0</v>
      </c>
      <c r="BZ54" s="730">
        <f>I!$Z12</f>
        <v>0</v>
      </c>
      <c r="CA54" s="730">
        <f>J!$Z12</f>
        <v>0</v>
      </c>
      <c r="CB54" s="730">
        <f>K!$Z12</f>
        <v>0</v>
      </c>
      <c r="CC54" s="730">
        <f>L!$Z12</f>
        <v>0</v>
      </c>
      <c r="CY54" s="763">
        <f t="shared" si="4"/>
        <v>0</v>
      </c>
      <c r="CZ54" s="773" t="s">
        <v>121</v>
      </c>
    </row>
    <row r="55" spans="1:104" ht="15.75">
      <c r="A55" s="86"/>
      <c r="B55" s="86"/>
      <c r="C55" s="86"/>
      <c r="D55" s="86"/>
      <c r="E55" s="86"/>
      <c r="F55" s="757" t="s">
        <v>369</v>
      </c>
      <c r="G55" s="758">
        <f t="shared" si="13"/>
        <v>0</v>
      </c>
      <c r="H55" s="86"/>
      <c r="I55" s="909">
        <f t="shared" si="14"/>
        <v>0</v>
      </c>
      <c r="J55" s="910"/>
      <c r="K55" s="748"/>
      <c r="L55" s="748"/>
      <c r="M55" s="748"/>
      <c r="N55" s="748"/>
      <c r="O55" s="761"/>
      <c r="P55" s="749"/>
      <c r="Q55" s="86"/>
      <c r="R55" s="86"/>
      <c r="S55" s="86"/>
      <c r="T55" s="86"/>
      <c r="U55" s="86"/>
      <c r="V55" s="86"/>
      <c r="W55" s="86"/>
      <c r="Z55" s="730" t="str">
        <f t="shared" si="5"/>
        <v>other Allowances</v>
      </c>
      <c r="AA55" s="730" t="str">
        <f t="shared" si="7"/>
        <v>other Allowances</v>
      </c>
      <c r="AB55" s="730">
        <f t="shared" si="8"/>
        <v>0</v>
      </c>
      <c r="AC55" s="730">
        <f t="shared" si="9"/>
        <v>52</v>
      </c>
      <c r="AD55" s="730">
        <f t="shared" si="6"/>
        <v>49</v>
      </c>
      <c r="AE55" s="730">
        <f t="shared" si="11"/>
        <v>0</v>
      </c>
      <c r="AF55" s="730" t="e">
        <f t="shared" ca="1" si="10"/>
        <v>#N/A</v>
      </c>
      <c r="AG55" s="777">
        <f t="shared" si="12"/>
        <v>0</v>
      </c>
      <c r="AN55" s="737" t="s">
        <v>283</v>
      </c>
      <c r="AO55" s="735"/>
      <c r="AP55" s="730" t="str">
        <f>'Current Status (''Shikuf'')'!I12</f>
        <v>Food Packages</v>
      </c>
      <c r="AQ55" s="730" t="str">
        <f>'Month A'!Y13</f>
        <v>Food Packages</v>
      </c>
      <c r="AR55" s="730" t="str">
        <f>B!$Y13</f>
        <v>Food Packages</v>
      </c>
      <c r="AS55" s="730" t="str">
        <f>'C'!$Y13</f>
        <v>Food Packages</v>
      </c>
      <c r="AT55" s="730" t="str">
        <f>D!$Y13</f>
        <v>Food Packages</v>
      </c>
      <c r="AU55" s="730" t="str">
        <f>E!$Y13</f>
        <v>Food Packages</v>
      </c>
      <c r="AV55" s="730" t="str">
        <f>F!$Y13</f>
        <v>Food Packages</v>
      </c>
      <c r="AW55" s="730" t="str">
        <f>G!$Y13</f>
        <v>Food Packages</v>
      </c>
      <c r="AX55" s="730" t="str">
        <f>H!$Y13</f>
        <v>Food Packages</v>
      </c>
      <c r="AY55" s="730" t="str">
        <f>I!$Y13</f>
        <v>Food Packages</v>
      </c>
      <c r="AZ55" s="730" t="str">
        <f>J!$Y13</f>
        <v>Food Packages</v>
      </c>
      <c r="BA55" s="730" t="str">
        <f>K!$Y13</f>
        <v>Food Packages</v>
      </c>
      <c r="BB55" s="730" t="str">
        <f>L!$Y13</f>
        <v>Food Packages</v>
      </c>
      <c r="BD55" s="730">
        <f>'Current Status (''Shikuf'')'!K12</f>
        <v>0</v>
      </c>
      <c r="BE55" s="730">
        <f>'Month A'!$AA13</f>
        <v>0</v>
      </c>
      <c r="BF55" s="730">
        <f>B!$AA13</f>
        <v>0</v>
      </c>
      <c r="BG55" s="730">
        <f>'C'!$AA13</f>
        <v>0</v>
      </c>
      <c r="BH55" s="730">
        <f>D!$AA13</f>
        <v>0</v>
      </c>
      <c r="BI55" s="730">
        <f>E!$AA13</f>
        <v>0</v>
      </c>
      <c r="BJ55" s="730">
        <f>F!$AA13</f>
        <v>0</v>
      </c>
      <c r="BK55" s="730">
        <f>G!$AA13</f>
        <v>0</v>
      </c>
      <c r="BL55" s="730">
        <f>H!$AA13</f>
        <v>0</v>
      </c>
      <c r="BM55" s="730">
        <f>I!$AA13</f>
        <v>0</v>
      </c>
      <c r="BN55" s="730">
        <f>J!$AA13</f>
        <v>0</v>
      </c>
      <c r="BO55" s="730">
        <f>K!$AA13</f>
        <v>0</v>
      </c>
      <c r="BP55" s="730">
        <f>L!$AA13</f>
        <v>0</v>
      </c>
      <c r="BR55" s="730">
        <f>'Month A'!$Z13</f>
        <v>0</v>
      </c>
      <c r="BS55" s="730">
        <f>B!$Z13</f>
        <v>0</v>
      </c>
      <c r="BT55" s="730">
        <f>'C'!$Z13</f>
        <v>0</v>
      </c>
      <c r="BU55" s="730">
        <f>D!$Z13</f>
        <v>0</v>
      </c>
      <c r="BV55" s="730">
        <f>E!$Z13</f>
        <v>0</v>
      </c>
      <c r="BW55" s="730">
        <f>F!$Z13</f>
        <v>0</v>
      </c>
      <c r="BX55" s="730">
        <f>G!$Z13</f>
        <v>0</v>
      </c>
      <c r="BY55" s="730">
        <f>H!$Z13</f>
        <v>0</v>
      </c>
      <c r="BZ55" s="730">
        <f>I!$Z13</f>
        <v>0</v>
      </c>
      <c r="CA55" s="730">
        <f>J!$Z13</f>
        <v>0</v>
      </c>
      <c r="CB55" s="730">
        <f>K!$Z13</f>
        <v>0</v>
      </c>
      <c r="CC55" s="730">
        <f>L!$Z13</f>
        <v>0</v>
      </c>
      <c r="CY55" s="763">
        <f t="shared" si="4"/>
        <v>0</v>
      </c>
      <c r="CZ55" s="773" t="s">
        <v>122</v>
      </c>
    </row>
    <row r="56" spans="1:104" ht="15.75">
      <c r="A56" s="86"/>
      <c r="B56" s="86"/>
      <c r="C56" s="86"/>
      <c r="D56" s="86"/>
      <c r="E56" s="86"/>
      <c r="F56" s="757" t="s">
        <v>283</v>
      </c>
      <c r="G56" s="758">
        <f t="shared" si="13"/>
        <v>0</v>
      </c>
      <c r="H56" s="86"/>
      <c r="I56" s="909">
        <f t="shared" si="14"/>
        <v>0</v>
      </c>
      <c r="J56" s="910"/>
      <c r="K56" s="748"/>
      <c r="L56" s="748"/>
      <c r="M56" s="748"/>
      <c r="N56" s="748"/>
      <c r="O56" s="761"/>
      <c r="P56" s="749"/>
      <c r="Q56" s="86"/>
      <c r="R56" s="86"/>
      <c r="S56" s="86"/>
      <c r="T56" s="86"/>
      <c r="U56" s="86"/>
      <c r="V56" s="86"/>
      <c r="W56" s="86"/>
      <c r="Z56" s="730" t="str">
        <f t="shared" si="5"/>
        <v>Rent Assistance</v>
      </c>
      <c r="AA56" s="730" t="str">
        <f t="shared" si="7"/>
        <v>Rent Assistance</v>
      </c>
      <c r="AB56" s="730">
        <f t="shared" si="8"/>
        <v>0</v>
      </c>
      <c r="AC56" s="730">
        <f t="shared" si="9"/>
        <v>53</v>
      </c>
      <c r="AD56" s="730">
        <f t="shared" si="6"/>
        <v>50</v>
      </c>
      <c r="AE56" s="730">
        <f t="shared" si="11"/>
        <v>0</v>
      </c>
      <c r="AF56" s="730" t="e">
        <f t="shared" ca="1" si="10"/>
        <v>#N/A</v>
      </c>
      <c r="AG56" s="777">
        <f t="shared" si="12"/>
        <v>0</v>
      </c>
      <c r="AN56" s="737" t="s">
        <v>425</v>
      </c>
      <c r="AO56" s="735"/>
      <c r="AP56" s="730" t="str">
        <f>'Current Status (''Shikuf'')'!I13</f>
        <v>Income from Property</v>
      </c>
      <c r="AQ56" s="730" t="str">
        <f>'Month A'!Y14</f>
        <v>Income from Property</v>
      </c>
      <c r="AR56" s="730" t="str">
        <f>B!$Y14</f>
        <v>Income from Property</v>
      </c>
      <c r="AS56" s="730" t="str">
        <f>'C'!$Y14</f>
        <v>Income from Property</v>
      </c>
      <c r="AT56" s="730" t="str">
        <f>D!$Y14</f>
        <v>Income from Property</v>
      </c>
      <c r="AU56" s="730" t="str">
        <f>E!$Y14</f>
        <v>Income from Property</v>
      </c>
      <c r="AV56" s="730" t="str">
        <f>F!$Y14</f>
        <v>Income from Property</v>
      </c>
      <c r="AW56" s="730" t="str">
        <f>G!$Y14</f>
        <v>Income from Property</v>
      </c>
      <c r="AX56" s="730" t="str">
        <f>H!$Y14</f>
        <v>Income from Property</v>
      </c>
      <c r="AY56" s="730" t="str">
        <f>I!$Y14</f>
        <v>Income from Property</v>
      </c>
      <c r="AZ56" s="730" t="str">
        <f>J!$Y14</f>
        <v>Income from Property</v>
      </c>
      <c r="BA56" s="730" t="str">
        <f>K!$Y14</f>
        <v>Income from Property</v>
      </c>
      <c r="BB56" s="730" t="str">
        <f>L!$Y14</f>
        <v>Income from Property</v>
      </c>
      <c r="BD56" s="730">
        <f>'Current Status (''Shikuf'')'!K13</f>
        <v>0</v>
      </c>
      <c r="BE56" s="730">
        <f>'Month A'!$AA14</f>
        <v>0</v>
      </c>
      <c r="BF56" s="730">
        <f>B!$AA14</f>
        <v>0</v>
      </c>
      <c r="BG56" s="730">
        <f>'C'!$AA14</f>
        <v>0</v>
      </c>
      <c r="BH56" s="730">
        <f>D!$AA14</f>
        <v>0</v>
      </c>
      <c r="BI56" s="730">
        <f>E!$AA14</f>
        <v>0</v>
      </c>
      <c r="BJ56" s="730">
        <f>F!$AA14</f>
        <v>0</v>
      </c>
      <c r="BK56" s="730">
        <f>G!$AA14</f>
        <v>0</v>
      </c>
      <c r="BL56" s="730">
        <f>H!$AA14</f>
        <v>0</v>
      </c>
      <c r="BM56" s="730">
        <f>I!$AA14</f>
        <v>0</v>
      </c>
      <c r="BN56" s="730">
        <f>J!$AA14</f>
        <v>0</v>
      </c>
      <c r="BO56" s="730">
        <f>K!$AA14</f>
        <v>0</v>
      </c>
      <c r="BP56" s="730">
        <f>L!$AA14</f>
        <v>0</v>
      </c>
      <c r="BR56" s="730">
        <f>'Month A'!$Z14</f>
        <v>0</v>
      </c>
      <c r="BS56" s="730">
        <f>B!$Z14</f>
        <v>0</v>
      </c>
      <c r="BT56" s="730">
        <f>'C'!$Z14</f>
        <v>0</v>
      </c>
      <c r="BU56" s="730">
        <f>D!$Z14</f>
        <v>0</v>
      </c>
      <c r="BV56" s="730">
        <f>E!$Z14</f>
        <v>0</v>
      </c>
      <c r="BW56" s="730">
        <f>F!$Z14</f>
        <v>0</v>
      </c>
      <c r="BX56" s="730">
        <f>G!$Z14</f>
        <v>0</v>
      </c>
      <c r="BY56" s="730">
        <f>H!$Z14</f>
        <v>0</v>
      </c>
      <c r="BZ56" s="730">
        <f>I!$Z14</f>
        <v>0</v>
      </c>
      <c r="CA56" s="730">
        <f>J!$Z14</f>
        <v>0</v>
      </c>
      <c r="CB56" s="730">
        <f>K!$Z14</f>
        <v>0</v>
      </c>
      <c r="CC56" s="730">
        <f>L!$Z14</f>
        <v>0</v>
      </c>
      <c r="CY56" s="763">
        <f t="shared" si="4"/>
        <v>0</v>
      </c>
      <c r="CZ56" s="773" t="s">
        <v>123</v>
      </c>
    </row>
    <row r="57" spans="1:104" ht="15.75">
      <c r="A57" s="86"/>
      <c r="B57" s="86"/>
      <c r="C57" s="86"/>
      <c r="D57" s="86"/>
      <c r="E57" s="86"/>
      <c r="F57" s="757" t="s">
        <v>425</v>
      </c>
      <c r="G57" s="758">
        <f t="shared" si="13"/>
        <v>0</v>
      </c>
      <c r="H57" s="86"/>
      <c r="I57" s="909">
        <f t="shared" si="14"/>
        <v>0</v>
      </c>
      <c r="J57" s="910"/>
      <c r="K57" s="748"/>
      <c r="L57" s="748"/>
      <c r="M57" s="748"/>
      <c r="N57" s="748"/>
      <c r="O57" s="761"/>
      <c r="P57" s="749"/>
      <c r="Q57" s="86"/>
      <c r="R57" s="86"/>
      <c r="S57" s="86"/>
      <c r="T57" s="86"/>
      <c r="U57" s="86"/>
      <c r="V57" s="86"/>
      <c r="W57" s="86"/>
      <c r="Z57" s="730" t="str">
        <f t="shared" si="5"/>
        <v>Food Packages</v>
      </c>
      <c r="AA57" s="730" t="str">
        <f t="shared" si="7"/>
        <v>Food Packages</v>
      </c>
      <c r="AB57" s="730">
        <f t="shared" si="8"/>
        <v>0</v>
      </c>
      <c r="AC57" s="730">
        <f t="shared" si="9"/>
        <v>54</v>
      </c>
      <c r="AD57" s="730">
        <f t="shared" si="6"/>
        <v>51</v>
      </c>
      <c r="AE57" s="730">
        <f t="shared" si="11"/>
        <v>0</v>
      </c>
      <c r="AF57" s="730" t="e">
        <f t="shared" ca="1" si="10"/>
        <v>#N/A</v>
      </c>
      <c r="AG57" s="777">
        <f t="shared" si="12"/>
        <v>0</v>
      </c>
      <c r="AN57" s="737" t="s">
        <v>507</v>
      </c>
      <c r="AO57" s="735"/>
      <c r="AP57" s="730" t="str">
        <f>'Current Status (''Shikuf'')'!I14</f>
        <v>Help from parents</v>
      </c>
      <c r="AQ57" s="730" t="str">
        <f>'Month A'!Y15</f>
        <v>Help from parents</v>
      </c>
      <c r="AR57" s="730" t="str">
        <f>B!$Y15</f>
        <v>Help from parents</v>
      </c>
      <c r="AS57" s="730" t="str">
        <f>'C'!$Y15</f>
        <v>Help from parents</v>
      </c>
      <c r="AT57" s="730" t="str">
        <f>D!$Y15</f>
        <v>Help from parents</v>
      </c>
      <c r="AU57" s="730" t="str">
        <f>E!$Y15</f>
        <v>Help from parents</v>
      </c>
      <c r="AV57" s="730" t="str">
        <f>F!$Y15</f>
        <v>Help from parents</v>
      </c>
      <c r="AW57" s="730" t="str">
        <f>G!$Y15</f>
        <v>Help from parents</v>
      </c>
      <c r="AX57" s="730" t="str">
        <f>H!$Y15</f>
        <v>Help from parents</v>
      </c>
      <c r="AY57" s="730" t="str">
        <f>I!$Y15</f>
        <v>Help from parents</v>
      </c>
      <c r="AZ57" s="730" t="str">
        <f>J!$Y15</f>
        <v>Help from parents</v>
      </c>
      <c r="BA57" s="730" t="str">
        <f>K!$Y15</f>
        <v>Help from parents</v>
      </c>
      <c r="BB57" s="730" t="str">
        <f>L!$Y15</f>
        <v>Help from parents</v>
      </c>
      <c r="BD57" s="730">
        <f>'Current Status (''Shikuf'')'!K14</f>
        <v>0</v>
      </c>
      <c r="BE57" s="730">
        <f>'Month A'!$AA15</f>
        <v>0</v>
      </c>
      <c r="BF57" s="730">
        <f>B!$AA15</f>
        <v>0</v>
      </c>
      <c r="BG57" s="730">
        <f>'C'!$AA15</f>
        <v>0</v>
      </c>
      <c r="BH57" s="730">
        <f>D!$AA15</f>
        <v>0</v>
      </c>
      <c r="BI57" s="730">
        <f>E!$AA15</f>
        <v>0</v>
      </c>
      <c r="BJ57" s="730">
        <f>F!$AA15</f>
        <v>0</v>
      </c>
      <c r="BK57" s="730">
        <f>G!$AA15</f>
        <v>0</v>
      </c>
      <c r="BL57" s="730">
        <f>H!$AA15</f>
        <v>0</v>
      </c>
      <c r="BM57" s="730">
        <f>I!$AA15</f>
        <v>0</v>
      </c>
      <c r="BN57" s="730">
        <f>J!$AA15</f>
        <v>0</v>
      </c>
      <c r="BO57" s="730">
        <f>K!$AA15</f>
        <v>0</v>
      </c>
      <c r="BP57" s="730">
        <f>L!$AA15</f>
        <v>0</v>
      </c>
      <c r="BR57" s="730">
        <f>'Month A'!$Z15</f>
        <v>0</v>
      </c>
      <c r="BS57" s="730">
        <f>B!$Z15</f>
        <v>0</v>
      </c>
      <c r="BT57" s="730">
        <f>'C'!$Z15</f>
        <v>0</v>
      </c>
      <c r="BU57" s="730">
        <f>D!$Z15</f>
        <v>0</v>
      </c>
      <c r="BV57" s="730">
        <f>E!$Z15</f>
        <v>0</v>
      </c>
      <c r="BW57" s="730">
        <f>F!$Z15</f>
        <v>0</v>
      </c>
      <c r="BX57" s="730">
        <f>G!$Z15</f>
        <v>0</v>
      </c>
      <c r="BY57" s="730">
        <f>H!$Z15</f>
        <v>0</v>
      </c>
      <c r="BZ57" s="730">
        <f>I!$Z15</f>
        <v>0</v>
      </c>
      <c r="CA57" s="730">
        <f>J!$Z15</f>
        <v>0</v>
      </c>
      <c r="CB57" s="730">
        <f>K!$Z15</f>
        <v>0</v>
      </c>
      <c r="CC57" s="730">
        <f>L!$Z15</f>
        <v>0</v>
      </c>
      <c r="CY57" s="763">
        <f t="shared" si="4"/>
        <v>0</v>
      </c>
      <c r="CZ57" s="773" t="s">
        <v>124</v>
      </c>
    </row>
    <row r="58" spans="1:104" ht="15.75">
      <c r="A58" s="86"/>
      <c r="B58" s="86"/>
      <c r="C58" s="86"/>
      <c r="D58" s="86"/>
      <c r="E58" s="86"/>
      <c r="F58" s="757" t="str">
        <f>IF(ISERROR(VLOOKUP(AN57,$Z$5:$AA$63,2,FALSE)),AN57,VLOOKUP(AN57,$Z$5:$AA$63,2,FALSE))</f>
        <v>Income - Custom Field1</v>
      </c>
      <c r="G58" s="758">
        <f t="shared" si="13"/>
        <v>0</v>
      </c>
      <c r="H58" s="86"/>
      <c r="I58" s="909">
        <f t="shared" si="14"/>
        <v>0</v>
      </c>
      <c r="J58" s="910"/>
      <c r="K58" s="748"/>
      <c r="L58" s="748"/>
      <c r="M58" s="748"/>
      <c r="N58" s="748"/>
      <c r="O58" s="761"/>
      <c r="P58" s="749"/>
      <c r="Q58" s="86"/>
      <c r="R58" s="86"/>
      <c r="S58" s="86"/>
      <c r="T58" s="86"/>
      <c r="U58" s="86"/>
      <c r="V58" s="86"/>
      <c r="W58" s="86"/>
      <c r="Z58" s="730" t="str">
        <f t="shared" si="5"/>
        <v>Income from Property</v>
      </c>
      <c r="AA58" s="730" t="str">
        <f t="shared" si="7"/>
        <v>Income from Property</v>
      </c>
      <c r="AB58" s="730">
        <f t="shared" si="8"/>
        <v>0</v>
      </c>
      <c r="AC58" s="730">
        <f t="shared" si="9"/>
        <v>55</v>
      </c>
      <c r="AD58" s="730">
        <f t="shared" si="6"/>
        <v>52</v>
      </c>
      <c r="AE58" s="730">
        <f t="shared" si="11"/>
        <v>0</v>
      </c>
      <c r="AF58" s="730" t="e">
        <f t="shared" ca="1" si="10"/>
        <v>#N/A</v>
      </c>
      <c r="AG58" s="777">
        <f t="shared" si="12"/>
        <v>0</v>
      </c>
      <c r="AN58" s="737" t="s">
        <v>508</v>
      </c>
      <c r="AO58" s="735"/>
      <c r="AP58" s="730" t="str">
        <f>'Current Status (''Shikuf'')'!I15</f>
        <v>Other Income</v>
      </c>
      <c r="AQ58" s="730" t="str">
        <f>'Month A'!Y16</f>
        <v>Other Income</v>
      </c>
      <c r="AR58" s="730" t="str">
        <f>B!$Y16</f>
        <v>Other Income</v>
      </c>
      <c r="AS58" s="730" t="str">
        <f>'C'!$Y16</f>
        <v>Other Income</v>
      </c>
      <c r="AT58" s="730" t="str">
        <f>D!$Y16</f>
        <v>Other Income</v>
      </c>
      <c r="AU58" s="730" t="str">
        <f>E!$Y16</f>
        <v>Other Income</v>
      </c>
      <c r="AV58" s="730" t="str">
        <f>F!$Y16</f>
        <v>Other Income</v>
      </c>
      <c r="AW58" s="730" t="str">
        <f>G!$Y16</f>
        <v>Other Income</v>
      </c>
      <c r="AX58" s="730" t="str">
        <f>H!$Y16</f>
        <v>Other Income</v>
      </c>
      <c r="AY58" s="730" t="str">
        <f>I!$Y16</f>
        <v>Other Income</v>
      </c>
      <c r="AZ58" s="730" t="str">
        <f>J!$Y16</f>
        <v>Other Income</v>
      </c>
      <c r="BA58" s="730" t="str">
        <f>K!$Y16</f>
        <v>Other Income</v>
      </c>
      <c r="BB58" s="730" t="str">
        <f>L!$Y16</f>
        <v>Other Income</v>
      </c>
      <c r="BD58" s="730">
        <f>'Current Status (''Shikuf'')'!K15</f>
        <v>0</v>
      </c>
      <c r="BE58" s="730">
        <f>'Month A'!$AA16</f>
        <v>0</v>
      </c>
      <c r="BF58" s="730">
        <f>B!$AA16</f>
        <v>0</v>
      </c>
      <c r="BG58" s="730">
        <f>'C'!$AA16</f>
        <v>0</v>
      </c>
      <c r="BH58" s="730">
        <f>D!$AA16</f>
        <v>0</v>
      </c>
      <c r="BI58" s="730">
        <f>E!$AA16</f>
        <v>0</v>
      </c>
      <c r="BJ58" s="730">
        <f>F!$AA16</f>
        <v>0</v>
      </c>
      <c r="BK58" s="730">
        <f>G!$AA16</f>
        <v>0</v>
      </c>
      <c r="BL58" s="730">
        <f>H!$AA16</f>
        <v>0</v>
      </c>
      <c r="BM58" s="730">
        <f>I!$AA16</f>
        <v>0</v>
      </c>
      <c r="BN58" s="730">
        <f>J!$AA16</f>
        <v>0</v>
      </c>
      <c r="BO58" s="730">
        <f>K!$AA16</f>
        <v>0</v>
      </c>
      <c r="BP58" s="730">
        <f>L!$AA16</f>
        <v>0</v>
      </c>
      <c r="BR58" s="730">
        <f>'Month A'!$Z16</f>
        <v>0</v>
      </c>
      <c r="BS58" s="730">
        <f>B!$Z16</f>
        <v>0</v>
      </c>
      <c r="BT58" s="730">
        <f>'C'!$Z16</f>
        <v>0</v>
      </c>
      <c r="BU58" s="730">
        <f>D!$Z16</f>
        <v>0</v>
      </c>
      <c r="BV58" s="730">
        <f>E!$Z16</f>
        <v>0</v>
      </c>
      <c r="BW58" s="730">
        <f>F!$Z16</f>
        <v>0</v>
      </c>
      <c r="BX58" s="730">
        <f>G!$Z16</f>
        <v>0</v>
      </c>
      <c r="BY58" s="730">
        <f>H!$Z16</f>
        <v>0</v>
      </c>
      <c r="BZ58" s="730">
        <f>I!$Z16</f>
        <v>0</v>
      </c>
      <c r="CA58" s="730">
        <f>J!$Z16</f>
        <v>0</v>
      </c>
      <c r="CB58" s="730">
        <f>K!$Z16</f>
        <v>0</v>
      </c>
      <c r="CC58" s="730">
        <f>L!$Z16</f>
        <v>0</v>
      </c>
      <c r="CX58" s="730" t="str">
        <f>F58</f>
        <v>Income - Custom Field1</v>
      </c>
      <c r="CY58" s="763">
        <f t="shared" si="4"/>
        <v>0</v>
      </c>
      <c r="CZ58" s="773" t="s">
        <v>125</v>
      </c>
    </row>
    <row r="59" spans="1:104" ht="15.75">
      <c r="A59" s="86"/>
      <c r="B59" s="86"/>
      <c r="C59" s="86"/>
      <c r="D59" s="86"/>
      <c r="E59" s="86"/>
      <c r="F59" s="757" t="str">
        <f>IF(ISERROR(VLOOKUP(AN58,$Z$5:$AA$63,2,FALSE)),AN58,VLOOKUP(AN58,$Z$5:$AA$63,2,FALSE))</f>
        <v>Income - Custom Field2</v>
      </c>
      <c r="G59" s="758">
        <f t="shared" si="13"/>
        <v>0</v>
      </c>
      <c r="H59" s="86"/>
      <c r="I59" s="909">
        <f t="shared" si="14"/>
        <v>0</v>
      </c>
      <c r="J59" s="910"/>
      <c r="K59" s="748"/>
      <c r="L59" s="748"/>
      <c r="M59" s="748"/>
      <c r="N59" s="748"/>
      <c r="O59" s="761"/>
      <c r="P59" s="749"/>
      <c r="Q59" s="86"/>
      <c r="R59" s="86"/>
      <c r="S59" s="86"/>
      <c r="T59" s="86"/>
      <c r="U59" s="86"/>
      <c r="V59" s="86"/>
      <c r="W59" s="86"/>
      <c r="Z59" s="730" t="str">
        <f t="shared" si="5"/>
        <v>Help from parents</v>
      </c>
      <c r="AA59" s="730" t="str">
        <f t="shared" si="7"/>
        <v>Help from parents</v>
      </c>
      <c r="AB59" s="730">
        <f t="shared" si="8"/>
        <v>0</v>
      </c>
      <c r="AC59" s="730">
        <f t="shared" si="9"/>
        <v>56</v>
      </c>
      <c r="AD59" s="730">
        <f t="shared" si="6"/>
        <v>53</v>
      </c>
      <c r="AE59" s="730">
        <f t="shared" si="11"/>
        <v>0</v>
      </c>
      <c r="AF59" s="730" t="e">
        <f t="shared" ca="1" si="10"/>
        <v>#N/A</v>
      </c>
      <c r="AG59" s="777">
        <f t="shared" si="12"/>
        <v>0</v>
      </c>
      <c r="AN59" s="737" t="s">
        <v>370</v>
      </c>
      <c r="AO59" s="735"/>
      <c r="CX59" s="730" t="str">
        <f>F59</f>
        <v>Income - Custom Field2</v>
      </c>
      <c r="CY59" s="763">
        <f t="shared" si="4"/>
        <v>0</v>
      </c>
      <c r="CZ59" s="773" t="s">
        <v>126</v>
      </c>
    </row>
    <row r="60" spans="1:104" ht="16.5" thickBot="1">
      <c r="A60" s="86"/>
      <c r="B60" s="86"/>
      <c r="C60" s="86"/>
      <c r="D60" s="86"/>
      <c r="E60" s="86"/>
      <c r="F60" s="757" t="s">
        <v>370</v>
      </c>
      <c r="G60" s="758">
        <f t="shared" si="13"/>
        <v>0</v>
      </c>
      <c r="H60" s="86"/>
      <c r="I60" s="909">
        <f t="shared" si="14"/>
        <v>0</v>
      </c>
      <c r="J60" s="910"/>
      <c r="K60" s="748"/>
      <c r="L60" s="748"/>
      <c r="M60" s="748"/>
      <c r="N60" s="748"/>
      <c r="O60" s="761"/>
      <c r="P60" s="749"/>
      <c r="Q60" s="86"/>
      <c r="R60" s="86"/>
      <c r="S60" s="86"/>
      <c r="T60" s="86"/>
      <c r="U60" s="86"/>
      <c r="V60" s="86"/>
      <c r="W60" s="86"/>
      <c r="Z60" s="730" t="str">
        <f t="shared" si="5"/>
        <v>Other Income</v>
      </c>
      <c r="AA60" s="730" t="str">
        <f t="shared" si="7"/>
        <v>Other Income</v>
      </c>
      <c r="AB60" s="730">
        <f t="shared" si="8"/>
        <v>0</v>
      </c>
      <c r="AC60" s="730">
        <f t="shared" si="9"/>
        <v>57</v>
      </c>
      <c r="AD60" s="730">
        <f t="shared" si="6"/>
        <v>54</v>
      </c>
      <c r="AE60" s="730">
        <f t="shared" si="11"/>
        <v>0</v>
      </c>
      <c r="AF60" s="730" t="e">
        <f t="shared" ca="1" si="10"/>
        <v>#N/A</v>
      </c>
      <c r="AG60" s="777">
        <f t="shared" si="12"/>
        <v>0</v>
      </c>
      <c r="AO60" s="735"/>
      <c r="CY60" s="764">
        <f t="shared" si="4"/>
        <v>0</v>
      </c>
      <c r="CZ60" s="774" t="s">
        <v>127</v>
      </c>
    </row>
    <row r="61" spans="1:104" ht="15.75">
      <c r="A61" s="86"/>
      <c r="B61" s="86"/>
      <c r="C61" s="86"/>
      <c r="D61" s="86"/>
      <c r="E61" s="86"/>
      <c r="F61" s="752"/>
      <c r="G61" s="86"/>
      <c r="H61" s="86"/>
      <c r="I61" s="909">
        <f t="shared" si="14"/>
        <v>0</v>
      </c>
      <c r="J61" s="910"/>
      <c r="K61" s="748"/>
      <c r="L61" s="748"/>
      <c r="M61" s="748"/>
      <c r="N61" s="748"/>
      <c r="O61" s="761"/>
      <c r="P61" s="749"/>
      <c r="Q61" s="86"/>
      <c r="R61" s="86"/>
      <c r="S61" s="86"/>
      <c r="T61" s="86"/>
      <c r="U61" s="86"/>
      <c r="V61" s="86"/>
      <c r="W61" s="86"/>
      <c r="Z61" s="730">
        <f t="shared" si="5"/>
        <v>0</v>
      </c>
      <c r="AA61" s="730">
        <f t="shared" si="7"/>
        <v>0</v>
      </c>
      <c r="AB61" s="730">
        <f t="shared" si="8"/>
        <v>0</v>
      </c>
      <c r="AC61" s="730">
        <f t="shared" si="9"/>
        <v>58</v>
      </c>
      <c r="AD61" s="730" t="e">
        <f t="shared" si="6"/>
        <v>#N/A</v>
      </c>
      <c r="AE61" s="730">
        <f t="shared" si="11"/>
        <v>0</v>
      </c>
      <c r="AF61" s="730" t="e">
        <f t="shared" ca="1" si="10"/>
        <v>#N/A</v>
      </c>
      <c r="AG61" s="777">
        <f t="shared" si="12"/>
        <v>0</v>
      </c>
      <c r="AO61" s="735"/>
      <c r="AP61" s="730" t="s">
        <v>370</v>
      </c>
      <c r="AQ61" s="730" t="s">
        <v>370</v>
      </c>
      <c r="AR61" s="730" t="s">
        <v>370</v>
      </c>
      <c r="AS61" s="730" t="s">
        <v>370</v>
      </c>
      <c r="AT61" s="730" t="s">
        <v>370</v>
      </c>
      <c r="AU61" s="730" t="s">
        <v>370</v>
      </c>
      <c r="AV61" s="730" t="s">
        <v>370</v>
      </c>
      <c r="AW61" s="730" t="s">
        <v>370</v>
      </c>
      <c r="AX61" s="730" t="s">
        <v>370</v>
      </c>
      <c r="AY61" s="730" t="s">
        <v>370</v>
      </c>
      <c r="AZ61" s="730" t="s">
        <v>370</v>
      </c>
      <c r="BA61" s="730" t="s">
        <v>370</v>
      </c>
      <c r="BB61" s="730" t="s">
        <v>370</v>
      </c>
      <c r="BD61" s="738">
        <f>'Current Status (''Shikuf'')'!K30</f>
        <v>0</v>
      </c>
      <c r="BE61" s="730">
        <f>'Month A'!$D40</f>
        <v>0</v>
      </c>
      <c r="BF61" s="730">
        <f>B!$D40</f>
        <v>0</v>
      </c>
      <c r="BG61" s="730">
        <f>'C'!$D40</f>
        <v>0</v>
      </c>
      <c r="BH61" s="730">
        <f>D!$D40</f>
        <v>0</v>
      </c>
      <c r="BI61" s="730">
        <f>E!$D40</f>
        <v>0</v>
      </c>
      <c r="BJ61" s="730">
        <f>F!$D40</f>
        <v>0</v>
      </c>
      <c r="BK61" s="730">
        <f>G!$D40</f>
        <v>0</v>
      </c>
      <c r="BL61" s="730">
        <f>H!$D40</f>
        <v>0</v>
      </c>
      <c r="BM61" s="730">
        <f>I!$D40</f>
        <v>0</v>
      </c>
      <c r="BN61" s="730">
        <f>J!$D40</f>
        <v>0</v>
      </c>
      <c r="BO61" s="730">
        <f>K!$D40</f>
        <v>0</v>
      </c>
      <c r="BP61" s="730">
        <f>L!$D40</f>
        <v>0</v>
      </c>
      <c r="BR61" s="730">
        <f ca="1">'Month A'!$C40</f>
        <v>0</v>
      </c>
      <c r="BS61" s="730">
        <f ca="1">B!$C40</f>
        <v>0</v>
      </c>
      <c r="BT61" s="730">
        <f ca="1">'C'!$C40</f>
        <v>0</v>
      </c>
      <c r="BU61" s="730">
        <f ca="1">D!$C40</f>
        <v>0</v>
      </c>
      <c r="BV61" s="730">
        <f ca="1">E!$C40</f>
        <v>0</v>
      </c>
      <c r="BW61" s="730">
        <f ca="1">F!$C40</f>
        <v>0</v>
      </c>
      <c r="BX61" s="730">
        <f ca="1">G!$C40</f>
        <v>0</v>
      </c>
      <c r="BY61" s="730">
        <f ca="1">H!$C40</f>
        <v>0</v>
      </c>
      <c r="BZ61" s="730">
        <f ca="1">I!$C40</f>
        <v>0</v>
      </c>
      <c r="CA61" s="730">
        <f ca="1">J!$C40</f>
        <v>0</v>
      </c>
      <c r="CB61" s="730">
        <f ca="1">K!$C40</f>
        <v>0</v>
      </c>
      <c r="CC61" s="730">
        <f ca="1">L!$C40</f>
        <v>0</v>
      </c>
    </row>
    <row r="62" spans="1:104" ht="16.5" thickBot="1">
      <c r="A62" s="86"/>
      <c r="B62" s="86"/>
      <c r="C62" s="86"/>
      <c r="D62" s="86"/>
      <c r="E62" s="86"/>
      <c r="F62" s="752"/>
      <c r="G62" s="86"/>
      <c r="H62" s="86"/>
      <c r="I62" s="911">
        <f t="shared" si="14"/>
        <v>0</v>
      </c>
      <c r="J62" s="912"/>
      <c r="K62" s="750"/>
      <c r="L62" s="750"/>
      <c r="M62" s="750"/>
      <c r="N62" s="750"/>
      <c r="O62" s="762"/>
      <c r="P62" s="751"/>
      <c r="Q62" s="86"/>
      <c r="R62" s="86"/>
      <c r="S62" s="86"/>
      <c r="T62" s="86"/>
      <c r="U62" s="86"/>
      <c r="V62" s="86"/>
      <c r="W62" s="86"/>
      <c r="Z62" s="730">
        <f t="shared" si="5"/>
        <v>0</v>
      </c>
      <c r="AA62" s="730">
        <f t="shared" si="7"/>
        <v>0</v>
      </c>
      <c r="AB62" s="730">
        <f t="shared" si="8"/>
        <v>0</v>
      </c>
      <c r="AC62" s="730">
        <f t="shared" si="9"/>
        <v>59</v>
      </c>
      <c r="AD62" s="730" t="e">
        <f t="shared" si="6"/>
        <v>#N/A</v>
      </c>
      <c r="AE62" s="730">
        <f t="shared" si="11"/>
        <v>0</v>
      </c>
      <c r="AF62" s="730" t="e">
        <f t="shared" ca="1" si="10"/>
        <v>#N/A</v>
      </c>
      <c r="AG62" s="777">
        <f t="shared" si="12"/>
        <v>0</v>
      </c>
      <c r="AO62" s="735"/>
    </row>
    <row r="63" spans="1:104" ht="15.75">
      <c r="A63" s="86"/>
      <c r="B63" s="86"/>
      <c r="C63" s="86"/>
      <c r="D63" s="86"/>
      <c r="E63" s="86"/>
      <c r="F63" s="752"/>
      <c r="G63" s="86"/>
      <c r="H63" s="86"/>
      <c r="I63" s="832">
        <f>IF(AE63=0,,CONCATENATE("שם הסעיף '",AA63,"' לא נמצא בתוכנה. להעביר לסעיף: "))</f>
        <v>0</v>
      </c>
      <c r="J63" s="86"/>
      <c r="K63" s="86"/>
      <c r="L63" s="86"/>
      <c r="M63" s="86"/>
      <c r="N63" s="86"/>
      <c r="O63" s="756"/>
      <c r="P63" s="86"/>
      <c r="Q63" s="86"/>
      <c r="R63" s="86"/>
      <c r="S63" s="86"/>
      <c r="T63" s="86"/>
      <c r="U63" s="86"/>
      <c r="V63" s="86"/>
      <c r="W63" s="86"/>
      <c r="Z63" s="730" t="str">
        <f t="shared" si="5"/>
        <v>Debts</v>
      </c>
      <c r="AA63" s="730" t="str">
        <f t="shared" si="7"/>
        <v>Debts</v>
      </c>
      <c r="AB63" s="730">
        <f t="shared" si="8"/>
        <v>0</v>
      </c>
      <c r="AC63" s="730">
        <f t="shared" si="9"/>
        <v>60</v>
      </c>
      <c r="AD63" s="730">
        <f t="shared" si="6"/>
        <v>57</v>
      </c>
      <c r="AE63" s="730">
        <f t="shared" si="11"/>
        <v>0</v>
      </c>
      <c r="AF63" s="730" t="e">
        <f t="shared" ca="1" si="10"/>
        <v>#N/A</v>
      </c>
      <c r="AG63" s="777">
        <f t="shared" si="12"/>
        <v>0</v>
      </c>
      <c r="AO63" s="735"/>
    </row>
    <row r="64" spans="1:104" ht="15.75">
      <c r="A64" s="86"/>
      <c r="B64" s="86"/>
      <c r="C64" s="86"/>
      <c r="D64" s="86"/>
      <c r="E64" s="86"/>
      <c r="F64" s="752"/>
      <c r="G64" s="86"/>
      <c r="H64" s="86"/>
      <c r="I64" s="86"/>
      <c r="J64" s="86"/>
      <c r="K64" s="86"/>
      <c r="L64" s="86"/>
      <c r="M64" s="86"/>
      <c r="N64" s="86"/>
      <c r="O64" s="755"/>
      <c r="P64" s="86"/>
      <c r="Q64" s="86"/>
      <c r="R64" s="86"/>
      <c r="S64" s="86"/>
      <c r="T64" s="86"/>
      <c r="U64" s="86"/>
      <c r="V64" s="86"/>
      <c r="W64" s="86"/>
      <c r="AO64" s="735"/>
    </row>
    <row r="65" spans="1:41" ht="15.75">
      <c r="A65" s="86"/>
      <c r="B65" s="86"/>
      <c r="C65" s="86"/>
      <c r="D65" s="86"/>
      <c r="E65" s="86"/>
      <c r="F65" s="752"/>
      <c r="G65" s="86"/>
      <c r="H65" s="86"/>
      <c r="I65" s="86"/>
      <c r="J65" s="86"/>
      <c r="K65" s="86"/>
      <c r="L65" s="86"/>
      <c r="M65" s="86"/>
      <c r="N65" s="86"/>
      <c r="O65" s="755"/>
      <c r="P65" s="86"/>
      <c r="Q65" s="86"/>
      <c r="R65" s="86"/>
      <c r="S65" s="86"/>
      <c r="T65" s="86"/>
      <c r="U65" s="86"/>
      <c r="V65" s="86"/>
      <c r="W65" s="86"/>
      <c r="AO65" s="735"/>
    </row>
    <row r="66" spans="1:41" ht="15.75">
      <c r="A66" s="86"/>
      <c r="B66" s="86"/>
      <c r="C66" s="86"/>
      <c r="D66" s="86"/>
      <c r="E66" s="86"/>
      <c r="F66" s="752"/>
      <c r="G66" s="86"/>
      <c r="H66" s="86"/>
      <c r="I66" s="86"/>
      <c r="J66" s="86"/>
      <c r="K66" s="86"/>
      <c r="L66" s="86"/>
      <c r="M66" s="86"/>
      <c r="N66" s="86"/>
      <c r="O66" s="755"/>
      <c r="P66" s="86"/>
      <c r="Q66" s="86"/>
      <c r="R66" s="86"/>
      <c r="S66" s="86"/>
      <c r="T66" s="86"/>
      <c r="U66" s="86"/>
      <c r="V66" s="86"/>
      <c r="W66" s="86"/>
      <c r="AO66" s="735"/>
    </row>
    <row r="67" spans="1:41" ht="15.75">
      <c r="A67" s="86"/>
      <c r="B67" s="86"/>
      <c r="C67" s="86"/>
      <c r="D67" s="86"/>
      <c r="E67" s="86"/>
      <c r="F67" s="752"/>
      <c r="G67" s="86"/>
      <c r="H67" s="86"/>
      <c r="I67" s="86"/>
      <c r="J67" s="86"/>
      <c r="K67" s="86"/>
      <c r="L67" s="86"/>
      <c r="M67" s="86"/>
      <c r="N67" s="86"/>
      <c r="O67" s="755"/>
      <c r="P67" s="86"/>
      <c r="Q67" s="86"/>
      <c r="R67" s="86"/>
      <c r="S67" s="86"/>
      <c r="T67" s="86"/>
      <c r="U67" s="86"/>
      <c r="V67" s="86"/>
      <c r="W67" s="86"/>
      <c r="AO67" s="735"/>
    </row>
    <row r="68" spans="1:41" ht="15.75">
      <c r="A68" s="86"/>
      <c r="B68" s="86"/>
      <c r="C68" s="86"/>
      <c r="D68" s="86"/>
      <c r="E68" s="86"/>
      <c r="F68" s="752"/>
      <c r="G68" s="86"/>
      <c r="H68" s="86"/>
      <c r="I68" s="86"/>
      <c r="J68" s="86"/>
      <c r="K68" s="86"/>
      <c r="L68" s="86"/>
      <c r="M68" s="86"/>
      <c r="N68" s="86"/>
      <c r="O68" s="755"/>
      <c r="P68" s="86"/>
      <c r="Q68" s="86"/>
      <c r="R68" s="86"/>
      <c r="S68" s="86"/>
      <c r="T68" s="86"/>
      <c r="U68" s="86"/>
      <c r="V68" s="86"/>
      <c r="W68" s="86"/>
      <c r="AO68" s="735"/>
    </row>
    <row r="69" spans="1:41">
      <c r="A69" s="86"/>
      <c r="B69" s="86"/>
      <c r="C69" s="86"/>
      <c r="D69" s="86"/>
      <c r="E69" s="86"/>
      <c r="F69" s="752"/>
      <c r="G69" s="86"/>
      <c r="H69" s="86"/>
      <c r="I69" s="86"/>
      <c r="J69" s="86"/>
      <c r="K69" s="86"/>
      <c r="L69" s="86"/>
      <c r="M69" s="86"/>
      <c r="N69" s="86"/>
      <c r="O69" s="755"/>
      <c r="P69" s="86"/>
      <c r="Q69" s="86"/>
      <c r="R69" s="86"/>
      <c r="S69" s="86"/>
      <c r="T69" s="86"/>
      <c r="U69" s="86"/>
      <c r="V69" s="86"/>
      <c r="W69" s="86"/>
    </row>
    <row r="70" spans="1:41">
      <c r="A70" s="86"/>
      <c r="B70" s="86"/>
      <c r="C70" s="86"/>
      <c r="D70" s="86"/>
      <c r="E70" s="86"/>
      <c r="F70" s="752"/>
      <c r="G70" s="86"/>
      <c r="H70" s="86"/>
      <c r="I70" s="86"/>
      <c r="J70" s="86"/>
      <c r="K70" s="86"/>
      <c r="L70" s="86"/>
      <c r="M70" s="86"/>
      <c r="N70" s="86"/>
      <c r="O70" s="755"/>
      <c r="P70" s="86"/>
      <c r="Q70" s="86"/>
      <c r="R70" s="86"/>
      <c r="S70" s="86"/>
      <c r="T70" s="86"/>
      <c r="U70" s="86"/>
      <c r="V70" s="86"/>
      <c r="W70" s="86"/>
    </row>
    <row r="71" spans="1:41">
      <c r="A71" s="86"/>
      <c r="B71" s="86"/>
      <c r="C71" s="86"/>
      <c r="D71" s="86"/>
      <c r="E71" s="86"/>
      <c r="F71" s="752"/>
      <c r="G71" s="86"/>
      <c r="H71" s="86"/>
      <c r="I71" s="86"/>
      <c r="J71" s="86"/>
      <c r="K71" s="86"/>
      <c r="L71" s="86"/>
      <c r="M71" s="86"/>
      <c r="N71" s="86"/>
      <c r="O71" s="755"/>
      <c r="P71" s="86"/>
      <c r="Q71" s="86"/>
      <c r="R71" s="86"/>
      <c r="S71" s="86"/>
      <c r="T71" s="86"/>
      <c r="U71" s="86"/>
      <c r="V71" s="86"/>
      <c r="W71" s="86"/>
    </row>
    <row r="72" spans="1:41">
      <c r="A72" s="86"/>
      <c r="B72" s="86"/>
      <c r="C72" s="86"/>
      <c r="D72" s="86"/>
      <c r="E72" s="86"/>
      <c r="F72" s="752"/>
      <c r="G72" s="86"/>
      <c r="H72" s="86"/>
      <c r="I72" s="86"/>
      <c r="J72" s="86"/>
      <c r="K72" s="86"/>
      <c r="L72" s="86"/>
      <c r="M72" s="86"/>
      <c r="N72" s="86"/>
      <c r="O72" s="755"/>
      <c r="P72" s="86"/>
      <c r="Q72" s="86"/>
      <c r="R72" s="86"/>
      <c r="S72" s="86"/>
      <c r="T72" s="86"/>
      <c r="U72" s="86"/>
      <c r="V72" s="86"/>
      <c r="W72" s="86"/>
    </row>
    <row r="73" spans="1:41">
      <c r="A73" s="86"/>
      <c r="B73" s="86"/>
      <c r="C73" s="86"/>
      <c r="D73" s="86"/>
      <c r="E73" s="86"/>
      <c r="F73" s="752"/>
      <c r="G73" s="86"/>
      <c r="H73" s="86"/>
      <c r="I73" s="86"/>
      <c r="J73" s="86"/>
      <c r="K73" s="86"/>
      <c r="L73" s="86"/>
      <c r="M73" s="86"/>
      <c r="N73" s="86"/>
      <c r="O73" s="755"/>
      <c r="P73" s="86"/>
      <c r="Q73" s="86"/>
      <c r="R73" s="86"/>
      <c r="S73" s="86"/>
      <c r="T73" s="86"/>
      <c r="U73" s="86"/>
      <c r="V73" s="86"/>
      <c r="W73" s="86"/>
    </row>
    <row r="74" spans="1:41">
      <c r="A74" s="86"/>
      <c r="B74" s="86"/>
      <c r="C74" s="86"/>
      <c r="D74" s="86"/>
      <c r="E74" s="86"/>
      <c r="F74" s="752"/>
      <c r="G74" s="86"/>
      <c r="H74" s="86"/>
      <c r="I74" s="86"/>
      <c r="J74" s="86"/>
      <c r="K74" s="86"/>
      <c r="L74" s="86"/>
      <c r="M74" s="86"/>
      <c r="N74" s="86"/>
      <c r="O74" s="755"/>
      <c r="P74" s="86"/>
      <c r="Q74" s="86"/>
      <c r="R74" s="86"/>
      <c r="S74" s="86"/>
      <c r="T74" s="86"/>
      <c r="U74" s="86"/>
      <c r="V74" s="86"/>
      <c r="W74" s="86"/>
    </row>
    <row r="75" spans="1:41">
      <c r="A75" s="86"/>
      <c r="B75" s="86"/>
      <c r="C75" s="86"/>
      <c r="D75" s="86"/>
      <c r="E75" s="86"/>
      <c r="F75" s="752"/>
      <c r="G75" s="86"/>
      <c r="H75" s="86"/>
      <c r="I75" s="86"/>
      <c r="J75" s="86"/>
      <c r="K75" s="86"/>
      <c r="L75" s="86"/>
      <c r="M75" s="86"/>
      <c r="N75" s="86"/>
      <c r="O75" s="755"/>
      <c r="P75" s="86"/>
      <c r="Q75" s="86"/>
      <c r="R75" s="86"/>
      <c r="S75" s="86"/>
      <c r="T75" s="86"/>
      <c r="U75" s="86"/>
      <c r="V75" s="86"/>
      <c r="W75" s="86"/>
    </row>
    <row r="76" spans="1:41">
      <c r="A76" s="86"/>
      <c r="B76" s="86"/>
      <c r="C76" s="86"/>
      <c r="D76" s="86"/>
      <c r="E76" s="86"/>
      <c r="F76" s="752"/>
      <c r="G76" s="86"/>
      <c r="H76" s="86"/>
      <c r="I76" s="86"/>
      <c r="J76" s="86"/>
      <c r="K76" s="86"/>
      <c r="L76" s="86"/>
      <c r="M76" s="86"/>
      <c r="N76" s="86"/>
      <c r="O76" s="755"/>
      <c r="P76" s="86"/>
      <c r="Q76" s="86"/>
      <c r="R76" s="86"/>
      <c r="S76" s="86"/>
      <c r="T76" s="86"/>
      <c r="U76" s="86"/>
      <c r="V76" s="86"/>
      <c r="W76" s="86"/>
    </row>
    <row r="77" spans="1:41">
      <c r="A77" s="86"/>
      <c r="B77" s="86"/>
      <c r="C77" s="86"/>
      <c r="D77" s="86"/>
      <c r="E77" s="86"/>
      <c r="F77" s="752"/>
      <c r="G77" s="86"/>
      <c r="H77" s="86"/>
      <c r="I77" s="86"/>
      <c r="J77" s="86"/>
      <c r="K77" s="86"/>
      <c r="L77" s="86"/>
      <c r="M77" s="86"/>
      <c r="N77" s="86"/>
      <c r="O77" s="755"/>
      <c r="P77" s="86"/>
      <c r="Q77" s="86"/>
      <c r="R77" s="86"/>
      <c r="S77" s="86"/>
      <c r="T77" s="86"/>
      <c r="U77" s="86"/>
      <c r="V77" s="86"/>
      <c r="W77" s="86"/>
    </row>
    <row r="78" spans="1:41">
      <c r="A78" s="86"/>
      <c r="B78" s="86"/>
      <c r="C78" s="86"/>
      <c r="D78" s="86"/>
      <c r="E78" s="86"/>
      <c r="F78" s="752"/>
      <c r="G78" s="86"/>
      <c r="H78" s="86"/>
      <c r="I78" s="86"/>
      <c r="J78" s="86"/>
      <c r="K78" s="86"/>
      <c r="L78" s="86"/>
      <c r="M78" s="86"/>
      <c r="N78" s="86"/>
      <c r="O78" s="755"/>
      <c r="P78" s="86"/>
      <c r="Q78" s="86"/>
      <c r="R78" s="86"/>
      <c r="S78" s="86"/>
      <c r="T78" s="86"/>
      <c r="U78" s="86"/>
      <c r="V78" s="86"/>
      <c r="W78" s="86"/>
    </row>
    <row r="79" spans="1:41">
      <c r="A79" s="86"/>
      <c r="B79" s="86"/>
      <c r="C79" s="86"/>
      <c r="D79" s="86"/>
      <c r="E79" s="86"/>
      <c r="F79" s="752"/>
      <c r="G79" s="86"/>
      <c r="H79" s="86"/>
      <c r="I79" s="86"/>
      <c r="J79" s="86"/>
      <c r="K79" s="86"/>
      <c r="L79" s="86"/>
      <c r="M79" s="86"/>
      <c r="N79" s="86"/>
      <c r="O79" s="755"/>
      <c r="P79" s="86"/>
      <c r="Q79" s="86"/>
      <c r="R79" s="86"/>
      <c r="S79" s="86"/>
      <c r="T79" s="86"/>
      <c r="U79" s="86"/>
      <c r="V79" s="86"/>
      <c r="W79" s="86"/>
    </row>
    <row r="80" spans="1:41">
      <c r="A80" s="86"/>
      <c r="B80" s="86"/>
      <c r="C80" s="86"/>
      <c r="D80" s="86"/>
      <c r="E80" s="86"/>
      <c r="F80" s="752"/>
      <c r="G80" s="86"/>
      <c r="H80" s="86"/>
      <c r="I80" s="86"/>
      <c r="J80" s="86"/>
      <c r="K80" s="86"/>
      <c r="L80" s="86"/>
      <c r="M80" s="86"/>
      <c r="N80" s="86"/>
      <c r="O80" s="755"/>
      <c r="P80" s="86"/>
      <c r="Q80" s="86"/>
      <c r="R80" s="86"/>
      <c r="S80" s="86"/>
      <c r="T80" s="86"/>
      <c r="U80" s="86"/>
      <c r="V80" s="86"/>
      <c r="W80" s="86"/>
    </row>
    <row r="81" spans="1:23">
      <c r="A81" s="86"/>
      <c r="B81" s="86"/>
      <c r="C81" s="86"/>
      <c r="D81" s="86"/>
      <c r="E81" s="86"/>
      <c r="F81" s="752"/>
      <c r="G81" s="86"/>
      <c r="H81" s="86"/>
      <c r="I81" s="86"/>
      <c r="J81" s="86"/>
      <c r="K81" s="86"/>
      <c r="L81" s="86"/>
      <c r="M81" s="86"/>
      <c r="N81" s="86"/>
      <c r="O81" s="755"/>
      <c r="P81" s="86"/>
      <c r="Q81" s="86"/>
      <c r="R81" s="86"/>
      <c r="S81" s="86"/>
      <c r="T81" s="86"/>
      <c r="U81" s="86"/>
      <c r="V81" s="86"/>
      <c r="W81" s="86"/>
    </row>
    <row r="82" spans="1:23">
      <c r="A82" s="86"/>
      <c r="B82" s="86"/>
      <c r="C82" s="86"/>
      <c r="D82" s="86"/>
      <c r="E82" s="86"/>
      <c r="F82" s="752"/>
      <c r="G82" s="86"/>
      <c r="H82" s="86"/>
      <c r="I82" s="86"/>
      <c r="J82" s="86"/>
      <c r="K82" s="86"/>
      <c r="L82" s="86"/>
      <c r="M82" s="86"/>
      <c r="N82" s="86"/>
      <c r="O82" s="755"/>
      <c r="P82" s="86"/>
      <c r="Q82" s="86"/>
      <c r="R82" s="86"/>
      <c r="S82" s="86"/>
      <c r="T82" s="86"/>
      <c r="U82" s="86"/>
      <c r="V82" s="86"/>
      <c r="W82" s="86"/>
    </row>
    <row r="83" spans="1:23">
      <c r="A83" s="86"/>
      <c r="B83" s="86"/>
      <c r="C83" s="86"/>
      <c r="D83" s="86"/>
      <c r="E83" s="86"/>
      <c r="F83" s="752"/>
      <c r="G83" s="86"/>
      <c r="H83" s="86"/>
      <c r="I83" s="86"/>
      <c r="J83" s="86"/>
      <c r="K83" s="86"/>
      <c r="L83" s="86"/>
      <c r="M83" s="86"/>
      <c r="N83" s="86"/>
      <c r="O83" s="755"/>
      <c r="P83" s="86"/>
      <c r="Q83" s="86"/>
      <c r="R83" s="86"/>
      <c r="S83" s="86"/>
      <c r="T83" s="86"/>
      <c r="U83" s="86"/>
      <c r="V83" s="86"/>
      <c r="W83" s="86"/>
    </row>
    <row r="84" spans="1:23">
      <c r="A84" s="86"/>
      <c r="B84" s="86"/>
      <c r="C84" s="86"/>
      <c r="D84" s="86"/>
      <c r="E84" s="86"/>
      <c r="F84" s="752"/>
      <c r="G84" s="86"/>
      <c r="H84" s="86"/>
      <c r="I84" s="86"/>
      <c r="J84" s="86"/>
      <c r="K84" s="86"/>
      <c r="L84" s="86"/>
      <c r="M84" s="86"/>
      <c r="N84" s="86"/>
      <c r="O84" s="755"/>
      <c r="P84" s="86"/>
      <c r="Q84" s="86"/>
      <c r="R84" s="86"/>
      <c r="S84" s="86"/>
      <c r="T84" s="86"/>
      <c r="U84" s="86"/>
      <c r="V84" s="86"/>
      <c r="W84" s="86"/>
    </row>
    <row r="85" spans="1:23">
      <c r="A85" s="86"/>
      <c r="B85" s="86"/>
      <c r="C85" s="86"/>
      <c r="D85" s="86"/>
      <c r="E85" s="86"/>
      <c r="F85" s="752"/>
      <c r="G85" s="86"/>
      <c r="H85" s="86"/>
      <c r="I85" s="86"/>
      <c r="J85" s="86"/>
      <c r="K85" s="86"/>
      <c r="L85" s="86"/>
      <c r="M85" s="86"/>
      <c r="N85" s="86"/>
      <c r="O85" s="755"/>
      <c r="P85" s="86"/>
      <c r="Q85" s="86"/>
      <c r="R85" s="86"/>
      <c r="S85" s="86"/>
      <c r="T85" s="86"/>
      <c r="U85" s="86"/>
      <c r="V85" s="86"/>
      <c r="W85" s="86"/>
    </row>
    <row r="86" spans="1:23">
      <c r="A86" s="86"/>
      <c r="B86" s="86"/>
      <c r="C86" s="86"/>
      <c r="D86" s="86"/>
      <c r="E86" s="86"/>
      <c r="F86" s="752"/>
      <c r="G86" s="86"/>
      <c r="H86" s="86"/>
      <c r="I86" s="86"/>
      <c r="J86" s="86"/>
      <c r="K86" s="86"/>
      <c r="L86" s="86"/>
      <c r="M86" s="86"/>
      <c r="N86" s="86"/>
      <c r="O86" s="755"/>
      <c r="P86" s="86"/>
      <c r="Q86" s="86"/>
      <c r="R86" s="86"/>
      <c r="S86" s="86"/>
      <c r="T86" s="86"/>
      <c r="U86" s="86"/>
      <c r="V86" s="86"/>
      <c r="W86" s="86"/>
    </row>
    <row r="87" spans="1:23">
      <c r="A87" s="86"/>
      <c r="B87" s="86"/>
      <c r="C87" s="86"/>
      <c r="D87" s="86"/>
      <c r="E87" s="86"/>
      <c r="F87" s="752"/>
      <c r="G87" s="86"/>
      <c r="H87" s="86"/>
      <c r="I87" s="86"/>
      <c r="J87" s="86"/>
      <c r="K87" s="86"/>
      <c r="L87" s="86"/>
      <c r="M87" s="86"/>
      <c r="N87" s="86"/>
      <c r="O87" s="755"/>
      <c r="P87" s="86"/>
      <c r="Q87" s="86"/>
      <c r="R87" s="86"/>
      <c r="S87" s="86"/>
      <c r="T87" s="86"/>
      <c r="U87" s="86"/>
      <c r="V87" s="86"/>
      <c r="W87" s="86"/>
    </row>
    <row r="88" spans="1:23">
      <c r="A88" s="86"/>
      <c r="B88" s="86"/>
      <c r="C88" s="86"/>
      <c r="D88" s="86"/>
      <c r="E88" s="86"/>
      <c r="F88" s="752"/>
      <c r="G88" s="86"/>
      <c r="H88" s="86"/>
      <c r="I88" s="86"/>
      <c r="J88" s="86"/>
      <c r="K88" s="86"/>
      <c r="L88" s="86"/>
      <c r="M88" s="86"/>
      <c r="N88" s="86"/>
      <c r="O88" s="755"/>
      <c r="P88" s="86"/>
      <c r="Q88" s="86"/>
      <c r="R88" s="86"/>
      <c r="S88" s="86"/>
      <c r="T88" s="86"/>
      <c r="U88" s="86"/>
      <c r="V88" s="86"/>
      <c r="W88" s="86"/>
    </row>
    <row r="89" spans="1:23">
      <c r="A89" s="86"/>
      <c r="B89" s="86"/>
      <c r="C89" s="86"/>
      <c r="D89" s="86"/>
      <c r="E89" s="86"/>
      <c r="F89" s="752"/>
      <c r="G89" s="86"/>
      <c r="H89" s="86"/>
      <c r="I89" s="86"/>
      <c r="J89" s="86"/>
      <c r="K89" s="86"/>
      <c r="L89" s="86"/>
      <c r="M89" s="86"/>
      <c r="N89" s="86"/>
      <c r="O89" s="755"/>
      <c r="P89" s="86"/>
      <c r="Q89" s="86"/>
      <c r="R89" s="86"/>
      <c r="S89" s="86"/>
      <c r="T89" s="86"/>
      <c r="U89" s="86"/>
      <c r="V89" s="86"/>
      <c r="W89" s="86"/>
    </row>
    <row r="90" spans="1:23">
      <c r="A90" s="86"/>
      <c r="B90" s="86"/>
      <c r="C90" s="86"/>
      <c r="D90" s="86"/>
      <c r="E90" s="86"/>
      <c r="F90" s="752"/>
      <c r="G90" s="86"/>
      <c r="H90" s="86"/>
      <c r="I90" s="86"/>
      <c r="J90" s="86"/>
      <c r="K90" s="86"/>
      <c r="L90" s="86"/>
      <c r="M90" s="86"/>
      <c r="N90" s="86"/>
      <c r="O90" s="755"/>
      <c r="P90" s="86"/>
      <c r="Q90" s="86"/>
      <c r="R90" s="86"/>
      <c r="S90" s="86"/>
      <c r="T90" s="86"/>
      <c r="U90" s="86"/>
      <c r="V90" s="86"/>
      <c r="W90" s="86"/>
    </row>
    <row r="91" spans="1:23">
      <c r="A91" s="86"/>
      <c r="B91" s="86"/>
      <c r="C91" s="86"/>
      <c r="D91" s="86"/>
      <c r="E91" s="86"/>
      <c r="F91" s="752"/>
      <c r="G91" s="86"/>
      <c r="H91" s="86"/>
      <c r="I91" s="86"/>
      <c r="J91" s="86"/>
      <c r="K91" s="86"/>
      <c r="L91" s="86"/>
      <c r="M91" s="86"/>
      <c r="N91" s="86"/>
      <c r="O91" s="755"/>
      <c r="P91" s="86"/>
      <c r="Q91" s="86"/>
      <c r="R91" s="86"/>
      <c r="S91" s="86"/>
      <c r="T91" s="86"/>
      <c r="U91" s="86"/>
      <c r="V91" s="86"/>
      <c r="W91" s="86"/>
    </row>
    <row r="92" spans="1:23">
      <c r="A92" s="86"/>
      <c r="B92" s="86"/>
      <c r="C92" s="86"/>
      <c r="D92" s="86"/>
      <c r="E92" s="86"/>
      <c r="F92" s="752"/>
      <c r="G92" s="86"/>
      <c r="H92" s="86"/>
      <c r="I92" s="86"/>
      <c r="J92" s="86"/>
      <c r="K92" s="86"/>
      <c r="L92" s="86"/>
      <c r="M92" s="86"/>
      <c r="N92" s="86"/>
      <c r="O92" s="755"/>
      <c r="P92" s="86"/>
      <c r="Q92" s="86"/>
      <c r="R92" s="86"/>
      <c r="S92" s="86"/>
      <c r="T92" s="86"/>
      <c r="U92" s="86"/>
      <c r="V92" s="86"/>
      <c r="W92" s="86"/>
    </row>
    <row r="93" spans="1:23">
      <c r="A93" s="86"/>
      <c r="B93" s="86"/>
      <c r="C93" s="86"/>
      <c r="D93" s="86"/>
      <c r="E93" s="86"/>
      <c r="F93" s="752"/>
      <c r="G93" s="86"/>
      <c r="H93" s="86"/>
      <c r="I93" s="86"/>
      <c r="J93" s="86"/>
      <c r="K93" s="86"/>
      <c r="L93" s="86"/>
      <c r="M93" s="86"/>
      <c r="N93" s="86"/>
      <c r="O93" s="755"/>
      <c r="P93" s="86"/>
      <c r="Q93" s="86"/>
      <c r="R93" s="86"/>
      <c r="S93" s="86"/>
      <c r="T93" s="86"/>
      <c r="U93" s="86"/>
      <c r="V93" s="86"/>
      <c r="W93" s="86"/>
    </row>
    <row r="94" spans="1:23">
      <c r="A94" s="86"/>
      <c r="B94" s="86"/>
      <c r="C94" s="86"/>
      <c r="D94" s="86"/>
      <c r="E94" s="86"/>
      <c r="F94" s="752"/>
      <c r="G94" s="86"/>
      <c r="H94" s="86"/>
      <c r="I94" s="86"/>
      <c r="J94" s="86"/>
      <c r="K94" s="86"/>
      <c r="L94" s="86"/>
      <c r="M94" s="86"/>
      <c r="N94" s="86"/>
      <c r="O94" s="755"/>
      <c r="P94" s="86"/>
      <c r="Q94" s="86"/>
      <c r="R94" s="86"/>
      <c r="S94" s="86"/>
      <c r="T94" s="86"/>
      <c r="U94" s="86"/>
      <c r="V94" s="86"/>
      <c r="W94" s="86"/>
    </row>
    <row r="95" spans="1:23">
      <c r="A95" s="86"/>
      <c r="B95" s="86"/>
      <c r="C95" s="86"/>
      <c r="D95" s="86"/>
      <c r="E95" s="86"/>
      <c r="F95" s="752"/>
      <c r="G95" s="86"/>
      <c r="H95" s="86"/>
      <c r="I95" s="86"/>
      <c r="J95" s="86"/>
      <c r="K95" s="86"/>
      <c r="L95" s="86"/>
      <c r="M95" s="86"/>
      <c r="N95" s="86"/>
      <c r="O95" s="755"/>
      <c r="P95" s="86"/>
      <c r="Q95" s="86"/>
      <c r="R95" s="86"/>
      <c r="S95" s="86"/>
      <c r="T95" s="86"/>
      <c r="U95" s="86"/>
      <c r="V95" s="86"/>
      <c r="W95" s="86"/>
    </row>
    <row r="96" spans="1:23">
      <c r="A96" s="86"/>
      <c r="B96" s="86"/>
      <c r="C96" s="86"/>
      <c r="D96" s="86"/>
      <c r="E96" s="86"/>
      <c r="F96" s="752"/>
      <c r="G96" s="86"/>
      <c r="H96" s="86"/>
      <c r="I96" s="86"/>
      <c r="J96" s="86"/>
      <c r="K96" s="86"/>
      <c r="L96" s="86"/>
      <c r="M96" s="86"/>
      <c r="N96" s="86"/>
      <c r="O96" s="755"/>
      <c r="P96" s="86"/>
      <c r="Q96" s="86"/>
      <c r="R96" s="86"/>
      <c r="S96" s="86"/>
      <c r="T96" s="86"/>
      <c r="U96" s="86"/>
      <c r="V96" s="86"/>
      <c r="W96" s="86"/>
    </row>
    <row r="97" spans="1:23">
      <c r="A97" s="86"/>
      <c r="B97" s="86"/>
      <c r="C97" s="86"/>
      <c r="D97" s="86"/>
      <c r="E97" s="86"/>
      <c r="F97" s="752"/>
      <c r="G97" s="86"/>
      <c r="H97" s="86"/>
      <c r="I97" s="86"/>
      <c r="J97" s="86"/>
      <c r="K97" s="86"/>
      <c r="L97" s="86"/>
      <c r="M97" s="86"/>
      <c r="N97" s="86"/>
      <c r="O97" s="755"/>
      <c r="P97" s="86"/>
      <c r="Q97" s="86"/>
      <c r="R97" s="86"/>
      <c r="S97" s="86"/>
      <c r="T97" s="86"/>
      <c r="U97" s="86"/>
      <c r="V97" s="86"/>
      <c r="W97" s="86"/>
    </row>
    <row r="98" spans="1:23">
      <c r="A98" s="86"/>
      <c r="B98" s="86"/>
      <c r="C98" s="86"/>
      <c r="D98" s="86"/>
      <c r="E98" s="86"/>
      <c r="F98" s="752"/>
      <c r="G98" s="86"/>
      <c r="H98" s="86"/>
      <c r="I98" s="86"/>
      <c r="J98" s="86"/>
      <c r="K98" s="86"/>
      <c r="L98" s="86"/>
      <c r="M98" s="86"/>
      <c r="N98" s="86"/>
      <c r="O98" s="755"/>
      <c r="P98" s="86"/>
      <c r="Q98" s="86"/>
      <c r="R98" s="86"/>
      <c r="S98" s="86"/>
      <c r="T98" s="86"/>
      <c r="U98" s="86"/>
      <c r="V98" s="86"/>
      <c r="W98" s="86"/>
    </row>
    <row r="99" spans="1:23">
      <c r="A99" s="86"/>
      <c r="B99" s="86"/>
      <c r="C99" s="86"/>
      <c r="D99" s="86"/>
      <c r="E99" s="86"/>
      <c r="F99" s="752"/>
      <c r="G99" s="86"/>
      <c r="H99" s="86"/>
      <c r="I99" s="86"/>
      <c r="J99" s="86"/>
      <c r="K99" s="86"/>
      <c r="L99" s="86"/>
      <c r="M99" s="86"/>
      <c r="N99" s="86"/>
      <c r="O99" s="755"/>
      <c r="P99" s="86"/>
      <c r="Q99" s="86"/>
      <c r="R99" s="86"/>
      <c r="S99" s="86"/>
      <c r="T99" s="86"/>
      <c r="U99" s="86"/>
      <c r="V99" s="86"/>
      <c r="W99" s="86"/>
    </row>
    <row r="100" spans="1:23">
      <c r="A100" s="86"/>
      <c r="B100" s="86"/>
      <c r="C100" s="86"/>
      <c r="D100" s="86"/>
      <c r="E100" s="86"/>
      <c r="F100" s="752"/>
      <c r="G100" s="86"/>
      <c r="H100" s="86"/>
      <c r="I100" s="86"/>
      <c r="J100" s="86"/>
      <c r="K100" s="86"/>
      <c r="L100" s="86"/>
      <c r="M100" s="86"/>
      <c r="N100" s="86"/>
      <c r="O100" s="755"/>
      <c r="P100" s="86"/>
      <c r="Q100" s="86"/>
      <c r="R100" s="86"/>
      <c r="S100" s="86"/>
      <c r="T100" s="86"/>
      <c r="U100" s="86"/>
      <c r="V100" s="86"/>
      <c r="W100" s="86"/>
    </row>
  </sheetData>
  <sheetProtection password="D37A" sheet="1"/>
  <mergeCells count="7">
    <mergeCell ref="G1:H2"/>
    <mergeCell ref="AA3:AB3"/>
    <mergeCell ref="BR1:CC1"/>
    <mergeCell ref="AP1:BB1"/>
    <mergeCell ref="BD1:BP1"/>
    <mergeCell ref="I3:P3"/>
    <mergeCell ref="I1:P2"/>
  </mergeCells>
  <conditionalFormatting sqref="F2">
    <cfRule type="expression" dxfId="4" priority="4" stopIfTrue="1">
      <formula>$D$2=$AI$2</formula>
    </cfRule>
    <cfRule type="containsBlanks" dxfId="3" priority="9" stopIfTrue="1">
      <formula>LEN(TRIM(F2))=0</formula>
    </cfRule>
  </conditionalFormatting>
  <conditionalFormatting sqref="O5:O63">
    <cfRule type="expression" dxfId="2" priority="7" stopIfTrue="1">
      <formula>ISTEXT(I5)</formula>
    </cfRule>
  </conditionalFormatting>
  <conditionalFormatting sqref="I1">
    <cfRule type="containsText" dxfId="1" priority="2" stopIfTrue="1" operator="containsText" text="Ready">
      <formula>NOT(ISERROR(SEARCH("Ready",I1)))</formula>
    </cfRule>
    <cfRule type="containsText" dxfId="0" priority="3" stopIfTrue="1" operator="containsText" text="match">
      <formula>NOT(ISERROR(SEARCH("match",I1)))</formula>
    </cfRule>
  </conditionalFormatting>
  <conditionalFormatting sqref="G1:H2">
    <cfRule type="notContainsBlanks" priority="1" stopIfTrue="1">
      <formula>LEN(TRIM(G1))&gt;0</formula>
    </cfRule>
  </conditionalFormatting>
  <dataValidations count="4">
    <dataValidation type="list" allowBlank="1" showInputMessage="1" showErrorMessage="1" error="חובה לבחור מתוך הרשימה הנפתחת" sqref="D2">
      <formula1>$AI$2:$AI$4</formula1>
    </dataValidation>
    <dataValidation type="list" allowBlank="1" showInputMessage="1" showErrorMessage="1" error="חובה לבחור מתוך הרשימה הנפתחת" sqref="F2">
      <formula1>$AK$2:$AK$13</formula1>
    </dataValidation>
    <dataValidation type="list" allowBlank="1" showInputMessage="1" showErrorMessage="1" error="חובה לבחור מתוך הרשימה הנפתחת" sqref="O5:O49">
      <formula1>$AN$3:$AN$45</formula1>
    </dataValidation>
    <dataValidation type="list" allowBlank="1" showInputMessage="1" showErrorMessage="1" error="חובה לבחור מתוך הרשימה הנפתחת" sqref="O50:O63">
      <formula1>$AN$46:$AN$59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9FF33"/>
  </sheetPr>
  <dimension ref="A1:Q28"/>
  <sheetViews>
    <sheetView workbookViewId="0">
      <selection activeCell="D8" sqref="D8"/>
    </sheetView>
  </sheetViews>
  <sheetFormatPr defaultRowHeight="14.25"/>
  <cols>
    <col min="1" max="1" width="2.875" customWidth="1"/>
    <col min="3" max="3" width="29.625" bestFit="1" customWidth="1"/>
    <col min="4" max="4" width="11.875" customWidth="1"/>
    <col min="5" max="5" width="15.875" bestFit="1" customWidth="1"/>
    <col min="6" max="6" width="18.875" customWidth="1"/>
    <col min="7" max="7" width="53.125" customWidth="1"/>
    <col min="12" max="12" width="14" customWidth="1"/>
    <col min="13" max="13" width="11" customWidth="1"/>
  </cols>
  <sheetData>
    <row r="1" spans="1:17" ht="15">
      <c r="A1" s="151"/>
      <c r="B1" s="556" t="s">
        <v>456</v>
      </c>
      <c r="C1" s="151"/>
      <c r="E1" s="556"/>
      <c r="F1" s="556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</row>
    <row r="2" spans="1:17">
      <c r="A2" s="151"/>
      <c r="B2" s="151" t="s">
        <v>464</v>
      </c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</row>
    <row r="3" spans="1:17">
      <c r="A3" s="151"/>
      <c r="B3" s="151" t="s">
        <v>447</v>
      </c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151"/>
    </row>
    <row r="4" spans="1:17" ht="10.5" customHeight="1">
      <c r="A4" s="151"/>
      <c r="B4" s="151"/>
      <c r="C4" s="151"/>
      <c r="D4" s="151"/>
      <c r="E4" s="151"/>
      <c r="F4" s="151"/>
      <c r="G4" s="151"/>
      <c r="H4" s="151"/>
      <c r="I4" s="151"/>
      <c r="J4" s="151"/>
      <c r="K4" s="151"/>
      <c r="L4" s="151"/>
      <c r="M4" s="151"/>
      <c r="N4" s="151"/>
      <c r="O4" s="151"/>
      <c r="P4" s="151"/>
      <c r="Q4" s="151"/>
    </row>
    <row r="5" spans="1:17" ht="15">
      <c r="A5" s="151"/>
      <c r="B5" s="562" t="s">
        <v>448</v>
      </c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1"/>
      <c r="Q5" s="151"/>
    </row>
    <row r="6" spans="1:17">
      <c r="A6" s="151"/>
      <c r="B6" s="151"/>
      <c r="C6" s="151"/>
      <c r="D6" s="151"/>
      <c r="E6" s="151"/>
      <c r="F6" s="151"/>
      <c r="G6" s="151"/>
      <c r="H6" s="151"/>
      <c r="I6" s="151"/>
      <c r="J6" s="151"/>
      <c r="K6" s="151"/>
      <c r="L6" s="151"/>
      <c r="M6" s="151"/>
      <c r="N6" s="151"/>
      <c r="O6" s="151"/>
      <c r="P6" s="151"/>
      <c r="Q6" s="151"/>
    </row>
    <row r="7" spans="1:17" ht="15.75" thickBot="1">
      <c r="A7" s="151"/>
      <c r="B7" s="562" t="s">
        <v>449</v>
      </c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1"/>
      <c r="O7" s="151"/>
      <c r="P7" s="151"/>
      <c r="Q7" s="151"/>
    </row>
    <row r="8" spans="1:17" ht="15.75" thickBot="1">
      <c r="A8" s="151"/>
      <c r="B8" s="151"/>
      <c r="C8" s="259" t="s">
        <v>495</v>
      </c>
      <c r="D8" s="557">
        <f ca="1">L!M58</f>
        <v>0</v>
      </c>
      <c r="E8" s="151" t="s">
        <v>472</v>
      </c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</row>
    <row r="9" spans="1:17" ht="15.75" thickBot="1">
      <c r="A9" s="151"/>
      <c r="B9" s="151"/>
      <c r="C9" s="259" t="s">
        <v>377</v>
      </c>
      <c r="D9" s="558">
        <f>L!W46</f>
        <v>0</v>
      </c>
      <c r="E9" s="151" t="s">
        <v>473</v>
      </c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</row>
    <row r="10" spans="1:17" ht="16.5" thickTop="1" thickBot="1">
      <c r="A10" s="151"/>
      <c r="B10" s="151"/>
      <c r="C10" s="559" t="s">
        <v>379</v>
      </c>
      <c r="D10" s="560">
        <f>L!R59</f>
        <v>0</v>
      </c>
      <c r="E10" s="151" t="s">
        <v>474</v>
      </c>
      <c r="F10" s="151"/>
      <c r="G10" s="151"/>
      <c r="H10" s="151"/>
      <c r="I10" s="151"/>
      <c r="J10" s="151"/>
      <c r="K10" s="151"/>
      <c r="L10" s="151"/>
      <c r="M10" s="151"/>
      <c r="N10" s="151"/>
      <c r="O10" s="151"/>
      <c r="P10" s="151"/>
      <c r="Q10" s="151"/>
    </row>
    <row r="11" spans="1:17" ht="15" thickTop="1">
      <c r="A11" s="151"/>
      <c r="B11" s="151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</row>
    <row r="12" spans="1:17" ht="15">
      <c r="A12" s="151"/>
      <c r="B12" s="562" t="s">
        <v>450</v>
      </c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</row>
    <row r="13" spans="1:17" ht="15">
      <c r="A13" s="151"/>
      <c r="B13" s="151" t="s">
        <v>510</v>
      </c>
      <c r="C13" s="151"/>
      <c r="D13" s="151"/>
      <c r="E13" s="151"/>
      <c r="F13" s="151"/>
      <c r="G13" s="151"/>
      <c r="H13" s="151"/>
      <c r="I13" s="151"/>
      <c r="J13" s="151"/>
      <c r="K13" s="151"/>
      <c r="L13" s="151"/>
      <c r="M13" s="151"/>
      <c r="N13" s="151"/>
      <c r="O13" s="151"/>
      <c r="P13" s="151"/>
      <c r="Q13" s="151"/>
    </row>
    <row r="14" spans="1:17" ht="15">
      <c r="A14" s="151"/>
      <c r="B14" s="151" t="s">
        <v>496</v>
      </c>
      <c r="C14" s="229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</row>
    <row r="15" spans="1:17">
      <c r="A15" s="151"/>
      <c r="B15" s="151" t="s">
        <v>452</v>
      </c>
      <c r="C15" s="561"/>
      <c r="D15" s="151"/>
      <c r="E15" s="151"/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</row>
    <row r="16" spans="1:17">
      <c r="A16" s="151"/>
      <c r="B16" s="151" t="s">
        <v>511</v>
      </c>
      <c r="C16" s="561"/>
      <c r="D16" s="151"/>
      <c r="E16" s="151"/>
      <c r="F16" s="151"/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151"/>
    </row>
    <row r="17" spans="1:17">
      <c r="A17" s="151"/>
      <c r="B17" s="151" t="s">
        <v>451</v>
      </c>
      <c r="C17" s="151"/>
      <c r="D17" s="151"/>
      <c r="E17" s="151"/>
      <c r="F17" s="151"/>
      <c r="G17" s="151"/>
      <c r="H17" s="151"/>
      <c r="I17" s="151"/>
      <c r="J17" s="151"/>
      <c r="K17" s="151"/>
      <c r="L17" s="151"/>
      <c r="M17" s="151"/>
      <c r="N17" s="151"/>
      <c r="O17" s="151"/>
      <c r="P17" s="151"/>
      <c r="Q17" s="151"/>
    </row>
    <row r="18" spans="1:17" ht="15.75" thickBot="1">
      <c r="A18" s="151"/>
      <c r="B18" s="562" t="s">
        <v>497</v>
      </c>
      <c r="C18" s="562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</row>
    <row r="19" spans="1:17" ht="15.75" thickBot="1">
      <c r="A19" s="151"/>
      <c r="B19" s="151"/>
      <c r="C19" s="563" t="s">
        <v>453</v>
      </c>
      <c r="D19" s="564" t="s">
        <v>359</v>
      </c>
      <c r="E19" s="564" t="s">
        <v>333</v>
      </c>
      <c r="F19" s="565" t="s">
        <v>454</v>
      </c>
      <c r="G19" s="566" t="s">
        <v>335</v>
      </c>
      <c r="H19" s="151"/>
      <c r="I19" s="151"/>
      <c r="J19" s="151"/>
      <c r="K19" s="151"/>
      <c r="L19" s="151"/>
      <c r="M19" s="151"/>
      <c r="N19" s="151"/>
      <c r="O19" s="151"/>
      <c r="P19" s="151"/>
      <c r="Q19" s="151"/>
    </row>
    <row r="20" spans="1:17">
      <c r="A20" s="151"/>
      <c r="B20" s="151"/>
      <c r="C20" s="670" t="s">
        <v>231</v>
      </c>
      <c r="D20" s="671">
        <v>1400</v>
      </c>
      <c r="E20" s="671">
        <v>200</v>
      </c>
      <c r="F20" s="672">
        <v>7</v>
      </c>
      <c r="G20" s="673" t="s">
        <v>455</v>
      </c>
      <c r="H20" s="151"/>
      <c r="I20" s="151"/>
      <c r="J20" s="151"/>
      <c r="K20" s="151"/>
      <c r="L20" s="151"/>
      <c r="M20" s="151"/>
      <c r="N20" s="151"/>
      <c r="O20" s="151"/>
      <c r="P20" s="151"/>
      <c r="Q20" s="151"/>
    </row>
    <row r="21" spans="1:17">
      <c r="A21" s="151"/>
      <c r="B21" s="151"/>
      <c r="C21" s="674"/>
      <c r="D21" s="675"/>
      <c r="E21" s="675"/>
      <c r="F21" s="676"/>
      <c r="G21" s="677"/>
      <c r="H21" s="151"/>
      <c r="I21" s="151"/>
      <c r="J21" s="151"/>
      <c r="K21" s="151"/>
      <c r="L21" s="151"/>
      <c r="M21" s="151"/>
      <c r="N21" s="151"/>
      <c r="O21" s="151"/>
      <c r="P21" s="151"/>
      <c r="Q21" s="151"/>
    </row>
    <row r="22" spans="1:17">
      <c r="A22" s="151"/>
      <c r="B22" s="151"/>
      <c r="C22" s="674"/>
      <c r="D22" s="675"/>
      <c r="E22" s="675"/>
      <c r="F22" s="676"/>
      <c r="G22" s="677"/>
      <c r="H22" s="151"/>
      <c r="I22" s="151"/>
      <c r="J22" s="151"/>
      <c r="K22" s="151"/>
      <c r="L22" s="151"/>
      <c r="M22" s="151"/>
      <c r="N22" s="151"/>
      <c r="O22" s="151"/>
      <c r="P22" s="151"/>
      <c r="Q22" s="151"/>
    </row>
    <row r="23" spans="1:17">
      <c r="A23" s="151"/>
      <c r="B23" s="151"/>
      <c r="C23" s="674"/>
      <c r="D23" s="675"/>
      <c r="E23" s="675"/>
      <c r="F23" s="676"/>
      <c r="G23" s="677"/>
      <c r="H23" s="151"/>
      <c r="I23" s="151"/>
      <c r="J23" s="151"/>
      <c r="K23" s="151"/>
      <c r="L23" s="151"/>
      <c r="M23" s="151"/>
      <c r="N23" s="151"/>
      <c r="O23" s="151"/>
      <c r="P23" s="151"/>
      <c r="Q23" s="151"/>
    </row>
    <row r="24" spans="1:17">
      <c r="A24" s="151"/>
      <c r="B24" s="151"/>
      <c r="C24" s="674"/>
      <c r="D24" s="675"/>
      <c r="E24" s="675"/>
      <c r="F24" s="676"/>
      <c r="G24" s="677"/>
      <c r="H24" s="151"/>
      <c r="I24" s="151"/>
      <c r="J24" s="151"/>
      <c r="K24" s="151"/>
      <c r="L24" s="151"/>
      <c r="M24" s="151"/>
      <c r="N24" s="151"/>
      <c r="O24" s="151"/>
      <c r="P24" s="151"/>
      <c r="Q24" s="151"/>
    </row>
    <row r="25" spans="1:17">
      <c r="A25" s="151"/>
      <c r="B25" s="151"/>
      <c r="C25" s="674"/>
      <c r="D25" s="675"/>
      <c r="E25" s="675"/>
      <c r="F25" s="676"/>
      <c r="G25" s="677"/>
      <c r="H25" s="151"/>
      <c r="I25" s="151"/>
      <c r="J25" s="151"/>
      <c r="K25" s="151"/>
      <c r="L25" s="151"/>
      <c r="M25" s="151"/>
      <c r="N25" s="151"/>
      <c r="O25" s="151"/>
      <c r="P25" s="151"/>
      <c r="Q25" s="151"/>
    </row>
    <row r="26" spans="1:17">
      <c r="A26" s="151"/>
      <c r="B26" s="151"/>
      <c r="C26" s="674"/>
      <c r="D26" s="675"/>
      <c r="E26" s="675"/>
      <c r="F26" s="676"/>
      <c r="G26" s="677"/>
      <c r="H26" s="151"/>
      <c r="I26" s="151"/>
      <c r="J26" s="151"/>
      <c r="K26" s="151"/>
      <c r="L26" s="151"/>
      <c r="M26" s="151"/>
      <c r="N26" s="151"/>
      <c r="O26" s="151"/>
      <c r="P26" s="151"/>
      <c r="Q26" s="151"/>
    </row>
    <row r="27" spans="1:17" ht="15" thickBot="1">
      <c r="A27" s="151"/>
      <c r="B27" s="151"/>
      <c r="C27" s="678"/>
      <c r="D27" s="679"/>
      <c r="E27" s="679"/>
      <c r="F27" s="680"/>
      <c r="G27" s="681"/>
      <c r="H27" s="151"/>
      <c r="I27" s="151"/>
      <c r="J27" s="151"/>
      <c r="K27" s="151"/>
      <c r="L27" s="151"/>
      <c r="M27" s="151"/>
      <c r="N27" s="151"/>
      <c r="O27" s="151"/>
      <c r="P27" s="151"/>
      <c r="Q27" s="151"/>
    </row>
    <row r="28" spans="1:17">
      <c r="B28" s="151"/>
      <c r="C28" s="151"/>
      <c r="D28" s="151"/>
      <c r="E28" s="151"/>
      <c r="F28" s="151"/>
      <c r="G28" s="151"/>
      <c r="H28" s="151"/>
      <c r="I28" s="151"/>
      <c r="J28" s="151"/>
      <c r="K28" s="151"/>
      <c r="L28" s="151"/>
      <c r="M28" s="151"/>
      <c r="N28" s="151"/>
      <c r="O28" s="151"/>
      <c r="P28" s="151"/>
      <c r="Q28" s="151"/>
    </row>
  </sheetData>
  <sheetProtection password="D37A" sheet="1" formatCells="0" formatColumns="0" formatRows="0" insertColumns="0" insertRows="0" sort="0" autoFilter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19</vt:i4>
      </vt:variant>
      <vt:variant>
        <vt:lpstr>טווחים בעלי שם</vt:lpstr>
      </vt:variant>
      <vt:variant>
        <vt:i4>1</vt:i4>
      </vt:variant>
    </vt:vector>
  </HeadingPairs>
  <TitlesOfParts>
    <vt:vector size="20" baseType="lpstr">
      <vt:lpstr>Instructions</vt:lpstr>
      <vt:lpstr>Current Status ('Shikuf')</vt:lpstr>
      <vt:lpstr>Month A</vt:lpstr>
      <vt:lpstr>B</vt:lpstr>
      <vt:lpstr>C</vt:lpstr>
      <vt:lpstr>D</vt:lpstr>
      <vt:lpstr>E</vt:lpstr>
      <vt:lpstr>F</vt:lpstr>
      <vt:lpstr>G</vt:lpstr>
      <vt:lpstr>H</vt:lpstr>
      <vt:lpstr>I</vt:lpstr>
      <vt:lpstr>J</vt:lpstr>
      <vt:lpstr>K</vt:lpstr>
      <vt:lpstr>L</vt:lpstr>
      <vt:lpstr>Yearly Sum</vt:lpstr>
      <vt:lpstr>Budgets List</vt:lpstr>
      <vt:lpstr>All Months Actuals</vt:lpstr>
      <vt:lpstr>Import preparation</vt:lpstr>
      <vt:lpstr>Next Year</vt:lpstr>
      <vt:lpstr>'Current Status (''Shikuf'')'!WPrint_Area_W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cp:lastPrinted>2012-03-26T12:14:25Z</cp:lastPrinted>
  <dcterms:created xsi:type="dcterms:W3CDTF">2011-08-07T04:41:10Z</dcterms:created>
  <dcterms:modified xsi:type="dcterms:W3CDTF">2015-06-25T09:53:17Z</dcterms:modified>
</cp:coreProperties>
</file>